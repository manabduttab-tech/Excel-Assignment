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D:\Data Analaytics\Excel Assignment\"/>
    </mc:Choice>
  </mc:AlternateContent>
  <xr:revisionPtr revIDLastSave="0" documentId="13_ncr:1_{A099D829-3C2C-4C05-8763-EFC40ED3A299}" xr6:coauthVersionLast="47" xr6:coauthVersionMax="47" xr10:uidLastSave="{00000000-0000-0000-0000-000000000000}"/>
  <bookViews>
    <workbookView xWindow="-108" yWindow="-108" windowWidth="23256" windowHeight="12576" firstSheet="7" activeTab="11" xr2:uid="{00000000-000D-0000-FFFF-FFFF00000000}"/>
  </bookViews>
  <sheets>
    <sheet name="Sales_Data" sheetId="1" r:id="rId1"/>
    <sheet name="Product_Master" sheetId="4" r:id="rId2"/>
    <sheet name="Customer_Master" sheetId="5" r:id="rId3"/>
    <sheet name="Q1_Q2_Q3" sheetId="2" r:id="rId4"/>
    <sheet name="Q4_Product_Lookup_Report" sheetId="3" r:id="rId5"/>
    <sheet name="Q5_Sales_Summary_Report" sheetId="6" r:id="rId6"/>
    <sheet name="Q6_Sales_Statistics_Report" sheetId="7" r:id="rId7"/>
    <sheet name="Q7_Product_Performance_Report" sheetId="8" r:id="rId8"/>
    <sheet name="Q8_Financial_Analysis_Report" sheetId="10" r:id="rId9"/>
    <sheet name="Q9_Cleaned_Data" sheetId="11" r:id="rId10"/>
    <sheet name="Q10_Sales_Dashboard" sheetId="17" r:id="rId11"/>
    <sheet name="Q10" sheetId="12" r:id="rId12"/>
  </sheets>
  <definedNames>
    <definedName name="_xlnm._FilterDatabase" localSheetId="9" hidden="1">Q9_Cleaned_Data!$K$1:$K$501</definedName>
    <definedName name="_xlnm._FilterDatabase" localSheetId="0" hidden="1">Sales_Data!$A$1:$V$501</definedName>
    <definedName name="NativeTimeline_Order_Date">#N/A</definedName>
    <definedName name="Slicer_Category">#N/A</definedName>
    <definedName name="Slicer_Region">#N/A</definedName>
  </definedNames>
  <calcPr calcId="191029"/>
  <pivotCaches>
    <pivotCache cacheId="31" r:id="rId13"/>
  </pivotCaches>
  <extLs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6"/>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2" i="3" l="1" a="1"/>
  <c r="B2" i="3" s="1"/>
  <c r="B2" i="10"/>
  <c r="B4" i="10"/>
  <c r="B3" i="10"/>
  <c r="B4" i="8"/>
  <c r="B3" i="8"/>
  <c r="B2" i="8"/>
  <c r="B1" i="8"/>
  <c r="B6" i="7"/>
  <c r="B5" i="7"/>
  <c r="B3" i="7"/>
  <c r="B4" i="7"/>
  <c r="B2" i="7"/>
  <c r="B1" i="7"/>
  <c r="B5" i="6"/>
  <c r="B4" i="6"/>
  <c r="B3" i="6"/>
  <c r="B2" i="6"/>
  <c r="B1" i="6"/>
  <c r="E4" i="12"/>
  <c r="C4" i="12"/>
  <c r="A4" i="12"/>
  <c r="F3" i="2" l="1"/>
  <c r="G3" i="2" s="1" a="1"/>
  <c r="G3" i="2" s="1"/>
  <c r="F4" i="2"/>
  <c r="G4" i="2" s="1" a="1"/>
  <c r="G4" i="2" s="1"/>
  <c r="F5" i="2"/>
  <c r="G5" i="2" s="1" a="1"/>
  <c r="G5" i="2" s="1"/>
  <c r="F6" i="2"/>
  <c r="G6" i="2" s="1" a="1"/>
  <c r="G6" i="2" s="1"/>
  <c r="F7" i="2"/>
  <c r="G7" i="2" s="1" a="1"/>
  <c r="G7" i="2" s="1"/>
  <c r="F8" i="2"/>
  <c r="G8" i="2" s="1" a="1"/>
  <c r="G8" i="2" s="1"/>
  <c r="F9" i="2"/>
  <c r="G9" i="2" s="1" a="1"/>
  <c r="G9" i="2" s="1"/>
  <c r="F10" i="2"/>
  <c r="G10" i="2" s="1" a="1"/>
  <c r="G10" i="2" s="1"/>
  <c r="F11" i="2"/>
  <c r="G11" i="2" s="1" a="1"/>
  <c r="G11" i="2" s="1"/>
  <c r="F12" i="2"/>
  <c r="G12" i="2" s="1" a="1"/>
  <c r="G12" i="2" s="1"/>
  <c r="F13" i="2"/>
  <c r="G13" i="2" s="1" a="1"/>
  <c r="G13" i="2" s="1"/>
  <c r="F14" i="2"/>
  <c r="G14" i="2" s="1" a="1"/>
  <c r="G14" i="2" s="1"/>
  <c r="F15" i="2"/>
  <c r="G15" i="2" s="1" a="1"/>
  <c r="G15" i="2" s="1"/>
  <c r="F16" i="2"/>
  <c r="G16" i="2" s="1" a="1"/>
  <c r="G16" i="2" s="1"/>
  <c r="F17" i="2"/>
  <c r="G17" i="2" s="1" a="1"/>
  <c r="G17" i="2" s="1"/>
  <c r="F18" i="2"/>
  <c r="G18" i="2" s="1" a="1"/>
  <c r="G18" i="2" s="1"/>
  <c r="F19" i="2"/>
  <c r="G19" i="2" s="1" a="1"/>
  <c r="G19" i="2" s="1"/>
  <c r="F20" i="2"/>
  <c r="G20" i="2" s="1" a="1"/>
  <c r="G20" i="2" s="1"/>
  <c r="F21" i="2"/>
  <c r="G21" i="2" s="1" a="1"/>
  <c r="G21" i="2" s="1"/>
  <c r="F22" i="2"/>
  <c r="G22" i="2" s="1" a="1"/>
  <c r="G22" i="2" s="1"/>
  <c r="F23" i="2"/>
  <c r="G23" i="2" s="1" a="1"/>
  <c r="G23" i="2" s="1"/>
  <c r="F24" i="2"/>
  <c r="G24" i="2" s="1" a="1"/>
  <c r="G24" i="2" s="1"/>
  <c r="F25" i="2"/>
  <c r="G25" i="2" s="1" a="1"/>
  <c r="G25" i="2" s="1"/>
  <c r="F26" i="2"/>
  <c r="G26" i="2" s="1" a="1"/>
  <c r="G26" i="2" s="1"/>
  <c r="F27" i="2"/>
  <c r="G27" i="2" s="1" a="1"/>
  <c r="G27" i="2" s="1"/>
  <c r="F28" i="2"/>
  <c r="G28" i="2" s="1" a="1"/>
  <c r="G28" i="2" s="1"/>
  <c r="F29" i="2"/>
  <c r="G29" i="2" s="1" a="1"/>
  <c r="G29" i="2" s="1"/>
  <c r="F30" i="2"/>
  <c r="G30" i="2" s="1" a="1"/>
  <c r="G30" i="2" s="1"/>
  <c r="F31" i="2"/>
  <c r="G31" i="2" s="1" a="1"/>
  <c r="G31" i="2" s="1"/>
  <c r="F32" i="2"/>
  <c r="G32" i="2" s="1" a="1"/>
  <c r="G32" i="2" s="1"/>
  <c r="F33" i="2"/>
  <c r="G33" i="2" s="1" a="1"/>
  <c r="G33" i="2" s="1"/>
  <c r="F34" i="2"/>
  <c r="G34" i="2" s="1" a="1"/>
  <c r="G34" i="2" s="1"/>
  <c r="F35" i="2"/>
  <c r="G35" i="2" s="1" a="1"/>
  <c r="G35" i="2" s="1"/>
  <c r="F36" i="2"/>
  <c r="G36" i="2" s="1" a="1"/>
  <c r="G36" i="2" s="1"/>
  <c r="F37" i="2"/>
  <c r="G37" i="2" s="1" a="1"/>
  <c r="G37" i="2" s="1"/>
  <c r="F38" i="2"/>
  <c r="G38" i="2" s="1" a="1"/>
  <c r="G38" i="2" s="1"/>
  <c r="F39" i="2"/>
  <c r="G39" i="2" s="1" a="1"/>
  <c r="G39" i="2" s="1"/>
  <c r="F40" i="2"/>
  <c r="G40" i="2" s="1" a="1"/>
  <c r="G40" i="2" s="1"/>
  <c r="F41" i="2"/>
  <c r="G41" i="2" s="1" a="1"/>
  <c r="G41" i="2" s="1"/>
  <c r="F42" i="2"/>
  <c r="G42" i="2" s="1" a="1"/>
  <c r="G42" i="2" s="1"/>
  <c r="F43" i="2"/>
  <c r="G43" i="2" s="1" a="1"/>
  <c r="G43" i="2" s="1"/>
  <c r="F44" i="2"/>
  <c r="G44" i="2" s="1" a="1"/>
  <c r="G44" i="2" s="1"/>
  <c r="F45" i="2"/>
  <c r="G45" i="2" s="1" a="1"/>
  <c r="G45" i="2" s="1"/>
  <c r="F46" i="2"/>
  <c r="G46" i="2" s="1" a="1"/>
  <c r="G46" i="2" s="1"/>
  <c r="F47" i="2"/>
  <c r="G47" i="2" s="1" a="1"/>
  <c r="G47" i="2" s="1"/>
  <c r="F48" i="2"/>
  <c r="G48" i="2" s="1" a="1"/>
  <c r="G48" i="2" s="1"/>
  <c r="F49" i="2"/>
  <c r="G49" i="2" s="1" a="1"/>
  <c r="G49" i="2" s="1"/>
  <c r="F50" i="2"/>
  <c r="G50" i="2" s="1" a="1"/>
  <c r="G50" i="2" s="1"/>
  <c r="F51" i="2"/>
  <c r="G51" i="2" s="1" a="1"/>
  <c r="G51" i="2" s="1"/>
  <c r="F52" i="2"/>
  <c r="G52" i="2" s="1" a="1"/>
  <c r="G52" i="2" s="1"/>
  <c r="F53" i="2"/>
  <c r="G53" i="2" s="1" a="1"/>
  <c r="G53" i="2" s="1"/>
  <c r="F54" i="2"/>
  <c r="G54" i="2" s="1" a="1"/>
  <c r="G54" i="2" s="1"/>
  <c r="F55" i="2"/>
  <c r="G55" i="2" s="1" a="1"/>
  <c r="G55" i="2" s="1"/>
  <c r="F56" i="2"/>
  <c r="G56" i="2" s="1" a="1"/>
  <c r="G56" i="2" s="1"/>
  <c r="F57" i="2"/>
  <c r="G57" i="2" s="1" a="1"/>
  <c r="G57" i="2" s="1"/>
  <c r="F58" i="2"/>
  <c r="G58" i="2" s="1" a="1"/>
  <c r="G58" i="2" s="1"/>
  <c r="F59" i="2"/>
  <c r="G59" i="2" s="1" a="1"/>
  <c r="G59" i="2" s="1"/>
  <c r="F60" i="2"/>
  <c r="G60" i="2" s="1" a="1"/>
  <c r="G60" i="2" s="1"/>
  <c r="F61" i="2"/>
  <c r="G61" i="2" s="1" a="1"/>
  <c r="G61" i="2" s="1"/>
  <c r="F62" i="2"/>
  <c r="G62" i="2" s="1" a="1"/>
  <c r="G62" i="2" s="1"/>
  <c r="F63" i="2"/>
  <c r="G63" i="2" s="1" a="1"/>
  <c r="G63" i="2" s="1"/>
  <c r="F64" i="2"/>
  <c r="G64" i="2" s="1" a="1"/>
  <c r="G64" i="2" s="1"/>
  <c r="F65" i="2"/>
  <c r="G65" i="2" s="1" a="1"/>
  <c r="G65" i="2" s="1"/>
  <c r="F66" i="2"/>
  <c r="G66" i="2" s="1" a="1"/>
  <c r="G66" i="2" s="1"/>
  <c r="F67" i="2"/>
  <c r="G67" i="2" s="1" a="1"/>
  <c r="G67" i="2" s="1"/>
  <c r="F68" i="2"/>
  <c r="G68" i="2" s="1" a="1"/>
  <c r="G68" i="2" s="1"/>
  <c r="F69" i="2"/>
  <c r="G69" i="2" s="1" a="1"/>
  <c r="G69" i="2" s="1"/>
  <c r="F70" i="2"/>
  <c r="G70" i="2" s="1" a="1"/>
  <c r="G70" i="2" s="1"/>
  <c r="F71" i="2"/>
  <c r="G71" i="2" s="1" a="1"/>
  <c r="G71" i="2" s="1"/>
  <c r="F72" i="2"/>
  <c r="G72" i="2" s="1" a="1"/>
  <c r="G72" i="2" s="1"/>
  <c r="F73" i="2"/>
  <c r="G73" i="2" s="1" a="1"/>
  <c r="G73" i="2" s="1"/>
  <c r="F74" i="2"/>
  <c r="G74" i="2" s="1" a="1"/>
  <c r="G74" i="2" s="1"/>
  <c r="F75" i="2"/>
  <c r="G75" i="2" s="1" a="1"/>
  <c r="G75" i="2" s="1"/>
  <c r="F76" i="2"/>
  <c r="G76" i="2" s="1" a="1"/>
  <c r="G76" i="2" s="1"/>
  <c r="F77" i="2"/>
  <c r="G77" i="2" s="1" a="1"/>
  <c r="G77" i="2" s="1"/>
  <c r="F78" i="2"/>
  <c r="G78" i="2" s="1" a="1"/>
  <c r="G78" i="2" s="1"/>
  <c r="F79" i="2"/>
  <c r="G79" i="2" s="1" a="1"/>
  <c r="G79" i="2" s="1"/>
  <c r="F80" i="2"/>
  <c r="G80" i="2" s="1" a="1"/>
  <c r="G80" i="2" s="1"/>
  <c r="F81" i="2"/>
  <c r="G81" i="2" s="1" a="1"/>
  <c r="G81" i="2" s="1"/>
  <c r="F82" i="2"/>
  <c r="G82" i="2" s="1" a="1"/>
  <c r="G82" i="2" s="1"/>
  <c r="F83" i="2"/>
  <c r="G83" i="2" s="1" a="1"/>
  <c r="G83" i="2" s="1"/>
  <c r="F84" i="2"/>
  <c r="G84" i="2" s="1" a="1"/>
  <c r="G84" i="2" s="1"/>
  <c r="F85" i="2"/>
  <c r="G85" i="2" s="1" a="1"/>
  <c r="G85" i="2" s="1"/>
  <c r="F86" i="2"/>
  <c r="G86" i="2" s="1" a="1"/>
  <c r="G86" i="2" s="1"/>
  <c r="F87" i="2"/>
  <c r="G87" i="2" s="1" a="1"/>
  <c r="G87" i="2" s="1"/>
  <c r="F88" i="2"/>
  <c r="G88" i="2" s="1" a="1"/>
  <c r="G88" i="2" s="1"/>
  <c r="F89" i="2"/>
  <c r="G89" i="2" s="1" a="1"/>
  <c r="G89" i="2" s="1"/>
  <c r="F90" i="2"/>
  <c r="G90" i="2" s="1" a="1"/>
  <c r="G90" i="2" s="1"/>
  <c r="F91" i="2"/>
  <c r="G91" i="2" s="1" a="1"/>
  <c r="G91" i="2" s="1"/>
  <c r="F92" i="2"/>
  <c r="G92" i="2" s="1" a="1"/>
  <c r="G92" i="2" s="1"/>
  <c r="F93" i="2"/>
  <c r="G93" i="2" s="1" a="1"/>
  <c r="G93" i="2" s="1"/>
  <c r="F94" i="2"/>
  <c r="G94" i="2" s="1" a="1"/>
  <c r="G94" i="2" s="1"/>
  <c r="F95" i="2"/>
  <c r="G95" i="2" s="1" a="1"/>
  <c r="G95" i="2" s="1"/>
  <c r="F96" i="2"/>
  <c r="G96" i="2" s="1" a="1"/>
  <c r="G96" i="2" s="1"/>
  <c r="F97" i="2"/>
  <c r="G97" i="2" s="1" a="1"/>
  <c r="G97" i="2" s="1"/>
  <c r="F98" i="2"/>
  <c r="G98" i="2" s="1" a="1"/>
  <c r="G98" i="2" s="1"/>
  <c r="F99" i="2"/>
  <c r="G99" i="2" s="1" a="1"/>
  <c r="G99" i="2" s="1"/>
  <c r="F100" i="2"/>
  <c r="G100" i="2" s="1" a="1"/>
  <c r="G100" i="2" s="1"/>
  <c r="F101" i="2"/>
  <c r="G101" i="2" s="1" a="1"/>
  <c r="G101" i="2" s="1"/>
  <c r="F102" i="2"/>
  <c r="G102" i="2" s="1" a="1"/>
  <c r="G102" i="2" s="1"/>
  <c r="F103" i="2"/>
  <c r="G103" i="2" s="1" a="1"/>
  <c r="G103" i="2" s="1"/>
  <c r="F104" i="2"/>
  <c r="G104" i="2" s="1" a="1"/>
  <c r="G104" i="2" s="1"/>
  <c r="F105" i="2"/>
  <c r="G105" i="2" s="1" a="1"/>
  <c r="G105" i="2" s="1"/>
  <c r="F106" i="2"/>
  <c r="G106" i="2" s="1" a="1"/>
  <c r="G106" i="2" s="1"/>
  <c r="F107" i="2"/>
  <c r="G107" i="2" s="1" a="1"/>
  <c r="G107" i="2" s="1"/>
  <c r="F108" i="2"/>
  <c r="G108" i="2" s="1" a="1"/>
  <c r="G108" i="2" s="1"/>
  <c r="F109" i="2"/>
  <c r="G109" i="2" s="1" a="1"/>
  <c r="G109" i="2" s="1"/>
  <c r="F110" i="2"/>
  <c r="G110" i="2" s="1" a="1"/>
  <c r="G110" i="2" s="1"/>
  <c r="F111" i="2"/>
  <c r="G111" i="2" s="1" a="1"/>
  <c r="G111" i="2" s="1"/>
  <c r="F112" i="2"/>
  <c r="G112" i="2" s="1" a="1"/>
  <c r="G112" i="2" s="1"/>
  <c r="F113" i="2"/>
  <c r="G113" i="2" s="1" a="1"/>
  <c r="G113" i="2" s="1"/>
  <c r="F114" i="2"/>
  <c r="G114" i="2" s="1" a="1"/>
  <c r="G114" i="2" s="1"/>
  <c r="F115" i="2"/>
  <c r="G115" i="2" s="1" a="1"/>
  <c r="G115" i="2" s="1"/>
  <c r="F116" i="2"/>
  <c r="G116" i="2" s="1" a="1"/>
  <c r="G116" i="2" s="1"/>
  <c r="F117" i="2"/>
  <c r="G117" i="2" s="1" a="1"/>
  <c r="G117" i="2" s="1"/>
  <c r="F118" i="2"/>
  <c r="G118" i="2" s="1" a="1"/>
  <c r="G118" i="2" s="1"/>
  <c r="F119" i="2"/>
  <c r="G119" i="2" s="1" a="1"/>
  <c r="G119" i="2" s="1"/>
  <c r="F120" i="2"/>
  <c r="G120" i="2" s="1" a="1"/>
  <c r="G120" i="2" s="1"/>
  <c r="F121" i="2"/>
  <c r="G121" i="2" s="1" a="1"/>
  <c r="G121" i="2" s="1"/>
  <c r="F122" i="2"/>
  <c r="G122" i="2" s="1" a="1"/>
  <c r="G122" i="2" s="1"/>
  <c r="F123" i="2"/>
  <c r="G123" i="2" s="1" a="1"/>
  <c r="G123" i="2" s="1"/>
  <c r="F124" i="2"/>
  <c r="G124" i="2" s="1" a="1"/>
  <c r="G124" i="2" s="1"/>
  <c r="F125" i="2"/>
  <c r="G125" i="2" s="1" a="1"/>
  <c r="G125" i="2" s="1"/>
  <c r="F126" i="2"/>
  <c r="G126" i="2" s="1" a="1"/>
  <c r="G126" i="2" s="1"/>
  <c r="F127" i="2"/>
  <c r="G127" i="2" s="1" a="1"/>
  <c r="G127" i="2" s="1"/>
  <c r="F128" i="2"/>
  <c r="G128" i="2" s="1" a="1"/>
  <c r="G128" i="2" s="1"/>
  <c r="F129" i="2"/>
  <c r="G129" i="2" s="1" a="1"/>
  <c r="G129" i="2" s="1"/>
  <c r="F130" i="2"/>
  <c r="G130" i="2" s="1" a="1"/>
  <c r="G130" i="2" s="1"/>
  <c r="F131" i="2"/>
  <c r="G131" i="2" s="1" a="1"/>
  <c r="G131" i="2" s="1"/>
  <c r="F132" i="2"/>
  <c r="G132" i="2" s="1" a="1"/>
  <c r="G132" i="2" s="1"/>
  <c r="F133" i="2"/>
  <c r="G133" i="2" s="1" a="1"/>
  <c r="G133" i="2" s="1"/>
  <c r="F134" i="2"/>
  <c r="G134" i="2" s="1" a="1"/>
  <c r="G134" i="2" s="1"/>
  <c r="F135" i="2"/>
  <c r="G135" i="2" s="1" a="1"/>
  <c r="G135" i="2" s="1"/>
  <c r="F136" i="2"/>
  <c r="G136" i="2" s="1" a="1"/>
  <c r="G136" i="2" s="1"/>
  <c r="F137" i="2"/>
  <c r="G137" i="2" s="1" a="1"/>
  <c r="G137" i="2" s="1"/>
  <c r="F138" i="2"/>
  <c r="G138" i="2" s="1" a="1"/>
  <c r="G138" i="2" s="1"/>
  <c r="F139" i="2"/>
  <c r="G139" i="2" s="1" a="1"/>
  <c r="G139" i="2" s="1"/>
  <c r="F140" i="2"/>
  <c r="G140" i="2" s="1" a="1"/>
  <c r="G140" i="2" s="1"/>
  <c r="F141" i="2"/>
  <c r="G141" i="2" s="1" a="1"/>
  <c r="G141" i="2" s="1"/>
  <c r="F142" i="2"/>
  <c r="G142" i="2" s="1" a="1"/>
  <c r="G142" i="2" s="1"/>
  <c r="F143" i="2"/>
  <c r="G143" i="2" s="1" a="1"/>
  <c r="G143" i="2" s="1"/>
  <c r="F144" i="2"/>
  <c r="G144" i="2" s="1" a="1"/>
  <c r="G144" i="2" s="1"/>
  <c r="F145" i="2"/>
  <c r="G145" i="2" s="1" a="1"/>
  <c r="G145" i="2" s="1"/>
  <c r="F146" i="2"/>
  <c r="G146" i="2" s="1" a="1"/>
  <c r="G146" i="2" s="1"/>
  <c r="F147" i="2"/>
  <c r="G147" i="2" s="1" a="1"/>
  <c r="G147" i="2" s="1"/>
  <c r="F148" i="2"/>
  <c r="G148" i="2" s="1" a="1"/>
  <c r="G148" i="2" s="1"/>
  <c r="F149" i="2"/>
  <c r="G149" i="2" s="1" a="1"/>
  <c r="G149" i="2" s="1"/>
  <c r="F150" i="2"/>
  <c r="G150" i="2" s="1" a="1"/>
  <c r="G150" i="2" s="1"/>
  <c r="F151" i="2"/>
  <c r="G151" i="2" s="1" a="1"/>
  <c r="G151" i="2" s="1"/>
  <c r="F152" i="2"/>
  <c r="G152" i="2" s="1" a="1"/>
  <c r="G152" i="2" s="1"/>
  <c r="F153" i="2"/>
  <c r="G153" i="2" s="1" a="1"/>
  <c r="G153" i="2" s="1"/>
  <c r="F154" i="2"/>
  <c r="G154" i="2" s="1" a="1"/>
  <c r="G154" i="2" s="1"/>
  <c r="F155" i="2"/>
  <c r="G155" i="2" s="1" a="1"/>
  <c r="G155" i="2" s="1"/>
  <c r="F156" i="2"/>
  <c r="G156" i="2" s="1" a="1"/>
  <c r="G156" i="2" s="1"/>
  <c r="F157" i="2"/>
  <c r="G157" i="2" s="1" a="1"/>
  <c r="G157" i="2" s="1"/>
  <c r="F158" i="2"/>
  <c r="G158" i="2" s="1" a="1"/>
  <c r="G158" i="2" s="1"/>
  <c r="F159" i="2"/>
  <c r="G159" i="2" s="1" a="1"/>
  <c r="G159" i="2" s="1"/>
  <c r="F160" i="2"/>
  <c r="G160" i="2" s="1" a="1"/>
  <c r="G160" i="2" s="1"/>
  <c r="F161" i="2"/>
  <c r="G161" i="2" s="1" a="1"/>
  <c r="G161" i="2" s="1"/>
  <c r="F162" i="2"/>
  <c r="G162" i="2" s="1" a="1"/>
  <c r="G162" i="2" s="1"/>
  <c r="F163" i="2"/>
  <c r="G163" i="2" s="1" a="1"/>
  <c r="G163" i="2" s="1"/>
  <c r="F164" i="2"/>
  <c r="G164" i="2" s="1" a="1"/>
  <c r="G164" i="2" s="1"/>
  <c r="F165" i="2"/>
  <c r="G165" i="2" s="1" a="1"/>
  <c r="G165" i="2" s="1"/>
  <c r="F166" i="2"/>
  <c r="G166" i="2" s="1" a="1"/>
  <c r="G166" i="2" s="1"/>
  <c r="F167" i="2"/>
  <c r="G167" i="2" s="1" a="1"/>
  <c r="G167" i="2" s="1"/>
  <c r="F168" i="2"/>
  <c r="G168" i="2" s="1" a="1"/>
  <c r="G168" i="2" s="1"/>
  <c r="F169" i="2"/>
  <c r="G169" i="2" s="1" a="1"/>
  <c r="G169" i="2" s="1"/>
  <c r="F170" i="2"/>
  <c r="G170" i="2" s="1" a="1"/>
  <c r="G170" i="2" s="1"/>
  <c r="F171" i="2"/>
  <c r="G171" i="2" s="1" a="1"/>
  <c r="G171" i="2" s="1"/>
  <c r="F172" i="2"/>
  <c r="G172" i="2" s="1" a="1"/>
  <c r="G172" i="2" s="1"/>
  <c r="F173" i="2"/>
  <c r="G173" i="2" s="1" a="1"/>
  <c r="G173" i="2" s="1"/>
  <c r="F174" i="2"/>
  <c r="G174" i="2" s="1" a="1"/>
  <c r="G174" i="2" s="1"/>
  <c r="F175" i="2"/>
  <c r="G175" i="2" s="1" a="1"/>
  <c r="G175" i="2" s="1"/>
  <c r="F176" i="2"/>
  <c r="G176" i="2" s="1" a="1"/>
  <c r="G176" i="2" s="1"/>
  <c r="F177" i="2"/>
  <c r="G177" i="2" s="1" a="1"/>
  <c r="G177" i="2" s="1"/>
  <c r="F178" i="2"/>
  <c r="G178" i="2" s="1" a="1"/>
  <c r="G178" i="2" s="1"/>
  <c r="F179" i="2"/>
  <c r="G179" i="2" s="1" a="1"/>
  <c r="G179" i="2" s="1"/>
  <c r="F180" i="2"/>
  <c r="G180" i="2" s="1" a="1"/>
  <c r="G180" i="2" s="1"/>
  <c r="F181" i="2"/>
  <c r="G181" i="2" s="1" a="1"/>
  <c r="G181" i="2" s="1"/>
  <c r="F182" i="2"/>
  <c r="G182" i="2" s="1" a="1"/>
  <c r="G182" i="2" s="1"/>
  <c r="F183" i="2"/>
  <c r="G183" i="2" s="1" a="1"/>
  <c r="G183" i="2" s="1"/>
  <c r="F184" i="2"/>
  <c r="G184" i="2" s="1" a="1"/>
  <c r="G184" i="2" s="1"/>
  <c r="F185" i="2"/>
  <c r="G185" i="2" s="1" a="1"/>
  <c r="G185" i="2" s="1"/>
  <c r="F186" i="2"/>
  <c r="G186" i="2" s="1" a="1"/>
  <c r="G186" i="2" s="1"/>
  <c r="F187" i="2"/>
  <c r="G187" i="2" s="1" a="1"/>
  <c r="G187" i="2" s="1"/>
  <c r="F188" i="2"/>
  <c r="G188" i="2" s="1" a="1"/>
  <c r="G188" i="2" s="1"/>
  <c r="F189" i="2"/>
  <c r="G189" i="2" s="1" a="1"/>
  <c r="G189" i="2" s="1"/>
  <c r="F190" i="2"/>
  <c r="G190" i="2" s="1" a="1"/>
  <c r="G190" i="2" s="1"/>
  <c r="F191" i="2"/>
  <c r="G191" i="2" s="1" a="1"/>
  <c r="G191" i="2" s="1"/>
  <c r="F192" i="2"/>
  <c r="G192" i="2" s="1" a="1"/>
  <c r="G192" i="2" s="1"/>
  <c r="F193" i="2"/>
  <c r="G193" i="2" s="1" a="1"/>
  <c r="G193" i="2" s="1"/>
  <c r="F194" i="2"/>
  <c r="G194" i="2" s="1" a="1"/>
  <c r="G194" i="2" s="1"/>
  <c r="F195" i="2"/>
  <c r="G195" i="2" s="1" a="1"/>
  <c r="G195" i="2" s="1"/>
  <c r="F196" i="2"/>
  <c r="G196" i="2" s="1" a="1"/>
  <c r="G196" i="2" s="1"/>
  <c r="F197" i="2"/>
  <c r="G197" i="2" s="1" a="1"/>
  <c r="G197" i="2" s="1"/>
  <c r="F198" i="2"/>
  <c r="G198" i="2" s="1" a="1"/>
  <c r="G198" i="2" s="1"/>
  <c r="F199" i="2"/>
  <c r="G199" i="2" s="1" a="1"/>
  <c r="G199" i="2" s="1"/>
  <c r="F200" i="2"/>
  <c r="G200" i="2" s="1" a="1"/>
  <c r="G200" i="2" s="1"/>
  <c r="F201" i="2"/>
  <c r="G201" i="2" s="1" a="1"/>
  <c r="G201" i="2" s="1"/>
  <c r="F202" i="2"/>
  <c r="G202" i="2" s="1" a="1"/>
  <c r="G202" i="2" s="1"/>
  <c r="F203" i="2"/>
  <c r="G203" i="2" s="1" a="1"/>
  <c r="G203" i="2" s="1"/>
  <c r="F204" i="2"/>
  <c r="G204" i="2" s="1" a="1"/>
  <c r="G204" i="2" s="1"/>
  <c r="F205" i="2"/>
  <c r="G205" i="2" s="1" a="1"/>
  <c r="G205" i="2" s="1"/>
  <c r="F206" i="2"/>
  <c r="G206" i="2" s="1" a="1"/>
  <c r="G206" i="2" s="1"/>
  <c r="F207" i="2"/>
  <c r="G207" i="2" s="1" a="1"/>
  <c r="G207" i="2" s="1"/>
  <c r="F208" i="2"/>
  <c r="G208" i="2" s="1" a="1"/>
  <c r="G208" i="2" s="1"/>
  <c r="F209" i="2"/>
  <c r="G209" i="2" s="1" a="1"/>
  <c r="G209" i="2" s="1"/>
  <c r="F210" i="2"/>
  <c r="G210" i="2" s="1" a="1"/>
  <c r="G210" i="2" s="1"/>
  <c r="F211" i="2"/>
  <c r="G211" i="2" s="1" a="1"/>
  <c r="G211" i="2" s="1"/>
  <c r="F212" i="2"/>
  <c r="G212" i="2" s="1" a="1"/>
  <c r="G212" i="2" s="1"/>
  <c r="F213" i="2"/>
  <c r="G213" i="2" s="1" a="1"/>
  <c r="G213" i="2" s="1"/>
  <c r="F214" i="2"/>
  <c r="G214" i="2" s="1" a="1"/>
  <c r="G214" i="2" s="1"/>
  <c r="F215" i="2"/>
  <c r="G215" i="2" s="1" a="1"/>
  <c r="G215" i="2" s="1"/>
  <c r="F216" i="2"/>
  <c r="G216" i="2" s="1" a="1"/>
  <c r="G216" i="2" s="1"/>
  <c r="F217" i="2"/>
  <c r="G217" i="2" s="1" a="1"/>
  <c r="G217" i="2" s="1"/>
  <c r="F218" i="2"/>
  <c r="G218" i="2" s="1" a="1"/>
  <c r="G218" i="2" s="1"/>
  <c r="F219" i="2"/>
  <c r="G219" i="2" s="1" a="1"/>
  <c r="G219" i="2" s="1"/>
  <c r="F220" i="2"/>
  <c r="G220" i="2" s="1" a="1"/>
  <c r="G220" i="2" s="1"/>
  <c r="F221" i="2"/>
  <c r="G221" i="2" s="1" a="1"/>
  <c r="G221" i="2" s="1"/>
  <c r="F222" i="2"/>
  <c r="G222" i="2" s="1" a="1"/>
  <c r="G222" i="2" s="1"/>
  <c r="F223" i="2"/>
  <c r="G223" i="2" s="1" a="1"/>
  <c r="G223" i="2" s="1"/>
  <c r="F224" i="2"/>
  <c r="G224" i="2" s="1" a="1"/>
  <c r="G224" i="2" s="1"/>
  <c r="F225" i="2"/>
  <c r="G225" i="2" s="1" a="1"/>
  <c r="G225" i="2" s="1"/>
  <c r="F226" i="2"/>
  <c r="G226" i="2" s="1" a="1"/>
  <c r="G226" i="2" s="1"/>
  <c r="F227" i="2"/>
  <c r="G227" i="2" s="1" a="1"/>
  <c r="G227" i="2" s="1"/>
  <c r="F228" i="2"/>
  <c r="G228" i="2" s="1" a="1"/>
  <c r="G228" i="2" s="1"/>
  <c r="F229" i="2"/>
  <c r="G229" i="2" s="1" a="1"/>
  <c r="G229" i="2" s="1"/>
  <c r="F230" i="2"/>
  <c r="G230" i="2" s="1" a="1"/>
  <c r="G230" i="2" s="1"/>
  <c r="F231" i="2"/>
  <c r="G231" i="2" s="1" a="1"/>
  <c r="G231" i="2" s="1"/>
  <c r="F232" i="2"/>
  <c r="G232" i="2" s="1" a="1"/>
  <c r="G232" i="2" s="1"/>
  <c r="F233" i="2"/>
  <c r="G233" i="2" s="1" a="1"/>
  <c r="G233" i="2" s="1"/>
  <c r="F234" i="2"/>
  <c r="G234" i="2" s="1" a="1"/>
  <c r="G234" i="2" s="1"/>
  <c r="F235" i="2"/>
  <c r="G235" i="2" s="1" a="1"/>
  <c r="G235" i="2" s="1"/>
  <c r="F236" i="2"/>
  <c r="G236" i="2" s="1" a="1"/>
  <c r="G236" i="2" s="1"/>
  <c r="F237" i="2"/>
  <c r="G237" i="2" s="1" a="1"/>
  <c r="G237" i="2" s="1"/>
  <c r="F238" i="2"/>
  <c r="G238" i="2" s="1" a="1"/>
  <c r="G238" i="2" s="1"/>
  <c r="F239" i="2"/>
  <c r="G239" i="2" s="1" a="1"/>
  <c r="G239" i="2" s="1"/>
  <c r="F240" i="2"/>
  <c r="G240" i="2" s="1" a="1"/>
  <c r="G240" i="2" s="1"/>
  <c r="F241" i="2"/>
  <c r="G241" i="2" s="1" a="1"/>
  <c r="G241" i="2" s="1"/>
  <c r="F242" i="2"/>
  <c r="G242" i="2" s="1" a="1"/>
  <c r="G242" i="2" s="1"/>
  <c r="F243" i="2"/>
  <c r="G243" i="2" s="1" a="1"/>
  <c r="G243" i="2" s="1"/>
  <c r="F244" i="2"/>
  <c r="G244" i="2" s="1" a="1"/>
  <c r="G244" i="2" s="1"/>
  <c r="F245" i="2"/>
  <c r="G245" i="2" s="1" a="1"/>
  <c r="G245" i="2" s="1"/>
  <c r="F246" i="2"/>
  <c r="G246" i="2" s="1" a="1"/>
  <c r="G246" i="2" s="1"/>
  <c r="F247" i="2"/>
  <c r="G247" i="2" s="1" a="1"/>
  <c r="G247" i="2" s="1"/>
  <c r="F248" i="2"/>
  <c r="G248" i="2" s="1" a="1"/>
  <c r="G248" i="2" s="1"/>
  <c r="F249" i="2"/>
  <c r="G249" i="2" s="1" a="1"/>
  <c r="G249" i="2" s="1"/>
  <c r="F250" i="2"/>
  <c r="G250" i="2" s="1" a="1"/>
  <c r="G250" i="2" s="1"/>
  <c r="F251" i="2"/>
  <c r="G251" i="2" s="1" a="1"/>
  <c r="G251" i="2" s="1"/>
  <c r="F252" i="2"/>
  <c r="G252" i="2" s="1" a="1"/>
  <c r="G252" i="2" s="1"/>
  <c r="F253" i="2"/>
  <c r="G253" i="2" s="1" a="1"/>
  <c r="G253" i="2" s="1"/>
  <c r="F254" i="2"/>
  <c r="G254" i="2" s="1" a="1"/>
  <c r="G254" i="2" s="1"/>
  <c r="F255" i="2"/>
  <c r="G255" i="2" s="1" a="1"/>
  <c r="G255" i="2" s="1"/>
  <c r="F256" i="2"/>
  <c r="G256" i="2" s="1" a="1"/>
  <c r="G256" i="2" s="1"/>
  <c r="F257" i="2"/>
  <c r="G257" i="2" s="1" a="1"/>
  <c r="G257" i="2" s="1"/>
  <c r="F258" i="2"/>
  <c r="G258" i="2" s="1" a="1"/>
  <c r="G258" i="2" s="1"/>
  <c r="F259" i="2"/>
  <c r="G259" i="2" s="1" a="1"/>
  <c r="G259" i="2" s="1"/>
  <c r="F260" i="2"/>
  <c r="G260" i="2" s="1" a="1"/>
  <c r="G260" i="2" s="1"/>
  <c r="F261" i="2"/>
  <c r="G261" i="2" s="1" a="1"/>
  <c r="G261" i="2" s="1"/>
  <c r="F262" i="2"/>
  <c r="G262" i="2" s="1" a="1"/>
  <c r="G262" i="2" s="1"/>
  <c r="F263" i="2"/>
  <c r="G263" i="2" s="1" a="1"/>
  <c r="G263" i="2" s="1"/>
  <c r="F264" i="2"/>
  <c r="G264" i="2" s="1" a="1"/>
  <c r="G264" i="2" s="1"/>
  <c r="F265" i="2"/>
  <c r="G265" i="2" s="1" a="1"/>
  <c r="G265" i="2" s="1"/>
  <c r="F266" i="2"/>
  <c r="G266" i="2" s="1" a="1"/>
  <c r="G266" i="2" s="1"/>
  <c r="F267" i="2"/>
  <c r="G267" i="2" s="1" a="1"/>
  <c r="G267" i="2" s="1"/>
  <c r="F268" i="2"/>
  <c r="G268" i="2" s="1" a="1"/>
  <c r="G268" i="2" s="1"/>
  <c r="F269" i="2"/>
  <c r="G269" i="2" s="1" a="1"/>
  <c r="G269" i="2" s="1"/>
  <c r="F270" i="2"/>
  <c r="G270" i="2" s="1" a="1"/>
  <c r="G270" i="2" s="1"/>
  <c r="F271" i="2"/>
  <c r="G271" i="2" s="1" a="1"/>
  <c r="G271" i="2" s="1"/>
  <c r="F272" i="2"/>
  <c r="G272" i="2" s="1" a="1"/>
  <c r="G272" i="2" s="1"/>
  <c r="F273" i="2"/>
  <c r="G273" i="2" s="1" a="1"/>
  <c r="G273" i="2" s="1"/>
  <c r="F274" i="2"/>
  <c r="G274" i="2" s="1" a="1"/>
  <c r="G274" i="2" s="1"/>
  <c r="F275" i="2"/>
  <c r="G275" i="2" s="1" a="1"/>
  <c r="G275" i="2" s="1"/>
  <c r="F276" i="2"/>
  <c r="G276" i="2" s="1" a="1"/>
  <c r="G276" i="2" s="1"/>
  <c r="F277" i="2"/>
  <c r="G277" i="2" s="1" a="1"/>
  <c r="G277" i="2" s="1"/>
  <c r="F278" i="2"/>
  <c r="G278" i="2" s="1" a="1"/>
  <c r="G278" i="2" s="1"/>
  <c r="F279" i="2"/>
  <c r="G279" i="2" s="1" a="1"/>
  <c r="G279" i="2" s="1"/>
  <c r="F280" i="2"/>
  <c r="G280" i="2" s="1" a="1"/>
  <c r="G280" i="2" s="1"/>
  <c r="F281" i="2"/>
  <c r="G281" i="2" s="1" a="1"/>
  <c r="G281" i="2" s="1"/>
  <c r="F282" i="2"/>
  <c r="G282" i="2" s="1" a="1"/>
  <c r="G282" i="2" s="1"/>
  <c r="F283" i="2"/>
  <c r="G283" i="2" s="1" a="1"/>
  <c r="G283" i="2" s="1"/>
  <c r="F284" i="2"/>
  <c r="G284" i="2" s="1" a="1"/>
  <c r="G284" i="2" s="1"/>
  <c r="F285" i="2"/>
  <c r="G285" i="2" s="1" a="1"/>
  <c r="G285" i="2" s="1"/>
  <c r="F286" i="2"/>
  <c r="G286" i="2" s="1" a="1"/>
  <c r="G286" i="2" s="1"/>
  <c r="F287" i="2"/>
  <c r="G287" i="2" s="1" a="1"/>
  <c r="G287" i="2" s="1"/>
  <c r="F288" i="2"/>
  <c r="G288" i="2" s="1" a="1"/>
  <c r="G288" i="2" s="1"/>
  <c r="F289" i="2"/>
  <c r="G289" i="2" s="1" a="1"/>
  <c r="G289" i="2" s="1"/>
  <c r="F290" i="2"/>
  <c r="G290" i="2" s="1" a="1"/>
  <c r="G290" i="2" s="1"/>
  <c r="F291" i="2"/>
  <c r="G291" i="2" s="1" a="1"/>
  <c r="G291" i="2" s="1"/>
  <c r="F292" i="2"/>
  <c r="G292" i="2" s="1" a="1"/>
  <c r="G292" i="2" s="1"/>
  <c r="F293" i="2"/>
  <c r="G293" i="2" s="1" a="1"/>
  <c r="G293" i="2" s="1"/>
  <c r="F294" i="2"/>
  <c r="G294" i="2" s="1" a="1"/>
  <c r="G294" i="2" s="1"/>
  <c r="F295" i="2"/>
  <c r="G295" i="2" s="1" a="1"/>
  <c r="G295" i="2" s="1"/>
  <c r="F296" i="2"/>
  <c r="G296" i="2" s="1" a="1"/>
  <c r="G296" i="2" s="1"/>
  <c r="F297" i="2"/>
  <c r="G297" i="2" s="1" a="1"/>
  <c r="G297" i="2" s="1"/>
  <c r="F298" i="2"/>
  <c r="G298" i="2" s="1" a="1"/>
  <c r="G298" i="2" s="1"/>
  <c r="F299" i="2"/>
  <c r="G299" i="2" s="1" a="1"/>
  <c r="G299" i="2" s="1"/>
  <c r="F300" i="2"/>
  <c r="G300" i="2" s="1" a="1"/>
  <c r="G300" i="2" s="1"/>
  <c r="F301" i="2"/>
  <c r="G301" i="2" s="1" a="1"/>
  <c r="G301" i="2" s="1"/>
  <c r="F302" i="2"/>
  <c r="G302" i="2" s="1" a="1"/>
  <c r="G302" i="2" s="1"/>
  <c r="F303" i="2"/>
  <c r="G303" i="2" s="1" a="1"/>
  <c r="G303" i="2" s="1"/>
  <c r="F304" i="2"/>
  <c r="G304" i="2" s="1" a="1"/>
  <c r="G304" i="2" s="1"/>
  <c r="F305" i="2"/>
  <c r="G305" i="2" s="1" a="1"/>
  <c r="G305" i="2" s="1"/>
  <c r="F306" i="2"/>
  <c r="G306" i="2" s="1" a="1"/>
  <c r="G306" i="2" s="1"/>
  <c r="F307" i="2"/>
  <c r="G307" i="2" s="1" a="1"/>
  <c r="G307" i="2" s="1"/>
  <c r="F308" i="2"/>
  <c r="G308" i="2" s="1" a="1"/>
  <c r="G308" i="2" s="1"/>
  <c r="F309" i="2"/>
  <c r="G309" i="2" s="1" a="1"/>
  <c r="G309" i="2" s="1"/>
  <c r="F310" i="2"/>
  <c r="G310" i="2" s="1" a="1"/>
  <c r="G310" i="2" s="1"/>
  <c r="F311" i="2"/>
  <c r="G311" i="2" s="1" a="1"/>
  <c r="G311" i="2" s="1"/>
  <c r="F312" i="2"/>
  <c r="G312" i="2" s="1" a="1"/>
  <c r="G312" i="2" s="1"/>
  <c r="F313" i="2"/>
  <c r="G313" i="2" s="1" a="1"/>
  <c r="G313" i="2" s="1"/>
  <c r="F314" i="2"/>
  <c r="G314" i="2" s="1" a="1"/>
  <c r="G314" i="2" s="1"/>
  <c r="F315" i="2"/>
  <c r="G315" i="2" s="1" a="1"/>
  <c r="G315" i="2" s="1"/>
  <c r="F316" i="2"/>
  <c r="G316" i="2" s="1" a="1"/>
  <c r="G316" i="2" s="1"/>
  <c r="F317" i="2"/>
  <c r="G317" i="2" s="1" a="1"/>
  <c r="G317" i="2" s="1"/>
  <c r="F318" i="2"/>
  <c r="G318" i="2" s="1" a="1"/>
  <c r="G318" i="2" s="1"/>
  <c r="F319" i="2"/>
  <c r="G319" i="2" s="1" a="1"/>
  <c r="G319" i="2" s="1"/>
  <c r="F320" i="2"/>
  <c r="G320" i="2" s="1" a="1"/>
  <c r="G320" i="2" s="1"/>
  <c r="F321" i="2"/>
  <c r="G321" i="2" s="1" a="1"/>
  <c r="G321" i="2" s="1"/>
  <c r="F322" i="2"/>
  <c r="G322" i="2" s="1" a="1"/>
  <c r="G322" i="2" s="1"/>
  <c r="F323" i="2"/>
  <c r="G323" i="2" s="1" a="1"/>
  <c r="G323" i="2" s="1"/>
  <c r="F324" i="2"/>
  <c r="G324" i="2" s="1" a="1"/>
  <c r="G324" i="2" s="1"/>
  <c r="F325" i="2"/>
  <c r="G325" i="2" s="1" a="1"/>
  <c r="G325" i="2" s="1"/>
  <c r="F326" i="2"/>
  <c r="G326" i="2" s="1" a="1"/>
  <c r="G326" i="2" s="1"/>
  <c r="F327" i="2"/>
  <c r="G327" i="2" s="1" a="1"/>
  <c r="G327" i="2" s="1"/>
  <c r="F328" i="2"/>
  <c r="G328" i="2" s="1" a="1"/>
  <c r="G328" i="2" s="1"/>
  <c r="F329" i="2"/>
  <c r="G329" i="2" s="1" a="1"/>
  <c r="G329" i="2" s="1"/>
  <c r="F330" i="2"/>
  <c r="G330" i="2" s="1" a="1"/>
  <c r="G330" i="2" s="1"/>
  <c r="F331" i="2"/>
  <c r="G331" i="2" s="1" a="1"/>
  <c r="G331" i="2" s="1"/>
  <c r="F332" i="2"/>
  <c r="G332" i="2" s="1" a="1"/>
  <c r="G332" i="2" s="1"/>
  <c r="F333" i="2"/>
  <c r="G333" i="2" s="1" a="1"/>
  <c r="G333" i="2" s="1"/>
  <c r="F334" i="2"/>
  <c r="G334" i="2" s="1" a="1"/>
  <c r="G334" i="2" s="1"/>
  <c r="F335" i="2"/>
  <c r="G335" i="2" s="1" a="1"/>
  <c r="G335" i="2" s="1"/>
  <c r="F336" i="2"/>
  <c r="G336" i="2" s="1" a="1"/>
  <c r="G336" i="2" s="1"/>
  <c r="F337" i="2"/>
  <c r="G337" i="2" s="1" a="1"/>
  <c r="G337" i="2" s="1"/>
  <c r="F338" i="2"/>
  <c r="G338" i="2" s="1" a="1"/>
  <c r="G338" i="2" s="1"/>
  <c r="F339" i="2"/>
  <c r="G339" i="2" s="1" a="1"/>
  <c r="G339" i="2" s="1"/>
  <c r="F340" i="2"/>
  <c r="G340" i="2" s="1" a="1"/>
  <c r="G340" i="2" s="1"/>
  <c r="F341" i="2"/>
  <c r="G341" i="2" s="1" a="1"/>
  <c r="G341" i="2" s="1"/>
  <c r="F342" i="2"/>
  <c r="G342" i="2" s="1" a="1"/>
  <c r="G342" i="2" s="1"/>
  <c r="F343" i="2"/>
  <c r="G343" i="2" s="1" a="1"/>
  <c r="G343" i="2" s="1"/>
  <c r="F344" i="2"/>
  <c r="G344" i="2" s="1" a="1"/>
  <c r="G344" i="2" s="1"/>
  <c r="F345" i="2"/>
  <c r="G345" i="2" s="1" a="1"/>
  <c r="G345" i="2" s="1"/>
  <c r="F346" i="2"/>
  <c r="G346" i="2" s="1" a="1"/>
  <c r="G346" i="2" s="1"/>
  <c r="F347" i="2"/>
  <c r="G347" i="2" s="1" a="1"/>
  <c r="G347" i="2" s="1"/>
  <c r="F348" i="2"/>
  <c r="G348" i="2" s="1" a="1"/>
  <c r="G348" i="2" s="1"/>
  <c r="F349" i="2"/>
  <c r="G349" i="2" s="1" a="1"/>
  <c r="G349" i="2" s="1"/>
  <c r="F350" i="2"/>
  <c r="G350" i="2" s="1" a="1"/>
  <c r="G350" i="2" s="1"/>
  <c r="F351" i="2"/>
  <c r="G351" i="2" s="1" a="1"/>
  <c r="G351" i="2" s="1"/>
  <c r="F352" i="2"/>
  <c r="G352" i="2" s="1" a="1"/>
  <c r="G352" i="2" s="1"/>
  <c r="F353" i="2"/>
  <c r="G353" i="2" s="1" a="1"/>
  <c r="G353" i="2" s="1"/>
  <c r="F354" i="2"/>
  <c r="G354" i="2" s="1" a="1"/>
  <c r="G354" i="2" s="1"/>
  <c r="F355" i="2"/>
  <c r="G355" i="2" s="1" a="1"/>
  <c r="G355" i="2" s="1"/>
  <c r="F356" i="2"/>
  <c r="G356" i="2" s="1" a="1"/>
  <c r="G356" i="2" s="1"/>
  <c r="F357" i="2"/>
  <c r="G357" i="2" s="1" a="1"/>
  <c r="G357" i="2" s="1"/>
  <c r="F358" i="2"/>
  <c r="G358" i="2" s="1" a="1"/>
  <c r="G358" i="2" s="1"/>
  <c r="F359" i="2"/>
  <c r="G359" i="2" s="1" a="1"/>
  <c r="G359" i="2" s="1"/>
  <c r="F360" i="2"/>
  <c r="G360" i="2" s="1" a="1"/>
  <c r="G360" i="2" s="1"/>
  <c r="F361" i="2"/>
  <c r="G361" i="2" s="1" a="1"/>
  <c r="G361" i="2" s="1"/>
  <c r="F362" i="2"/>
  <c r="G362" i="2" s="1" a="1"/>
  <c r="G362" i="2" s="1"/>
  <c r="F363" i="2"/>
  <c r="G363" i="2" s="1" a="1"/>
  <c r="G363" i="2" s="1"/>
  <c r="F364" i="2"/>
  <c r="G364" i="2" s="1" a="1"/>
  <c r="G364" i="2" s="1"/>
  <c r="F365" i="2"/>
  <c r="G365" i="2" s="1" a="1"/>
  <c r="G365" i="2" s="1"/>
  <c r="F366" i="2"/>
  <c r="G366" i="2" s="1" a="1"/>
  <c r="G366" i="2" s="1"/>
  <c r="F367" i="2"/>
  <c r="G367" i="2" s="1" a="1"/>
  <c r="G367" i="2" s="1"/>
  <c r="F368" i="2"/>
  <c r="G368" i="2" s="1" a="1"/>
  <c r="G368" i="2" s="1"/>
  <c r="F369" i="2"/>
  <c r="G369" i="2" s="1" a="1"/>
  <c r="G369" i="2" s="1"/>
  <c r="F370" i="2"/>
  <c r="G370" i="2" s="1" a="1"/>
  <c r="G370" i="2" s="1"/>
  <c r="F371" i="2"/>
  <c r="G371" i="2" s="1" a="1"/>
  <c r="G371" i="2" s="1"/>
  <c r="F372" i="2"/>
  <c r="G372" i="2" s="1" a="1"/>
  <c r="G372" i="2" s="1"/>
  <c r="F373" i="2"/>
  <c r="G373" i="2" s="1" a="1"/>
  <c r="G373" i="2" s="1"/>
  <c r="F374" i="2"/>
  <c r="G374" i="2" s="1" a="1"/>
  <c r="G374" i="2" s="1"/>
  <c r="F375" i="2"/>
  <c r="G375" i="2" s="1" a="1"/>
  <c r="G375" i="2" s="1"/>
  <c r="F376" i="2"/>
  <c r="G376" i="2" s="1" a="1"/>
  <c r="G376" i="2" s="1"/>
  <c r="F377" i="2"/>
  <c r="G377" i="2" s="1" a="1"/>
  <c r="G377" i="2" s="1"/>
  <c r="F378" i="2"/>
  <c r="G378" i="2" s="1" a="1"/>
  <c r="G378" i="2" s="1"/>
  <c r="F379" i="2"/>
  <c r="G379" i="2" s="1" a="1"/>
  <c r="G379" i="2" s="1"/>
  <c r="F380" i="2"/>
  <c r="G380" i="2" s="1" a="1"/>
  <c r="G380" i="2" s="1"/>
  <c r="F381" i="2"/>
  <c r="G381" i="2" s="1" a="1"/>
  <c r="G381" i="2" s="1"/>
  <c r="F382" i="2"/>
  <c r="G382" i="2" s="1" a="1"/>
  <c r="G382" i="2" s="1"/>
  <c r="F383" i="2"/>
  <c r="G383" i="2" s="1" a="1"/>
  <c r="G383" i="2" s="1"/>
  <c r="F384" i="2"/>
  <c r="G384" i="2" s="1" a="1"/>
  <c r="G384" i="2" s="1"/>
  <c r="F385" i="2"/>
  <c r="G385" i="2" s="1" a="1"/>
  <c r="G385" i="2" s="1"/>
  <c r="F386" i="2"/>
  <c r="G386" i="2" s="1" a="1"/>
  <c r="G386" i="2" s="1"/>
  <c r="F387" i="2"/>
  <c r="G387" i="2" s="1" a="1"/>
  <c r="G387" i="2" s="1"/>
  <c r="F388" i="2"/>
  <c r="G388" i="2" s="1" a="1"/>
  <c r="G388" i="2" s="1"/>
  <c r="F389" i="2"/>
  <c r="G389" i="2" s="1" a="1"/>
  <c r="G389" i="2" s="1"/>
  <c r="F390" i="2"/>
  <c r="G390" i="2" s="1" a="1"/>
  <c r="G390" i="2" s="1"/>
  <c r="F391" i="2"/>
  <c r="G391" i="2" s="1" a="1"/>
  <c r="G391" i="2" s="1"/>
  <c r="F392" i="2"/>
  <c r="G392" i="2" s="1" a="1"/>
  <c r="G392" i="2" s="1"/>
  <c r="F393" i="2"/>
  <c r="G393" i="2" s="1" a="1"/>
  <c r="G393" i="2" s="1"/>
  <c r="F394" i="2"/>
  <c r="G394" i="2" s="1" a="1"/>
  <c r="G394" i="2" s="1"/>
  <c r="F395" i="2"/>
  <c r="G395" i="2" s="1" a="1"/>
  <c r="G395" i="2" s="1"/>
  <c r="F396" i="2"/>
  <c r="G396" i="2" s="1" a="1"/>
  <c r="G396" i="2" s="1"/>
  <c r="F397" i="2"/>
  <c r="G397" i="2" s="1" a="1"/>
  <c r="G397" i="2" s="1"/>
  <c r="F398" i="2"/>
  <c r="G398" i="2" s="1" a="1"/>
  <c r="G398" i="2" s="1"/>
  <c r="F399" i="2"/>
  <c r="G399" i="2" s="1" a="1"/>
  <c r="G399" i="2" s="1"/>
  <c r="F400" i="2"/>
  <c r="G400" i="2" s="1" a="1"/>
  <c r="G400" i="2" s="1"/>
  <c r="F401" i="2"/>
  <c r="G401" i="2" s="1" a="1"/>
  <c r="G401" i="2" s="1"/>
  <c r="F402" i="2"/>
  <c r="G402" i="2" s="1" a="1"/>
  <c r="G402" i="2" s="1"/>
  <c r="F403" i="2"/>
  <c r="G403" i="2" s="1" a="1"/>
  <c r="G403" i="2" s="1"/>
  <c r="F404" i="2"/>
  <c r="G404" i="2" s="1" a="1"/>
  <c r="G404" i="2" s="1"/>
  <c r="F405" i="2"/>
  <c r="G405" i="2" s="1" a="1"/>
  <c r="G405" i="2" s="1"/>
  <c r="F406" i="2"/>
  <c r="G406" i="2" s="1" a="1"/>
  <c r="G406" i="2" s="1"/>
  <c r="F407" i="2"/>
  <c r="G407" i="2" s="1" a="1"/>
  <c r="G407" i="2" s="1"/>
  <c r="F408" i="2"/>
  <c r="G408" i="2" s="1" a="1"/>
  <c r="G408" i="2" s="1"/>
  <c r="F409" i="2"/>
  <c r="G409" i="2" s="1" a="1"/>
  <c r="G409" i="2" s="1"/>
  <c r="F410" i="2"/>
  <c r="G410" i="2" s="1" a="1"/>
  <c r="G410" i="2" s="1"/>
  <c r="F411" i="2"/>
  <c r="G411" i="2" s="1" a="1"/>
  <c r="G411" i="2" s="1"/>
  <c r="F412" i="2"/>
  <c r="G412" i="2" s="1" a="1"/>
  <c r="G412" i="2" s="1"/>
  <c r="F413" i="2"/>
  <c r="G413" i="2" s="1" a="1"/>
  <c r="G413" i="2" s="1"/>
  <c r="F414" i="2"/>
  <c r="G414" i="2" s="1" a="1"/>
  <c r="G414" i="2" s="1"/>
  <c r="F415" i="2"/>
  <c r="G415" i="2" s="1" a="1"/>
  <c r="G415" i="2" s="1"/>
  <c r="F416" i="2"/>
  <c r="G416" i="2" s="1" a="1"/>
  <c r="G416" i="2" s="1"/>
  <c r="F417" i="2"/>
  <c r="G417" i="2" s="1" a="1"/>
  <c r="G417" i="2" s="1"/>
  <c r="F418" i="2"/>
  <c r="G418" i="2" s="1" a="1"/>
  <c r="G418" i="2" s="1"/>
  <c r="F419" i="2"/>
  <c r="G419" i="2" s="1" a="1"/>
  <c r="G419" i="2" s="1"/>
  <c r="F420" i="2"/>
  <c r="G420" i="2" s="1" a="1"/>
  <c r="G420" i="2" s="1"/>
  <c r="F421" i="2"/>
  <c r="G421" i="2" s="1" a="1"/>
  <c r="G421" i="2" s="1"/>
  <c r="F422" i="2"/>
  <c r="G422" i="2" s="1" a="1"/>
  <c r="G422" i="2" s="1"/>
  <c r="F423" i="2"/>
  <c r="G423" i="2" s="1" a="1"/>
  <c r="G423" i="2" s="1"/>
  <c r="F424" i="2"/>
  <c r="G424" i="2" s="1" a="1"/>
  <c r="G424" i="2" s="1"/>
  <c r="F425" i="2"/>
  <c r="G425" i="2" s="1" a="1"/>
  <c r="G425" i="2" s="1"/>
  <c r="F426" i="2"/>
  <c r="G426" i="2" s="1" a="1"/>
  <c r="G426" i="2" s="1"/>
  <c r="F427" i="2"/>
  <c r="G427" i="2" s="1" a="1"/>
  <c r="G427" i="2" s="1"/>
  <c r="F428" i="2"/>
  <c r="G428" i="2" s="1" a="1"/>
  <c r="G428" i="2" s="1"/>
  <c r="F429" i="2"/>
  <c r="G429" i="2" s="1" a="1"/>
  <c r="G429" i="2" s="1"/>
  <c r="F430" i="2"/>
  <c r="G430" i="2" s="1" a="1"/>
  <c r="G430" i="2" s="1"/>
  <c r="F431" i="2"/>
  <c r="G431" i="2" s="1" a="1"/>
  <c r="G431" i="2" s="1"/>
  <c r="F432" i="2"/>
  <c r="G432" i="2" s="1" a="1"/>
  <c r="G432" i="2" s="1"/>
  <c r="F433" i="2"/>
  <c r="G433" i="2" s="1" a="1"/>
  <c r="G433" i="2" s="1"/>
  <c r="F434" i="2"/>
  <c r="G434" i="2" s="1" a="1"/>
  <c r="G434" i="2" s="1"/>
  <c r="F435" i="2"/>
  <c r="G435" i="2" s="1" a="1"/>
  <c r="G435" i="2" s="1"/>
  <c r="F436" i="2"/>
  <c r="G436" i="2" s="1" a="1"/>
  <c r="G436" i="2" s="1"/>
  <c r="F437" i="2"/>
  <c r="G437" i="2" s="1" a="1"/>
  <c r="G437" i="2" s="1"/>
  <c r="F438" i="2"/>
  <c r="G438" i="2" s="1" a="1"/>
  <c r="G438" i="2" s="1"/>
  <c r="F439" i="2"/>
  <c r="G439" i="2" s="1" a="1"/>
  <c r="G439" i="2" s="1"/>
  <c r="F440" i="2"/>
  <c r="G440" i="2" s="1" a="1"/>
  <c r="G440" i="2" s="1"/>
  <c r="F441" i="2"/>
  <c r="G441" i="2" s="1" a="1"/>
  <c r="G441" i="2" s="1"/>
  <c r="F442" i="2"/>
  <c r="G442" i="2" s="1" a="1"/>
  <c r="G442" i="2" s="1"/>
  <c r="F443" i="2"/>
  <c r="G443" i="2" s="1" a="1"/>
  <c r="G443" i="2" s="1"/>
  <c r="F444" i="2"/>
  <c r="G444" i="2" s="1" a="1"/>
  <c r="G444" i="2" s="1"/>
  <c r="F445" i="2"/>
  <c r="G445" i="2" s="1" a="1"/>
  <c r="G445" i="2" s="1"/>
  <c r="F446" i="2"/>
  <c r="G446" i="2" s="1" a="1"/>
  <c r="G446" i="2" s="1"/>
  <c r="F447" i="2"/>
  <c r="G447" i="2" s="1" a="1"/>
  <c r="G447" i="2" s="1"/>
  <c r="F448" i="2"/>
  <c r="G448" i="2" s="1" a="1"/>
  <c r="G448" i="2" s="1"/>
  <c r="F449" i="2"/>
  <c r="G449" i="2" s="1" a="1"/>
  <c r="G449" i="2" s="1"/>
  <c r="F450" i="2"/>
  <c r="G450" i="2" s="1" a="1"/>
  <c r="G450" i="2" s="1"/>
  <c r="F451" i="2"/>
  <c r="G451" i="2" s="1" a="1"/>
  <c r="G451" i="2" s="1"/>
  <c r="F452" i="2"/>
  <c r="G452" i="2" s="1" a="1"/>
  <c r="G452" i="2" s="1"/>
  <c r="F453" i="2"/>
  <c r="G453" i="2" s="1" a="1"/>
  <c r="G453" i="2" s="1"/>
  <c r="F454" i="2"/>
  <c r="G454" i="2" s="1" a="1"/>
  <c r="G454" i="2" s="1"/>
  <c r="F455" i="2"/>
  <c r="G455" i="2" s="1" a="1"/>
  <c r="G455" i="2" s="1"/>
  <c r="F456" i="2"/>
  <c r="G456" i="2" s="1" a="1"/>
  <c r="G456" i="2" s="1"/>
  <c r="F457" i="2"/>
  <c r="G457" i="2" s="1" a="1"/>
  <c r="G457" i="2" s="1"/>
  <c r="F458" i="2"/>
  <c r="G458" i="2" s="1" a="1"/>
  <c r="G458" i="2" s="1"/>
  <c r="F459" i="2"/>
  <c r="G459" i="2" s="1" a="1"/>
  <c r="G459" i="2" s="1"/>
  <c r="F460" i="2"/>
  <c r="G460" i="2" s="1" a="1"/>
  <c r="G460" i="2" s="1"/>
  <c r="F461" i="2"/>
  <c r="G461" i="2" s="1" a="1"/>
  <c r="G461" i="2" s="1"/>
  <c r="F462" i="2"/>
  <c r="G462" i="2" s="1" a="1"/>
  <c r="G462" i="2" s="1"/>
  <c r="F463" i="2"/>
  <c r="G463" i="2" s="1" a="1"/>
  <c r="G463" i="2" s="1"/>
  <c r="F464" i="2"/>
  <c r="G464" i="2" s="1" a="1"/>
  <c r="G464" i="2" s="1"/>
  <c r="F465" i="2"/>
  <c r="G465" i="2" s="1" a="1"/>
  <c r="G465" i="2" s="1"/>
  <c r="F466" i="2"/>
  <c r="G466" i="2" s="1" a="1"/>
  <c r="G466" i="2" s="1"/>
  <c r="F467" i="2"/>
  <c r="G467" i="2" s="1" a="1"/>
  <c r="G467" i="2" s="1"/>
  <c r="F468" i="2"/>
  <c r="G468" i="2" s="1" a="1"/>
  <c r="G468" i="2" s="1"/>
  <c r="F469" i="2"/>
  <c r="G469" i="2" s="1" a="1"/>
  <c r="G469" i="2" s="1"/>
  <c r="F470" i="2"/>
  <c r="G470" i="2" s="1" a="1"/>
  <c r="G470" i="2" s="1"/>
  <c r="F471" i="2"/>
  <c r="G471" i="2" s="1" a="1"/>
  <c r="G471" i="2" s="1"/>
  <c r="F472" i="2"/>
  <c r="G472" i="2" s="1" a="1"/>
  <c r="G472" i="2" s="1"/>
  <c r="F473" i="2"/>
  <c r="G473" i="2" s="1" a="1"/>
  <c r="G473" i="2" s="1"/>
  <c r="F474" i="2"/>
  <c r="G474" i="2" s="1" a="1"/>
  <c r="G474" i="2" s="1"/>
  <c r="F475" i="2"/>
  <c r="G475" i="2" s="1" a="1"/>
  <c r="G475" i="2" s="1"/>
  <c r="F476" i="2"/>
  <c r="G476" i="2" s="1" a="1"/>
  <c r="G476" i="2" s="1"/>
  <c r="F477" i="2"/>
  <c r="G477" i="2" s="1" a="1"/>
  <c r="G477" i="2" s="1"/>
  <c r="F478" i="2"/>
  <c r="G478" i="2" s="1" a="1"/>
  <c r="G478" i="2" s="1"/>
  <c r="F479" i="2"/>
  <c r="G479" i="2" s="1" a="1"/>
  <c r="G479" i="2" s="1"/>
  <c r="F480" i="2"/>
  <c r="G480" i="2" s="1" a="1"/>
  <c r="G480" i="2" s="1"/>
  <c r="F481" i="2"/>
  <c r="G481" i="2" s="1" a="1"/>
  <c r="G481" i="2" s="1"/>
  <c r="F482" i="2"/>
  <c r="G482" i="2" s="1" a="1"/>
  <c r="G482" i="2" s="1"/>
  <c r="F483" i="2"/>
  <c r="G483" i="2" s="1" a="1"/>
  <c r="G483" i="2" s="1"/>
  <c r="F484" i="2"/>
  <c r="G484" i="2" s="1" a="1"/>
  <c r="G484" i="2" s="1"/>
  <c r="F485" i="2"/>
  <c r="G485" i="2" s="1" a="1"/>
  <c r="G485" i="2" s="1"/>
  <c r="F486" i="2"/>
  <c r="G486" i="2" s="1" a="1"/>
  <c r="G486" i="2" s="1"/>
  <c r="F487" i="2"/>
  <c r="G487" i="2" s="1" a="1"/>
  <c r="G487" i="2" s="1"/>
  <c r="F488" i="2"/>
  <c r="G488" i="2" s="1" a="1"/>
  <c r="G488" i="2" s="1"/>
  <c r="F489" i="2"/>
  <c r="G489" i="2" s="1" a="1"/>
  <c r="G489" i="2" s="1"/>
  <c r="F490" i="2"/>
  <c r="G490" i="2" s="1" a="1"/>
  <c r="G490" i="2" s="1"/>
  <c r="F491" i="2"/>
  <c r="G491" i="2" s="1" a="1"/>
  <c r="G491" i="2" s="1"/>
  <c r="F492" i="2"/>
  <c r="G492" i="2" s="1" a="1"/>
  <c r="G492" i="2" s="1"/>
  <c r="F493" i="2"/>
  <c r="G493" i="2" s="1" a="1"/>
  <c r="G493" i="2" s="1"/>
  <c r="F494" i="2"/>
  <c r="G494" i="2" s="1" a="1"/>
  <c r="G494" i="2" s="1"/>
  <c r="F495" i="2"/>
  <c r="G495" i="2" s="1" a="1"/>
  <c r="G495" i="2" s="1"/>
  <c r="F496" i="2"/>
  <c r="G496" i="2" s="1" a="1"/>
  <c r="G496" i="2" s="1"/>
  <c r="F497" i="2"/>
  <c r="G497" i="2" s="1" a="1"/>
  <c r="G497" i="2" s="1"/>
  <c r="F498" i="2"/>
  <c r="G498" i="2" s="1" a="1"/>
  <c r="G498" i="2" s="1"/>
  <c r="F499" i="2"/>
  <c r="G499" i="2" s="1" a="1"/>
  <c r="G499" i="2" s="1"/>
  <c r="F500" i="2"/>
  <c r="G500" i="2" s="1" a="1"/>
  <c r="G500" i="2" s="1"/>
  <c r="F501" i="2"/>
  <c r="G501" i="2" s="1" a="1"/>
  <c r="G501" i="2" s="1"/>
  <c r="F2" i="2"/>
  <c r="G2" i="2" s="1" a="1"/>
  <c r="G2" i="2" s="1"/>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2" i="2"/>
  <c r="C22" i="2"/>
  <c r="C54" i="2"/>
  <c r="C86" i="2"/>
  <c r="C118" i="2"/>
  <c r="C150" i="2"/>
  <c r="C182" i="2"/>
  <c r="C214" i="2"/>
  <c r="C246" i="2"/>
  <c r="C278" i="2"/>
  <c r="B3" i="2"/>
  <c r="C3" i="2" s="1"/>
  <c r="B4" i="2"/>
  <c r="C4" i="2" s="1"/>
  <c r="B5" i="2"/>
  <c r="C5" i="2" s="1"/>
  <c r="B6" i="2"/>
  <c r="C6" i="2" s="1"/>
  <c r="B7" i="2"/>
  <c r="C7" i="2" s="1"/>
  <c r="B8" i="2"/>
  <c r="C8" i="2" s="1"/>
  <c r="B9" i="2"/>
  <c r="C9" i="2" s="1"/>
  <c r="B10" i="2"/>
  <c r="C10" i="2" s="1"/>
  <c r="B11" i="2"/>
  <c r="C11" i="2" s="1"/>
  <c r="B12" i="2"/>
  <c r="C12" i="2" s="1"/>
  <c r="B13" i="2"/>
  <c r="C13" i="2" s="1"/>
  <c r="B14" i="2"/>
  <c r="C14" i="2" s="1"/>
  <c r="B15" i="2"/>
  <c r="C15" i="2" s="1"/>
  <c r="B16" i="2"/>
  <c r="C16" i="2" s="1"/>
  <c r="B17" i="2"/>
  <c r="C17" i="2" s="1"/>
  <c r="B18" i="2"/>
  <c r="C18" i="2" s="1"/>
  <c r="B19" i="2"/>
  <c r="C19" i="2" s="1"/>
  <c r="B20" i="2"/>
  <c r="C20" i="2" s="1"/>
  <c r="B21" i="2"/>
  <c r="C21" i="2" s="1"/>
  <c r="B22" i="2"/>
  <c r="B23" i="2"/>
  <c r="C23" i="2" s="1"/>
  <c r="B24" i="2"/>
  <c r="C24" i="2" s="1"/>
  <c r="B25" i="2"/>
  <c r="C25" i="2" s="1"/>
  <c r="B26" i="2"/>
  <c r="C26" i="2" s="1"/>
  <c r="B27" i="2"/>
  <c r="C27" i="2" s="1"/>
  <c r="B28" i="2"/>
  <c r="C28" i="2" s="1"/>
  <c r="B29" i="2"/>
  <c r="C29" i="2" s="1"/>
  <c r="B30" i="2"/>
  <c r="C30" i="2" s="1"/>
  <c r="B31" i="2"/>
  <c r="C31" i="2" s="1"/>
  <c r="B32" i="2"/>
  <c r="C32" i="2" s="1"/>
  <c r="B33" i="2"/>
  <c r="C33" i="2" s="1"/>
  <c r="B34" i="2"/>
  <c r="C34" i="2" s="1"/>
  <c r="B35" i="2"/>
  <c r="C35" i="2" s="1"/>
  <c r="B36" i="2"/>
  <c r="C36" i="2" s="1"/>
  <c r="B37" i="2"/>
  <c r="C37" i="2" s="1"/>
  <c r="B38" i="2"/>
  <c r="C38" i="2" s="1"/>
  <c r="B39" i="2"/>
  <c r="C39" i="2" s="1"/>
  <c r="B40" i="2"/>
  <c r="C40" i="2" s="1"/>
  <c r="B41" i="2"/>
  <c r="C41" i="2" s="1"/>
  <c r="B42" i="2"/>
  <c r="C42" i="2" s="1"/>
  <c r="B43" i="2"/>
  <c r="C43" i="2" s="1"/>
  <c r="B44" i="2"/>
  <c r="C44" i="2" s="1"/>
  <c r="B45" i="2"/>
  <c r="C45" i="2" s="1"/>
  <c r="B46" i="2"/>
  <c r="C46" i="2" s="1"/>
  <c r="B47" i="2"/>
  <c r="C47" i="2" s="1"/>
  <c r="B48" i="2"/>
  <c r="C48" i="2" s="1"/>
  <c r="B49" i="2"/>
  <c r="C49" i="2" s="1"/>
  <c r="B50" i="2"/>
  <c r="C50" i="2" s="1"/>
  <c r="B51" i="2"/>
  <c r="C51" i="2" s="1"/>
  <c r="B52" i="2"/>
  <c r="C52" i="2" s="1"/>
  <c r="B53" i="2"/>
  <c r="C53" i="2" s="1"/>
  <c r="B54" i="2"/>
  <c r="B55" i="2"/>
  <c r="C55" i="2" s="1"/>
  <c r="B56" i="2"/>
  <c r="C56" i="2" s="1"/>
  <c r="B57" i="2"/>
  <c r="C57" i="2" s="1"/>
  <c r="B58" i="2"/>
  <c r="C58" i="2" s="1"/>
  <c r="B59" i="2"/>
  <c r="C59" i="2" s="1"/>
  <c r="B60" i="2"/>
  <c r="C60" i="2" s="1"/>
  <c r="B61" i="2"/>
  <c r="C61" i="2" s="1"/>
  <c r="B62" i="2"/>
  <c r="C62" i="2" s="1"/>
  <c r="B63" i="2"/>
  <c r="C63" i="2" s="1"/>
  <c r="B64" i="2"/>
  <c r="C64" i="2" s="1"/>
  <c r="B65" i="2"/>
  <c r="C65" i="2" s="1"/>
  <c r="B66" i="2"/>
  <c r="C66" i="2" s="1"/>
  <c r="B67" i="2"/>
  <c r="C67" i="2" s="1"/>
  <c r="B68" i="2"/>
  <c r="C68" i="2" s="1"/>
  <c r="B69" i="2"/>
  <c r="C69" i="2" s="1"/>
  <c r="B70" i="2"/>
  <c r="C70" i="2" s="1"/>
  <c r="B71" i="2"/>
  <c r="C71" i="2" s="1"/>
  <c r="B72" i="2"/>
  <c r="C72" i="2" s="1"/>
  <c r="B73" i="2"/>
  <c r="C73" i="2" s="1"/>
  <c r="B74" i="2"/>
  <c r="C74" i="2" s="1"/>
  <c r="B75" i="2"/>
  <c r="C75" i="2" s="1"/>
  <c r="B76" i="2"/>
  <c r="C76" i="2" s="1"/>
  <c r="B77" i="2"/>
  <c r="C77" i="2" s="1"/>
  <c r="B78" i="2"/>
  <c r="C78" i="2" s="1"/>
  <c r="B79" i="2"/>
  <c r="C79" i="2" s="1"/>
  <c r="B80" i="2"/>
  <c r="C80" i="2" s="1"/>
  <c r="B81" i="2"/>
  <c r="C81" i="2" s="1"/>
  <c r="B82" i="2"/>
  <c r="C82" i="2" s="1"/>
  <c r="B83" i="2"/>
  <c r="C83" i="2" s="1"/>
  <c r="B84" i="2"/>
  <c r="C84" i="2" s="1"/>
  <c r="B85" i="2"/>
  <c r="C85" i="2" s="1"/>
  <c r="B86" i="2"/>
  <c r="B87" i="2"/>
  <c r="C87" i="2" s="1"/>
  <c r="B88" i="2"/>
  <c r="C88" i="2" s="1"/>
  <c r="B89" i="2"/>
  <c r="C89" i="2" s="1"/>
  <c r="B90" i="2"/>
  <c r="C90" i="2" s="1"/>
  <c r="B91" i="2"/>
  <c r="C91" i="2" s="1"/>
  <c r="B92" i="2"/>
  <c r="C92" i="2" s="1"/>
  <c r="B93" i="2"/>
  <c r="C93" i="2" s="1"/>
  <c r="B94" i="2"/>
  <c r="C94" i="2" s="1"/>
  <c r="B95" i="2"/>
  <c r="C95" i="2" s="1"/>
  <c r="B96" i="2"/>
  <c r="C96" i="2" s="1"/>
  <c r="B97" i="2"/>
  <c r="C97" i="2" s="1"/>
  <c r="B98" i="2"/>
  <c r="C98" i="2" s="1"/>
  <c r="B99" i="2"/>
  <c r="C99" i="2" s="1"/>
  <c r="B100" i="2"/>
  <c r="C100" i="2" s="1"/>
  <c r="B101" i="2"/>
  <c r="C101" i="2" s="1"/>
  <c r="B102" i="2"/>
  <c r="C102" i="2" s="1"/>
  <c r="B103" i="2"/>
  <c r="C103" i="2" s="1"/>
  <c r="B104" i="2"/>
  <c r="C104" i="2" s="1"/>
  <c r="B105" i="2"/>
  <c r="C105" i="2" s="1"/>
  <c r="B106" i="2"/>
  <c r="C106" i="2" s="1"/>
  <c r="B107" i="2"/>
  <c r="C107" i="2" s="1"/>
  <c r="B108" i="2"/>
  <c r="C108" i="2" s="1"/>
  <c r="B109" i="2"/>
  <c r="C109" i="2" s="1"/>
  <c r="B110" i="2"/>
  <c r="C110" i="2" s="1"/>
  <c r="B111" i="2"/>
  <c r="C111" i="2" s="1"/>
  <c r="B112" i="2"/>
  <c r="C112" i="2" s="1"/>
  <c r="B113" i="2"/>
  <c r="C113" i="2" s="1"/>
  <c r="B114" i="2"/>
  <c r="C114" i="2" s="1"/>
  <c r="B115" i="2"/>
  <c r="C115" i="2" s="1"/>
  <c r="B116" i="2"/>
  <c r="C116" i="2" s="1"/>
  <c r="B117" i="2"/>
  <c r="C117" i="2" s="1"/>
  <c r="B118" i="2"/>
  <c r="B119" i="2"/>
  <c r="C119" i="2" s="1"/>
  <c r="B120" i="2"/>
  <c r="C120" i="2" s="1"/>
  <c r="B121" i="2"/>
  <c r="C121" i="2" s="1"/>
  <c r="B122" i="2"/>
  <c r="C122" i="2" s="1"/>
  <c r="B123" i="2"/>
  <c r="C123" i="2" s="1"/>
  <c r="B124" i="2"/>
  <c r="C124" i="2" s="1"/>
  <c r="B125" i="2"/>
  <c r="C125" i="2" s="1"/>
  <c r="B126" i="2"/>
  <c r="C126" i="2" s="1"/>
  <c r="B127" i="2"/>
  <c r="C127" i="2" s="1"/>
  <c r="B128" i="2"/>
  <c r="C128" i="2" s="1"/>
  <c r="B129" i="2"/>
  <c r="C129" i="2" s="1"/>
  <c r="B130" i="2"/>
  <c r="C130" i="2" s="1"/>
  <c r="B131" i="2"/>
  <c r="C131" i="2" s="1"/>
  <c r="B132" i="2"/>
  <c r="C132" i="2" s="1"/>
  <c r="B133" i="2"/>
  <c r="C133" i="2" s="1"/>
  <c r="B134" i="2"/>
  <c r="C134" i="2" s="1"/>
  <c r="B135" i="2"/>
  <c r="C135" i="2" s="1"/>
  <c r="B136" i="2"/>
  <c r="C136" i="2" s="1"/>
  <c r="B137" i="2"/>
  <c r="C137" i="2" s="1"/>
  <c r="B138" i="2"/>
  <c r="C138" i="2" s="1"/>
  <c r="B139" i="2"/>
  <c r="C139" i="2" s="1"/>
  <c r="B140" i="2"/>
  <c r="C140" i="2" s="1"/>
  <c r="B141" i="2"/>
  <c r="C141" i="2" s="1"/>
  <c r="B142" i="2"/>
  <c r="C142" i="2" s="1"/>
  <c r="B143" i="2"/>
  <c r="C143" i="2" s="1"/>
  <c r="B144" i="2"/>
  <c r="C144" i="2" s="1"/>
  <c r="B145" i="2"/>
  <c r="C145" i="2" s="1"/>
  <c r="B146" i="2"/>
  <c r="C146" i="2" s="1"/>
  <c r="B147" i="2"/>
  <c r="C147" i="2" s="1"/>
  <c r="B148" i="2"/>
  <c r="C148" i="2" s="1"/>
  <c r="B149" i="2"/>
  <c r="C149" i="2" s="1"/>
  <c r="B150" i="2"/>
  <c r="B151" i="2"/>
  <c r="C151" i="2" s="1"/>
  <c r="B152" i="2"/>
  <c r="C152" i="2" s="1"/>
  <c r="B153" i="2"/>
  <c r="C153" i="2" s="1"/>
  <c r="B154" i="2"/>
  <c r="C154" i="2" s="1"/>
  <c r="B155" i="2"/>
  <c r="C155" i="2" s="1"/>
  <c r="B156" i="2"/>
  <c r="C156" i="2" s="1"/>
  <c r="B157" i="2"/>
  <c r="C157" i="2" s="1"/>
  <c r="B158" i="2"/>
  <c r="C158" i="2" s="1"/>
  <c r="B159" i="2"/>
  <c r="C159" i="2" s="1"/>
  <c r="B160" i="2"/>
  <c r="C160" i="2" s="1"/>
  <c r="B161" i="2"/>
  <c r="C161" i="2" s="1"/>
  <c r="B162" i="2"/>
  <c r="C162" i="2" s="1"/>
  <c r="B163" i="2"/>
  <c r="C163" i="2" s="1"/>
  <c r="B164" i="2"/>
  <c r="C164" i="2" s="1"/>
  <c r="B165" i="2"/>
  <c r="C165" i="2" s="1"/>
  <c r="B166" i="2"/>
  <c r="C166" i="2" s="1"/>
  <c r="B167" i="2"/>
  <c r="C167" i="2" s="1"/>
  <c r="B168" i="2"/>
  <c r="C168" i="2" s="1"/>
  <c r="B169" i="2"/>
  <c r="C169" i="2" s="1"/>
  <c r="B170" i="2"/>
  <c r="C170" i="2" s="1"/>
  <c r="B171" i="2"/>
  <c r="C171" i="2" s="1"/>
  <c r="B172" i="2"/>
  <c r="C172" i="2" s="1"/>
  <c r="B173" i="2"/>
  <c r="C173" i="2" s="1"/>
  <c r="B174" i="2"/>
  <c r="C174" i="2" s="1"/>
  <c r="B175" i="2"/>
  <c r="C175" i="2" s="1"/>
  <c r="B176" i="2"/>
  <c r="C176" i="2" s="1"/>
  <c r="B177" i="2"/>
  <c r="C177" i="2" s="1"/>
  <c r="B178" i="2"/>
  <c r="C178" i="2" s="1"/>
  <c r="B179" i="2"/>
  <c r="C179" i="2" s="1"/>
  <c r="B180" i="2"/>
  <c r="C180" i="2" s="1"/>
  <c r="B181" i="2"/>
  <c r="C181" i="2" s="1"/>
  <c r="B182" i="2"/>
  <c r="B183" i="2"/>
  <c r="C183" i="2" s="1"/>
  <c r="B184" i="2"/>
  <c r="C184" i="2" s="1"/>
  <c r="B185" i="2"/>
  <c r="C185" i="2" s="1"/>
  <c r="B186" i="2"/>
  <c r="C186" i="2" s="1"/>
  <c r="B187" i="2"/>
  <c r="C187" i="2" s="1"/>
  <c r="B188" i="2"/>
  <c r="C188" i="2" s="1"/>
  <c r="B189" i="2"/>
  <c r="C189" i="2" s="1"/>
  <c r="B190" i="2"/>
  <c r="C190" i="2" s="1"/>
  <c r="B191" i="2"/>
  <c r="C191" i="2" s="1"/>
  <c r="B192" i="2"/>
  <c r="C192" i="2" s="1"/>
  <c r="B193" i="2"/>
  <c r="C193" i="2" s="1"/>
  <c r="B194" i="2"/>
  <c r="C194" i="2" s="1"/>
  <c r="B195" i="2"/>
  <c r="C195" i="2" s="1"/>
  <c r="B196" i="2"/>
  <c r="C196" i="2" s="1"/>
  <c r="B197" i="2"/>
  <c r="C197" i="2" s="1"/>
  <c r="B198" i="2"/>
  <c r="C198" i="2" s="1"/>
  <c r="B199" i="2"/>
  <c r="C199" i="2" s="1"/>
  <c r="B200" i="2"/>
  <c r="C200" i="2" s="1"/>
  <c r="B201" i="2"/>
  <c r="C201" i="2" s="1"/>
  <c r="B202" i="2"/>
  <c r="C202" i="2" s="1"/>
  <c r="B203" i="2"/>
  <c r="C203" i="2" s="1"/>
  <c r="B204" i="2"/>
  <c r="C204" i="2" s="1"/>
  <c r="B205" i="2"/>
  <c r="C205" i="2" s="1"/>
  <c r="B206" i="2"/>
  <c r="C206" i="2" s="1"/>
  <c r="B207" i="2"/>
  <c r="C207" i="2" s="1"/>
  <c r="B208" i="2"/>
  <c r="C208" i="2" s="1"/>
  <c r="B209" i="2"/>
  <c r="C209" i="2" s="1"/>
  <c r="B210" i="2"/>
  <c r="C210" i="2" s="1"/>
  <c r="B211" i="2"/>
  <c r="C211" i="2" s="1"/>
  <c r="B212" i="2"/>
  <c r="C212" i="2" s="1"/>
  <c r="B213" i="2"/>
  <c r="C213" i="2" s="1"/>
  <c r="B214" i="2"/>
  <c r="B215" i="2"/>
  <c r="C215" i="2" s="1"/>
  <c r="B216" i="2"/>
  <c r="C216" i="2" s="1"/>
  <c r="B217" i="2"/>
  <c r="C217" i="2" s="1"/>
  <c r="B218" i="2"/>
  <c r="C218" i="2" s="1"/>
  <c r="B219" i="2"/>
  <c r="C219" i="2" s="1"/>
  <c r="B220" i="2"/>
  <c r="C220" i="2" s="1"/>
  <c r="B221" i="2"/>
  <c r="C221" i="2" s="1"/>
  <c r="B222" i="2"/>
  <c r="C222" i="2" s="1"/>
  <c r="B223" i="2"/>
  <c r="C223" i="2" s="1"/>
  <c r="B224" i="2"/>
  <c r="C224" i="2" s="1"/>
  <c r="B225" i="2"/>
  <c r="C225" i="2" s="1"/>
  <c r="B226" i="2"/>
  <c r="C226" i="2" s="1"/>
  <c r="B227" i="2"/>
  <c r="C227" i="2" s="1"/>
  <c r="B228" i="2"/>
  <c r="C228" i="2" s="1"/>
  <c r="B229" i="2"/>
  <c r="C229" i="2" s="1"/>
  <c r="B230" i="2"/>
  <c r="C230" i="2" s="1"/>
  <c r="B231" i="2"/>
  <c r="C231" i="2" s="1"/>
  <c r="B232" i="2"/>
  <c r="C232" i="2" s="1"/>
  <c r="B233" i="2"/>
  <c r="C233" i="2" s="1"/>
  <c r="B234" i="2"/>
  <c r="C234" i="2" s="1"/>
  <c r="B235" i="2"/>
  <c r="C235" i="2" s="1"/>
  <c r="B236" i="2"/>
  <c r="C236" i="2" s="1"/>
  <c r="B237" i="2"/>
  <c r="C237" i="2" s="1"/>
  <c r="B238" i="2"/>
  <c r="C238" i="2" s="1"/>
  <c r="B239" i="2"/>
  <c r="C239" i="2" s="1"/>
  <c r="B240" i="2"/>
  <c r="C240" i="2" s="1"/>
  <c r="B241" i="2"/>
  <c r="C241" i="2" s="1"/>
  <c r="B242" i="2"/>
  <c r="C242" i="2" s="1"/>
  <c r="B243" i="2"/>
  <c r="C243" i="2" s="1"/>
  <c r="B244" i="2"/>
  <c r="C244" i="2" s="1"/>
  <c r="B245" i="2"/>
  <c r="C245" i="2" s="1"/>
  <c r="B246" i="2"/>
  <c r="B247" i="2"/>
  <c r="C247" i="2" s="1"/>
  <c r="B248" i="2"/>
  <c r="C248" i="2" s="1"/>
  <c r="B249" i="2"/>
  <c r="C249" i="2" s="1"/>
  <c r="B250" i="2"/>
  <c r="C250" i="2" s="1"/>
  <c r="B251" i="2"/>
  <c r="C251" i="2" s="1"/>
  <c r="B252" i="2"/>
  <c r="C252" i="2" s="1"/>
  <c r="B253" i="2"/>
  <c r="C253" i="2" s="1"/>
  <c r="B254" i="2"/>
  <c r="C254" i="2" s="1"/>
  <c r="B255" i="2"/>
  <c r="C255" i="2" s="1"/>
  <c r="B256" i="2"/>
  <c r="C256" i="2" s="1"/>
  <c r="B257" i="2"/>
  <c r="C257" i="2" s="1"/>
  <c r="B258" i="2"/>
  <c r="C258" i="2" s="1"/>
  <c r="B259" i="2"/>
  <c r="C259" i="2" s="1"/>
  <c r="B260" i="2"/>
  <c r="C260" i="2" s="1"/>
  <c r="B261" i="2"/>
  <c r="C261" i="2" s="1"/>
  <c r="B262" i="2"/>
  <c r="C262" i="2" s="1"/>
  <c r="B263" i="2"/>
  <c r="C263" i="2" s="1"/>
  <c r="B264" i="2"/>
  <c r="C264" i="2" s="1"/>
  <c r="B265" i="2"/>
  <c r="C265" i="2" s="1"/>
  <c r="B266" i="2"/>
  <c r="C266" i="2" s="1"/>
  <c r="B267" i="2"/>
  <c r="C267" i="2" s="1"/>
  <c r="B268" i="2"/>
  <c r="C268" i="2" s="1"/>
  <c r="B269" i="2"/>
  <c r="C269" i="2" s="1"/>
  <c r="B270" i="2"/>
  <c r="C270" i="2" s="1"/>
  <c r="B271" i="2"/>
  <c r="C271" i="2" s="1"/>
  <c r="B272" i="2"/>
  <c r="C272" i="2" s="1"/>
  <c r="B273" i="2"/>
  <c r="C273" i="2" s="1"/>
  <c r="B274" i="2"/>
  <c r="C274" i="2" s="1"/>
  <c r="B275" i="2"/>
  <c r="C275" i="2" s="1"/>
  <c r="B276" i="2"/>
  <c r="C276" i="2" s="1"/>
  <c r="B277" i="2"/>
  <c r="C277" i="2" s="1"/>
  <c r="B278" i="2"/>
  <c r="B279" i="2"/>
  <c r="C279" i="2" s="1"/>
  <c r="B280" i="2"/>
  <c r="C280" i="2" s="1"/>
  <c r="B281" i="2"/>
  <c r="C281" i="2" s="1"/>
  <c r="B282" i="2"/>
  <c r="C282" i="2" s="1"/>
  <c r="B283" i="2"/>
  <c r="C283" i="2" s="1"/>
  <c r="B284" i="2"/>
  <c r="C284" i="2" s="1"/>
  <c r="B285" i="2"/>
  <c r="C285" i="2" s="1"/>
  <c r="B286" i="2"/>
  <c r="C286" i="2" s="1"/>
  <c r="B287" i="2"/>
  <c r="C287" i="2" s="1"/>
  <c r="B288" i="2"/>
  <c r="C288" i="2" s="1"/>
  <c r="B289" i="2"/>
  <c r="C289" i="2" s="1"/>
  <c r="B290" i="2"/>
  <c r="C290" i="2" s="1"/>
  <c r="B291" i="2"/>
  <c r="C291" i="2" s="1"/>
  <c r="B292" i="2"/>
  <c r="C292" i="2" s="1"/>
  <c r="B293" i="2"/>
  <c r="C293" i="2" s="1"/>
  <c r="B294" i="2"/>
  <c r="C294" i="2" s="1"/>
  <c r="B295" i="2"/>
  <c r="C295" i="2" s="1"/>
  <c r="B296" i="2"/>
  <c r="C296" i="2" s="1"/>
  <c r="B297" i="2"/>
  <c r="C297" i="2" s="1"/>
  <c r="B298" i="2"/>
  <c r="C298" i="2" s="1"/>
  <c r="B299" i="2"/>
  <c r="C299" i="2" s="1"/>
  <c r="B300" i="2"/>
  <c r="C300" i="2" s="1"/>
  <c r="B301" i="2"/>
  <c r="C301" i="2" s="1"/>
  <c r="B302" i="2"/>
  <c r="C302" i="2" s="1"/>
  <c r="B303" i="2"/>
  <c r="C303" i="2" s="1"/>
  <c r="B304" i="2"/>
  <c r="C304" i="2" s="1"/>
  <c r="B305" i="2"/>
  <c r="C305" i="2" s="1"/>
  <c r="B306" i="2"/>
  <c r="C306" i="2" s="1"/>
  <c r="B307" i="2"/>
  <c r="C307" i="2" s="1"/>
  <c r="B308" i="2"/>
  <c r="C308" i="2" s="1"/>
  <c r="B309" i="2"/>
  <c r="C309" i="2" s="1"/>
  <c r="B310" i="2"/>
  <c r="C310" i="2" s="1"/>
  <c r="B311" i="2"/>
  <c r="C311" i="2" s="1"/>
  <c r="B312" i="2"/>
  <c r="C312" i="2" s="1"/>
  <c r="B313" i="2"/>
  <c r="C313" i="2" s="1"/>
  <c r="B314" i="2"/>
  <c r="C314" i="2" s="1"/>
  <c r="B315" i="2"/>
  <c r="C315" i="2" s="1"/>
  <c r="B316" i="2"/>
  <c r="C316" i="2" s="1"/>
  <c r="B317" i="2"/>
  <c r="C317" i="2" s="1"/>
  <c r="B318" i="2"/>
  <c r="C318" i="2" s="1"/>
  <c r="B319" i="2"/>
  <c r="C319" i="2" s="1"/>
  <c r="B320" i="2"/>
  <c r="C320" i="2" s="1"/>
  <c r="B321" i="2"/>
  <c r="C321" i="2" s="1"/>
  <c r="B322" i="2"/>
  <c r="C322" i="2" s="1"/>
  <c r="B323" i="2"/>
  <c r="C323" i="2" s="1"/>
  <c r="B324" i="2"/>
  <c r="C324" i="2" s="1"/>
  <c r="B325" i="2"/>
  <c r="C325" i="2" s="1"/>
  <c r="B326" i="2"/>
  <c r="C326" i="2" s="1"/>
  <c r="B327" i="2"/>
  <c r="C327" i="2" s="1"/>
  <c r="B328" i="2"/>
  <c r="C328" i="2" s="1"/>
  <c r="B329" i="2"/>
  <c r="C329" i="2" s="1"/>
  <c r="B330" i="2"/>
  <c r="C330" i="2" s="1"/>
  <c r="B331" i="2"/>
  <c r="C331" i="2" s="1"/>
  <c r="B332" i="2"/>
  <c r="C332" i="2" s="1"/>
  <c r="B333" i="2"/>
  <c r="C333" i="2" s="1"/>
  <c r="B334" i="2"/>
  <c r="C334" i="2" s="1"/>
  <c r="B335" i="2"/>
  <c r="C335" i="2" s="1"/>
  <c r="B336" i="2"/>
  <c r="C336" i="2" s="1"/>
  <c r="B337" i="2"/>
  <c r="C337" i="2" s="1"/>
  <c r="B338" i="2"/>
  <c r="C338" i="2" s="1"/>
  <c r="B339" i="2"/>
  <c r="C339" i="2" s="1"/>
  <c r="B340" i="2"/>
  <c r="C340" i="2" s="1"/>
  <c r="B341" i="2"/>
  <c r="C341" i="2" s="1"/>
  <c r="B342" i="2"/>
  <c r="C342" i="2" s="1"/>
  <c r="B343" i="2"/>
  <c r="C343" i="2" s="1"/>
  <c r="B344" i="2"/>
  <c r="C344" i="2" s="1"/>
  <c r="B345" i="2"/>
  <c r="C345" i="2" s="1"/>
  <c r="B346" i="2"/>
  <c r="C346" i="2" s="1"/>
  <c r="B347" i="2"/>
  <c r="C347" i="2" s="1"/>
  <c r="B348" i="2"/>
  <c r="C348" i="2" s="1"/>
  <c r="B349" i="2"/>
  <c r="C349" i="2" s="1"/>
  <c r="B350" i="2"/>
  <c r="C350" i="2" s="1"/>
  <c r="B351" i="2"/>
  <c r="C351" i="2" s="1"/>
  <c r="B352" i="2"/>
  <c r="C352" i="2" s="1"/>
  <c r="B353" i="2"/>
  <c r="C353" i="2" s="1"/>
  <c r="B354" i="2"/>
  <c r="C354" i="2" s="1"/>
  <c r="B355" i="2"/>
  <c r="C355" i="2" s="1"/>
  <c r="B356" i="2"/>
  <c r="C356" i="2" s="1"/>
  <c r="B357" i="2"/>
  <c r="C357" i="2" s="1"/>
  <c r="B358" i="2"/>
  <c r="C358" i="2" s="1"/>
  <c r="B359" i="2"/>
  <c r="C359" i="2" s="1"/>
  <c r="B360" i="2"/>
  <c r="C360" i="2" s="1"/>
  <c r="B361" i="2"/>
  <c r="C361" i="2" s="1"/>
  <c r="B362" i="2"/>
  <c r="C362" i="2" s="1"/>
  <c r="B363" i="2"/>
  <c r="C363" i="2" s="1"/>
  <c r="B364" i="2"/>
  <c r="C364" i="2" s="1"/>
  <c r="B365" i="2"/>
  <c r="C365" i="2" s="1"/>
  <c r="B366" i="2"/>
  <c r="C366" i="2" s="1"/>
  <c r="B367" i="2"/>
  <c r="C367" i="2" s="1"/>
  <c r="B368" i="2"/>
  <c r="C368" i="2" s="1"/>
  <c r="B369" i="2"/>
  <c r="C369" i="2" s="1"/>
  <c r="B370" i="2"/>
  <c r="C370" i="2" s="1"/>
  <c r="B371" i="2"/>
  <c r="C371" i="2" s="1"/>
  <c r="B372" i="2"/>
  <c r="C372" i="2" s="1"/>
  <c r="B373" i="2"/>
  <c r="C373" i="2" s="1"/>
  <c r="B374" i="2"/>
  <c r="C374" i="2" s="1"/>
  <c r="B375" i="2"/>
  <c r="C375" i="2" s="1"/>
  <c r="B376" i="2"/>
  <c r="C376" i="2" s="1"/>
  <c r="B377" i="2"/>
  <c r="C377" i="2" s="1"/>
  <c r="B378" i="2"/>
  <c r="C378" i="2" s="1"/>
  <c r="B379" i="2"/>
  <c r="C379" i="2" s="1"/>
  <c r="B380" i="2"/>
  <c r="C380" i="2" s="1"/>
  <c r="B381" i="2"/>
  <c r="C381" i="2" s="1"/>
  <c r="B382" i="2"/>
  <c r="C382" i="2" s="1"/>
  <c r="B383" i="2"/>
  <c r="C383" i="2" s="1"/>
  <c r="B384" i="2"/>
  <c r="C384" i="2" s="1"/>
  <c r="B385" i="2"/>
  <c r="C385" i="2" s="1"/>
  <c r="B386" i="2"/>
  <c r="C386" i="2" s="1"/>
  <c r="B387" i="2"/>
  <c r="C387" i="2" s="1"/>
  <c r="B388" i="2"/>
  <c r="C388" i="2" s="1"/>
  <c r="B389" i="2"/>
  <c r="C389" i="2" s="1"/>
  <c r="B390" i="2"/>
  <c r="C390" i="2" s="1"/>
  <c r="B391" i="2"/>
  <c r="C391" i="2" s="1"/>
  <c r="B392" i="2"/>
  <c r="C392" i="2" s="1"/>
  <c r="B393" i="2"/>
  <c r="C393" i="2" s="1"/>
  <c r="B394" i="2"/>
  <c r="C394" i="2" s="1"/>
  <c r="B395" i="2"/>
  <c r="C395" i="2" s="1"/>
  <c r="B396" i="2"/>
  <c r="C396" i="2" s="1"/>
  <c r="B397" i="2"/>
  <c r="C397" i="2" s="1"/>
  <c r="B398" i="2"/>
  <c r="C398" i="2" s="1"/>
  <c r="B399" i="2"/>
  <c r="C399" i="2" s="1"/>
  <c r="B400" i="2"/>
  <c r="C400" i="2" s="1"/>
  <c r="B401" i="2"/>
  <c r="C401" i="2" s="1"/>
  <c r="B402" i="2"/>
  <c r="C402" i="2" s="1"/>
  <c r="B403" i="2"/>
  <c r="C403" i="2" s="1"/>
  <c r="B404" i="2"/>
  <c r="C404" i="2" s="1"/>
  <c r="B405" i="2"/>
  <c r="C405" i="2" s="1"/>
  <c r="B406" i="2"/>
  <c r="C406" i="2" s="1"/>
  <c r="B407" i="2"/>
  <c r="C407" i="2" s="1"/>
  <c r="B408" i="2"/>
  <c r="C408" i="2" s="1"/>
  <c r="B409" i="2"/>
  <c r="C409" i="2" s="1"/>
  <c r="B410" i="2"/>
  <c r="C410" i="2" s="1"/>
  <c r="B411" i="2"/>
  <c r="C411" i="2" s="1"/>
  <c r="B412" i="2"/>
  <c r="C412" i="2" s="1"/>
  <c r="B413" i="2"/>
  <c r="C413" i="2" s="1"/>
  <c r="B414" i="2"/>
  <c r="C414" i="2" s="1"/>
  <c r="B415" i="2"/>
  <c r="C415" i="2" s="1"/>
  <c r="B416" i="2"/>
  <c r="C416" i="2" s="1"/>
  <c r="B417" i="2"/>
  <c r="C417" i="2" s="1"/>
  <c r="B418" i="2"/>
  <c r="C418" i="2" s="1"/>
  <c r="B419" i="2"/>
  <c r="C419" i="2" s="1"/>
  <c r="B420" i="2"/>
  <c r="C420" i="2" s="1"/>
  <c r="B421" i="2"/>
  <c r="C421" i="2" s="1"/>
  <c r="B422" i="2"/>
  <c r="C422" i="2" s="1"/>
  <c r="B423" i="2"/>
  <c r="C423" i="2" s="1"/>
  <c r="B424" i="2"/>
  <c r="C424" i="2" s="1"/>
  <c r="B425" i="2"/>
  <c r="C425" i="2" s="1"/>
  <c r="B426" i="2"/>
  <c r="C426" i="2" s="1"/>
  <c r="B427" i="2"/>
  <c r="C427" i="2" s="1"/>
  <c r="B428" i="2"/>
  <c r="C428" i="2" s="1"/>
  <c r="B429" i="2"/>
  <c r="C429" i="2" s="1"/>
  <c r="B430" i="2"/>
  <c r="C430" i="2" s="1"/>
  <c r="B431" i="2"/>
  <c r="C431" i="2" s="1"/>
  <c r="B432" i="2"/>
  <c r="C432" i="2" s="1"/>
  <c r="B433" i="2"/>
  <c r="C433" i="2" s="1"/>
  <c r="B434" i="2"/>
  <c r="C434" i="2" s="1"/>
  <c r="B435" i="2"/>
  <c r="C435" i="2" s="1"/>
  <c r="B436" i="2"/>
  <c r="C436" i="2" s="1"/>
  <c r="B437" i="2"/>
  <c r="C437" i="2" s="1"/>
  <c r="B438" i="2"/>
  <c r="C438" i="2" s="1"/>
  <c r="B439" i="2"/>
  <c r="C439" i="2" s="1"/>
  <c r="B440" i="2"/>
  <c r="C440" i="2" s="1"/>
  <c r="B441" i="2"/>
  <c r="C441" i="2" s="1"/>
  <c r="B442" i="2"/>
  <c r="C442" i="2" s="1"/>
  <c r="B443" i="2"/>
  <c r="C443" i="2" s="1"/>
  <c r="B444" i="2"/>
  <c r="C444" i="2" s="1"/>
  <c r="B445" i="2"/>
  <c r="C445" i="2" s="1"/>
  <c r="B446" i="2"/>
  <c r="C446" i="2" s="1"/>
  <c r="B447" i="2"/>
  <c r="C447" i="2" s="1"/>
  <c r="B448" i="2"/>
  <c r="C448" i="2" s="1"/>
  <c r="B449" i="2"/>
  <c r="C449" i="2" s="1"/>
  <c r="B450" i="2"/>
  <c r="C450" i="2" s="1"/>
  <c r="B451" i="2"/>
  <c r="C451" i="2" s="1"/>
  <c r="B452" i="2"/>
  <c r="C452" i="2" s="1"/>
  <c r="B453" i="2"/>
  <c r="C453" i="2" s="1"/>
  <c r="B454" i="2"/>
  <c r="C454" i="2" s="1"/>
  <c r="B455" i="2"/>
  <c r="C455" i="2" s="1"/>
  <c r="B456" i="2"/>
  <c r="C456" i="2" s="1"/>
  <c r="B457" i="2"/>
  <c r="C457" i="2" s="1"/>
  <c r="B458" i="2"/>
  <c r="C458" i="2" s="1"/>
  <c r="B459" i="2"/>
  <c r="C459" i="2" s="1"/>
  <c r="B460" i="2"/>
  <c r="C460" i="2" s="1"/>
  <c r="B461" i="2"/>
  <c r="C461" i="2" s="1"/>
  <c r="B462" i="2"/>
  <c r="C462" i="2" s="1"/>
  <c r="B463" i="2"/>
  <c r="C463" i="2" s="1"/>
  <c r="B464" i="2"/>
  <c r="C464" i="2" s="1"/>
  <c r="B465" i="2"/>
  <c r="C465" i="2" s="1"/>
  <c r="B466" i="2"/>
  <c r="C466" i="2" s="1"/>
  <c r="B467" i="2"/>
  <c r="C467" i="2" s="1"/>
  <c r="B468" i="2"/>
  <c r="C468" i="2" s="1"/>
  <c r="B469" i="2"/>
  <c r="C469" i="2" s="1"/>
  <c r="B470" i="2"/>
  <c r="C470" i="2" s="1"/>
  <c r="B471" i="2"/>
  <c r="C471" i="2" s="1"/>
  <c r="B472" i="2"/>
  <c r="C472" i="2" s="1"/>
  <c r="B473" i="2"/>
  <c r="C473" i="2" s="1"/>
  <c r="B474" i="2"/>
  <c r="C474" i="2" s="1"/>
  <c r="B475" i="2"/>
  <c r="C475" i="2" s="1"/>
  <c r="B476" i="2"/>
  <c r="C476" i="2" s="1"/>
  <c r="B477" i="2"/>
  <c r="C477" i="2" s="1"/>
  <c r="B478" i="2"/>
  <c r="C478" i="2" s="1"/>
  <c r="B479" i="2"/>
  <c r="C479" i="2" s="1"/>
  <c r="B480" i="2"/>
  <c r="C480" i="2" s="1"/>
  <c r="B481" i="2"/>
  <c r="C481" i="2" s="1"/>
  <c r="B482" i="2"/>
  <c r="C482" i="2" s="1"/>
  <c r="B483" i="2"/>
  <c r="C483" i="2" s="1"/>
  <c r="B484" i="2"/>
  <c r="C484" i="2" s="1"/>
  <c r="B485" i="2"/>
  <c r="C485" i="2" s="1"/>
  <c r="B486" i="2"/>
  <c r="C486" i="2" s="1"/>
  <c r="B487" i="2"/>
  <c r="C487" i="2" s="1"/>
  <c r="B488" i="2"/>
  <c r="C488" i="2" s="1"/>
  <c r="B489" i="2"/>
  <c r="C489" i="2" s="1"/>
  <c r="B490" i="2"/>
  <c r="C490" i="2" s="1"/>
  <c r="B491" i="2"/>
  <c r="C491" i="2" s="1"/>
  <c r="B492" i="2"/>
  <c r="C492" i="2" s="1"/>
  <c r="B493" i="2"/>
  <c r="C493" i="2" s="1"/>
  <c r="B494" i="2"/>
  <c r="C494" i="2" s="1"/>
  <c r="B495" i="2"/>
  <c r="C495" i="2" s="1"/>
  <c r="B496" i="2"/>
  <c r="C496" i="2" s="1"/>
  <c r="B497" i="2"/>
  <c r="C497" i="2" s="1"/>
  <c r="B498" i="2"/>
  <c r="C498" i="2" s="1"/>
  <c r="B499" i="2"/>
  <c r="C499" i="2" s="1"/>
  <c r="B500" i="2"/>
  <c r="C500" i="2" s="1"/>
  <c r="B501" i="2"/>
  <c r="C501" i="2" s="1"/>
  <c r="B2" i="2"/>
  <c r="C2" i="2" s="1"/>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A347" i="2"/>
  <c r="A348" i="2"/>
  <c r="A349" i="2"/>
  <c r="A350" i="2"/>
  <c r="A351" i="2"/>
  <c r="A352" i="2"/>
  <c r="A353" i="2"/>
  <c r="A354" i="2"/>
  <c r="A355" i="2"/>
  <c r="A356" i="2"/>
  <c r="A357" i="2"/>
  <c r="A358" i="2"/>
  <c r="A359" i="2"/>
  <c r="A360" i="2"/>
  <c r="A361" i="2"/>
  <c r="A362" i="2"/>
  <c r="A363" i="2"/>
  <c r="A364" i="2"/>
  <c r="A365" i="2"/>
  <c r="A366" i="2"/>
  <c r="A367" i="2"/>
  <c r="A368" i="2"/>
  <c r="A369" i="2"/>
  <c r="A370" i="2"/>
  <c r="A371" i="2"/>
  <c r="A372" i="2"/>
  <c r="A373" i="2"/>
  <c r="A374" i="2"/>
  <c r="A375" i="2"/>
  <c r="A376" i="2"/>
  <c r="A377" i="2"/>
  <c r="A378" i="2"/>
  <c r="A379" i="2"/>
  <c r="A380" i="2"/>
  <c r="A381" i="2"/>
  <c r="A382" i="2"/>
  <c r="A383" i="2"/>
  <c r="A384" i="2"/>
  <c r="A385" i="2"/>
  <c r="A386" i="2"/>
  <c r="A387" i="2"/>
  <c r="A388" i="2"/>
  <c r="A389" i="2"/>
  <c r="A390" i="2"/>
  <c r="A391" i="2"/>
  <c r="A392" i="2"/>
  <c r="A393" i="2"/>
  <c r="A394" i="2"/>
  <c r="A395" i="2"/>
  <c r="A396" i="2"/>
  <c r="A397" i="2"/>
  <c r="A398" i="2"/>
  <c r="A399" i="2"/>
  <c r="A400" i="2"/>
  <c r="A401" i="2"/>
  <c r="A402" i="2"/>
  <c r="A403" i="2"/>
  <c r="A404" i="2"/>
  <c r="A405" i="2"/>
  <c r="A406" i="2"/>
  <c r="A407" i="2"/>
  <c r="A408" i="2"/>
  <c r="A409" i="2"/>
  <c r="A410" i="2"/>
  <c r="A411" i="2"/>
  <c r="A412" i="2"/>
  <c r="A413" i="2"/>
  <c r="A414" i="2"/>
  <c r="A415" i="2"/>
  <c r="A416" i="2"/>
  <c r="A417" i="2"/>
  <c r="A418" i="2"/>
  <c r="A419" i="2"/>
  <c r="A420" i="2"/>
  <c r="A421" i="2"/>
  <c r="A422" i="2"/>
  <c r="A423" i="2"/>
  <c r="A424" i="2"/>
  <c r="A425" i="2"/>
  <c r="A426" i="2"/>
  <c r="A427" i="2"/>
  <c r="A428" i="2"/>
  <c r="A429" i="2"/>
  <c r="A430" i="2"/>
  <c r="A431" i="2"/>
  <c r="A432" i="2"/>
  <c r="A433" i="2"/>
  <c r="A434" i="2"/>
  <c r="A435" i="2"/>
  <c r="A436" i="2"/>
  <c r="A437" i="2"/>
  <c r="A438" i="2"/>
  <c r="A439" i="2"/>
  <c r="A440" i="2"/>
  <c r="A441" i="2"/>
  <c r="A442" i="2"/>
  <c r="A443" i="2"/>
  <c r="A444" i="2"/>
  <c r="A445" i="2"/>
  <c r="A446" i="2"/>
  <c r="A447" i="2"/>
  <c r="A448" i="2"/>
  <c r="A449" i="2"/>
  <c r="A450" i="2"/>
  <c r="A451" i="2"/>
  <c r="A452" i="2"/>
  <c r="A453" i="2"/>
  <c r="A454" i="2"/>
  <c r="A455" i="2"/>
  <c r="A456" i="2"/>
  <c r="A457" i="2"/>
  <c r="A458" i="2"/>
  <c r="A459" i="2"/>
  <c r="A460" i="2"/>
  <c r="A461" i="2"/>
  <c r="A462" i="2"/>
  <c r="A463" i="2"/>
  <c r="A464" i="2"/>
  <c r="A465" i="2"/>
  <c r="A466" i="2"/>
  <c r="A467" i="2"/>
  <c r="A468" i="2"/>
  <c r="A469" i="2"/>
  <c r="A470" i="2"/>
  <c r="A471" i="2"/>
  <c r="A472" i="2"/>
  <c r="A473" i="2"/>
  <c r="A474" i="2"/>
  <c r="A475" i="2"/>
  <c r="A476" i="2"/>
  <c r="A477" i="2"/>
  <c r="A478" i="2"/>
  <c r="A479" i="2"/>
  <c r="A480" i="2"/>
  <c r="A481" i="2"/>
  <c r="A482" i="2"/>
  <c r="A483" i="2"/>
  <c r="A484" i="2"/>
  <c r="A485" i="2"/>
  <c r="A486" i="2"/>
  <c r="A487" i="2"/>
  <c r="A488" i="2"/>
  <c r="A489" i="2"/>
  <c r="A490" i="2"/>
  <c r="A491" i="2"/>
  <c r="A492" i="2"/>
  <c r="A493" i="2"/>
  <c r="A494" i="2"/>
  <c r="A495" i="2"/>
  <c r="A496" i="2"/>
  <c r="A497" i="2"/>
  <c r="A498" i="2"/>
  <c r="A499" i="2"/>
  <c r="A500" i="2"/>
  <c r="A501" i="2"/>
  <c r="A2"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<sst xmlns="http://schemas.openxmlformats.org/spreadsheetml/2006/main" count="13174" uniqueCount="715">
  <si>
    <t>Order_ID</t>
  </si>
  <si>
    <t>Customer_ID</t>
  </si>
  <si>
    <t>Product_ID</t>
  </si>
  <si>
    <t>Order_Date</t>
  </si>
  <si>
    <t>Delivery_Date</t>
  </si>
  <si>
    <t>Customer_Name</t>
  </si>
  <si>
    <t>Gender</t>
  </si>
  <si>
    <t>DOB</t>
  </si>
  <si>
    <t>City</t>
  </si>
  <si>
    <t>Region</t>
  </si>
  <si>
    <t>Category</t>
  </si>
  <si>
    <t>Product_Name</t>
  </si>
  <si>
    <t>Quantity</t>
  </si>
  <si>
    <t>Unit_Price</t>
  </si>
  <si>
    <t>Discount_%</t>
  </si>
  <si>
    <t>Sales</t>
  </si>
  <si>
    <t>Rating</t>
  </si>
  <si>
    <t>Payment_Mode</t>
  </si>
  <si>
    <t>Salesperson</t>
  </si>
  <si>
    <t>Email</t>
  </si>
  <si>
    <t>Phone</t>
  </si>
  <si>
    <t>Order_Status</t>
  </si>
  <si>
    <t>ORD10001</t>
  </si>
  <si>
    <t>C008</t>
  </si>
  <si>
    <t>P202</t>
  </si>
  <si>
    <t>Kavya Nair</t>
  </si>
  <si>
    <t>Female</t>
  </si>
  <si>
    <t>Hyderabad</t>
  </si>
  <si>
    <t>South</t>
  </si>
  <si>
    <t>Home Appliances</t>
  </si>
  <si>
    <t>Iron</t>
  </si>
  <si>
    <t>Cash</t>
  </si>
  <si>
    <t>Ritika</t>
  </si>
  <si>
    <t>KAvya.nair@company.com</t>
  </si>
  <si>
    <t>Completed</t>
  </si>
  <si>
    <t>ORD10002</t>
  </si>
  <si>
    <t>P104</t>
  </si>
  <si>
    <t>Delhi</t>
  </si>
  <si>
    <t>North</t>
  </si>
  <si>
    <t>Electronics</t>
  </si>
  <si>
    <t>Monitor</t>
  </si>
  <si>
    <t>NetBanking</t>
  </si>
  <si>
    <t>Rahul</t>
  </si>
  <si>
    <t>kavya.nair@company.com</t>
  </si>
  <si>
    <t>ORD10003</t>
  </si>
  <si>
    <t>C010</t>
  </si>
  <si>
    <t>P101</t>
  </si>
  <si>
    <t>pooja      shah</t>
  </si>
  <si>
    <t>Bengaluru</t>
  </si>
  <si>
    <t>Laptop</t>
  </si>
  <si>
    <t>Aisha</t>
  </si>
  <si>
    <t>pooja.shah@company.com</t>
  </si>
  <si>
    <t>Pending</t>
  </si>
  <si>
    <t>Cancelled</t>
  </si>
  <si>
    <t>ORD10005</t>
  </si>
  <si>
    <t>C009</t>
  </si>
  <si>
    <t>P103</t>
  </si>
  <si>
    <t>Mohit     Verma</t>
  </si>
  <si>
    <t>Male</t>
  </si>
  <si>
    <t>Keyboard</t>
  </si>
  <si>
    <t>Card</t>
  </si>
  <si>
    <t>mohit.verma@company.com</t>
  </si>
  <si>
    <t>ORD10006</t>
  </si>
  <si>
    <t>C007</t>
  </si>
  <si>
    <t>arjun Rao</t>
  </si>
  <si>
    <t>UPI</t>
  </si>
  <si>
    <t>arjun.rao@company.com</t>
  </si>
  <si>
    <t>ORD10007</t>
  </si>
  <si>
    <t>P201</t>
  </si>
  <si>
    <t>31/02/2025</t>
  </si>
  <si>
    <t>Kavya      Nair</t>
  </si>
  <si>
    <t>Mixer</t>
  </si>
  <si>
    <t>ORD10008</t>
  </si>
  <si>
    <t>C002</t>
  </si>
  <si>
    <t>Priya Patel</t>
  </si>
  <si>
    <t>Mumbai</t>
  </si>
  <si>
    <t>West</t>
  </si>
  <si>
    <t>priYa.patel@company.com</t>
  </si>
  <si>
    <t>ORD10009</t>
  </si>
  <si>
    <t>kavya Nair</t>
  </si>
  <si>
    <t>Pune</t>
  </si>
  <si>
    <t>Neha</t>
  </si>
  <si>
    <t>ORD10010</t>
  </si>
  <si>
    <t>P301</t>
  </si>
  <si>
    <t>Stationery</t>
  </si>
  <si>
    <t>Notebook</t>
  </si>
  <si>
    <t>PRiya.patel@company.com</t>
  </si>
  <si>
    <t>ORD10011</t>
  </si>
  <si>
    <t>C003</t>
  </si>
  <si>
    <t xml:space="preserve">               Rohit Singh</t>
  </si>
  <si>
    <t>rohit.singh@company.com</t>
  </si>
  <si>
    <t>ORD10012</t>
  </si>
  <si>
    <t>Ahmedabad</t>
  </si>
  <si>
    <t>ORD10013</t>
  </si>
  <si>
    <t>priya.patel@company.com</t>
  </si>
  <si>
    <t>ORD10014</t>
  </si>
  <si>
    <t>rohit Singh</t>
  </si>
  <si>
    <t>Karan</t>
  </si>
  <si>
    <t>rOhit.singh@company.com</t>
  </si>
  <si>
    <t>ORD10015</t>
  </si>
  <si>
    <t xml:space="preserve">    Kavya nair</t>
  </si>
  <si>
    <t>ORD10016</t>
  </si>
  <si>
    <t>Pooja Shah</t>
  </si>
  <si>
    <t>pooja.shahcompany.com</t>
  </si>
  <si>
    <t>ORD10017</t>
  </si>
  <si>
    <t>C004</t>
  </si>
  <si>
    <t>P203</t>
  </si>
  <si>
    <t xml:space="preserve">  Amit Sharma </t>
  </si>
  <si>
    <t>Microwave</t>
  </si>
  <si>
    <t>anita.gupta@company.com</t>
  </si>
  <si>
    <t>ORD10018</t>
  </si>
  <si>
    <t>Arjun Rao</t>
  </si>
  <si>
    <t>ORD10019</t>
  </si>
  <si>
    <t>P102</t>
  </si>
  <si>
    <t>arjun rao</t>
  </si>
  <si>
    <t>Mouse</t>
  </si>
  <si>
    <t>arjun.Rao@company.com</t>
  </si>
  <si>
    <t>ORD10020</t>
  </si>
  <si>
    <t>ORD10021</t>
  </si>
  <si>
    <t>Rohit Singh</t>
  </si>
  <si>
    <t>electronics</t>
  </si>
  <si>
    <t>ORD10022</t>
  </si>
  <si>
    <t>ORD10023</t>
  </si>
  <si>
    <t>Jaipur</t>
  </si>
  <si>
    <t>ORD10024</t>
  </si>
  <si>
    <t>Mohit Verma</t>
  </si>
  <si>
    <t>ORD10025</t>
  </si>
  <si>
    <t>C005</t>
  </si>
  <si>
    <t>P302</t>
  </si>
  <si>
    <t>Vikas Mehta</t>
  </si>
  <si>
    <t>Pen</t>
  </si>
  <si>
    <t>vikas.mehta@company.com</t>
  </si>
  <si>
    <t>ORD10026</t>
  </si>
  <si>
    <t>ORD10027</t>
  </si>
  <si>
    <t>ORD10028</t>
  </si>
  <si>
    <t>ORD10029</t>
  </si>
  <si>
    <t>ORD10030</t>
  </si>
  <si>
    <t>C006</t>
  </si>
  <si>
    <t>Sneha Joshi</t>
  </si>
  <si>
    <t>sneha.joshi@company.com</t>
  </si>
  <si>
    <t>ORD10031</t>
  </si>
  <si>
    <t>P303</t>
  </si>
  <si>
    <t>Marker</t>
  </si>
  <si>
    <t>ORD10032</t>
  </si>
  <si>
    <t>Priya    Patel</t>
  </si>
  <si>
    <t>ORD10033</t>
  </si>
  <si>
    <t>ORD10034</t>
  </si>
  <si>
    <t>wrongmail</t>
  </si>
  <si>
    <t>ORD10035</t>
  </si>
  <si>
    <t>ORD10036</t>
  </si>
  <si>
    <t>ORD10037</t>
  </si>
  <si>
    <t>Kolkata</t>
  </si>
  <si>
    <t>East</t>
  </si>
  <si>
    <t>ORD10038</t>
  </si>
  <si>
    <t>ORD10039</t>
  </si>
  <si>
    <t>ORD10040</t>
  </si>
  <si>
    <t>ORD10041</t>
  </si>
  <si>
    <t>ORD10042</t>
  </si>
  <si>
    <t>ORD10043</t>
  </si>
  <si>
    <t>ORD10044</t>
  </si>
  <si>
    <t>C001</t>
  </si>
  <si>
    <t>amit Sharma</t>
  </si>
  <si>
    <t>amit.sharma@company.com</t>
  </si>
  <si>
    <t>ORD10045</t>
  </si>
  <si>
    <t>ORD10046</t>
  </si>
  <si>
    <t>ORD10047</t>
  </si>
  <si>
    <t>sneha.joshicompany.com</t>
  </si>
  <si>
    <t>ORD10048</t>
  </si>
  <si>
    <t>ORD10049</t>
  </si>
  <si>
    <t>ORD10050</t>
  </si>
  <si>
    <t>Anita Gupta</t>
  </si>
  <si>
    <t>ORD10051</t>
  </si>
  <si>
    <t>POoja Shah</t>
  </si>
  <si>
    <t>ORD10052</t>
  </si>
  <si>
    <t>ORD10053</t>
  </si>
  <si>
    <t>ORD10054</t>
  </si>
  <si>
    <t>ORD10055</t>
  </si>
  <si>
    <t>RoHit Singh</t>
  </si>
  <si>
    <t>ORD10056</t>
  </si>
  <si>
    <t>Amit Sharma</t>
  </si>
  <si>
    <t>ORD10057</t>
  </si>
  <si>
    <t>amit.sharmcompany.com</t>
  </si>
  <si>
    <t>ORD10058</t>
  </si>
  <si>
    <t>ORD10059</t>
  </si>
  <si>
    <t>completed</t>
  </si>
  <si>
    <t>ORD10060</t>
  </si>
  <si>
    <t>Vikas.mehta@company.com</t>
  </si>
  <si>
    <t>ORD10061</t>
  </si>
  <si>
    <t>ORD10062</t>
  </si>
  <si>
    <t>ORD10063</t>
  </si>
  <si>
    <t>ORD10064</t>
  </si>
  <si>
    <t>ORD10065</t>
  </si>
  <si>
    <t>ORD10066</t>
  </si>
  <si>
    <t>ORD10067</t>
  </si>
  <si>
    <t>ORD10068</t>
  </si>
  <si>
    <t>ORD10069</t>
  </si>
  <si>
    <t>ORD10070</t>
  </si>
  <si>
    <t>ORD10071</t>
  </si>
  <si>
    <t>Anita.gupta@company.com</t>
  </si>
  <si>
    <t>ORD10072</t>
  </si>
  <si>
    <t>ORD10073</t>
  </si>
  <si>
    <t>ORD10074</t>
  </si>
  <si>
    <t>ORD10075</t>
  </si>
  <si>
    <t>ORD10076</t>
  </si>
  <si>
    <t>ORD10077</t>
  </si>
  <si>
    <t>ORD10078</t>
  </si>
  <si>
    <t>ORD10079</t>
  </si>
  <si>
    <t>ORD10080</t>
  </si>
  <si>
    <t>ORD10081</t>
  </si>
  <si>
    <t>ORD10082</t>
  </si>
  <si>
    <t>ORD10083</t>
  </si>
  <si>
    <t>ORD10084</t>
  </si>
  <si>
    <t>ORD10085</t>
  </si>
  <si>
    <t>ORD10086</t>
  </si>
  <si>
    <t>ORD10087</t>
  </si>
  <si>
    <t>ORD10088</t>
  </si>
  <si>
    <t>ORD10089</t>
  </si>
  <si>
    <t>north</t>
  </si>
  <si>
    <t>ORD10090</t>
  </si>
  <si>
    <t>ORD10091</t>
  </si>
  <si>
    <t>ORD10092</t>
  </si>
  <si>
    <t>ORD10093</t>
  </si>
  <si>
    <t>ORD10094</t>
  </si>
  <si>
    <t>ORD10095</t>
  </si>
  <si>
    <t>ORD10096</t>
  </si>
  <si>
    <t>ORD10097</t>
  </si>
  <si>
    <t>ORD10098</t>
  </si>
  <si>
    <t>ORD10099</t>
  </si>
  <si>
    <t>ORD10100</t>
  </si>
  <si>
    <t>ORD10101</t>
  </si>
  <si>
    <t>ORD10102</t>
  </si>
  <si>
    <t>ORD10103</t>
  </si>
  <si>
    <t>ORD10104</t>
  </si>
  <si>
    <t>ORD10105</t>
  </si>
  <si>
    <t>ORD10106</t>
  </si>
  <si>
    <t>ORD10107</t>
  </si>
  <si>
    <t>ORD10108</t>
  </si>
  <si>
    <t>ORD10109</t>
  </si>
  <si>
    <t>ORD10110</t>
  </si>
  <si>
    <t>ORD10111</t>
  </si>
  <si>
    <t>ORD10112</t>
  </si>
  <si>
    <t>ORD10113</t>
  </si>
  <si>
    <t>ORD10114</t>
  </si>
  <si>
    <t>ORD10115</t>
  </si>
  <si>
    <t>ORD10116</t>
  </si>
  <si>
    <t>ORD10117</t>
  </si>
  <si>
    <t>ORD10118</t>
  </si>
  <si>
    <t>ORD10119</t>
  </si>
  <si>
    <t>Ten</t>
  </si>
  <si>
    <t>ORD10120</t>
  </si>
  <si>
    <t>ORD10121</t>
  </si>
  <si>
    <t>ORD10122</t>
  </si>
  <si>
    <t>ORD10123</t>
  </si>
  <si>
    <t>ORD10124</t>
  </si>
  <si>
    <t>ORD10125</t>
  </si>
  <si>
    <t>ORD10126</t>
  </si>
  <si>
    <t>ORD10127</t>
  </si>
  <si>
    <t>ORD10128</t>
  </si>
  <si>
    <t>ORD10129</t>
  </si>
  <si>
    <t>ORD10130</t>
  </si>
  <si>
    <t>ORD10131</t>
  </si>
  <si>
    <t>ORD10132</t>
  </si>
  <si>
    <t>ORD10133</t>
  </si>
  <si>
    <t>ORD10134</t>
  </si>
  <si>
    <t>ORD10135</t>
  </si>
  <si>
    <t>ORD10136</t>
  </si>
  <si>
    <t>ORD10137</t>
  </si>
  <si>
    <t>ORD10138</t>
  </si>
  <si>
    <t>ORD10139</t>
  </si>
  <si>
    <t>ORD10140</t>
  </si>
  <si>
    <t>ORD10141</t>
  </si>
  <si>
    <t>ORD10142</t>
  </si>
  <si>
    <t>ORD10143</t>
  </si>
  <si>
    <t>ORD10144</t>
  </si>
  <si>
    <t>ORD10145</t>
  </si>
  <si>
    <t>ORD10146</t>
  </si>
  <si>
    <t>ORD10147</t>
  </si>
  <si>
    <t>ORD10148</t>
  </si>
  <si>
    <t>ORD10150</t>
  </si>
  <si>
    <t>ORD10151</t>
  </si>
  <si>
    <t>ORD10152</t>
  </si>
  <si>
    <t>ORD10153</t>
  </si>
  <si>
    <t>ORD10154</t>
  </si>
  <si>
    <t>ORD10155</t>
  </si>
  <si>
    <t>ORD10156</t>
  </si>
  <si>
    <t>ORD10157</t>
  </si>
  <si>
    <t>ORD10158</t>
  </si>
  <si>
    <t>ORD10159</t>
  </si>
  <si>
    <t>ORD10160</t>
  </si>
  <si>
    <t>ORD10161</t>
  </si>
  <si>
    <t>Amit    Sharma</t>
  </si>
  <si>
    <t>ORD10162</t>
  </si>
  <si>
    <t>ORD10163</t>
  </si>
  <si>
    <t>ORD10164</t>
  </si>
  <si>
    <t>ORD10165</t>
  </si>
  <si>
    <t>ORD10166</t>
  </si>
  <si>
    <t>ORD10167</t>
  </si>
  <si>
    <t>ORD10168</t>
  </si>
  <si>
    <t>ORD10169</t>
  </si>
  <si>
    <t>ORD10170</t>
  </si>
  <si>
    <t>ORD10171</t>
  </si>
  <si>
    <t>ORD10172</t>
  </si>
  <si>
    <t>ORD10173</t>
  </si>
  <si>
    <t>ORD10174</t>
  </si>
  <si>
    <t xml:space="preserve">       Vikas Mehta</t>
  </si>
  <si>
    <t>vikas.mehtacompany.com</t>
  </si>
  <si>
    <t>ORD10175</t>
  </si>
  <si>
    <t>ORD10176</t>
  </si>
  <si>
    <t>ORD10177</t>
  </si>
  <si>
    <t>Sneha      Joshi</t>
  </si>
  <si>
    <t>ORD10178</t>
  </si>
  <si>
    <t>ORD10179</t>
  </si>
  <si>
    <t>Priya  Patel</t>
  </si>
  <si>
    <t>ORD10180</t>
  </si>
  <si>
    <t>ORD10181</t>
  </si>
  <si>
    <t>ORD10182</t>
  </si>
  <si>
    <t>ORD10183</t>
  </si>
  <si>
    <t>ORD10184</t>
  </si>
  <si>
    <t>ORD10185</t>
  </si>
  <si>
    <t>ORD10186</t>
  </si>
  <si>
    <t>ORD10187</t>
  </si>
  <si>
    <t>ORD10188</t>
  </si>
  <si>
    <t>ORD10189</t>
  </si>
  <si>
    <t>ORD10190</t>
  </si>
  <si>
    <t>ORD10191</t>
  </si>
  <si>
    <t>ORD10192</t>
  </si>
  <si>
    <t>ORD10193</t>
  </si>
  <si>
    <t>ORD10194</t>
  </si>
  <si>
    <t>ORD10195</t>
  </si>
  <si>
    <t>ORD10196</t>
  </si>
  <si>
    <t>ORD10197</t>
  </si>
  <si>
    <t>ORD10198</t>
  </si>
  <si>
    <t>ORD10199</t>
  </si>
  <si>
    <t>Stationary</t>
  </si>
  <si>
    <t>ORD10200</t>
  </si>
  <si>
    <t>ORD10201</t>
  </si>
  <si>
    <t>ORD10202</t>
  </si>
  <si>
    <t>ORD10203</t>
  </si>
  <si>
    <t>ORD10204</t>
  </si>
  <si>
    <t>ORD10205</t>
  </si>
  <si>
    <t>ORD10206</t>
  </si>
  <si>
    <t>ORD10207</t>
  </si>
  <si>
    <t>ORD10208</t>
  </si>
  <si>
    <t>ORD10209</t>
  </si>
  <si>
    <t>ORD10210</t>
  </si>
  <si>
    <t>ORD10211</t>
  </si>
  <si>
    <t>ORD10212</t>
  </si>
  <si>
    <t>ORD10213</t>
  </si>
  <si>
    <t>ORD10214</t>
  </si>
  <si>
    <t>ORD10215</t>
  </si>
  <si>
    <t>ORD10216</t>
  </si>
  <si>
    <t>ORD10217</t>
  </si>
  <si>
    <t>ORD10218</t>
  </si>
  <si>
    <t>ORD10219</t>
  </si>
  <si>
    <t>ORD10220</t>
  </si>
  <si>
    <t>ORD10221</t>
  </si>
  <si>
    <t>ORD10222</t>
  </si>
  <si>
    <t>ORD10223</t>
  </si>
  <si>
    <t>ORD10224</t>
  </si>
  <si>
    <t>ORD10225</t>
  </si>
  <si>
    <t>ORD10226</t>
  </si>
  <si>
    <t>ORD10227</t>
  </si>
  <si>
    <t>ORD10228</t>
  </si>
  <si>
    <t>ORD10229</t>
  </si>
  <si>
    <t>ORD10230</t>
  </si>
  <si>
    <t>ORD10231</t>
  </si>
  <si>
    <t>ORD10232</t>
  </si>
  <si>
    <t>ORD10233</t>
  </si>
  <si>
    <t>ORD10234</t>
  </si>
  <si>
    <t>ORD10235</t>
  </si>
  <si>
    <t>ORD10236</t>
  </si>
  <si>
    <t>ORD10237</t>
  </si>
  <si>
    <t>ORD10238</t>
  </si>
  <si>
    <t>ORD10239</t>
  </si>
  <si>
    <t>ORD10240</t>
  </si>
  <si>
    <t>ORD10241</t>
  </si>
  <si>
    <t>ORD10242</t>
  </si>
  <si>
    <t>ORD10243</t>
  </si>
  <si>
    <t>ORD10244</t>
  </si>
  <si>
    <t>ORD10245</t>
  </si>
  <si>
    <t>ORD10246</t>
  </si>
  <si>
    <t>ORD10247</t>
  </si>
  <si>
    <t>ORD10248</t>
  </si>
  <si>
    <t>ORD10249</t>
  </si>
  <si>
    <t>Crypto</t>
  </si>
  <si>
    <t>ORD10250</t>
  </si>
  <si>
    <t>ORD10251</t>
  </si>
  <si>
    <t>ORD10252</t>
  </si>
  <si>
    <t>ORD10253</t>
  </si>
  <si>
    <t>ORD10254</t>
  </si>
  <si>
    <t>ORD10255</t>
  </si>
  <si>
    <t>ORD10256</t>
  </si>
  <si>
    <t>ORD10257</t>
  </si>
  <si>
    <t>ORD10258</t>
  </si>
  <si>
    <t>ORD10259</t>
  </si>
  <si>
    <t>ORD10260</t>
  </si>
  <si>
    <t>ORD10261</t>
  </si>
  <si>
    <t>ORD10262</t>
  </si>
  <si>
    <t>ORD10263</t>
  </si>
  <si>
    <t>ORD10264</t>
  </si>
  <si>
    <t>ORD10265</t>
  </si>
  <si>
    <t>ORD10266</t>
  </si>
  <si>
    <t>ORD10267</t>
  </si>
  <si>
    <t>ORD10268</t>
  </si>
  <si>
    <t>ORD10269</t>
  </si>
  <si>
    <t>ORD10270</t>
  </si>
  <si>
    <t>ORD10271</t>
  </si>
  <si>
    <t>ORD10272</t>
  </si>
  <si>
    <t>ORD10273</t>
  </si>
  <si>
    <t>ORD10274</t>
  </si>
  <si>
    <t>ORD10275</t>
  </si>
  <si>
    <t>ORD10276</t>
  </si>
  <si>
    <t>ORD10277</t>
  </si>
  <si>
    <t>ORD10278</t>
  </si>
  <si>
    <t>ORD10279</t>
  </si>
  <si>
    <t>ORD10280</t>
  </si>
  <si>
    <t>ORD10281</t>
  </si>
  <si>
    <t>ORD10282</t>
  </si>
  <si>
    <t>ORD10283</t>
  </si>
  <si>
    <t>ORD10284</t>
  </si>
  <si>
    <t>ORD10285</t>
  </si>
  <si>
    <t>ORD10286</t>
  </si>
  <si>
    <t>ORD10287</t>
  </si>
  <si>
    <t>ORD10288</t>
  </si>
  <si>
    <t>priya.patecompany.com</t>
  </si>
  <si>
    <t>ORD10289</t>
  </si>
  <si>
    <t>ORD10290</t>
  </si>
  <si>
    <t>ORD10291</t>
  </si>
  <si>
    <t>ORD10292</t>
  </si>
  <si>
    <t>ORD10293</t>
  </si>
  <si>
    <t>Pooja.shah@company.com</t>
  </si>
  <si>
    <t>ORD10294</t>
  </si>
  <si>
    <t>ORD10295</t>
  </si>
  <si>
    <t>ORD10296</t>
  </si>
  <si>
    <t>ORD10297</t>
  </si>
  <si>
    <t>ORD10298</t>
  </si>
  <si>
    <t>ORD10299</t>
  </si>
  <si>
    <t>ORD10300</t>
  </si>
  <si>
    <t>ORD10301</t>
  </si>
  <si>
    <t>ORD10302</t>
  </si>
  <si>
    <t>ORD10303</t>
  </si>
  <si>
    <t>ORD10304</t>
  </si>
  <si>
    <t>ORD10305</t>
  </si>
  <si>
    <t>ORD10306</t>
  </si>
  <si>
    <t>ORD10307</t>
  </si>
  <si>
    <t>ORD10308</t>
  </si>
  <si>
    <t>ORD10309</t>
  </si>
  <si>
    <t>ORD10310</t>
  </si>
  <si>
    <t>ORD10311</t>
  </si>
  <si>
    <t>ORD10312</t>
  </si>
  <si>
    <t>ORD10313</t>
  </si>
  <si>
    <t>ORD10314</t>
  </si>
  <si>
    <t>ORD10315</t>
  </si>
  <si>
    <t>ORD10316</t>
  </si>
  <si>
    <t>ORD10317</t>
  </si>
  <si>
    <t>ORD10318</t>
  </si>
  <si>
    <t>ORD10319</t>
  </si>
  <si>
    <t>ORD10320</t>
  </si>
  <si>
    <t>ORD10321</t>
  </si>
  <si>
    <t>ORD10322</t>
  </si>
  <si>
    <t>ORD10323</t>
  </si>
  <si>
    <t>ORD10324</t>
  </si>
  <si>
    <t>ORD10325</t>
  </si>
  <si>
    <t>ORD10326</t>
  </si>
  <si>
    <t>ORD10327</t>
  </si>
  <si>
    <t>ORD10328</t>
  </si>
  <si>
    <t>ORD10329</t>
  </si>
  <si>
    <t>ORD10330</t>
  </si>
  <si>
    <t>ORD10331</t>
  </si>
  <si>
    <t>ORD10332</t>
  </si>
  <si>
    <t>ORD10333</t>
  </si>
  <si>
    <t>ORD10334</t>
  </si>
  <si>
    <t>ORD10335</t>
  </si>
  <si>
    <t>ORD10336</t>
  </si>
  <si>
    <t>ORD10337</t>
  </si>
  <si>
    <t>ORD10338</t>
  </si>
  <si>
    <t>ORD10339</t>
  </si>
  <si>
    <t>ORD10340</t>
  </si>
  <si>
    <t>ORD10341</t>
  </si>
  <si>
    <t>ORD10342</t>
  </si>
  <si>
    <t>ORD10343</t>
  </si>
  <si>
    <t>ORD10344</t>
  </si>
  <si>
    <t>ORD10345</t>
  </si>
  <si>
    <t>ORD10346</t>
  </si>
  <si>
    <t>ORD10347</t>
  </si>
  <si>
    <t>ORD10348</t>
  </si>
  <si>
    <t>ORD10349</t>
  </si>
  <si>
    <t>P999</t>
  </si>
  <si>
    <t>ORD10350</t>
  </si>
  <si>
    <t>ORD10351</t>
  </si>
  <si>
    <t>ORD10352</t>
  </si>
  <si>
    <t>ORD10353</t>
  </si>
  <si>
    <t>ORD10354</t>
  </si>
  <si>
    <t>ORD10355</t>
  </si>
  <si>
    <t>ORD10356</t>
  </si>
  <si>
    <t>ORD10357</t>
  </si>
  <si>
    <t>\</t>
  </si>
  <si>
    <t>ORD10358</t>
  </si>
  <si>
    <t>ORD10359</t>
  </si>
  <si>
    <t>ORD10360</t>
  </si>
  <si>
    <t>ORD10361</t>
  </si>
  <si>
    <t>ORD10362</t>
  </si>
  <si>
    <t>ORD10363</t>
  </si>
  <si>
    <t>ORD10364</t>
  </si>
  <si>
    <t>ORD10365</t>
  </si>
  <si>
    <t>ORD10366</t>
  </si>
  <si>
    <t>ORD10367</t>
  </si>
  <si>
    <t>ORD10368</t>
  </si>
  <si>
    <t>ORD10369</t>
  </si>
  <si>
    <t>ORD10370</t>
  </si>
  <si>
    <t>ORD10371</t>
  </si>
  <si>
    <t>ORD10372</t>
  </si>
  <si>
    <t>ORD10373</t>
  </si>
  <si>
    <t>ORD10374</t>
  </si>
  <si>
    <t>ORD10375</t>
  </si>
  <si>
    <t>ORD10376</t>
  </si>
  <si>
    <t>ORD10377</t>
  </si>
  <si>
    <t>ORD10378</t>
  </si>
  <si>
    <t>ORD10379</t>
  </si>
  <si>
    <t>ORD10380</t>
  </si>
  <si>
    <t>ORD10381</t>
  </si>
  <si>
    <t>ORD10382</t>
  </si>
  <si>
    <t>ORD10383</t>
  </si>
  <si>
    <t>Rohit      Singh</t>
  </si>
  <si>
    <t>ORD10384</t>
  </si>
  <si>
    <t>ORD10385</t>
  </si>
  <si>
    <t>ORD10386</t>
  </si>
  <si>
    <t>ORD10387</t>
  </si>
  <si>
    <t>ORD10388</t>
  </si>
  <si>
    <t>ORD10389</t>
  </si>
  <si>
    <t>ORD10390</t>
  </si>
  <si>
    <t>ORD10391</t>
  </si>
  <si>
    <t>ORD10392</t>
  </si>
  <si>
    <t>ORD10393</t>
  </si>
  <si>
    <t>ORD10394</t>
  </si>
  <si>
    <t>ORD10395</t>
  </si>
  <si>
    <t>ORD10396</t>
  </si>
  <si>
    <t>ORD10397</t>
  </si>
  <si>
    <t>ORD10398</t>
  </si>
  <si>
    <t>ORD10399</t>
  </si>
  <si>
    <t>ORD10400</t>
  </si>
  <si>
    <t>ORD10401</t>
  </si>
  <si>
    <t>ORD10402</t>
  </si>
  <si>
    <t>ORD10403</t>
  </si>
  <si>
    <t>ORD10404</t>
  </si>
  <si>
    <t>ORD10405</t>
  </si>
  <si>
    <t>ORD10406</t>
  </si>
  <si>
    <t>ORD10407</t>
  </si>
  <si>
    <t>ORD10408</t>
  </si>
  <si>
    <t>ORD10409</t>
  </si>
  <si>
    <t>ORD10410</t>
  </si>
  <si>
    <t>ORD10411</t>
  </si>
  <si>
    <t>ORD10412</t>
  </si>
  <si>
    <t>ORD10413</t>
  </si>
  <si>
    <t>ORD10414</t>
  </si>
  <si>
    <t>ORD10415</t>
  </si>
  <si>
    <t>ORD10416</t>
  </si>
  <si>
    <t>ORD10417</t>
  </si>
  <si>
    <t>ORD10418</t>
  </si>
  <si>
    <t>ORD10419</t>
  </si>
  <si>
    <t>ORD10420</t>
  </si>
  <si>
    <t>ORD10421</t>
  </si>
  <si>
    <t>ORD10422</t>
  </si>
  <si>
    <t>ORD10423</t>
  </si>
  <si>
    <t>ORD10424</t>
  </si>
  <si>
    <t>ORD10425</t>
  </si>
  <si>
    <t>ORD10426</t>
  </si>
  <si>
    <t>ORD10427</t>
  </si>
  <si>
    <t>ORD10428</t>
  </si>
  <si>
    <t>ORD10429</t>
  </si>
  <si>
    <t>ORD10430</t>
  </si>
  <si>
    <t>ORD10431</t>
  </si>
  <si>
    <t>ORD10432</t>
  </si>
  <si>
    <t>ORD10433</t>
  </si>
  <si>
    <t>ORD10434</t>
  </si>
  <si>
    <t>ORD10435</t>
  </si>
  <si>
    <t>ORD10436</t>
  </si>
  <si>
    <t>ORD10437</t>
  </si>
  <si>
    <t>ORD10438</t>
  </si>
  <si>
    <t>ORD10439</t>
  </si>
  <si>
    <t>ORD10440</t>
  </si>
  <si>
    <t>ORD10441</t>
  </si>
  <si>
    <t>ORD10442</t>
  </si>
  <si>
    <t>ORD10443</t>
  </si>
  <si>
    <t>ORD10444</t>
  </si>
  <si>
    <t>ORD10445</t>
  </si>
  <si>
    <t>ORD10446</t>
  </si>
  <si>
    <t>ORD10447</t>
  </si>
  <si>
    <t>ORD10448</t>
  </si>
  <si>
    <t>ORD10449</t>
  </si>
  <si>
    <t>amit.SHarma@company.com</t>
  </si>
  <si>
    <t>ORD10450</t>
  </si>
  <si>
    <t>ORD10451</t>
  </si>
  <si>
    <t>ORD10452</t>
  </si>
  <si>
    <t>ORD10453</t>
  </si>
  <si>
    <t>ORD10454</t>
  </si>
  <si>
    <t>ORD10455</t>
  </si>
  <si>
    <t>ORD10456</t>
  </si>
  <si>
    <t>ORD10457</t>
  </si>
  <si>
    <t>ORD10458</t>
  </si>
  <si>
    <t>ORD10459</t>
  </si>
  <si>
    <t>ORD10460</t>
  </si>
  <si>
    <t>ORD10461</t>
  </si>
  <si>
    <t>ORD10462</t>
  </si>
  <si>
    <t>rohit.sinGh@company.com</t>
  </si>
  <si>
    <t>ORD10463</t>
  </si>
  <si>
    <t>ORD10464</t>
  </si>
  <si>
    <t>ORD10465</t>
  </si>
  <si>
    <t>ORD10466</t>
  </si>
  <si>
    <t>ORD10467</t>
  </si>
  <si>
    <t>ORD10468</t>
  </si>
  <si>
    <t>ORD10469</t>
  </si>
  <si>
    <t>ORD10470</t>
  </si>
  <si>
    <t>ORD10471</t>
  </si>
  <si>
    <t>ORD10472</t>
  </si>
  <si>
    <t>ORD10473</t>
  </si>
  <si>
    <t>ORD10474</t>
  </si>
  <si>
    <t>ORD10475</t>
  </si>
  <si>
    <t>ORD10476</t>
  </si>
  <si>
    <t>ORD10477</t>
  </si>
  <si>
    <t>ORD10478</t>
  </si>
  <si>
    <t>kavya.Nair@company.com</t>
  </si>
  <si>
    <t>ORD10479</t>
  </si>
  <si>
    <t>Anita     Gupta</t>
  </si>
  <si>
    <t>ORD10480</t>
  </si>
  <si>
    <t>ORD10481</t>
  </si>
  <si>
    <t>ORD10482</t>
  </si>
  <si>
    <t>ORD10483</t>
  </si>
  <si>
    <t>Mohit verma</t>
  </si>
  <si>
    <t>ORD10484</t>
  </si>
  <si>
    <t>ORD10485</t>
  </si>
  <si>
    <t xml:space="preserve">         Amit Sharma</t>
  </si>
  <si>
    <t>ORD10486</t>
  </si>
  <si>
    <t>ORD10487</t>
  </si>
  <si>
    <t>ORD10488</t>
  </si>
  <si>
    <t>pOOja.shah@company.com</t>
  </si>
  <si>
    <t>ORD10489</t>
  </si>
  <si>
    <t>ORD10490</t>
  </si>
  <si>
    <t>ORD10491</t>
  </si>
  <si>
    <t xml:space="preserve">Priya Patel      </t>
  </si>
  <si>
    <t>ORD10492</t>
  </si>
  <si>
    <t>ORD10493</t>
  </si>
  <si>
    <t xml:space="preserve">     Rohit Singh</t>
  </si>
  <si>
    <t>ORD10494</t>
  </si>
  <si>
    <t>ORD10495</t>
  </si>
  <si>
    <t>ORD10496</t>
  </si>
  <si>
    <t>Anita      Gupta</t>
  </si>
  <si>
    <t>ORD10497</t>
  </si>
  <si>
    <t>ORD10498</t>
  </si>
  <si>
    <t>ORD10499</t>
  </si>
  <si>
    <t>Laptop,Mouse</t>
  </si>
  <si>
    <t>ORD10500</t>
  </si>
  <si>
    <t>Customer_Classification</t>
  </si>
  <si>
    <t>Customer_Code</t>
  </si>
  <si>
    <t>Email_Id</t>
  </si>
  <si>
    <t>Customer_Age</t>
  </si>
  <si>
    <t>Delivery_Time(Days)</t>
  </si>
  <si>
    <t>Delivery_Status</t>
  </si>
  <si>
    <t>Product_Id</t>
  </si>
  <si>
    <t>Supplier</t>
  </si>
  <si>
    <t>Cost_Price</t>
  </si>
  <si>
    <t>Warranty(Months)</t>
  </si>
  <si>
    <t>Warranty_Months</t>
  </si>
  <si>
    <t>TechHub</t>
  </si>
  <si>
    <t>Global Trade</t>
  </si>
  <si>
    <t>ABC Corp</t>
  </si>
  <si>
    <t>Prime Supplies</t>
  </si>
  <si>
    <t>Membership</t>
  </si>
  <si>
    <t>State</t>
  </si>
  <si>
    <t>Silver</t>
  </si>
  <si>
    <t>RJ</t>
  </si>
  <si>
    <t>Platinum</t>
  </si>
  <si>
    <t>WB</t>
  </si>
  <si>
    <t>Gold</t>
  </si>
  <si>
    <t>DL</t>
  </si>
  <si>
    <t>KA</t>
  </si>
  <si>
    <t>Total_Sales_Amount_for_Electronics&amp;Completed</t>
  </si>
  <si>
    <t>Total_Sales_Amount_by_Neha&amp;NorthRegion</t>
  </si>
  <si>
    <t>Number_of_Orders_where_dis(&gt;=15%)&amp;UPI</t>
  </si>
  <si>
    <t>Number_of_Customers_give_Rating(5)&amp;Completed</t>
  </si>
  <si>
    <t>Average_Sales_Amount_West&amp;Rating(&gt;5)</t>
  </si>
  <si>
    <t>Average_Sales_Amount</t>
  </si>
  <si>
    <t>Median_Sales_Amount</t>
  </si>
  <si>
    <t>Lowest_Sales_Amount</t>
  </si>
  <si>
    <t>Highest_Sales_Amount</t>
  </si>
  <si>
    <t>StDev_of_the_Sales_Amount</t>
  </si>
  <si>
    <t>90th%_of_the_Sales_Amount</t>
  </si>
  <si>
    <t>Total_Revenue-Generated</t>
  </si>
  <si>
    <t>Weighted_Average</t>
  </si>
  <si>
    <t>Total_Value_in_the_Sales_Column</t>
  </si>
  <si>
    <t>Total_Discounted_Amount</t>
  </si>
  <si>
    <t>Future_Value</t>
  </si>
  <si>
    <t>Monthly_Investment</t>
  </si>
  <si>
    <t>Monthly_EMІ</t>
  </si>
  <si>
    <t>Plan</t>
  </si>
  <si>
    <t>Amount</t>
  </si>
  <si>
    <t>Not_Assigned</t>
  </si>
  <si>
    <t>KPIs</t>
  </si>
  <si>
    <t>Sum of Sales</t>
  </si>
  <si>
    <t>Row Labels</t>
  </si>
  <si>
    <t>Grand Total</t>
  </si>
  <si>
    <t>Count of Order_ID</t>
  </si>
  <si>
    <t>Jan</t>
  </si>
  <si>
    <t>Feb</t>
  </si>
  <si>
    <t>Mar</t>
  </si>
  <si>
    <t>Apr</t>
  </si>
  <si>
    <t>May</t>
  </si>
  <si>
    <t>Jun</t>
  </si>
  <si>
    <t>Jul</t>
  </si>
  <si>
    <t>Aug</t>
  </si>
  <si>
    <t>Sep</t>
  </si>
  <si>
    <t>Oct</t>
  </si>
  <si>
    <t>Nov</t>
  </si>
  <si>
    <t>Dec</t>
  </si>
  <si>
    <t>Average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</si>
</sst>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 #,##0.00;[Red]&quot;₹&quot;\ \-#,##0.00"/>
    <numFmt numFmtId="164" formatCode="&quot;₹&quot;\ #,##0"/>
    <numFmt numFmtId="165" formatCode="&quot;₹&quot;\ #,##0.00"/>
    <numFmt numFmtId="166" formatCode="dd\/mm\/yyyy"/>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color theme="1"/>
      <name val="Calibri"/>
      <family val="2"/>
      <scheme val="minor"/>
    </font>
    <font>
      <sz val="16"/>
      <color theme="1"/>
      <name val="Calibri"/>
      <family val="2"/>
      <scheme val="minor"/>
    </font>
    <font>
      <sz val="14"/>
      <color theme="1"/>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59999389629810485"/>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9" tint="0.79998168889431442"/>
        <bgColor theme="9" tint="0.79998168889431442"/>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42">
    <xf numFmtId="0" fontId="0" fillId="0" borderId="0" xfId="0"/>
    <xf numFmtId="14" fontId="0" fillId="0" borderId="0" xfId="0" applyNumberFormat="1"/>
    <xf numFmtId="0" fontId="0" fillId="0" borderId="0" xfId="0" applyAlignment="1">
      <alignment horizontal="center" vertical="center"/>
    </xf>
    <xf numFmtId="14" fontId="0" fillId="0" borderId="0" xfId="0" applyNumberFormat="1" applyAlignment="1">
      <alignment horizontal="center" vertical="center"/>
    </xf>
    <xf numFmtId="0" fontId="0" fillId="33" borderId="0" xfId="0" applyFill="1" applyAlignment="1">
      <alignment horizontal="center" vertical="center"/>
    </xf>
    <xf numFmtId="14" fontId="0" fillId="33" borderId="0" xfId="0" applyNumberFormat="1" applyFill="1" applyAlignment="1">
      <alignment horizontal="center" vertical="center"/>
    </xf>
    <xf numFmtId="164" fontId="0" fillId="33" borderId="0" xfId="0" applyNumberFormat="1" applyFill="1" applyAlignment="1">
      <alignment horizontal="center" vertical="center"/>
    </xf>
    <xf numFmtId="164" fontId="0" fillId="0" borderId="0" xfId="0" applyNumberFormat="1" applyAlignment="1">
      <alignment horizontal="center" vertical="center"/>
    </xf>
    <xf numFmtId="164" fontId="0" fillId="0" borderId="0" xfId="0" applyNumberFormat="1"/>
    <xf numFmtId="0" fontId="0" fillId="34" borderId="0" xfId="0" applyFill="1"/>
    <xf numFmtId="0" fontId="0" fillId="33" borderId="0" xfId="0" applyFill="1"/>
    <xf numFmtId="0" fontId="0" fillId="35" borderId="0" xfId="0" applyFill="1"/>
    <xf numFmtId="0" fontId="0" fillId="35" borderId="0" xfId="0" applyFill="1" applyAlignment="1">
      <alignment horizontal="center" vertical="center"/>
    </xf>
    <xf numFmtId="0" fontId="0" fillId="34" borderId="0" xfId="0" applyFill="1" applyAlignment="1">
      <alignment horizontal="center" vertical="center"/>
    </xf>
    <xf numFmtId="0" fontId="0" fillId="36" borderId="10" xfId="0" applyFill="1" applyBorder="1"/>
    <xf numFmtId="0" fontId="0" fillId="36" borderId="11" xfId="0" applyFill="1" applyBorder="1"/>
    <xf numFmtId="0" fontId="0" fillId="36" borderId="12" xfId="0" applyFill="1" applyBorder="1"/>
    <xf numFmtId="0" fontId="0" fillId="0" borderId="10" xfId="0" applyBorder="1"/>
    <xf numFmtId="0" fontId="0" fillId="0" borderId="11" xfId="0" applyBorder="1"/>
    <xf numFmtId="0" fontId="0" fillId="0" borderId="12" xfId="0" applyBorder="1"/>
    <xf numFmtId="0" fontId="18" fillId="0" borderId="0" xfId="0" applyFont="1" applyAlignment="1">
      <alignment horizontal="center" vertical="center"/>
    </xf>
    <xf numFmtId="0" fontId="19" fillId="33" borderId="0" xfId="0" applyFont="1" applyFill="1" applyAlignment="1">
      <alignment horizontal="center" vertical="center"/>
    </xf>
    <xf numFmtId="0" fontId="18" fillId="35" borderId="0" xfId="0" applyFont="1" applyFill="1" applyAlignment="1">
      <alignment horizontal="center" vertical="center"/>
    </xf>
    <xf numFmtId="0" fontId="0" fillId="0" borderId="0" xfId="42" applyNumberFormat="1" applyFont="1" applyAlignment="1">
      <alignment horizontal="center" vertical="center"/>
    </xf>
    <xf numFmtId="165" fontId="0" fillId="0" borderId="0" xfId="0" applyNumberFormat="1"/>
    <xf numFmtId="0" fontId="20" fillId="0" borderId="0" xfId="0" applyFont="1" applyAlignment="1">
      <alignment horizontal="center" vertical="center"/>
    </xf>
    <xf numFmtId="165" fontId="20" fillId="0" borderId="0" xfId="0" applyNumberFormat="1" applyFont="1" applyAlignment="1">
      <alignment horizontal="center" vertical="center"/>
    </xf>
    <xf numFmtId="0" fontId="20" fillId="0" borderId="13" xfId="0" applyFont="1" applyBorder="1" applyAlignment="1">
      <alignment horizontal="center" vertical="center"/>
    </xf>
    <xf numFmtId="165" fontId="20" fillId="0" borderId="13" xfId="0" applyNumberFormat="1" applyFont="1" applyBorder="1" applyAlignment="1">
      <alignment horizontal="center" vertical="center"/>
    </xf>
    <xf numFmtId="165" fontId="20" fillId="33" borderId="13" xfId="0" applyNumberFormat="1" applyFont="1" applyFill="1" applyBorder="1" applyAlignment="1">
      <alignment horizontal="center" vertical="center"/>
    </xf>
    <xf numFmtId="0" fontId="20" fillId="33" borderId="13" xfId="0" applyFont="1" applyFill="1" applyBorder="1" applyAlignment="1">
      <alignment horizontal="center" vertical="center"/>
    </xf>
    <xf numFmtId="0" fontId="20" fillId="33" borderId="0" xfId="0" applyFont="1" applyFill="1" applyAlignment="1">
      <alignment horizontal="center" vertical="center"/>
    </xf>
    <xf numFmtId="165" fontId="20" fillId="33" borderId="0" xfId="0" applyNumberFormat="1" applyFont="1" applyFill="1" applyAlignment="1">
      <alignment horizontal="center" vertical="center"/>
    </xf>
    <xf numFmtId="8" fontId="20" fillId="0" borderId="0" xfId="0" applyNumberFormat="1" applyFont="1" applyAlignment="1">
      <alignment horizontal="center" vertical="center"/>
    </xf>
    <xf numFmtId="0" fontId="0" fillId="0" borderId="0" xfId="0" applyNumberFormat="1"/>
    <xf numFmtId="0" fontId="0" fillId="0" borderId="0" xfId="0" pivotButton="1"/>
    <xf numFmtId="0" fontId="0" fillId="0" borderId="0" xfId="0" applyAlignment="1">
      <alignment horizontal="left"/>
    </xf>
    <xf numFmtId="166" fontId="0" fillId="33" borderId="0" xfId="0" applyNumberFormat="1" applyFill="1" applyAlignment="1">
      <alignment horizontal="center" vertical="center"/>
    </xf>
    <xf numFmtId="166" fontId="0" fillId="0" borderId="0" xfId="0" applyNumberFormat="1" applyAlignment="1">
      <alignment horizontal="center" vertical="center"/>
    </xf>
    <xf numFmtId="166" fontId="0" fillId="0" borderId="0" xfId="0" applyNumberFormat="1"/>
    <xf numFmtId="166" fontId="0" fillId="0" borderId="0" xfId="0" applyNumberFormat="1" applyAlignment="1">
      <alignment horizontal="left"/>
    </xf>
    <xf numFmtId="2"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4">
    <dxf>
      <numFmt numFmtId="2" formatCode="0.00"/>
    </dxf>
    <dxf>
      <numFmt numFmtId="2" formatCode="0.00"/>
    </dxf>
    <dxf>
      <numFmt numFmtId="2" formatCode="0.00"/>
    </dxf>
    <dxf>
      <numFmt numFmtId="2" formatCode="0.00"/>
    </dxf>
    <dxf>
      <numFmt numFmtId="2" formatCode="0.00"/>
    </dxf>
    <dxf>
      <numFmt numFmtId="2" formatCode="0.00"/>
    </dxf>
    <dxf>
      <font>
        <color rgb="FF9C5700"/>
      </font>
      <fill>
        <patternFill>
          <bgColor rgb="FFFFEB9C"/>
        </patternFill>
      </fill>
    </dxf>
    <dxf>
      <font>
        <b val="0"/>
        <i val="0"/>
        <strike val="0"/>
        <condense val="0"/>
        <extend val="0"/>
        <outline val="0"/>
        <shadow val="0"/>
        <u val="none"/>
        <vertAlign val="baseline"/>
        <sz val="14"/>
        <color theme="1"/>
        <name val="Calibri"/>
        <family val="2"/>
        <scheme val="minor"/>
      </font>
      <numFmt numFmtId="12" formatCode="&quot;₹&quot;\ #,##0.00;[Red]&quot;₹&quot;\ \-#,##0.00"/>
      <alignment horizontal="center" vertical="center" textRotation="0" wrapText="0" indent="0" justifyLastLine="0" shrinkToFit="0" readingOrder="0"/>
    </dxf>
    <dxf>
      <font>
        <b val="0"/>
        <i val="0"/>
        <strike val="0"/>
        <condense val="0"/>
        <extend val="0"/>
        <outline val="0"/>
        <shadow val="0"/>
        <u val="none"/>
        <vertAlign val="baseline"/>
        <sz val="14"/>
        <color theme="1"/>
        <name val="Calibri"/>
        <family val="2"/>
        <scheme val="minor"/>
      </font>
      <alignment horizontal="center" vertical="center" textRotation="0" wrapText="0" indent="0" justifyLastLine="0" shrinkToFit="0" readingOrder="0"/>
    </dxf>
    <dxf>
      <numFmt numFmtId="164" formatCode="&quot;₹&quot;\ #,##0"/>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[Corporate_sales_data_Assignment-3.xlsx]Q10!PivotTable3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'Q10'!$I$16</c:f>
              <c:strCache>
                <c:ptCount val="1"/>
                <c:pt idx="0">
                  <c:v>Total</c:v>
                </c:pt>
              </c:strCache>
            </c:strRef>
          </c:tx>
          <c:spPr>
            <a:ln w="28575" cap="rnd">
              <a:solidFill>
                <a:schemeClr val="accent1"/>
              </a:solidFill>
              <a:round/>
            </a:ln>
            <a:effectLst/>
          </c:spPr>
          <c:marker>
            <c:symbol val="none"/>
          </c:marker>
          <c:cat>
            <c:strRef>
              <c:f>'Q10'!$H$17:$H$29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'Q10'!$I$17:$I$29</c:f>
              <c:numCache>
                <c:formatCode>General</c:formatCode>
                <c:ptCount val="12"/>
                <c:pt idx="0">
                  <c:v>5404197.5</c:v>
                </c:pt>
                <c:pt idx="1">
                  <c:v>4363982.25</c:v>
                </c:pt>
                <c:pt idx="2">
                  <c:v>3640969.75</c:v>
                </c:pt>
                <c:pt idx="3">
                  <c:v>5689717.75</c:v>
                </c:pt>
                <c:pt idx="4">
                  <c:v>3849232</c:v>
                </c:pt>
                <c:pt idx="5">
                  <c:v>1032385</c:v>
                </c:pt>
                <c:pt idx="6">
                  <c:v>1741047.5</c:v>
                </c:pt>
                <c:pt idx="7">
                  <c:v>1836526</c:v>
                </c:pt>
                <c:pt idx="8">
                  <c:v>1226591.5</c:v>
                </c:pt>
                <c:pt idx="9">
                  <c:v>1782743.5</c:v>
                </c:pt>
                <c:pt idx="10">
                  <c:v>1992715.25</c:v>
                </c:pt>
                <c:pt idx="11">
                  <c:v>2185859.5</c:v>
                </c:pt>
              </c:numCache>
            </c:numRef>
          </c:val>
          <c:smooth val="0"/>
          <c:extLst>
            <c:ext xmlns:c16="http://schemas.microsoft.com/office/drawing/2014/chart" uri="{C3380CC4-5D6E-409C-BE32-E72D297353CC}">
              <c16:uniqueId val="{00000000-9F16-4001-BFE4-142893E70B15}"/>
            </c:ext>
          </c:extLst>
        </c:ser>
        <c:dLbls>
          <c:showLegendKey val="0"/>
          <c:showVal val="0"/>
          <c:showCatName val="0"/>
          <c:showSerName val="0"/>
          <c:showPercent val="0"/>
          <c:showBubbleSize val="0"/>
        </c:dLbls>
        <c:smooth val="0"/>
        <c:axId val="1914873871"/>
        <c:axId val="1914871791"/>
      </c:lineChart>
      <c:catAx>
        <c:axId val="1914873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914871791"/>
        <c:crosses val="autoZero"/>
        <c:auto val="1"/>
        <c:lblAlgn val="ctr"/>
        <c:lblOffset val="100"/>
        <c:noMultiLvlLbl val="0"/>
      </c:catAx>
      <c:valAx>
        <c:axId val="1914871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914873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60000"/>
        <a:lumOff val="40000"/>
      </a:schemeClr>
    </a:solidFill>
    <a:ln w="9525" cap="flat" cmpd="sng" algn="ctr">
      <a:no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[Corporate_sales_data_Assignment-3.xlsx]Q10!PivotTable6</c:name>
    <c:fmtId val="7"/>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95000"/>
                  <a:lumOff val="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
      </c:pivotFmt>
      <c:pivotFmt>
        <c:idx val="12"/>
      </c:pivotFmt>
      <c:pivotFmt>
        <c:idx val="13"/>
      </c:pivotFmt>
      <c:pivotFmt>
        <c:idx val="14"/>
      </c:pivotFmt>
    </c:pivotFmts>
    <c:plotArea>
      <c:layout/>
      <c:pieChart>
        <c:varyColors val="1"/>
        <c:ser>
          <c:idx val="0"/>
          <c:order val="0"/>
          <c:tx>
            <c:strRef>
              <c:f>'Q10'!$K$7</c:f>
              <c:strCache>
                <c:ptCount val="1"/>
                <c:pt idx="0">
                  <c:v>Total</c:v>
                </c:pt>
              </c:strCache>
            </c:strRef>
          </c:tx>
          <c:explosion val="1"/>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9B26-414D-A18E-762F47715F32}"/>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9B26-414D-A18E-762F47715F32}"/>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9B26-414D-A18E-762F47715F32}"/>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9B26-414D-A18E-762F47715F32}"/>
              </c:ext>
            </c:extLst>
          </c:dPt>
          <c:dLbls>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'Q10'!$J$8:$J$11</c:f>
              <c:strCache>
                <c:ptCount val="3"/>
                <c:pt idx="0">
                  <c:v>Electronics</c:v>
                </c:pt>
                <c:pt idx="1">
                  <c:v>Home Appliances</c:v>
                </c:pt>
                <c:pt idx="2">
                  <c:v>Stationery</c:v>
                </c:pt>
              </c:strCache>
            </c:strRef>
          </c:cat>
          <c:val>
            <c:numRef>
              <c:f>'Q10'!$K$8:$K$11</c:f>
              <c:numCache>
                <c:formatCode>General</c:formatCode>
                <c:ptCount val="3"/>
                <c:pt idx="0">
                  <c:v>27823939</c:v>
                </c:pt>
                <c:pt idx="1">
                  <c:v>6806525</c:v>
                </c:pt>
                <c:pt idx="2">
                  <c:v>115503.5</c:v>
                </c:pt>
              </c:numCache>
            </c:numRef>
          </c:val>
          <c:extLst>
            <c:ext xmlns:c16="http://schemas.microsoft.com/office/drawing/2014/chart" uri="{C3380CC4-5D6E-409C-BE32-E72D297353CC}">
              <c16:uniqueId val="{00000008-9B26-414D-A18E-762F47715F32}"/>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60000"/>
        <a:lumOff val="40000"/>
      </a:schemeClr>
    </a:solidFill>
    <a:ln w="9525" cap="flat" cmpd="sng" algn="ctr">
      <a:no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[Corporate_sales_data_Assignment-3.xlsx]Q10!PivotTable5</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'Q10'!$B$7</c:f>
              <c:strCache>
                <c:ptCount val="1"/>
                <c:pt idx="0">
                  <c:v>Total</c:v>
                </c:pt>
              </c:strCache>
            </c:strRef>
          </c:tx>
          <c:spPr>
            <a:solidFill>
              <a:schemeClr val="accent1"/>
            </a:solidFill>
            <a:ln>
              <a:noFill/>
            </a:ln>
            <a:effectLst/>
          </c:spPr>
          <c:invertIfNegative val="0"/>
          <c:cat>
            <c:strRef>
              <c:f>'Q10'!$A$8:$A$12</c:f>
              <c:strCache>
                <c:ptCount val="4"/>
                <c:pt idx="0">
                  <c:v>East</c:v>
                </c:pt>
                <c:pt idx="1">
                  <c:v>North</c:v>
                </c:pt>
                <c:pt idx="2">
                  <c:v>South</c:v>
                </c:pt>
                <c:pt idx="3">
                  <c:v>West</c:v>
                </c:pt>
              </c:strCache>
            </c:strRef>
          </c:cat>
          <c:val>
            <c:numRef>
              <c:f>'Q10'!$B$8:$B$12</c:f>
              <c:numCache>
                <c:formatCode>General</c:formatCode>
                <c:ptCount val="4"/>
                <c:pt idx="0">
                  <c:v>4041922</c:v>
                </c:pt>
                <c:pt idx="1">
                  <c:v>10013332.5</c:v>
                </c:pt>
                <c:pt idx="2">
                  <c:v>7487181.5</c:v>
                </c:pt>
                <c:pt idx="3">
                  <c:v>13203531.5</c:v>
                </c:pt>
              </c:numCache>
            </c:numRef>
          </c:val>
          <c:extLst>
            <c:ext xmlns:c16="http://schemas.microsoft.com/office/drawing/2014/chart" uri="{C3380CC4-5D6E-409C-BE32-E72D297353CC}">
              <c16:uniqueId val="{00000000-E2A9-4ACD-A022-978EC2B81018}"/>
            </c:ext>
          </c:extLst>
        </c:ser>
        <c:dLbls>
          <c:showLegendKey val="0"/>
          <c:showVal val="0"/>
          <c:showCatName val="0"/>
          <c:showSerName val="0"/>
          <c:showPercent val="0"/>
          <c:showBubbleSize val="0"/>
        </c:dLbls>
        <c:gapWidth val="219"/>
        <c:overlap val="-27"/>
        <c:axId val="337142704"/>
        <c:axId val="337143120"/>
      </c:barChart>
      <c:catAx>
        <c:axId val="337142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337143120"/>
        <c:crosses val="autoZero"/>
        <c:auto val="1"/>
        <c:lblAlgn val="ctr"/>
        <c:lblOffset val="100"/>
        <c:noMultiLvlLbl val="0"/>
      </c:catAx>
      <c:valAx>
        <c:axId val="337143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337142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60000"/>
        <a:lumOff val="40000"/>
      </a:schemeClr>
    </a:solidFill>
    <a:ln w="9525" cap="flat" cmpd="sng" algn="ctr">
      <a:no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[Corporate_sales_data_Assignment-3.xlsx]Q10!PivotTable5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'Q10'!$B$7</c:f>
              <c:strCache>
                <c:ptCount val="1"/>
                <c:pt idx="0">
                  <c:v>Total</c:v>
                </c:pt>
              </c:strCache>
            </c:strRef>
          </c:tx>
          <c:spPr>
            <a:solidFill>
              <a:schemeClr val="accent1"/>
            </a:solidFill>
            <a:ln>
              <a:noFill/>
            </a:ln>
            <a:effectLst/>
          </c:spPr>
          <c:invertIfNegative val="0"/>
          <c:cat>
            <c:strRef>
              <c:f>'Q10'!$A$8:$A$12</c:f>
              <c:strCache>
                <c:ptCount val="4"/>
                <c:pt idx="0">
                  <c:v>East</c:v>
                </c:pt>
                <c:pt idx="1">
                  <c:v>North</c:v>
                </c:pt>
                <c:pt idx="2">
                  <c:v>South</c:v>
                </c:pt>
                <c:pt idx="3">
                  <c:v>West</c:v>
                </c:pt>
              </c:strCache>
            </c:strRef>
          </c:cat>
          <c:val>
            <c:numRef>
              <c:f>'Q10'!$B$8:$B$12</c:f>
              <c:numCache>
                <c:formatCode>General</c:formatCode>
                <c:ptCount val="4"/>
                <c:pt idx="0">
                  <c:v>4041922</c:v>
                </c:pt>
                <c:pt idx="1">
                  <c:v>10013332.5</c:v>
                </c:pt>
                <c:pt idx="2">
                  <c:v>7487181.5</c:v>
                </c:pt>
                <c:pt idx="3">
                  <c:v>13203531.5</c:v>
                </c:pt>
              </c:numCache>
            </c:numRef>
          </c:val>
          <c:extLst>
            <c:ext xmlns:c16="http://schemas.microsoft.com/office/drawing/2014/chart" uri="{C3380CC4-5D6E-409C-BE32-E72D297353CC}">
              <c16:uniqueId val="{00000000-F213-44A5-AD82-AE2E1107EF97}"/>
            </c:ext>
          </c:extLst>
        </c:ser>
        <c:dLbls>
          <c:showLegendKey val="0"/>
          <c:showVal val="0"/>
          <c:showCatName val="0"/>
          <c:showSerName val="0"/>
          <c:showPercent val="0"/>
          <c:showBubbleSize val="0"/>
        </c:dLbls>
        <c:gapWidth val="219"/>
        <c:overlap val="-27"/>
        <c:axId val="337142704"/>
        <c:axId val="337143120"/>
      </c:barChart>
      <c:catAx>
        <c:axId val="337142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7143120"/>
        <c:crosses val="autoZero"/>
        <c:auto val="1"/>
        <c:lblAlgn val="ctr"/>
        <c:lblOffset val="100"/>
        <c:noMultiLvlLbl val="0"/>
      </c:catAx>
      <c:valAx>
        <c:axId val="337143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7142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[Corporate_sales_data_Assignment-3.xlsx]Q10!PivotTable6</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'Q10'!$K$7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7FB-4947-97C2-EFA9F1DA251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7FB-4947-97C2-EFA9F1DA251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7FB-4947-97C2-EFA9F1DA251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7FB-4947-97C2-EFA9F1DA2516}"/>
              </c:ext>
            </c:extLst>
          </c:dPt>
          <c:cat>
            <c:strRef>
              <c:f>'Q10'!$J$8:$J$11</c:f>
              <c:strCache>
                <c:ptCount val="3"/>
                <c:pt idx="0">
                  <c:v>Electronics</c:v>
                </c:pt>
                <c:pt idx="1">
                  <c:v>Home Appliances</c:v>
                </c:pt>
                <c:pt idx="2">
                  <c:v>Stationery</c:v>
                </c:pt>
              </c:strCache>
            </c:strRef>
          </c:cat>
          <c:val>
            <c:numRef>
              <c:f>'Q10'!$K$8:$K$11</c:f>
              <c:numCache>
                <c:formatCode>General</c:formatCode>
                <c:ptCount val="3"/>
                <c:pt idx="0">
                  <c:v>27823939</c:v>
                </c:pt>
                <c:pt idx="1">
                  <c:v>6806525</c:v>
                </c:pt>
                <c:pt idx="2">
                  <c:v>115503.5</c:v>
                </c:pt>
              </c:numCache>
            </c:numRef>
          </c:val>
          <c:extLst>
            <c:ext xmlns:c16="http://schemas.microsoft.com/office/drawing/2014/chart" uri="{C3380CC4-5D6E-409C-BE32-E72D297353CC}">
              <c16:uniqueId val="{00000000-E18B-484C-9EFC-323E1AA2732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[Corporate_sales_data_Assignment-3.xlsx]Q10!PivotTable3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'Q10'!$I$16</c:f>
              <c:strCache>
                <c:ptCount val="1"/>
                <c:pt idx="0">
                  <c:v>Total</c:v>
                </c:pt>
              </c:strCache>
            </c:strRef>
          </c:tx>
          <c:spPr>
            <a:ln w="28575" cap="rnd">
              <a:solidFill>
                <a:schemeClr val="accent1"/>
              </a:solidFill>
              <a:round/>
            </a:ln>
            <a:effectLst/>
          </c:spPr>
          <c:marker>
            <c:symbol val="none"/>
          </c:marker>
          <c:cat>
            <c:strRef>
              <c:f>'Q10'!$H$17:$H$29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'Q10'!$I$17:$I$29</c:f>
              <c:numCache>
                <c:formatCode>General</c:formatCode>
                <c:ptCount val="12"/>
                <c:pt idx="0">
                  <c:v>5404197.5</c:v>
                </c:pt>
                <c:pt idx="1">
                  <c:v>4363982.25</c:v>
                </c:pt>
                <c:pt idx="2">
                  <c:v>3640969.75</c:v>
                </c:pt>
                <c:pt idx="3">
                  <c:v>5689717.75</c:v>
                </c:pt>
                <c:pt idx="4">
                  <c:v>3849232</c:v>
                </c:pt>
                <c:pt idx="5">
                  <c:v>1032385</c:v>
                </c:pt>
                <c:pt idx="6">
                  <c:v>1741047.5</c:v>
                </c:pt>
                <c:pt idx="7">
                  <c:v>1836526</c:v>
                </c:pt>
                <c:pt idx="8">
                  <c:v>1226591.5</c:v>
                </c:pt>
                <c:pt idx="9">
                  <c:v>1782743.5</c:v>
                </c:pt>
                <c:pt idx="10">
                  <c:v>1992715.25</c:v>
                </c:pt>
                <c:pt idx="11">
                  <c:v>2185859.5</c:v>
                </c:pt>
              </c:numCache>
            </c:numRef>
          </c:val>
          <c:smooth val="0"/>
          <c:extLst>
            <c:ext xmlns:c16="http://schemas.microsoft.com/office/drawing/2014/chart" uri="{C3380CC4-5D6E-409C-BE32-E72D297353CC}">
              <c16:uniqueId val="{00000000-2C21-489D-A59B-4DFCE75D084C}"/>
            </c:ext>
          </c:extLst>
        </c:ser>
        <c:dLbls>
          <c:showLegendKey val="0"/>
          <c:showVal val="0"/>
          <c:showCatName val="0"/>
          <c:showSerName val="0"/>
          <c:showPercent val="0"/>
          <c:showBubbleSize val="0"/>
        </c:dLbls>
        <c:smooth val="0"/>
        <c:axId val="1914873871"/>
        <c:axId val="1914871791"/>
      </c:lineChart>
      <c:catAx>
        <c:axId val="1914873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4871791"/>
        <c:crosses val="autoZero"/>
        <c:auto val="1"/>
        <c:lblAlgn val="ctr"/>
        <c:lblOffset val="100"/>
        <c:noMultiLvlLbl val="0"/>
      </c:catAx>
      <c:valAx>
        <c:axId val="1914871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4873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22860</xdr:colOff>
      <xdr:row>0</xdr:row>
      <xdr:rowOff>60960</xdr:rowOff>
    </xdr:from>
    <xdr:to>
      <xdr:col>23</xdr:col>
      <xdr:colOff>91440</xdr:colOff>
      <xdr:row>34</xdr:row>
      <xdr:rowOff>0</xdr:rowOff>
    </xdr:to>
    <xdr:sp macro="" textlink="">
      <xdr:nvSpPr>
        <xdr:cNvPr id="2" name="Rectangle 1">
          <a:extLst>
            <a:ext uri="{FF2B5EF4-FFF2-40B4-BE49-F238E27FC236}">
              <a16:creationId xmlns:a16="http://schemas.microsoft.com/office/drawing/2014/main" id="{C6866A24-7327-4C6D-B7E0-7BF6DCE4B674}"/>
            </a:ext>
          </a:extLst>
        </xdr:cNvPr>
        <xdr:cNvSpPr/>
      </xdr:nvSpPr>
      <xdr:spPr>
        <a:xfrm>
          <a:off x="22860" y="60960"/>
          <a:ext cx="14089380" cy="6156960"/>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17</xdr:col>
      <xdr:colOff>464820</xdr:colOff>
      <xdr:row>18</xdr:row>
      <xdr:rowOff>53340</xdr:rowOff>
    </xdr:from>
    <xdr:to>
      <xdr:col>20</xdr:col>
      <xdr:colOff>266700</xdr:colOff>
      <xdr:row>26</xdr:row>
      <xdr:rowOff>7620</xdr:rowOff>
    </xdr:to>
    <mc:AlternateContent xmlns:mc="http://schemas.openxmlformats.org/markup-compatibility/2006">
      <mc:Choice xmlns:a14="http://schemas.microsoft.com/office/drawing/2010/main" Requires="a14">
        <xdr:graphicFrame macro="">
          <xdr:nvGraphicFramePr>
            <xdr:cNvPr id="5" name="Region 1">
              <a:extLst>
                <a:ext uri="{FF2B5EF4-FFF2-40B4-BE49-F238E27FC236}">
                  <a16:creationId xmlns:a16="http://schemas.microsoft.com/office/drawing/2014/main" id="{158692FA-79ED-4482-AAE4-F0D27E7A6B2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0828020" y="3345180"/>
              <a:ext cx="1630680" cy="1417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68580</xdr:colOff>
      <xdr:row>19</xdr:row>
      <xdr:rowOff>121920</xdr:rowOff>
    </xdr:from>
    <xdr:to>
      <xdr:col>17</xdr:col>
      <xdr:colOff>289560</xdr:colOff>
      <xdr:row>33</xdr:row>
      <xdr:rowOff>106680</xdr:rowOff>
    </xdr:to>
    <xdr:graphicFrame macro="">
      <xdr:nvGraphicFramePr>
        <xdr:cNvPr id="6" name="Chart 5">
          <a:extLst>
            <a:ext uri="{FF2B5EF4-FFF2-40B4-BE49-F238E27FC236}">
              <a16:creationId xmlns:a16="http://schemas.microsoft.com/office/drawing/2014/main" id="{E575D372-1A3A-44B0-AB9A-4831BBF2CC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91440</xdr:colOff>
      <xdr:row>4</xdr:row>
      <xdr:rowOff>76200</xdr:rowOff>
    </xdr:from>
    <xdr:to>
      <xdr:col>9</xdr:col>
      <xdr:colOff>601980</xdr:colOff>
      <xdr:row>19</xdr:row>
      <xdr:rowOff>83820</xdr:rowOff>
    </xdr:to>
    <xdr:graphicFrame macro="">
      <xdr:nvGraphicFramePr>
        <xdr:cNvPr id="7" name="Chart 6">
          <a:extLst>
            <a:ext uri="{FF2B5EF4-FFF2-40B4-BE49-F238E27FC236}">
              <a16:creationId xmlns:a16="http://schemas.microsoft.com/office/drawing/2014/main" id="{8A1F86B4-9093-4DA1-9163-2DA8CBDCA2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68580</xdr:colOff>
      <xdr:row>4</xdr:row>
      <xdr:rowOff>83820</xdr:rowOff>
    </xdr:from>
    <xdr:to>
      <xdr:col>17</xdr:col>
      <xdr:colOff>289560</xdr:colOff>
      <xdr:row>19</xdr:row>
      <xdr:rowOff>91440</xdr:rowOff>
    </xdr:to>
    <xdr:graphicFrame macro="">
      <xdr:nvGraphicFramePr>
        <xdr:cNvPr id="8" name="Chart 7">
          <a:extLst>
            <a:ext uri="{FF2B5EF4-FFF2-40B4-BE49-F238E27FC236}">
              <a16:creationId xmlns:a16="http://schemas.microsoft.com/office/drawing/2014/main" id="{54B2E2D5-D3A4-4234-BCAE-933DAB699F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17</xdr:col>
      <xdr:colOff>327660</xdr:colOff>
      <xdr:row>26</xdr:row>
      <xdr:rowOff>38100</xdr:rowOff>
    </xdr:from>
    <xdr:to>
      <xdr:col>23</xdr:col>
      <xdr:colOff>7620</xdr:colOff>
      <xdr:row>32</xdr:row>
      <xdr:rowOff>121920</xdr:rowOff>
    </xdr:to>
    <mc:AlternateContent xmlns:mc="http://schemas.openxmlformats.org/markup-compatibility/2006">
      <mc:Choice xmlns:tsle="http://schemas.microsoft.com/office/drawing/2012/timeslicer" Requires="tsle">
        <xdr:graphicFrame macro="">
          <xdr:nvGraphicFramePr>
            <xdr:cNvPr id="10" name="Order_Date 3">
              <a:extLst>
                <a:ext uri="{FF2B5EF4-FFF2-40B4-BE49-F238E27FC236}">
                  <a16:creationId xmlns:a16="http://schemas.microsoft.com/office/drawing/2014/main" id="{B1A66637-6AEA-41CE-98FD-A9CAB41378C5}"/>
                </a:ext>
              </a:extLst>
            </xdr:cNvPr>
            <xdr:cNvGraphicFramePr/>
          </xdr:nvGraphicFramePr>
          <xdr:xfrm>
            <a:off x="0" y="0"/>
            <a:ext cx="0" cy="0"/>
          </xdr:xfrm>
          <a:graphic>
            <a:graphicData uri="http://schemas.microsoft.com/office/drawing/2012/timeslicer">
              <tsle:timeslicer xmlns:tsle="http://schemas.microsoft.com/office/drawing/2012/timeslicer" name="Order_Date 3"/>
            </a:graphicData>
          </a:graphic>
        </xdr:graphicFrame>
      </mc:Choice>
      <mc:Fallback>
        <xdr:sp macro="" textlink="">
          <xdr:nvSpPr>
            <xdr:cNvPr id="0" name=""/>
            <xdr:cNvSpPr>
              <a:spLocks noTextEdit="1"/>
            </xdr:cNvSpPr>
          </xdr:nvSpPr>
          <xdr:spPr>
            <a:xfrm>
              <a:off x="10690860" y="4792980"/>
              <a:ext cx="3337560" cy="11811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20</xdr:col>
      <xdr:colOff>320040</xdr:colOff>
      <xdr:row>18</xdr:row>
      <xdr:rowOff>53340</xdr:rowOff>
    </xdr:from>
    <xdr:to>
      <xdr:col>23</xdr:col>
      <xdr:colOff>7620</xdr:colOff>
      <xdr:row>26</xdr:row>
      <xdr:rowOff>0</xdr:rowOff>
    </xdr:to>
    <mc:AlternateContent xmlns:mc="http://schemas.openxmlformats.org/markup-compatibility/2006">
      <mc:Choice xmlns:a14="http://schemas.microsoft.com/office/drawing/2010/main" Requires="a14">
        <xdr:graphicFrame macro="">
          <xdr:nvGraphicFramePr>
            <xdr:cNvPr id="11" name="Category 1">
              <a:extLst>
                <a:ext uri="{FF2B5EF4-FFF2-40B4-BE49-F238E27FC236}">
                  <a16:creationId xmlns:a16="http://schemas.microsoft.com/office/drawing/2014/main" id="{E1460F66-8B2C-4B28-9155-E9F1AE6813DD}"/>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2512040" y="3345180"/>
              <a:ext cx="1516380" cy="1409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472440</xdr:colOff>
      <xdr:row>4</xdr:row>
      <xdr:rowOff>144780</xdr:rowOff>
    </xdr:from>
    <xdr:to>
      <xdr:col>22</xdr:col>
      <xdr:colOff>520440</xdr:colOff>
      <xdr:row>9</xdr:row>
      <xdr:rowOff>22380</xdr:rowOff>
    </xdr:to>
    <xdr:sp macro="" textlink="">
      <xdr:nvSpPr>
        <xdr:cNvPr id="12" name="TextBox 11">
          <a:extLst>
            <a:ext uri="{FF2B5EF4-FFF2-40B4-BE49-F238E27FC236}">
              <a16:creationId xmlns:a16="http://schemas.microsoft.com/office/drawing/2014/main" id="{9BE6A07E-979B-4562-B9F7-708CF8A5ED01}"/>
            </a:ext>
          </a:extLst>
        </xdr:cNvPr>
        <xdr:cNvSpPr txBox="1"/>
      </xdr:nvSpPr>
      <xdr:spPr>
        <a:xfrm>
          <a:off x="10835640" y="876300"/>
          <a:ext cx="3096000" cy="792000"/>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a:latin typeface="Bahnschrift" panose="020B0502040204020203" pitchFamily="34" charset="0"/>
            </a:rPr>
            <a:t>TOTAL SALES</a:t>
          </a:r>
        </a:p>
      </xdr:txBody>
    </xdr:sp>
    <xdr:clientData/>
  </xdr:twoCellAnchor>
  <xdr:twoCellAnchor>
    <xdr:from>
      <xdr:col>17</xdr:col>
      <xdr:colOff>502920</xdr:colOff>
      <xdr:row>6</xdr:row>
      <xdr:rowOff>106680</xdr:rowOff>
    </xdr:from>
    <xdr:to>
      <xdr:col>22</xdr:col>
      <xdr:colOff>487680</xdr:colOff>
      <xdr:row>8</xdr:row>
      <xdr:rowOff>114300</xdr:rowOff>
    </xdr:to>
    <xdr:sp macro="" textlink="'Q10'!A4">
      <xdr:nvSpPr>
        <xdr:cNvPr id="13" name="TextBox 12">
          <a:extLst>
            <a:ext uri="{FF2B5EF4-FFF2-40B4-BE49-F238E27FC236}">
              <a16:creationId xmlns:a16="http://schemas.microsoft.com/office/drawing/2014/main" id="{964B8858-FAD3-4DC0-94A6-B7EB42ECF6E4}"/>
            </a:ext>
          </a:extLst>
        </xdr:cNvPr>
        <xdr:cNvSpPr txBox="1"/>
      </xdr:nvSpPr>
      <xdr:spPr>
        <a:xfrm>
          <a:off x="10866120" y="1203960"/>
          <a:ext cx="3032760" cy="373380"/>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D60D23D-0157-4259-8CE5-1D05248E4FBE}" type="TxLink">
            <a:rPr lang="en-US" sz="1400" b="0" i="0" u="none" strike="noStrike">
              <a:solidFill>
                <a:srgbClr val="000000"/>
              </a:solidFill>
              <a:latin typeface="Microsoft JhengHei" panose="020B0604030504040204" pitchFamily="34" charset="-120"/>
              <a:ea typeface="Microsoft JhengHei" panose="020B0604030504040204" pitchFamily="34" charset="-120"/>
              <a:cs typeface="Calibri"/>
            </a:rPr>
            <a:pPr algn="ctr"/>
            <a:t>34745967.5</a:t>
          </a:fld>
          <a:endParaRPr lang="en-IN" sz="1400">
            <a:latin typeface="Microsoft JhengHei" panose="020B0604030504040204" pitchFamily="34" charset="-120"/>
            <a:ea typeface="Microsoft JhengHei" panose="020B0604030504040204" pitchFamily="34" charset="-120"/>
          </a:endParaRPr>
        </a:p>
      </xdr:txBody>
    </xdr:sp>
    <xdr:clientData/>
  </xdr:twoCellAnchor>
  <xdr:twoCellAnchor>
    <xdr:from>
      <xdr:col>17</xdr:col>
      <xdr:colOff>480060</xdr:colOff>
      <xdr:row>9</xdr:row>
      <xdr:rowOff>45720</xdr:rowOff>
    </xdr:from>
    <xdr:to>
      <xdr:col>22</xdr:col>
      <xdr:colOff>528060</xdr:colOff>
      <xdr:row>13</xdr:row>
      <xdr:rowOff>106200</xdr:rowOff>
    </xdr:to>
    <xdr:sp macro="" textlink="">
      <xdr:nvSpPr>
        <xdr:cNvPr id="14" name="TextBox 13">
          <a:extLst>
            <a:ext uri="{FF2B5EF4-FFF2-40B4-BE49-F238E27FC236}">
              <a16:creationId xmlns:a16="http://schemas.microsoft.com/office/drawing/2014/main" id="{E167C1C5-84D9-428E-8245-EE38B3CE9D9B}"/>
            </a:ext>
          </a:extLst>
        </xdr:cNvPr>
        <xdr:cNvSpPr txBox="1"/>
      </xdr:nvSpPr>
      <xdr:spPr>
        <a:xfrm>
          <a:off x="10843260" y="1691640"/>
          <a:ext cx="3096000" cy="792000"/>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a:latin typeface="Bahnschrift" panose="020B0502040204020203" pitchFamily="34" charset="0"/>
            </a:rPr>
            <a:t>TOTAL ORDER</a:t>
          </a:r>
        </a:p>
      </xdr:txBody>
    </xdr:sp>
    <xdr:clientData/>
  </xdr:twoCellAnchor>
  <xdr:twoCellAnchor>
    <xdr:from>
      <xdr:col>17</xdr:col>
      <xdr:colOff>480060</xdr:colOff>
      <xdr:row>13</xdr:row>
      <xdr:rowOff>129540</xdr:rowOff>
    </xdr:from>
    <xdr:to>
      <xdr:col>22</xdr:col>
      <xdr:colOff>528060</xdr:colOff>
      <xdr:row>18</xdr:row>
      <xdr:rowOff>7140</xdr:rowOff>
    </xdr:to>
    <xdr:sp macro="" textlink="">
      <xdr:nvSpPr>
        <xdr:cNvPr id="15" name="TextBox 14">
          <a:extLst>
            <a:ext uri="{FF2B5EF4-FFF2-40B4-BE49-F238E27FC236}">
              <a16:creationId xmlns:a16="http://schemas.microsoft.com/office/drawing/2014/main" id="{21FE514A-6F88-4926-ACF9-92C5DC82F014}"/>
            </a:ext>
          </a:extLst>
        </xdr:cNvPr>
        <xdr:cNvSpPr txBox="1"/>
      </xdr:nvSpPr>
      <xdr:spPr>
        <a:xfrm>
          <a:off x="10843260" y="2506980"/>
          <a:ext cx="3096000" cy="792000"/>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a:latin typeface="Bahnschrift" panose="020B0502040204020203" pitchFamily="34" charset="0"/>
            </a:rPr>
            <a:t>AVERAGE SALES</a:t>
          </a:r>
        </a:p>
      </xdr:txBody>
    </xdr:sp>
    <xdr:clientData/>
  </xdr:twoCellAnchor>
  <xdr:twoCellAnchor>
    <xdr:from>
      <xdr:col>17</xdr:col>
      <xdr:colOff>548640</xdr:colOff>
      <xdr:row>15</xdr:row>
      <xdr:rowOff>137160</xdr:rowOff>
    </xdr:from>
    <xdr:to>
      <xdr:col>22</xdr:col>
      <xdr:colOff>495300</xdr:colOff>
      <xdr:row>17</xdr:row>
      <xdr:rowOff>121920</xdr:rowOff>
    </xdr:to>
    <xdr:sp macro="" textlink="'Q10'!E4">
      <xdr:nvSpPr>
        <xdr:cNvPr id="16" name="TextBox 15">
          <a:extLst>
            <a:ext uri="{FF2B5EF4-FFF2-40B4-BE49-F238E27FC236}">
              <a16:creationId xmlns:a16="http://schemas.microsoft.com/office/drawing/2014/main" id="{F2FC2D7F-80D3-48B9-967F-09996488E56E}"/>
            </a:ext>
          </a:extLst>
        </xdr:cNvPr>
        <xdr:cNvSpPr txBox="1"/>
      </xdr:nvSpPr>
      <xdr:spPr>
        <a:xfrm>
          <a:off x="10911840" y="2880360"/>
          <a:ext cx="2994660" cy="350520"/>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DB3E6FF-1DAF-41EC-AE59-48C79F507211}" type="TxLink">
            <a:rPr lang="en-US" sz="1400" b="0" i="0" u="none" strike="noStrike">
              <a:solidFill>
                <a:srgbClr val="000000"/>
              </a:solidFill>
              <a:latin typeface="Microsoft JhengHei" panose="020B0604030504040204" pitchFamily="34" charset="-120"/>
              <a:ea typeface="Microsoft JhengHei" panose="020B0604030504040204" pitchFamily="34" charset="-120"/>
              <a:cs typeface="Calibri"/>
            </a:rPr>
            <a:t>69771.02</a:t>
          </a:fld>
          <a:endParaRPr lang="en-IN" sz="1400">
            <a:latin typeface="Microsoft JhengHei" panose="020B0604030504040204" pitchFamily="34" charset="-120"/>
            <a:ea typeface="Microsoft JhengHei" panose="020B0604030504040204" pitchFamily="34" charset="-120"/>
          </a:endParaRPr>
        </a:p>
      </xdr:txBody>
    </xdr:sp>
    <xdr:clientData/>
  </xdr:twoCellAnchor>
  <xdr:twoCellAnchor>
    <xdr:from>
      <xdr:col>17</xdr:col>
      <xdr:colOff>525780</xdr:colOff>
      <xdr:row>11</xdr:row>
      <xdr:rowOff>45720</xdr:rowOff>
    </xdr:from>
    <xdr:to>
      <xdr:col>22</xdr:col>
      <xdr:colOff>495300</xdr:colOff>
      <xdr:row>13</xdr:row>
      <xdr:rowOff>91440</xdr:rowOff>
    </xdr:to>
    <xdr:sp macro="" textlink="'Q10'!C4">
      <xdr:nvSpPr>
        <xdr:cNvPr id="17" name="TextBox 16">
          <a:extLst>
            <a:ext uri="{FF2B5EF4-FFF2-40B4-BE49-F238E27FC236}">
              <a16:creationId xmlns:a16="http://schemas.microsoft.com/office/drawing/2014/main" id="{D570C45E-EC2C-44A2-8557-F548E7D08944}"/>
            </a:ext>
          </a:extLst>
        </xdr:cNvPr>
        <xdr:cNvSpPr txBox="1"/>
      </xdr:nvSpPr>
      <xdr:spPr>
        <a:xfrm>
          <a:off x="10888980" y="2057400"/>
          <a:ext cx="3017520" cy="411480"/>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CCD0432-3CEC-432E-9ADF-BCC4514FB361}" type="TxLink">
            <a:rPr lang="en-US" sz="1400" b="0" i="0" u="none" strike="noStrike">
              <a:solidFill>
                <a:srgbClr val="000000"/>
              </a:solidFill>
              <a:latin typeface="Microsoft JhengHei" panose="020B0604030504040204" pitchFamily="34" charset="-120"/>
              <a:ea typeface="Microsoft JhengHei" panose="020B0604030504040204" pitchFamily="34" charset="-120"/>
              <a:cs typeface="Calibri"/>
            </a:rPr>
            <a:pPr algn="ctr"/>
            <a:t>498</a:t>
          </a:fld>
          <a:endParaRPr lang="en-IN" sz="1400">
            <a:latin typeface="Microsoft JhengHei" panose="020B0604030504040204" pitchFamily="34" charset="-120"/>
            <a:ea typeface="Microsoft JhengHei" panose="020B0604030504040204" pitchFamily="34" charset="-120"/>
          </a:endParaRPr>
        </a:p>
      </xdr:txBody>
    </xdr:sp>
    <xdr:clientData/>
  </xdr:twoCellAnchor>
  <xdr:twoCellAnchor>
    <xdr:from>
      <xdr:col>2</xdr:col>
      <xdr:colOff>99060</xdr:colOff>
      <xdr:row>0</xdr:row>
      <xdr:rowOff>167640</xdr:rowOff>
    </xdr:from>
    <xdr:to>
      <xdr:col>6</xdr:col>
      <xdr:colOff>60960</xdr:colOff>
      <xdr:row>3</xdr:row>
      <xdr:rowOff>167640</xdr:rowOff>
    </xdr:to>
    <xdr:sp macro="" textlink="">
      <xdr:nvSpPr>
        <xdr:cNvPr id="18" name="TextBox 17">
          <a:extLst>
            <a:ext uri="{FF2B5EF4-FFF2-40B4-BE49-F238E27FC236}">
              <a16:creationId xmlns:a16="http://schemas.microsoft.com/office/drawing/2014/main" id="{D72F0EC4-F22E-4C34-822E-9C7937E851BC}"/>
            </a:ext>
          </a:extLst>
        </xdr:cNvPr>
        <xdr:cNvSpPr txBox="1"/>
      </xdr:nvSpPr>
      <xdr:spPr>
        <a:xfrm>
          <a:off x="1318260" y="167640"/>
          <a:ext cx="2400300" cy="548640"/>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a:solidFill>
                <a:schemeClr val="tx1">
                  <a:lumMod val="95000"/>
                  <a:lumOff val="5000"/>
                </a:schemeClr>
              </a:solidFill>
              <a:latin typeface="Bahnschrift" panose="020B0502040204020203" pitchFamily="34" charset="0"/>
            </a:rPr>
            <a:t>DASHBOARD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114300</xdr:colOff>
      <xdr:row>3</xdr:row>
      <xdr:rowOff>171450</xdr:rowOff>
    </xdr:from>
    <xdr:to>
      <xdr:col>6</xdr:col>
      <xdr:colOff>213360</xdr:colOff>
      <xdr:row>17</xdr:row>
      <xdr:rowOff>22860</xdr:rowOff>
    </xdr:to>
    <xdr:graphicFrame macro="">
      <xdr:nvGraphicFramePr>
        <xdr:cNvPr id="2" name="Chart 1">
          <a:extLst>
            <a:ext uri="{FF2B5EF4-FFF2-40B4-BE49-F238E27FC236}">
              <a16:creationId xmlns:a16="http://schemas.microsoft.com/office/drawing/2014/main" id="{741D4ECE-1859-4CFA-8B5A-720A5A707A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259080</xdr:colOff>
      <xdr:row>4</xdr:row>
      <xdr:rowOff>3810</xdr:rowOff>
    </xdr:from>
    <xdr:to>
      <xdr:col>18</xdr:col>
      <xdr:colOff>38100</xdr:colOff>
      <xdr:row>15</xdr:row>
      <xdr:rowOff>22860</xdr:rowOff>
    </xdr:to>
    <xdr:graphicFrame macro="">
      <xdr:nvGraphicFramePr>
        <xdr:cNvPr id="4" name="Chart 3">
          <a:extLst>
            <a:ext uri="{FF2B5EF4-FFF2-40B4-BE49-F238E27FC236}">
              <a16:creationId xmlns:a16="http://schemas.microsoft.com/office/drawing/2014/main" id="{2586ABA9-88DB-494F-B69F-CDFE719722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19</xdr:row>
      <xdr:rowOff>68581</xdr:rowOff>
    </xdr:from>
    <xdr:to>
      <xdr:col>2</xdr:col>
      <xdr:colOff>167640</xdr:colOff>
      <xdr:row>27</xdr:row>
      <xdr:rowOff>15241</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6C6E8874-2CBB-4B39-8F7B-7C44FDAA3EB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3543301"/>
              <a:ext cx="1828800" cy="1409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670560</xdr:colOff>
      <xdr:row>15</xdr:row>
      <xdr:rowOff>140970</xdr:rowOff>
    </xdr:from>
    <xdr:to>
      <xdr:col>16</xdr:col>
      <xdr:colOff>358140</xdr:colOff>
      <xdr:row>30</xdr:row>
      <xdr:rowOff>140970</xdr:rowOff>
    </xdr:to>
    <xdr:graphicFrame macro="">
      <xdr:nvGraphicFramePr>
        <xdr:cNvPr id="5" name="Chart 4">
          <a:extLst>
            <a:ext uri="{FF2B5EF4-FFF2-40B4-BE49-F238E27FC236}">
              <a16:creationId xmlns:a16="http://schemas.microsoft.com/office/drawing/2014/main" id="{B15999FD-5575-4A5F-B985-7D9693C677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45720</xdr:colOff>
      <xdr:row>25</xdr:row>
      <xdr:rowOff>152400</xdr:rowOff>
    </xdr:from>
    <xdr:to>
      <xdr:col>7</xdr:col>
      <xdr:colOff>426720</xdr:colOff>
      <xdr:row>33</xdr:row>
      <xdr:rowOff>60960</xdr:rowOff>
    </xdr:to>
    <mc:AlternateContent xmlns:mc="http://schemas.openxmlformats.org/markup-compatibility/2006">
      <mc:Choice xmlns:tsle="http://schemas.microsoft.com/office/drawing/2012/timeslicer" Requires="tsle">
        <xdr:graphicFrame macro="">
          <xdr:nvGraphicFramePr>
            <xdr:cNvPr id="9" name="Order_Date 2">
              <a:extLst>
                <a:ext uri="{FF2B5EF4-FFF2-40B4-BE49-F238E27FC236}">
                  <a16:creationId xmlns:a16="http://schemas.microsoft.com/office/drawing/2014/main" id="{F9833CB5-6733-42D2-9328-BAAE2ECC6508}"/>
                </a:ext>
              </a:extLst>
            </xdr:cNvPr>
            <xdr:cNvGraphicFramePr/>
          </xdr:nvGraphicFramePr>
          <xdr:xfrm>
            <a:off x="0" y="0"/>
            <a:ext cx="0" cy="0"/>
          </xdr:xfrm>
          <a:graphic>
            <a:graphicData uri="http://schemas.microsoft.com/office/drawing/2012/timeslicer">
              <tsle:timeslicer xmlns:tsle="http://schemas.microsoft.com/office/drawing/2012/timeslicer" name="Order_Date 2"/>
            </a:graphicData>
          </a:graphic>
        </xdr:graphicFrame>
      </mc:Choice>
      <mc:Fallback>
        <xdr:sp macro="" textlink="">
          <xdr:nvSpPr>
            <xdr:cNvPr id="0" name=""/>
            <xdr:cNvSpPr>
              <a:spLocks noTextEdit="1"/>
            </xdr:cNvSpPr>
          </xdr:nvSpPr>
          <xdr:spPr>
            <a:xfrm>
              <a:off x="2834640" y="472440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xdr:col>
      <xdr:colOff>342900</xdr:colOff>
      <xdr:row>18</xdr:row>
      <xdr:rowOff>83821</xdr:rowOff>
    </xdr:from>
    <xdr:to>
      <xdr:col>4</xdr:col>
      <xdr:colOff>434340</xdr:colOff>
      <xdr:row>26</xdr:row>
      <xdr:rowOff>76201</xdr:rowOff>
    </xdr:to>
    <mc:AlternateContent xmlns:mc="http://schemas.openxmlformats.org/markup-compatibility/2006">
      <mc:Choice xmlns:a14="http://schemas.microsoft.com/office/drawing/2010/main" Requires="a14">
        <xdr:graphicFrame macro="">
          <xdr:nvGraphicFramePr>
            <xdr:cNvPr id="11" name="Category">
              <a:extLst>
                <a:ext uri="{FF2B5EF4-FFF2-40B4-BE49-F238E27FC236}">
                  <a16:creationId xmlns:a16="http://schemas.microsoft.com/office/drawing/2014/main" id="{60D2C2B6-5CFA-4AEE-A18D-0F38CEF8B3B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004060" y="3375661"/>
              <a:ext cx="1828800" cy="1455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r. S" refreshedDate="46308.438321064816" createdVersion="7" refreshedVersion="7" minRefreshableVersion="3" recordCount="498" xr:uid="{230E8F06-0D93-466A-88B7-03940A80D11A}">
  <cacheSource type="worksheet">
    <worksheetSource ref="A1:V499" sheet="Q9_Cleaned_Data"/>
  </cacheSource>
  <cacheFields count="26">
    <cacheField name="Order_ID" numFmtId="0">
      <sharedItems/>
    </cacheField>
    <cacheField name="Customer_ID" numFmtId="0">
      <sharedItems/>
    </cacheField>
    <cacheField name="Product_ID" numFmtId="0">
      <sharedItems/>
    </cacheField>
    <cacheField name="Order_Date" numFmtId="166">
      <sharedItems containsSemiMixedTypes="0" containsNonDate="0" containsDate="1" containsString="0" minDate="2025-01-01T00:00:00" maxDate="2026-05-17T00:00:00" count="326">
        <d v="2025-09-18T00:00:00"/>
        <d v="2025-04-27T00:00:00"/>
        <d v="2025-09-03T00:00:00"/>
        <d v="2025-09-27T00:00:00"/>
        <d v="2026-01-04T00:00:00"/>
        <d v="2025-02-22T00:00:00"/>
        <d v="2025-04-13T00:00:00"/>
        <d v="2026-01-31T00:00:00"/>
        <d v="2025-03-25T00:00:00"/>
        <d v="2025-09-19T00:00:00"/>
        <d v="2025-03-08T00:00:00"/>
        <d v="2025-01-10T00:00:00"/>
        <d v="2025-03-09T00:00:00"/>
        <d v="2025-07-26T00:00:00"/>
        <d v="2026-04-08T00:00:00"/>
        <d v="2026-02-22T00:00:00"/>
        <d v="2026-02-28T00:00:00"/>
        <d v="2025-12-01T00:00:00"/>
        <d v="2025-06-25T00:00:00"/>
        <d v="2025-04-26T00:00:00"/>
        <d v="2025-01-03T00:00:00"/>
        <d v="2025-04-19T00:00:00"/>
        <d v="2025-12-22T00:00:00"/>
        <d v="2026-04-09T00:00:00"/>
        <d v="2025-06-24T00:00:00"/>
        <d v="2025-05-22T00:00:00"/>
        <d v="2026-03-13T00:00:00"/>
        <d v="2025-09-08T00:00:00"/>
        <d v="2026-01-11T00:00:00"/>
        <d v="2025-06-16T00:00:00"/>
        <d v="2025-07-01T00:00:00"/>
        <d v="2025-03-07T00:00:00"/>
        <d v="2025-10-09T00:00:00"/>
        <d v="2025-11-19T00:00:00"/>
        <d v="2025-11-05T00:00:00"/>
        <d v="2026-03-08T00:00:00"/>
        <d v="2025-02-13T00:00:00"/>
        <d v="2025-10-05T00:00:00"/>
        <d v="2026-02-10T00:00:00"/>
        <d v="2025-06-04T00:00:00"/>
        <d v="2026-02-08T00:00:00"/>
        <d v="2025-03-30T00:00:00"/>
        <d v="2025-04-25T00:00:00"/>
        <d v="2025-10-13T00:00:00"/>
        <d v="2025-10-11T00:00:00"/>
        <d v="2025-11-27T00:00:00"/>
        <d v="2026-04-19T00:00:00"/>
        <d v="2025-03-28T00:00:00"/>
        <d v="2025-08-25T00:00:00"/>
        <d v="2025-08-19T00:00:00"/>
        <d v="2025-07-27T00:00:00"/>
        <d v="2025-02-21T00:00:00"/>
        <d v="2025-08-10T00:00:00"/>
        <d v="2026-03-24T00:00:00"/>
        <d v="2025-06-15T00:00:00"/>
        <d v="2025-03-05T00:00:00"/>
        <d v="2025-08-16T00:00:00"/>
        <d v="2026-05-13T00:00:00"/>
        <d v="2025-03-01T00:00:00"/>
        <d v="2025-02-09T00:00:00"/>
        <d v="2026-01-09T00:00:00"/>
        <d v="2025-09-01T00:00:00"/>
        <d v="2026-02-09T00:00:00"/>
        <d v="2025-12-14T00:00:00"/>
        <d v="2025-04-07T00:00:00"/>
        <d v="2025-12-24T00:00:00"/>
        <d v="2025-08-30T00:00:00"/>
        <d v="2025-12-13T00:00:00"/>
        <d v="2026-02-04T00:00:00"/>
        <d v="2026-01-26T00:00:00"/>
        <d v="2025-06-27T00:00:00"/>
        <d v="2026-03-17T00:00:00"/>
        <d v="2025-06-09T00:00:00"/>
        <d v="2025-11-15T00:00:00"/>
        <d v="2025-11-06T00:00:00"/>
        <d v="2025-01-01T00:00:00"/>
        <d v="2026-04-25T00:00:00"/>
        <d v="2025-03-18T00:00:00"/>
        <d v="2025-10-30T00:00:00"/>
        <d v="2025-10-31T00:00:00"/>
        <d v="2025-04-10T00:00:00"/>
        <d v="2026-03-16T00:00:00"/>
        <d v="2025-09-15T00:00:00"/>
        <d v="2026-03-11T00:00:00"/>
        <d v="2025-08-20T00:00:00"/>
        <d v="2025-08-13T00:00:00"/>
        <d v="2025-03-16T00:00:00"/>
        <d v="2025-09-04T00:00:00"/>
        <d v="2025-04-12T00:00:00"/>
        <d v="2026-05-04T00:00:00"/>
        <d v="2026-01-18T00:00:00"/>
        <d v="2026-03-14T00:00:00"/>
        <d v="2025-05-09T00:00:00"/>
        <d v="2026-05-07T00:00:00"/>
        <d v="2025-04-21T00:00:00"/>
        <d v="2025-12-11T00:00:00"/>
        <d v="2025-01-13T00:00:00"/>
        <d v="2025-03-17T00:00:00"/>
        <d v="2025-02-25T00:00:00"/>
        <d v="2025-02-26T00:00:00"/>
        <d v="2025-07-10T00:00:00"/>
        <d v="2025-11-18T00:00:00"/>
        <d v="2025-04-09T00:00:00"/>
        <d v="2026-04-03T00:00:00"/>
        <d v="2025-10-23T00:00:00"/>
        <d v="2025-04-03T00:00:00"/>
        <d v="2025-08-24T00:00:00"/>
        <d v="2025-05-31T00:00:00"/>
        <d v="2025-05-30T00:00:00"/>
        <d v="2026-01-03T00:00:00"/>
        <d v="2025-10-20T00:00:00"/>
        <d v="2025-05-11T00:00:00"/>
        <d v="2026-01-02T00:00:00"/>
        <d v="2026-04-20T00:00:00"/>
        <d v="2025-08-04T00:00:00"/>
        <d v="2026-04-27T00:00:00"/>
        <d v="2026-02-17T00:00:00"/>
        <d v="2026-04-04T00:00:00"/>
        <d v="2025-06-08T00:00:00"/>
        <d v="2025-07-25T00:00:00"/>
        <d v="2025-01-16T00:00:00"/>
        <d v="2025-02-04T00:00:00"/>
        <d v="2025-01-22T00:00:00"/>
        <d v="2025-04-11T00:00:00"/>
        <d v="2025-07-04T00:00:00"/>
        <d v="2025-12-17T00:00:00"/>
        <d v="2025-10-10T00:00:00"/>
        <d v="2026-03-07T00:00:00"/>
        <d v="2025-12-23T00:00:00"/>
        <d v="2025-07-07T00:00:00"/>
        <d v="2026-05-03T00:00:00"/>
        <d v="2025-11-29T00:00:00"/>
        <d v="2025-07-14T00:00:00"/>
        <d v="2025-03-13T00:00:00"/>
        <d v="2025-07-22T00:00:00"/>
        <d v="2025-07-21T00:00:00"/>
        <d v="2025-07-19T00:00:00"/>
        <d v="2025-11-04T00:00:00"/>
        <d v="2025-06-19T00:00:00"/>
        <d v="2025-03-26T00:00:00"/>
        <d v="2025-07-06T00:00:00"/>
        <d v="2026-04-01T00:00:00"/>
        <d v="2025-10-28T00:00:00"/>
        <d v="2025-02-06T00:00:00"/>
        <d v="2025-03-14T00:00:00"/>
        <d v="2025-12-02T00:00:00"/>
        <d v="2026-02-14T00:00:00"/>
        <d v="2025-11-09T00:00:00"/>
        <d v="2025-02-07T00:00:00"/>
        <d v="2025-05-26T00:00:00"/>
        <d v="2025-10-04T00:00:00"/>
        <d v="2025-05-15T00:00:00"/>
        <d v="2025-06-14T00:00:00"/>
        <d v="2025-04-22T00:00:00"/>
        <d v="2025-12-16T00:00:00"/>
        <d v="2026-05-12T00:00:00"/>
        <d v="2025-11-16T00:00:00"/>
        <d v="2025-02-16T00:00:00"/>
        <d v="2025-04-28T00:00:00"/>
        <d v="2026-04-15T00:00:00"/>
        <d v="2025-02-20T00:00:00"/>
        <d v="2025-05-24T00:00:00"/>
        <d v="2026-01-06T00:00:00"/>
        <d v="2025-03-06T00:00:00"/>
        <d v="2026-04-06T00:00:00"/>
        <d v="2026-01-17T00:00:00"/>
        <d v="2025-09-21T00:00:00"/>
        <d v="2025-12-18T00:00:00"/>
        <d v="2025-06-02T00:00:00"/>
        <d v="2026-04-22T00:00:00"/>
        <d v="2026-03-06T00:00:00"/>
        <d v="2025-02-28T00:00:00"/>
        <d v="2026-01-30T00:00:00"/>
        <d v="2026-04-29T00:00:00"/>
        <d v="2025-05-18T00:00:00"/>
        <d v="2026-03-26T00:00:00"/>
        <d v="2026-01-19T00:00:00"/>
        <d v="2026-05-02T00:00:00"/>
        <d v="2025-07-20T00:00:00"/>
        <d v="2025-02-19T00:00:00"/>
        <d v="2025-04-20T00:00:00"/>
        <d v="2025-06-05T00:00:00"/>
        <d v="2025-05-20T00:00:00"/>
        <d v="2026-01-24T00:00:00"/>
        <d v="2025-06-11T00:00:00"/>
        <d v="2026-01-16T00:00:00"/>
        <d v="2026-02-20T00:00:00"/>
        <d v="2025-07-09T00:00:00"/>
        <d v="2025-02-08T00:00:00"/>
        <d v="2026-01-27T00:00:00"/>
        <d v="2026-01-08T00:00:00"/>
        <d v="2026-05-16T00:00:00"/>
        <d v="2025-05-25T00:00:00"/>
        <d v="2025-12-28T00:00:00"/>
        <d v="2025-03-23T00:00:00"/>
        <d v="2025-12-15T00:00:00"/>
        <d v="2025-11-03T00:00:00"/>
        <d v="2026-05-09T00:00:00"/>
        <d v="2025-07-08T00:00:00"/>
        <d v="2025-12-12T00:00:00"/>
        <d v="2025-05-03T00:00:00"/>
        <d v="2025-01-09T00:00:00"/>
        <d v="2025-04-17T00:00:00"/>
        <d v="2025-08-09T00:00:00"/>
        <d v="2025-06-22T00:00:00"/>
        <d v="2025-05-19T00:00:00"/>
        <d v="2025-03-29T00:00:00"/>
        <d v="2026-02-18T00:00:00"/>
        <d v="2026-01-21T00:00:00"/>
        <d v="2025-09-17T00:00:00"/>
        <d v="2025-05-12T00:00:00"/>
        <d v="2025-09-06T00:00:00"/>
        <d v="2025-04-23T00:00:00"/>
        <d v="2026-02-21T00:00:00"/>
        <d v="2025-09-22T00:00:00"/>
        <d v="2026-05-08T00:00:00"/>
        <d v="2025-03-27T00:00:00"/>
        <d v="2025-03-12T00:00:00"/>
        <d v="2026-02-13T00:00:00"/>
        <d v="2025-02-11T00:00:00"/>
        <d v="2025-01-17T00:00:00"/>
        <d v="2025-04-01T00:00:00"/>
        <d v="2026-02-25T00:00:00"/>
        <d v="2025-05-16T00:00:00"/>
        <d v="2025-07-23T00:00:00"/>
        <d v="2026-04-23T00:00:00"/>
        <d v="2025-03-02T00:00:00"/>
        <d v="2025-08-28T00:00:00"/>
        <d v="2025-10-06T00:00:00"/>
        <d v="2026-04-26T00:00:00"/>
        <d v="2025-05-08T00:00:00"/>
        <d v="2025-12-26T00:00:00"/>
        <d v="2026-02-24T00:00:00"/>
        <d v="2025-02-27T00:00:00"/>
        <d v="2025-06-03T00:00:00"/>
        <d v="2025-12-10T00:00:00"/>
        <d v="2025-11-25T00:00:00"/>
        <d v="2025-10-29T00:00:00"/>
        <d v="2026-03-05T00:00:00"/>
        <d v="2025-08-26T00:00:00"/>
        <d v="2025-04-05T00:00:00"/>
        <d v="2025-12-04T00:00:00"/>
        <d v="2026-01-05T00:00:00"/>
        <d v="2025-07-28T00:00:00"/>
        <d v="2025-10-15T00:00:00"/>
        <d v="2025-12-06T00:00:00"/>
        <d v="2025-08-05T00:00:00"/>
        <d v="2026-03-21T00:00:00"/>
        <d v="2026-04-16T00:00:00"/>
        <d v="2025-12-05T00:00:00"/>
        <d v="2025-07-30T00:00:00"/>
        <d v="2025-07-18T00:00:00"/>
        <d v="2025-02-10T00:00:00"/>
        <d v="2026-04-11T00:00:00"/>
        <d v="2026-05-10T00:00:00"/>
        <d v="2026-01-23T00:00:00"/>
        <d v="2025-04-30T00:00:00"/>
        <d v="2025-02-03T00:00:00"/>
        <d v="2025-01-29T00:00:00"/>
        <d v="2025-06-12T00:00:00"/>
        <d v="2025-11-01T00:00:00"/>
        <d v="2025-01-24T00:00:00"/>
        <d v="2025-10-01T00:00:00"/>
        <d v="2025-09-29T00:00:00"/>
        <d v="2025-05-14T00:00:00"/>
        <d v="2026-02-19T00:00:00"/>
        <d v="2025-01-25T00:00:00"/>
        <d v="2025-06-20T00:00:00"/>
        <d v="2025-05-28T00:00:00"/>
        <d v="2025-01-28T00:00:00"/>
        <d v="2025-08-03T00:00:00"/>
        <d v="2025-01-15T00:00:00"/>
        <d v="2025-01-31T00:00:00"/>
        <d v="2025-05-13T00:00:00"/>
        <d v="2025-12-27T00:00:00"/>
        <d v="2025-07-02T00:00:00"/>
        <d v="2025-01-27T00:00:00"/>
        <d v="2026-05-11T00:00:00"/>
        <d v="2026-02-11T00:00:00"/>
        <d v="2026-03-27T00:00:00"/>
        <d v="2026-04-17T00:00:00"/>
        <d v="2025-12-29T00:00:00"/>
        <d v="2025-01-12T00:00:00"/>
        <d v="2026-01-13T00:00:00"/>
        <d v="2026-03-15T00:00:00"/>
        <d v="2025-08-27T00:00:00"/>
        <d v="2025-10-12T00:00:00"/>
        <d v="2026-01-14T00:00:00"/>
        <d v="2025-02-01T00:00:00"/>
        <d v="2025-04-18T00:00:00"/>
        <d v="2025-03-20T00:00:00"/>
        <d v="2025-10-22T00:00:00"/>
        <d v="2025-12-31T00:00:00"/>
        <d v="2025-06-21T00:00:00"/>
        <d v="2025-05-02T00:00:00"/>
        <d v="2025-06-29T00:00:00"/>
        <d v="2026-02-12T00:00:00"/>
        <d v="2025-03-03T00:00:00"/>
        <d v="2026-04-24T00:00:00"/>
        <d v="2025-02-17T00:00:00"/>
        <d v="2026-03-22T00:00:00"/>
        <d v="2026-04-02T00:00:00"/>
        <d v="2025-02-18T00:00:00"/>
        <d v="2026-03-29T00:00:00"/>
        <d v="2025-05-04T00:00:00"/>
        <d v="2025-08-23T00:00:00"/>
        <d v="2025-05-29T00:00:00"/>
        <d v="2025-09-12T00:00:00"/>
        <d v="2026-03-04T00:00:00"/>
        <d v="2025-08-01T00:00:00"/>
        <d v="2025-04-08T00:00:00"/>
        <d v="2025-11-02T00:00:00"/>
        <d v="2025-10-18T00:00:00"/>
        <d v="2026-01-28T00:00:00"/>
        <d v="2025-01-21T00:00:00"/>
        <d v="2025-10-19T00:00:00"/>
        <d v="2026-01-12T00:00:00"/>
        <d v="2025-01-26T00:00:00"/>
        <d v="2026-04-07T00:00:00"/>
        <d v="2025-06-26T00:00:00"/>
        <d v="2026-03-23T00:00:00"/>
        <d v="2026-05-05T00:00:00"/>
        <d v="2025-02-23T00:00:00"/>
        <d v="2025-07-29T00:00:00"/>
        <d v="2025-10-21T00:00:00"/>
        <d v="2025-09-16T00:00:00"/>
      </sharedItems>
      <fieldGroup par="25" base="3">
        <rangePr groupBy="months" startDate="2025-01-01T00:00:00" endDate="2026-05-17T00:00:00"/>
        <groupItems count="14">
          <s v="&lt;01-01-2025"/>
          <s v="Jan"/>
          <s v="Feb"/>
          <s v="Mar"/>
          <s v="Apr"/>
          <s v="May"/>
          <s v="Jun"/>
          <s v="Jul"/>
          <s v="Aug"/>
          <s v="Sep"/>
          <s v="Oct"/>
          <s v="Nov"/>
          <s v="Dec"/>
          <s v="&gt;17-05-2026"/>
        </groupItems>
      </fieldGroup>
    </cacheField>
    <cacheField name="Delivery_Date" numFmtId="166">
      <sharedItems containsDate="1" containsMixedTypes="1" minDate="2025-01-07T00:00:00" maxDate="2026-05-24T00:00:00" count="330">
        <d v="2025-09-22T00:00:00"/>
        <d v="2025-05-04T00:00:00"/>
        <d v="2025-09-14T00:00:00"/>
        <d v="2025-10-07T00:00:00"/>
        <d v="2026-01-12T00:00:00"/>
        <d v="2026-02-25T00:00:00"/>
        <d v="2025-04-19T00:00:00"/>
        <d v="2026-02-02T00:00:00"/>
        <d v="2025-03-27T00:00:00"/>
        <d v="2025-09-23T00:00:00"/>
        <d v="2025-03-15T00:00:00"/>
        <d v="2025-01-15T00:00:00"/>
        <d v="2025-03-13T00:00:00"/>
        <d v="2025-08-07T00:00:00"/>
        <d v="2026-04-11T00:00:00"/>
        <d v="2026-03-03T00:00:00"/>
        <d v="2026-03-05T00:00:00"/>
        <d v="2025-12-04T00:00:00"/>
        <d v="2025-07-03T00:00:00"/>
        <d v="2025-05-05T00:00:00"/>
        <d v="2025-01-08T00:00:00"/>
        <d v="2025-04-30T00:00:00"/>
        <d v="2026-01-01T00:00:00"/>
        <d v="2026-04-20T00:00:00"/>
        <d v="2025-07-02T00:00:00"/>
        <d v="2025-05-25T00:00:00"/>
        <d v="2026-03-20T00:00:00"/>
        <d v="2025-09-20T00:00:00"/>
        <d v="2026-01-16T00:00:00"/>
        <d v="2025-06-26T00:00:00"/>
        <d v="2025-07-13T00:00:00"/>
        <d v="2025-07-04T00:00:00"/>
        <d v="2025-10-19T00:00:00"/>
        <d v="2025-11-26T00:00:00"/>
        <d v="2025-11-14T00:00:00"/>
        <d v="2025-02-19T00:00:00"/>
        <d v="2025-10-15T00:00:00"/>
        <d v="2026-02-12T00:00:00"/>
        <d v="2025-06-16T00:00:00"/>
        <d v="2026-02-14T00:00:00"/>
        <d v="2025-03-31T00:00:00"/>
        <d v="2025-04-28T00:00:00"/>
        <d v="2025-10-23T00:00:00"/>
        <d v="2025-10-14T00:00:00"/>
        <d v="2025-12-03T00:00:00"/>
        <s v="Pending"/>
        <d v="2026-04-21T00:00:00"/>
        <d v="2025-04-07T00:00:00"/>
        <d v="2025-08-28T00:00:00"/>
        <d v="2025-08-23T00:00:00"/>
        <d v="2025-08-05T00:00:00"/>
        <d v="2025-02-26T00:00:00"/>
        <d v="2025-08-11T00:00:00"/>
        <d v="2026-03-30T00:00:00"/>
        <d v="2026-03-19T00:00:00"/>
        <d v="2025-03-06T00:00:00"/>
        <d v="2026-04-19T00:00:00"/>
        <d v="2025-08-25T00:00:00"/>
        <d v="2026-05-20T00:00:00"/>
        <d v="2025-03-05T00:00:00"/>
        <d v="2025-02-12T00:00:00"/>
        <d v="2026-01-10T00:00:00"/>
        <d v="2025-09-05T00:00:00"/>
        <d v="2025-12-19T00:00:00"/>
        <d v="2025-04-10T00:00:00"/>
        <d v="2026-01-03T00:00:00"/>
        <d v="2025-12-23T00:00:00"/>
        <d v="2026-02-16T00:00:00"/>
        <d v="2026-01-28T00:00:00"/>
        <d v="2025-07-07T00:00:00"/>
        <d v="2025-06-18T00:00:00"/>
        <d v="2025-11-16T00:00:00"/>
        <d v="2025-11-10T00:00:00"/>
        <d v="2025-01-07T00:00:00"/>
        <d v="2026-05-03T00:00:00"/>
        <d v="2025-09-27T00:00:00"/>
        <d v="2025-03-21T00:00:00"/>
        <d v="2025-10-31T00:00:00"/>
        <d v="2025-11-11T00:00:00"/>
        <d v="2025-04-18T00:00:00"/>
        <d v="2026-03-26T00:00:00"/>
        <d v="2025-09-24T00:00:00"/>
        <d v="2025-08-14T00:00:00"/>
        <d v="2025-03-20T00:00:00"/>
        <d v="2025-09-10T00:00:00"/>
        <d v="2025-04-15T00:00:00"/>
        <d v="2026-05-07T00:00:00"/>
        <d v="2026-01-27T00:00:00"/>
        <d v="2026-03-24T00:00:00"/>
        <d v="2025-05-11T00:00:00"/>
        <d v="2026-05-10T00:00:00"/>
        <d v="2025-04-29T00:00:00"/>
        <d v="2025-12-20T00:00:00"/>
        <d v="2026-05-15T00:00:00"/>
        <d v="2025-01-20T00:00:00"/>
        <d v="2025-03-18T00:00:00"/>
        <d v="2025-03-01T00:00:00"/>
        <d v="2025-02-27T00:00:00"/>
        <d v="2026-03-18T00:00:00"/>
        <d v="2025-07-12T00:00:00"/>
        <d v="2026-04-10T00:00:00"/>
        <d v="2025-10-28T00:00:00"/>
        <d v="2025-04-14T00:00:00"/>
        <d v="2025-08-31T00:00:00"/>
        <d v="2025-06-11T00:00:00"/>
        <d v="2025-06-02T00:00:00"/>
        <d v="2025-08-30T00:00:00"/>
        <d v="2025-12-16T00:00:00"/>
        <d v="2026-02-10T00:00:00"/>
        <d v="2026-01-04T00:00:00"/>
        <d v="2025-10-26T00:00:00"/>
        <d v="2025-05-21T00:00:00"/>
        <d v="2026-01-06T00:00:00"/>
        <d v="2026-04-26T00:00:00"/>
        <d v="2025-08-18T00:00:00"/>
        <d v="2025-06-24T00:00:00"/>
        <d v="2026-04-30T00:00:00"/>
        <d v="2026-02-22T00:00:00"/>
        <d v="2025-06-27T00:00:00"/>
        <d v="2025-06-10T00:00:00"/>
        <d v="2025-08-01T00:00:00"/>
        <d v="2025-01-21T00:00:00"/>
        <d v="2025-02-05T00:00:00"/>
        <d v="2025-01-30T00:00:00"/>
        <d v="2025-07-14T00:00:00"/>
        <d v="2025-01-29T00:00:00"/>
        <d v="2025-12-18T00:00:00"/>
        <d v="2025-10-21T00:00:00"/>
        <d v="2026-03-10T00:00:00"/>
        <d v="2025-12-07T00:00:00"/>
        <d v="2025-07-19T00:00:00"/>
        <d v="2025-03-23T00:00:00"/>
        <d v="2025-07-23T00:00:00"/>
        <d v="2025-07-24T00:00:00"/>
        <d v="2025-07-29T00:00:00"/>
        <d v="2025-04-12T00:00:00"/>
        <d v="2026-05-23T00:00:00"/>
        <d v="2026-03-16T00:00:00"/>
        <d v="2025-07-01T00:00:00"/>
        <d v="2025-11-29T00:00:00"/>
        <d v="2025-09-17T00:00:00"/>
        <d v="2025-11-13T00:00:00"/>
        <d v="2025-04-06T00:00:00"/>
        <d v="2025-07-10T00:00:00"/>
        <d v="2026-01-26T00:00:00"/>
        <d v="2026-04-07T00:00:00"/>
        <d v="2025-10-29T00:00:00"/>
        <d v="2025-02-17T00:00:00"/>
        <d v="2025-03-25T00:00:00"/>
        <d v="2025-07-16T00:00:00"/>
        <d v="2026-02-21T00:00:00"/>
        <d v="2025-05-30T00:00:00"/>
        <d v="2025-10-06T00:00:00"/>
        <d v="2025-05-26T00:00:00"/>
        <d v="2025-06-23T00:00:00"/>
        <d v="2025-01-24T00:00:00"/>
        <d v="2025-12-26T00:00:00"/>
        <d v="2025-06-28T00:00:00"/>
        <d v="2026-05-22T00:00:00"/>
        <d v="2025-11-20T00:00:00"/>
        <d v="2025-11-04T00:00:00"/>
        <d v="2025-02-18T00:00:00"/>
        <d v="2025-12-14T00:00:00"/>
        <d v="2025-05-09T00:00:00"/>
        <d v="2026-01-14T00:00:00"/>
        <d v="2026-04-27T00:00:00"/>
        <d v="2025-02-09T00:00:00"/>
        <d v="2025-05-27T00:00:00"/>
        <d v="2026-03-09T00:00:00"/>
        <d v="2025-10-09T00:00:00"/>
        <d v="2025-03-12T00:00:00"/>
        <d v="2026-04-15T00:00:00"/>
        <d v="2026-01-20T00:00:00"/>
        <d v="2025-11-24T00:00:00"/>
        <d v="2025-12-27T00:00:00"/>
        <d v="2025-02-16T00:00:00"/>
        <d v="2025-06-08T00:00:00"/>
        <d v="2026-05-04T00:00:00"/>
        <d v="2025-11-07T00:00:00"/>
        <d v="2026-02-08T00:00:00"/>
        <d v="2025-05-20T00:00:00"/>
        <d v="2026-03-28T00:00:00"/>
        <d v="2025-11-02T00:00:00"/>
        <d v="2025-07-26T00:00:00"/>
        <d v="2025-02-24T00:00:00"/>
        <d v="2025-05-01T00:00:00"/>
        <d v="2025-06-13T00:00:00"/>
        <d v="2025-05-23T00:00:00"/>
        <d v="2026-01-31T00:00:00"/>
        <d v="2025-06-04T00:00:00"/>
        <d v="2025-06-19T00:00:00"/>
        <d v="2026-01-24T00:00:00"/>
        <d v="2026-03-04T00:00:00"/>
        <d v="2025-03-04T00:00:00"/>
        <d v="2026-02-06T00:00:00"/>
        <d v="2026-01-17T00:00:00"/>
        <d v="2025-09-12T00:00:00"/>
        <d v="2026-01-13T00:00:00"/>
        <d v="2026-05-19T00:00:00"/>
        <d v="2025-06-01T00:00:00"/>
        <d v="2026-01-02T00:00:00"/>
        <d v="2026-01-05T00:00:00"/>
        <d v="2025-05-17T00:00:00"/>
        <d v="2025-03-26T00:00:00"/>
        <d v="2025-10-01T00:00:00"/>
        <d v="2025-11-09T00:00:00"/>
        <d v="2026-05-13T00:00:00"/>
        <d v="2025-07-30T00:00:00"/>
        <d v="2025-03-07T00:00:00"/>
        <d v="2025-01-12T00:00:00"/>
        <d v="2025-04-26T00:00:00"/>
        <d v="2026-04-16T00:00:00"/>
        <d v="2025-05-24T00:00:00"/>
        <d v="2026-01-29T00:00:00"/>
        <d v="2025-09-29T00:00:00"/>
        <d v="2025-06-30T00:00:00"/>
        <d v="2025-05-16T00:00:00"/>
        <d v="2025-09-18T00:00:00"/>
        <d v="2026-02-27T00:00:00"/>
        <d v="2025-09-30T00:00:00"/>
        <d v="2026-05-11T00:00:00"/>
        <d v="2025-11-06T00:00:00"/>
        <d v="2025-04-01T00:00:00"/>
        <d v="2025-03-14T00:00:00"/>
        <d v="2026-02-24T00:00:00"/>
        <d v="2025-02-14T00:00:00"/>
        <d v="2025-01-27T00:00:00"/>
        <d v="2025-01-16T00:00:00"/>
        <d v="2025-10-17T00:00:00"/>
        <d v="2026-03-08T00:00:00"/>
        <d v="2025-07-27T00:00:00"/>
        <d v="2026-02-17T00:00:00"/>
        <d v="2025-09-08T00:00:00"/>
        <d v="2025-10-11T00:00:00"/>
        <d v="2025-10-16T00:00:00"/>
        <d v="2026-04-28T00:00:00"/>
        <d v="2026-04-04T00:00:00"/>
        <d v="2025-05-19T00:00:00"/>
        <d v="2025-12-30T00:00:00"/>
        <d v="2026-04-25T00:00:00"/>
        <d v="2025-11-08T00:00:00"/>
        <d v="2026-02-28T00:00:00"/>
        <d v="2025-03-10T00:00:00"/>
        <d v="2025-06-14T00:00:00"/>
        <d v="2025-12-21T00:00:00"/>
        <d v="2026-03-12T00:00:00"/>
        <d v="2025-11-28T00:00:00"/>
        <d v="2025-10-30T00:00:00"/>
        <d v="2025-09-07T00:00:00"/>
        <d v="2025-04-08T00:00:00"/>
        <d v="2026-05-16T00:00:00"/>
        <d v="2025-12-12T00:00:00"/>
        <d v="2025-02-10T00:00:00"/>
        <d v="2025-12-15T00:00:00"/>
        <d v="2025-05-22T00:00:00"/>
        <d v="2025-08-02T00:00:00"/>
        <d v="2025-08-17T00:00:00"/>
        <d v="2025-12-10T00:00:00"/>
        <d v="2025-08-04T00:00:00"/>
        <d v="2025-09-25T00:00:00"/>
        <d v="2025-02-11T00:00:00"/>
        <d v="2025-04-22T00:00:00"/>
        <d v="2026-05-18T00:00:00"/>
        <d v="2026-03-21T00:00:00"/>
        <d v="2025-05-07T00:00:00"/>
        <d v="2025-02-13T00:00:00"/>
        <d v="2025-05-15T00:00:00"/>
        <d v="2026-04-05T00:00:00"/>
        <d v="2025-02-02T00:00:00"/>
        <d v="2025-10-08T00:00:00"/>
        <d v="2025-06-17T00:00:00"/>
        <d v="2025-01-31T00:00:00"/>
        <d v="2025-10-03T00:00:00"/>
        <d v="2025-04-11T00:00:00"/>
        <d v="2026-02-23T00:00:00"/>
        <d v="2025-12-11T00:00:00"/>
        <d v="2025-10-24T00:00:00"/>
        <d v="2026-01-25T00:00:00"/>
        <d v="2025-01-28T00:00:00"/>
        <d v="2025-03-02T00:00:00"/>
        <d v="2025-06-21T00:00:00"/>
        <d v="2025-06-06T00:00:00"/>
        <d v="2026-02-26T00:00:00"/>
        <d v="2025-08-15T00:00:00"/>
        <d v="2025-01-18T00:00:00"/>
        <d v="2025-02-04T00:00:00"/>
        <d v="2025-11-03T00:00:00"/>
        <d v="2025-02-21T00:00:00"/>
        <d v="2025-10-12T00:00:00"/>
        <d v="2026-02-01T00:00:00"/>
        <d v="2025-02-06T00:00:00"/>
        <d v="2026-05-17T00:00:00"/>
        <d v="2026-04-02T00:00:00"/>
        <d v="2026-01-09T00:00:00"/>
        <d v="2026-04-29T00:00:00"/>
        <d v="2025-03-29T00:00:00"/>
        <d v="2025-09-26T00:00:00"/>
        <d v="2026-01-22T00:00:00"/>
        <d v="2025-11-30T00:00:00"/>
        <d v="2025-02-15T00:00:00"/>
        <d v="2025-08-29T00:00:00"/>
        <d v="2025-04-20T00:00:00"/>
        <d v="2025-10-25T00:00:00"/>
        <d v="2025-06-25T00:00:00"/>
        <d v="2025-06-05T00:00:00"/>
        <d v="2025-06-03T00:00:00"/>
        <d v="2025-05-03T00:00:00"/>
        <d v="2025-07-06T00:00:00"/>
        <d v="2025-06-07T00:00:00"/>
        <d v="2025-02-28T00:00:00"/>
        <d v="2026-03-29T00:00:00"/>
        <d v="2026-04-13T00:00:00"/>
        <d v="2025-12-02T00:00:00"/>
        <d v="2025-12-06T00:00:00"/>
        <d v="2025-09-19T00:00:00"/>
        <d v="2026-03-11T00:00:00"/>
        <d v="2025-08-09T00:00:00"/>
        <d v="2025-10-22T00:00:00"/>
        <d v="2025-05-31T00:00:00"/>
        <d v="2025-10-20T00:00:00"/>
        <d v="2026-01-18T00:00:00"/>
        <d v="2025-02-01T00:00:00"/>
        <d v="2026-04-08T00:00:00"/>
        <d v="2025-07-18T00:00:00"/>
        <d v="2025-11-05T00:00:00"/>
        <d v="2026-05-09T00:00:00"/>
        <d v="2025-01-17T00:00:00"/>
        <d v="2026-05-02T00:00:00"/>
        <d v="2025-11-01T00:00:00"/>
        <d v="2025-07-05T00:00:00"/>
      </sharedItems>
      <fieldGroup par="23"/>
    </cacheField>
    <cacheField name="Customer_Name" numFmtId="0">
      <sharedItems/>
    </cacheField>
    <cacheField name="Gender" numFmtId="0">
      <sharedItems/>
    </cacheField>
    <cacheField name="DOB" numFmtId="166">
      <sharedItems containsSemiMixedTypes="0" containsNonDate="0" containsDate="1" containsString="0" minDate="1975-02-12T00:00:00" maxDate="2004-12-29T00:00:00"/>
    </cacheField>
    <cacheField name="City" numFmtId="0">
      <sharedItems containsBlank="1"/>
    </cacheField>
    <cacheField name="Region" numFmtId="0">
      <sharedItems count="4">
        <s v="South"/>
        <s v="North"/>
        <s v="West"/>
        <s v="East"/>
      </sharedItems>
    </cacheField>
    <cacheField name="Category" numFmtId="0">
      <sharedItems count="4">
        <s v="Home Appliances"/>
        <s v="Electronics"/>
        <s v="Stationery"/>
        <s v="Stationary" u="1"/>
      </sharedItems>
    </cacheField>
    <cacheField name="Product_Name" numFmtId="0">
      <sharedItems/>
    </cacheField>
    <cacheField name="Quantity" numFmtId="0">
      <sharedItems containsMixedTypes="1" containsNumber="1" containsInteger="1" minValue="-3" maxValue="20"/>
    </cacheField>
    <cacheField name="Unit_Price" numFmtId="164">
      <sharedItems containsSemiMixedTypes="0" containsString="0" containsNumber="1" containsInteger="1" minValue="20" maxValue="55000"/>
    </cacheField>
    <cacheField name="Discount_%" numFmtId="0">
      <sharedItems containsSemiMixedTypes="0" containsString="0" containsNumber="1" containsInteger="1" minValue="0" maxValue="65"/>
    </cacheField>
    <cacheField name="Sales" numFmtId="164">
      <sharedItems containsSemiMixedTypes="0" containsString="0" containsNumber="1" minValue="19" maxValue="1045000"/>
    </cacheField>
    <cacheField name="Rating" numFmtId="0">
      <sharedItems containsSemiMixedTypes="0" containsString="0" containsNumber="1" containsInteger="1" minValue="1" maxValue="5"/>
    </cacheField>
    <cacheField name="Payment_Mode" numFmtId="0">
      <sharedItems/>
    </cacheField>
    <cacheField name="Salesperson" numFmtId="0">
      <sharedItems/>
    </cacheField>
    <cacheField name="Email" numFmtId="0">
      <sharedItems/>
    </cacheField>
    <cacheField name="Phone" numFmtId="0">
      <sharedItems containsSemiMixedTypes="0" containsString="0" containsNumber="1" containsInteger="1" minValue="98765" maxValue="9999889465"/>
    </cacheField>
    <cacheField name="Order_Status" numFmtId="0">
      <sharedItems/>
    </cacheField>
    <cacheField name="Sales per Order" numFmtId="0" formula="SUM(Sales)/COUNT(Order_ID)" databaseField="0"/>
    <cacheField name="Delivery_Date2" numFmtId="0" databaseField="0">
      <fieldGroup base="4">
        <discretePr count="33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discretePr>
        <groupItems count="1">
          <s v="Group1"/>
        </groupItems>
      </fieldGroup>
    </cacheField>
    <cacheField name="Quarters" numFmtId="0" databaseField="0">
      <fieldGroup base="3">
        <rangePr groupBy="quarters" startDate="2025-01-01T00:00:00" endDate="2026-05-17T00:00:00"/>
        <groupItems count="6">
          <s v="&lt;01-01-2025"/>
          <s v="Qtr1"/>
          <s v="Qtr2"/>
          <s v="Qtr3"/>
          <s v="Qtr4"/>
          <s v="&gt;17-05-2026"/>
        </groupItems>
      </fieldGroup>
    </cacheField>
    <cacheField name="Years" numFmtId="0" databaseField="0">
      <fieldGroup base="3">
        <rangePr groupBy="years" startDate="2025-01-01T00:00:00" endDate="2026-05-17T00:00:00"/>
        <groupItems count="4">
          <s v="&lt;01-01-2025"/>
          <s v="2025"/>
          <s v="2026"/>
          <s v="&gt;17-05-2026"/>
        </groupItems>
      </fieldGroup>
    </cacheField>
  </cacheFields>
  <extLst>
    <ext xmlns:x14="http://schemas.microsoft.com/office/spreadsheetml/2009/9/main" uri="{725AE2AE-9491-48be-B2B4-4EB974FC3084}">
      <x14:pivotCacheDefinition pivotCacheId="8998397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8">
  <r>
    <s v="ORD10001"/>
    <s v="C008"/>
    <s v="P202"/>
    <x v="0"/>
    <x v="0"/>
    <s v="Kavya Nair"/>
    <s v="Female"/>
    <d v="1976-08-01T00:00:00"/>
    <s v="Hyderabad"/>
    <x v="0"/>
    <x v="0"/>
    <s v="Iron"/>
    <n v="4"/>
    <n v="2200"/>
    <n v="10"/>
    <n v="7920"/>
    <n v="4"/>
    <s v="Cash"/>
    <s v="Ritika"/>
    <s v="KAvya.nair@company.com"/>
    <n v="9431429797"/>
    <s v="Completed"/>
  </r>
  <r>
    <s v="ORD10002"/>
    <s v="C008"/>
    <s v="P104"/>
    <x v="1"/>
    <x v="1"/>
    <s v="Kavya Nair"/>
    <s v="Female"/>
    <d v="2000-10-16T00:00:00"/>
    <s v="Delhi"/>
    <x v="1"/>
    <x v="1"/>
    <s v="Monitor"/>
    <n v="17"/>
    <n v="12000"/>
    <n v="10"/>
    <n v="183600"/>
    <n v="1"/>
    <s v="NetBanking"/>
    <s v="Rahul"/>
    <s v="KAvya.nair@company.com"/>
    <n v="9129865339"/>
    <s v="Completed"/>
  </r>
  <r>
    <s v="ORD10003"/>
    <s v="C010"/>
    <s v="P101"/>
    <x v="2"/>
    <x v="2"/>
    <s v="Pooja Shah"/>
    <s v="Female"/>
    <d v="1994-09-16T00:00:00"/>
    <s v="Bengaluru"/>
    <x v="0"/>
    <x v="1"/>
    <s v="Laptop"/>
    <n v="5"/>
    <n v="55000"/>
    <n v="5"/>
    <n v="261250"/>
    <n v="3"/>
    <s v="NetBanking"/>
    <s v="Aisha"/>
    <s v="pooja.shah@company.com"/>
    <n v="9380975626"/>
    <s v="Pending"/>
  </r>
  <r>
    <s v="ORD10005"/>
    <s v="C009"/>
    <s v="P103"/>
    <x v="3"/>
    <x v="3"/>
    <s v="Mohit Verma"/>
    <s v="Male"/>
    <d v="1976-04-13T00:00:00"/>
    <s v="Delhi"/>
    <x v="1"/>
    <x v="1"/>
    <s v="Keyboard"/>
    <n v="8"/>
    <n v="1200"/>
    <n v="5"/>
    <n v="9120"/>
    <n v="2"/>
    <s v="Card"/>
    <s v="Aisha"/>
    <s v="mohit.verma@company.com"/>
    <n v="9724635978"/>
    <s v="Pending"/>
  </r>
  <r>
    <s v="ORD10006"/>
    <s v="C007"/>
    <s v="P202"/>
    <x v="4"/>
    <x v="4"/>
    <s v="Arjun Rao"/>
    <s v="Male"/>
    <d v="1988-02-07T00:00:00"/>
    <s v="Hyderabad"/>
    <x v="0"/>
    <x v="0"/>
    <s v="Iron"/>
    <n v="4"/>
    <n v="2200"/>
    <n v="0"/>
    <n v="8800"/>
    <n v="1"/>
    <s v="UPI"/>
    <s v="Ritika"/>
    <s v="arjun.rao@company.com"/>
    <n v="9780584905"/>
    <s v="Completed"/>
  </r>
  <r>
    <s v="ORD10007"/>
    <s v="C008"/>
    <s v="P201"/>
    <x v="5"/>
    <x v="5"/>
    <s v="Kavya Nair"/>
    <s v="Female"/>
    <d v="2003-03-20T00:00:00"/>
    <s v="Hyderabad"/>
    <x v="0"/>
    <x v="0"/>
    <s v="Mixer"/>
    <n v="2"/>
    <n v="3500"/>
    <n v="5"/>
    <n v="6650"/>
    <n v="1"/>
    <s v="UPI"/>
    <s v="Ritika"/>
    <s v="KAvya.nair@company.com"/>
    <n v="9958252176"/>
    <s v="Completed"/>
  </r>
  <r>
    <s v="ORD10008"/>
    <s v="C002"/>
    <s v="P104"/>
    <x v="6"/>
    <x v="6"/>
    <s v="Priya Patel"/>
    <s v="Female"/>
    <d v="1995-03-07T00:00:00"/>
    <s v="Mumbai"/>
    <x v="2"/>
    <x v="1"/>
    <s v="Monitor"/>
    <n v="14"/>
    <n v="12000"/>
    <n v="15"/>
    <n v="142800"/>
    <n v="4"/>
    <s v="NetBanking"/>
    <s v="Ritika"/>
    <s v="priYa.patel@company.com"/>
    <n v="9705521654"/>
    <s v="Completed"/>
  </r>
  <r>
    <s v="ORD10009"/>
    <s v="C008"/>
    <s v="P104"/>
    <x v="7"/>
    <x v="7"/>
    <s v="Kavya Nair"/>
    <s v="Female"/>
    <d v="1997-04-06T00:00:00"/>
    <s v="Pune"/>
    <x v="2"/>
    <x v="1"/>
    <s v="Monitor"/>
    <n v="4"/>
    <n v="12000"/>
    <n v="15"/>
    <n v="40800"/>
    <n v="4"/>
    <s v="UPI"/>
    <s v="Neha"/>
    <s v="KAvya.nair@company.com"/>
    <n v="9588041011"/>
    <s v="Completed"/>
  </r>
  <r>
    <s v="ORD10010"/>
    <s v="C002"/>
    <s v="P301"/>
    <x v="8"/>
    <x v="8"/>
    <s v="Priya Patel"/>
    <s v="Female"/>
    <d v="1990-01-07T00:00:00"/>
    <s v="Mumbai"/>
    <x v="2"/>
    <x v="2"/>
    <s v="Notebook"/>
    <n v="6"/>
    <n v="60"/>
    <n v="0"/>
    <n v="360"/>
    <n v="4"/>
    <s v="Card"/>
    <s v="Neha"/>
    <s v="priYa.patel@company.com"/>
    <n v="9340540608"/>
    <s v="Completed"/>
  </r>
  <r>
    <s v="ORD10011"/>
    <s v="C003"/>
    <s v="P202"/>
    <x v="9"/>
    <x v="9"/>
    <s v="Rohit Singh"/>
    <s v="Male"/>
    <d v="1982-05-10T00:00:00"/>
    <s v="Delhi"/>
    <x v="1"/>
    <x v="0"/>
    <s v="Iron"/>
    <n v="-3"/>
    <n v="2200"/>
    <n v="0"/>
    <n v="35200"/>
    <n v="2"/>
    <s v="Card"/>
    <s v="Rahul"/>
    <s v="rohit.singh@company.com"/>
    <n v="9521710321"/>
    <s v="Pending"/>
  </r>
  <r>
    <s v="ORD10012"/>
    <s v="C008"/>
    <s v="P201"/>
    <x v="10"/>
    <x v="10"/>
    <s v="Kavya Nair"/>
    <s v="Female"/>
    <d v="1982-01-23T00:00:00"/>
    <s v="Ahmedabad"/>
    <x v="2"/>
    <x v="0"/>
    <s v="Mixer"/>
    <n v="10"/>
    <n v="3500"/>
    <n v="5"/>
    <n v="33250"/>
    <n v="5"/>
    <s v="Card"/>
    <s v="Aisha"/>
    <s v="KAvya.nair@company.com"/>
    <n v="9123535241"/>
    <s v="Cancelled"/>
  </r>
  <r>
    <s v="ORD10013"/>
    <s v="C002"/>
    <s v="P202"/>
    <x v="11"/>
    <x v="11"/>
    <s v="Priya Patel"/>
    <s v="Female"/>
    <d v="1992-07-06T00:00:00"/>
    <s v="Pune"/>
    <x v="2"/>
    <x v="0"/>
    <s v="Iron"/>
    <n v="15"/>
    <n v="2200"/>
    <n v="10"/>
    <n v="29700"/>
    <n v="1"/>
    <s v="UPI"/>
    <s v="Neha"/>
    <s v="priYa.patel@company.com"/>
    <n v="9367316892"/>
    <s v="Pending"/>
  </r>
  <r>
    <s v="ORD10014"/>
    <s v="C003"/>
    <s v="P202"/>
    <x v="12"/>
    <x v="12"/>
    <s v="Rohit Singh"/>
    <s v="Male"/>
    <d v="2002-03-19T00:00:00"/>
    <s v="Mumbai"/>
    <x v="2"/>
    <x v="0"/>
    <s v="Iron"/>
    <n v="17"/>
    <n v="2200"/>
    <n v="5"/>
    <n v="35530"/>
    <n v="1"/>
    <s v="Cash"/>
    <s v="Karan"/>
    <s v="rohit.singh@company.com"/>
    <n v="9778489803"/>
    <s v="Completed"/>
  </r>
  <r>
    <s v="ORD10015"/>
    <s v="C008"/>
    <s v="P201"/>
    <x v="13"/>
    <x v="13"/>
    <s v="Kavya Nair"/>
    <s v="Female"/>
    <d v="2001-01-17T00:00:00"/>
    <s v="Mumbai"/>
    <x v="2"/>
    <x v="0"/>
    <s v="Mixer"/>
    <n v="15"/>
    <n v="3500"/>
    <n v="15"/>
    <n v="44625"/>
    <n v="2"/>
    <s v="Cash"/>
    <s v="Neha"/>
    <s v="KAvya.nair@company.com"/>
    <n v="9582960180"/>
    <s v="Cancelled"/>
  </r>
  <r>
    <s v="ORD10016"/>
    <s v="C010"/>
    <s v="P103"/>
    <x v="14"/>
    <x v="14"/>
    <s v="Pooja Shah"/>
    <s v="Female"/>
    <d v="2002-04-11T00:00:00"/>
    <s v="Hyderabad"/>
    <x v="0"/>
    <x v="1"/>
    <s v="Keyboard"/>
    <n v="3"/>
    <n v="1200"/>
    <n v="5"/>
    <n v="3420"/>
    <n v="5"/>
    <s v="UPI"/>
    <s v="Ritika"/>
    <s v="pooja.shahcompany.com"/>
    <n v="9611394005"/>
    <s v="Completed"/>
  </r>
  <r>
    <s v="ORD10017"/>
    <s v="C004"/>
    <s v="P203"/>
    <x v="15"/>
    <x v="15"/>
    <s v="Amit Sharma"/>
    <s v="Female"/>
    <d v="2002-01-16T00:00:00"/>
    <s v="Pune"/>
    <x v="2"/>
    <x v="0"/>
    <s v="Microwave"/>
    <n v="13"/>
    <n v="8500"/>
    <n v="20"/>
    <n v="88400"/>
    <n v="4"/>
    <s v="Card"/>
    <s v="Rahul"/>
    <s v="anita.gupta@company.com"/>
    <n v="9692599404"/>
    <s v="Pending"/>
  </r>
  <r>
    <s v="ORD10018"/>
    <s v="C007"/>
    <s v="P203"/>
    <x v="16"/>
    <x v="16"/>
    <s v="Arjun Rao"/>
    <s v="Male"/>
    <d v="1989-10-09T00:00:00"/>
    <s v="Ahmedabad"/>
    <x v="2"/>
    <x v="0"/>
    <s v="Microwave"/>
    <n v="4"/>
    <n v="8500"/>
    <n v="20"/>
    <n v="27200"/>
    <n v="5"/>
    <s v="Card"/>
    <s v="Aisha"/>
    <s v="arjun.rao@company.com"/>
    <n v="9426119622"/>
    <s v="Pending"/>
  </r>
  <r>
    <s v="ORD10019"/>
    <s v="C007"/>
    <s v="P102"/>
    <x v="17"/>
    <x v="17"/>
    <s v="Arjun Rao"/>
    <s v="Male"/>
    <d v="1991-10-28T00:00:00"/>
    <s v="Mumbai"/>
    <x v="2"/>
    <x v="1"/>
    <s v="Mouse"/>
    <n v="9"/>
    <n v="700"/>
    <n v="5"/>
    <n v="5985"/>
    <n v="3"/>
    <s v="UPI"/>
    <s v="Ritika"/>
    <s v="arjun.rao@company.com"/>
    <n v="9184436009"/>
    <s v="Pending"/>
  </r>
  <r>
    <s v="ORD10020"/>
    <s v="C008"/>
    <s v="P101"/>
    <x v="18"/>
    <x v="18"/>
    <s v="Kavya Nair"/>
    <s v="Female"/>
    <d v="1990-03-01T00:00:00"/>
    <s v="Ahmedabad"/>
    <x v="2"/>
    <x v="1"/>
    <s v="Laptop"/>
    <n v="8"/>
    <n v="55000"/>
    <n v="20"/>
    <n v="352000"/>
    <n v="1"/>
    <s v="Cash"/>
    <s v="Karan"/>
    <s v="KAvya.nair@company.com"/>
    <n v="9263774934"/>
    <s v="Completed"/>
  </r>
  <r>
    <s v="ORD10021"/>
    <s v="C003"/>
    <s v="P102"/>
    <x v="19"/>
    <x v="19"/>
    <s v="Rohit Singh"/>
    <s v="Male"/>
    <d v="2002-07-18T00:00:00"/>
    <s v="Delhi"/>
    <x v="1"/>
    <x v="1"/>
    <s v="Mouse"/>
    <n v="10"/>
    <n v="700"/>
    <n v="20"/>
    <n v="5600"/>
    <n v="4"/>
    <s v="Card"/>
    <s v="Aisha"/>
    <s v="rohit.singh@company.com"/>
    <n v="9473159572"/>
    <s v="Cancelled"/>
  </r>
  <r>
    <s v="ORD10022"/>
    <s v="C008"/>
    <s v="P201"/>
    <x v="20"/>
    <x v="20"/>
    <s v="Kavya Nair"/>
    <s v="Female"/>
    <d v="2004-12-15T00:00:00"/>
    <s v="Bengaluru"/>
    <x v="0"/>
    <x v="0"/>
    <s v="Mixer"/>
    <n v="1"/>
    <n v="3500"/>
    <n v="5"/>
    <n v="3325"/>
    <n v="3"/>
    <s v="UPI"/>
    <s v="Neha"/>
    <s v="KAvya.nair@company.com"/>
    <n v="9660493688"/>
    <s v="Cancelled"/>
  </r>
  <r>
    <s v="ORD10023"/>
    <s v="C002"/>
    <s v="P102"/>
    <x v="21"/>
    <x v="21"/>
    <s v="Priya Patel"/>
    <s v="Female"/>
    <d v="1984-07-04T00:00:00"/>
    <s v="Jaipur"/>
    <x v="1"/>
    <x v="1"/>
    <s v="Mouse"/>
    <n v="19"/>
    <n v="700"/>
    <n v="15"/>
    <n v="11305"/>
    <n v="3"/>
    <s v="NetBanking"/>
    <s v="Karan"/>
    <s v="priYa.patel@company.com"/>
    <n v="9513325819"/>
    <s v="Pending"/>
  </r>
  <r>
    <s v="ORD10024"/>
    <s v="C009"/>
    <s v="P101"/>
    <x v="22"/>
    <x v="22"/>
    <s v="Mohit Verma"/>
    <s v="Male"/>
    <d v="1978-02-25T00:00:00"/>
    <s v="Bengaluru"/>
    <x v="0"/>
    <x v="1"/>
    <s v="Laptop"/>
    <n v="12"/>
    <n v="55000"/>
    <n v="0"/>
    <n v="660000"/>
    <n v="1"/>
    <s v="Card"/>
    <s v="Rahul"/>
    <s v="mohit.verma@company.com"/>
    <n v="9641063242"/>
    <s v="Pending"/>
  </r>
  <r>
    <s v="ORD10025"/>
    <s v="C005"/>
    <s v="P302"/>
    <x v="23"/>
    <x v="23"/>
    <s v="Vikas Mehta"/>
    <s v="Male"/>
    <d v="1991-08-03T00:00:00"/>
    <s v="Mumbai"/>
    <x v="2"/>
    <x v="2"/>
    <s v="Pen"/>
    <n v="1"/>
    <n v="20"/>
    <n v="5"/>
    <n v="19"/>
    <n v="5"/>
    <s v="Card"/>
    <s v="Ritika"/>
    <s v="vikas.mehta@company.com"/>
    <n v="9277372518"/>
    <s v="Cancelled"/>
  </r>
  <r>
    <s v="ORD10026"/>
    <s v="C007"/>
    <s v="P302"/>
    <x v="24"/>
    <x v="24"/>
    <s v="Arjun Rao"/>
    <s v="Male"/>
    <d v="1977-12-11T00:00:00"/>
    <s v="Mumbai"/>
    <x v="2"/>
    <x v="2"/>
    <s v="Pen"/>
    <n v="2"/>
    <n v="20"/>
    <n v="15"/>
    <n v="34"/>
    <n v="1"/>
    <s v="UPI"/>
    <s v="Ritika"/>
    <s v="arjun.rao@company.com"/>
    <n v="9193154372"/>
    <s v="Pending"/>
  </r>
  <r>
    <s v="ORD10027"/>
    <s v="C009"/>
    <s v="P201"/>
    <x v="25"/>
    <x v="25"/>
    <s v="Mohit Verma"/>
    <s v="Male"/>
    <d v="1992-02-08T00:00:00"/>
    <s v="Ahmedabad"/>
    <x v="2"/>
    <x v="0"/>
    <s v="Mixer"/>
    <n v="12"/>
    <n v="3500"/>
    <n v="15"/>
    <n v="35700"/>
    <n v="4"/>
    <s v="Cash"/>
    <s v="Rahul"/>
    <s v="mohit.verma@company.com"/>
    <n v="9400073244"/>
    <s v="Cancelled"/>
  </r>
  <r>
    <s v="ORD10028"/>
    <s v="C008"/>
    <s v="P103"/>
    <x v="26"/>
    <x v="26"/>
    <s v="Kavya Nair"/>
    <s v="Female"/>
    <d v="2004-06-05T00:00:00"/>
    <s v="Ahmedabad"/>
    <x v="2"/>
    <x v="1"/>
    <s v="Keyboard"/>
    <n v="11"/>
    <n v="1200"/>
    <n v="0"/>
    <n v="13200"/>
    <n v="2"/>
    <s v="UPI"/>
    <s v="Karan"/>
    <s v="KAvya.nair@company.com"/>
    <n v="9771556720"/>
    <s v="Completed"/>
  </r>
  <r>
    <s v="ORD10029"/>
    <s v="C003"/>
    <s v="P203"/>
    <x v="27"/>
    <x v="27"/>
    <s v="Rohit Singh"/>
    <s v="Male"/>
    <d v="2001-08-11T00:00:00"/>
    <s v="Pune"/>
    <x v="2"/>
    <x v="0"/>
    <s v="Microwave"/>
    <n v="6"/>
    <n v="8500"/>
    <n v="65"/>
    <n v="51000"/>
    <n v="1"/>
    <s v="Card"/>
    <s v="Aisha"/>
    <s v="rohit.singh@company.com"/>
    <n v="9127480734"/>
    <s v="Completed"/>
  </r>
  <r>
    <s v="ORD10030"/>
    <s v="C006"/>
    <s v="P301"/>
    <x v="28"/>
    <x v="28"/>
    <s v="Sneha Joshi"/>
    <s v="Female"/>
    <d v="1981-04-04T00:00:00"/>
    <s v="Pune"/>
    <x v="2"/>
    <x v="2"/>
    <s v="Notebook"/>
    <n v="2"/>
    <n v="60"/>
    <n v="5"/>
    <n v="114"/>
    <n v="3"/>
    <s v="Cash"/>
    <s v="Karan"/>
    <s v="sneha.joshi@company.com"/>
    <n v="9512997042"/>
    <s v="Cancelled"/>
  </r>
  <r>
    <s v="ORD10031"/>
    <s v="C008"/>
    <s v="P303"/>
    <x v="29"/>
    <x v="29"/>
    <s v="Kavya Nair"/>
    <s v="Female"/>
    <d v="1996-07-02T00:00:00"/>
    <s v="Bengaluru"/>
    <x v="0"/>
    <x v="2"/>
    <s v="Marker"/>
    <n v="19"/>
    <n v="45"/>
    <n v="20"/>
    <n v="684"/>
    <n v="4"/>
    <s v="NetBanking"/>
    <s v="Aisha"/>
    <s v="KAvya.nair@company.com"/>
    <n v="9372748661"/>
    <s v="Cancelled"/>
  </r>
  <r>
    <s v="ORD10032"/>
    <s v="C002"/>
    <s v="P104"/>
    <x v="30"/>
    <x v="30"/>
    <s v="Priya Patel"/>
    <s v="Female"/>
    <d v="1976-11-15T00:00:00"/>
    <s v="Ahmedabad"/>
    <x v="2"/>
    <x v="1"/>
    <s v="Monitor"/>
    <n v="11"/>
    <n v="12000"/>
    <n v="0"/>
    <n v="132000"/>
    <n v="3"/>
    <s v="UPI"/>
    <s v="Ritika"/>
    <s v="priYa.patel@company.com"/>
    <n v="9570437805"/>
    <s v="Pending"/>
  </r>
  <r>
    <s v="ORD10033"/>
    <s v="C006"/>
    <s v="P202"/>
    <x v="31"/>
    <x v="10"/>
    <s v="Sneha Joshi"/>
    <s v="Female"/>
    <d v="1988-10-28T00:00:00"/>
    <s v="Bengaluru"/>
    <x v="0"/>
    <x v="0"/>
    <s v="Iron"/>
    <n v="20"/>
    <n v="2200"/>
    <n v="5"/>
    <n v="41800"/>
    <n v="1"/>
    <s v="Cash"/>
    <s v="Rahul"/>
    <s v="sneha.joshi@company.com"/>
    <n v="9310669113"/>
    <s v="Pending"/>
  </r>
  <r>
    <s v="ORD10034"/>
    <s v="C007"/>
    <s v="P302"/>
    <x v="24"/>
    <x v="31"/>
    <s v="Arjun Rao"/>
    <s v="Male"/>
    <d v="2004-06-23T00:00:00"/>
    <s v="Ahmedabad"/>
    <x v="2"/>
    <x v="2"/>
    <s v="Pen"/>
    <n v="3"/>
    <n v="20"/>
    <n v="0"/>
    <n v="60"/>
    <n v="2"/>
    <s v="Card"/>
    <s v="Ritika"/>
    <s v="wrongmail"/>
    <n v="9437132894"/>
    <s v="Cancelled"/>
  </r>
  <r>
    <s v="ORD10035"/>
    <s v="C003"/>
    <s v="P303"/>
    <x v="32"/>
    <x v="32"/>
    <s v="Rohit Singh"/>
    <s v="Male"/>
    <d v="1996-04-22T00:00:00"/>
    <s v="Pune"/>
    <x v="2"/>
    <x v="2"/>
    <s v="Marker"/>
    <n v="18"/>
    <n v="45"/>
    <n v="20"/>
    <n v="648"/>
    <n v="4"/>
    <s v="NetBanking"/>
    <s v="Ritika"/>
    <s v="rohit.singh@company.com"/>
    <n v="9762437243"/>
    <s v="Cancelled"/>
  </r>
  <r>
    <s v="ORD10036"/>
    <s v="C003"/>
    <s v="P103"/>
    <x v="33"/>
    <x v="33"/>
    <s v="Rohit Singh"/>
    <s v="Male"/>
    <d v="1979-07-07T00:00:00"/>
    <s v="Bengaluru"/>
    <x v="0"/>
    <x v="1"/>
    <s v="Keyboard"/>
    <n v="4"/>
    <n v="1200"/>
    <n v="20"/>
    <n v="3840"/>
    <n v="3"/>
    <s v="NetBanking"/>
    <s v="Aisha"/>
    <s v="rohit.singh@company.com"/>
    <n v="9149046970"/>
    <s v="Completed"/>
  </r>
  <r>
    <s v="ORD10037"/>
    <s v="C009"/>
    <s v="P101"/>
    <x v="34"/>
    <x v="34"/>
    <s v="Mohit Verma"/>
    <s v="Male"/>
    <d v="1980-09-27T00:00:00"/>
    <s v="Kolkata"/>
    <x v="3"/>
    <x v="1"/>
    <s v="Laptop"/>
    <n v="10"/>
    <n v="55000"/>
    <n v="0"/>
    <n v="550000"/>
    <n v="1"/>
    <s v="UPI"/>
    <s v="Rahul"/>
    <s v="mohit.verma@company.com"/>
    <n v="9869182901"/>
    <s v="Cancelled"/>
  </r>
  <r>
    <s v="ORD10038"/>
    <s v="C006"/>
    <s v="P201"/>
    <x v="35"/>
    <x v="26"/>
    <s v="Sneha Joshi"/>
    <s v="Female"/>
    <d v="1980-06-21T00:00:00"/>
    <s v="Delhi"/>
    <x v="1"/>
    <x v="0"/>
    <s v="Mixer"/>
    <n v="20"/>
    <n v="3500"/>
    <n v="10"/>
    <n v="63000"/>
    <n v="3"/>
    <s v="Card"/>
    <s v="Rahul"/>
    <s v="sneha.joshi@company.com"/>
    <n v="9283578533"/>
    <s v="Cancelled"/>
  </r>
  <r>
    <s v="ORD10039"/>
    <s v="C008"/>
    <s v="P302"/>
    <x v="36"/>
    <x v="35"/>
    <s v="Kavya Nair"/>
    <s v="Female"/>
    <d v="1979-06-17T00:00:00"/>
    <s v="Pune"/>
    <x v="2"/>
    <x v="2"/>
    <s v="Pen"/>
    <n v="5"/>
    <n v="1200"/>
    <n v="0"/>
    <n v="100"/>
    <n v="1"/>
    <s v="Cash"/>
    <s v="Rahul"/>
    <s v="KAvya.nair@company.com"/>
    <n v="9963005771"/>
    <s v="Cancelled"/>
  </r>
  <r>
    <s v="ORD10040"/>
    <s v="C010"/>
    <s v="P203"/>
    <x v="37"/>
    <x v="36"/>
    <s v="Pooja Shah"/>
    <s v="Female"/>
    <d v="1992-06-18T00:00:00"/>
    <s v="Mumbai"/>
    <x v="2"/>
    <x v="0"/>
    <s v="Microwave"/>
    <n v="20"/>
    <n v="8500"/>
    <n v="0"/>
    <n v="170000"/>
    <n v="1"/>
    <s v="UPI"/>
    <s v="Neha"/>
    <s v="pooja.shah@company.com"/>
    <n v="9484632635"/>
    <s v="Cancelled"/>
  </r>
  <r>
    <s v="ORD10041"/>
    <s v="C007"/>
    <s v="P301"/>
    <x v="38"/>
    <x v="37"/>
    <s v="Arjun Rao"/>
    <s v="Male"/>
    <d v="1994-06-06T00:00:00"/>
    <s v="Bengaluru"/>
    <x v="0"/>
    <x v="2"/>
    <s v="Notebook"/>
    <n v="8"/>
    <n v="60"/>
    <n v="15"/>
    <n v="408"/>
    <n v="5"/>
    <s v="UPI"/>
    <s v="Rahul"/>
    <s v="arjun.rao@company.com"/>
    <n v="9276319484"/>
    <s v="Pending"/>
  </r>
  <r>
    <s v="ORD10042"/>
    <s v="C010"/>
    <s v="P201"/>
    <x v="39"/>
    <x v="38"/>
    <s v="Pooja Shah"/>
    <s v="Female"/>
    <d v="1988-09-22T00:00:00"/>
    <s v="Pune"/>
    <x v="2"/>
    <x v="0"/>
    <s v="Mixer"/>
    <n v="8"/>
    <n v="3500"/>
    <n v="5"/>
    <n v="26600"/>
    <n v="1"/>
    <s v="Card"/>
    <s v="Neha"/>
    <s v="pooja.shah@company.com"/>
    <n v="9619034852"/>
    <s v="Pending"/>
  </r>
  <r>
    <s v="ORD10043"/>
    <s v="C009"/>
    <s v="P203"/>
    <x v="40"/>
    <x v="39"/>
    <s v="Mohit Verma"/>
    <s v="Male"/>
    <d v="2001-07-14T00:00:00"/>
    <s v="Jaipur"/>
    <x v="1"/>
    <x v="0"/>
    <s v="Microwave"/>
    <n v="1"/>
    <n v="8500"/>
    <n v="0"/>
    <n v="8500"/>
    <n v="2"/>
    <s v="Card"/>
    <s v="Neha"/>
    <s v="mohit.verma@company.com"/>
    <n v="9636416962"/>
    <s v="Pending"/>
  </r>
  <r>
    <s v="ORD10044"/>
    <s v="C001"/>
    <s v="P303"/>
    <x v="41"/>
    <x v="40"/>
    <s v="Amit Sharma"/>
    <s v="Male"/>
    <d v="1991-08-09T00:00:00"/>
    <s v="Pune"/>
    <x v="2"/>
    <x v="2"/>
    <s v="Marker"/>
    <n v="8"/>
    <n v="45"/>
    <n v="15"/>
    <n v="306"/>
    <n v="2"/>
    <s v="Card"/>
    <s v="Aisha"/>
    <s v="amit.sharma@company.com"/>
    <n v="9357133880"/>
    <s v="Completed"/>
  </r>
  <r>
    <s v="ORD10045"/>
    <s v="C006"/>
    <s v="P202"/>
    <x v="42"/>
    <x v="41"/>
    <s v="Sneha Joshi"/>
    <s v="Female"/>
    <d v="1988-10-21T00:00:00"/>
    <s v="Pune"/>
    <x v="2"/>
    <x v="0"/>
    <s v="Iron"/>
    <n v="16"/>
    <n v="2200"/>
    <n v="5"/>
    <n v="33440"/>
    <n v="5"/>
    <s v="Card"/>
    <s v="Aisha"/>
    <s v="sneha.joshi@company.com"/>
    <n v="9575210324"/>
    <s v="Cancelled"/>
  </r>
  <r>
    <s v="ORD10046"/>
    <s v="C009"/>
    <s v="P201"/>
    <x v="43"/>
    <x v="42"/>
    <s v="Mohit Verma"/>
    <s v="Male"/>
    <d v="2002-11-19T00:00:00"/>
    <s v="Bengaluru"/>
    <x v="0"/>
    <x v="0"/>
    <s v="Mixer"/>
    <n v="19"/>
    <n v="3500"/>
    <n v="20"/>
    <n v="53200"/>
    <n v="3"/>
    <s v="Cash"/>
    <s v="Karan"/>
    <s v="mohit.verma@company.com"/>
    <n v="9276080204"/>
    <s v="Cancelled"/>
  </r>
  <r>
    <s v="ORD10047"/>
    <s v="C006"/>
    <s v="P102"/>
    <x v="44"/>
    <x v="43"/>
    <s v="Sneha Joshi"/>
    <s v="Female"/>
    <d v="2000-07-06T00:00:00"/>
    <s v="Pune"/>
    <x v="2"/>
    <x v="1"/>
    <s v="Mouse"/>
    <n v="15"/>
    <n v="700"/>
    <n v="15"/>
    <n v="8925"/>
    <n v="4"/>
    <s v="UPI"/>
    <s v="Neha"/>
    <s v="sneha.joshicompany.com"/>
    <n v="9856624471"/>
    <s v="Completed"/>
  </r>
  <r>
    <s v="ORD10048"/>
    <s v="C006"/>
    <s v="P102"/>
    <x v="45"/>
    <x v="44"/>
    <s v="Sneha Joshi"/>
    <s v="Female"/>
    <d v="1998-11-26T00:00:00"/>
    <s v="Jaipur"/>
    <x v="1"/>
    <x v="1"/>
    <s v="Mouse"/>
    <n v="19"/>
    <n v="700"/>
    <n v="20"/>
    <n v="10640"/>
    <n v="1"/>
    <s v="Cash"/>
    <s v="Neha"/>
    <s v="sneha.joshi@company.com"/>
    <n v="9238141322"/>
    <s v="Completed"/>
  </r>
  <r>
    <s v="ORD10049"/>
    <s v="C009"/>
    <s v="P104"/>
    <x v="46"/>
    <x v="45"/>
    <s v="Mohit Verma"/>
    <s v="Male"/>
    <d v="1996-06-03T00:00:00"/>
    <s v="Delhi"/>
    <x v="1"/>
    <x v="1"/>
    <s v="Monitor"/>
    <n v="19"/>
    <n v="12000"/>
    <n v="0"/>
    <n v="228000"/>
    <n v="1"/>
    <s v="NetBanking"/>
    <s v="Aisha"/>
    <s v="mohit.verma@company.com"/>
    <n v="9890380030"/>
    <s v="Completed"/>
  </r>
  <r>
    <s v="ORD10050"/>
    <s v="C004"/>
    <s v="P103"/>
    <x v="46"/>
    <x v="46"/>
    <s v="Anita Gupta"/>
    <s v="Female"/>
    <d v="1987-03-15T00:00:00"/>
    <s v="Pune"/>
    <x v="2"/>
    <x v="1"/>
    <s v="Keyboard"/>
    <n v="6"/>
    <n v="1200"/>
    <n v="5"/>
    <n v="6840"/>
    <n v="2"/>
    <s v="Cash"/>
    <s v="Ritika"/>
    <s v="anita.gupta@company.com"/>
    <n v="9495893170"/>
    <s v="Pending"/>
  </r>
  <r>
    <s v="ORD10051"/>
    <s v="C010"/>
    <s v="P202"/>
    <x v="47"/>
    <x v="47"/>
    <s v="Pooja Shah"/>
    <s v="Female"/>
    <d v="1979-02-20T00:00:00"/>
    <s v="Bengaluru"/>
    <x v="0"/>
    <x v="0"/>
    <s v="Iron"/>
    <n v="7"/>
    <n v="2200"/>
    <n v="15"/>
    <n v="13090"/>
    <n v="1"/>
    <s v="UPI"/>
    <s v="Aisha"/>
    <s v="pooja.shah@company.com"/>
    <n v="9485166307"/>
    <s v="Completed"/>
  </r>
  <r>
    <s v="ORD10052"/>
    <s v="C002"/>
    <s v="P301"/>
    <x v="48"/>
    <x v="48"/>
    <s v="Priya Patel"/>
    <s v="Female"/>
    <d v="2000-08-09T00:00:00"/>
    <s v="Jaipur"/>
    <x v="1"/>
    <x v="2"/>
    <s v="Notebook"/>
    <n v="8"/>
    <n v="60"/>
    <n v="10"/>
    <n v="432"/>
    <n v="5"/>
    <s v="Card"/>
    <s v="Aisha"/>
    <s v="priYa.patel@company.com"/>
    <n v="9924709648"/>
    <s v="Cancelled"/>
  </r>
  <r>
    <s v="ORD10053"/>
    <s v="C005"/>
    <s v="P101"/>
    <x v="49"/>
    <x v="49"/>
    <s v="Vikas Mehta"/>
    <s v="Male"/>
    <d v="1976-01-17T00:00:00"/>
    <s v="Kolkata"/>
    <x v="3"/>
    <x v="1"/>
    <s v="Laptop"/>
    <n v="12"/>
    <n v="55000"/>
    <n v="5"/>
    <n v="627000"/>
    <n v="2"/>
    <s v="UPI"/>
    <s v="Rahul"/>
    <s v="vikas.mehta@company.com"/>
    <n v="9350554626"/>
    <s v="Pending"/>
  </r>
  <r>
    <s v="ORD10054"/>
    <s v="C008"/>
    <s v="P102"/>
    <x v="50"/>
    <x v="50"/>
    <s v="Kavya Nair"/>
    <s v="Female"/>
    <d v="1975-04-04T00:00:00"/>
    <s v="Jaipur"/>
    <x v="1"/>
    <x v="1"/>
    <s v="Mouse"/>
    <n v="3"/>
    <n v="700"/>
    <n v="0"/>
    <n v="2100"/>
    <n v="3"/>
    <s v="Card"/>
    <s v="Karan"/>
    <s v="KAvya.nair@company.com"/>
    <n v="9743295580"/>
    <s v="Cancelled"/>
  </r>
  <r>
    <s v="ORD10055"/>
    <s v="C003"/>
    <s v="P301"/>
    <x v="51"/>
    <x v="51"/>
    <s v="Rohit Singh"/>
    <s v="Male"/>
    <d v="1976-12-11T00:00:00"/>
    <s v="Ahmedabad"/>
    <x v="2"/>
    <x v="2"/>
    <s v="Notebook"/>
    <n v="19"/>
    <n v="60"/>
    <n v="15"/>
    <n v="969"/>
    <n v="4"/>
    <s v="Card"/>
    <s v="Rahul"/>
    <s v="rohit.singh@company.com"/>
    <n v="9822926495"/>
    <s v="Cancelled"/>
  </r>
  <r>
    <s v="ORD10056"/>
    <s v="C001"/>
    <s v="P301"/>
    <x v="52"/>
    <x v="52"/>
    <s v="Amit Sharma"/>
    <s v="Male"/>
    <d v="1979-12-03T00:00:00"/>
    <s v="Jaipur"/>
    <x v="1"/>
    <x v="2"/>
    <s v="Notebook"/>
    <n v="9"/>
    <n v="60"/>
    <n v="20"/>
    <n v="432"/>
    <n v="1"/>
    <s v="NetBanking"/>
    <s v="Neha"/>
    <s v="amit.sharma@company.com"/>
    <n v="9518298190"/>
    <s v="Pending"/>
  </r>
  <r>
    <s v="ORD10057"/>
    <s v="C001"/>
    <s v="P102"/>
    <x v="53"/>
    <x v="53"/>
    <s v="Amit Sharma"/>
    <s v="Male"/>
    <d v="1978-12-27T00:00:00"/>
    <s v="Bengaluru"/>
    <x v="0"/>
    <x v="1"/>
    <s v="Mouse"/>
    <n v="6"/>
    <n v="700"/>
    <n v="0"/>
    <n v="4200"/>
    <n v="4"/>
    <s v="UPI"/>
    <s v="Rahul"/>
    <s v="amit.sharmcompany.com"/>
    <n v="9366223547"/>
    <s v="Cancelled"/>
  </r>
  <r>
    <s v="ORD10058"/>
    <s v="C003"/>
    <s v="P303"/>
    <x v="26"/>
    <x v="54"/>
    <s v="Rohit Singh"/>
    <s v="Male"/>
    <d v="1975-04-15T00:00:00"/>
    <s v="Delhi"/>
    <x v="1"/>
    <x v="2"/>
    <s v="Marker"/>
    <n v="18"/>
    <n v="45"/>
    <n v="5"/>
    <n v="769.5"/>
    <n v="1"/>
    <s v="Card"/>
    <s v="Aisha"/>
    <s v="rohit.singh@company.com"/>
    <n v="9701988524"/>
    <s v="Pending"/>
  </r>
  <r>
    <s v="ORD10059"/>
    <s v="C007"/>
    <s v="P302"/>
    <x v="54"/>
    <x v="29"/>
    <s v="Arjun Rao"/>
    <s v="Male"/>
    <d v="1988-12-19T00:00:00"/>
    <s v="Jaipur"/>
    <x v="1"/>
    <x v="2"/>
    <s v="Pen"/>
    <n v="8"/>
    <n v="20"/>
    <n v="5"/>
    <n v="152"/>
    <n v="1"/>
    <s v="Card"/>
    <s v="Ritika"/>
    <s v="arjun.rao@company.com"/>
    <n v="9836327649"/>
    <s v="Completed"/>
  </r>
  <r>
    <s v="ORD10060"/>
    <s v="C005"/>
    <s v="P102"/>
    <x v="55"/>
    <x v="55"/>
    <s v="Vikas Mehta"/>
    <s v="Male"/>
    <d v="1979-03-07T00:00:00"/>
    <s v="Jaipur"/>
    <x v="1"/>
    <x v="1"/>
    <s v="Mouse"/>
    <n v="8"/>
    <n v="700"/>
    <n v="10"/>
    <n v="5040"/>
    <n v="1"/>
    <s v="NetBanking"/>
    <s v="Aisha"/>
    <s v="vikas.mehta@company.com"/>
    <n v="9261800516"/>
    <s v="Cancelled"/>
  </r>
  <r>
    <s v="ORD10061"/>
    <s v="C008"/>
    <s v="P302"/>
    <x v="23"/>
    <x v="56"/>
    <s v="Kavya Nair"/>
    <s v="Female"/>
    <d v="2003-12-17T00:00:00"/>
    <s v="Delhi"/>
    <x v="1"/>
    <x v="2"/>
    <s v="Pen"/>
    <n v="7"/>
    <n v="20"/>
    <n v="15"/>
    <n v="119"/>
    <n v="5"/>
    <s v="Card"/>
    <s v="Rahul"/>
    <s v="KAvya.nair@company.com"/>
    <n v="9950802015"/>
    <s v="Completed"/>
  </r>
  <r>
    <s v="ORD10062"/>
    <s v="C002"/>
    <s v="P302"/>
    <x v="56"/>
    <x v="57"/>
    <s v="Priya Patel"/>
    <s v="Female"/>
    <d v="1984-04-05T00:00:00"/>
    <s v="Pune"/>
    <x v="2"/>
    <x v="2"/>
    <s v="Pen"/>
    <n v="16"/>
    <n v="20"/>
    <n v="0"/>
    <n v="320"/>
    <n v="5"/>
    <s v="NetBanking"/>
    <s v="Aisha"/>
    <s v="priYa.patel@company.com"/>
    <n v="9595183767"/>
    <s v="Pending"/>
  </r>
  <r>
    <s v="ORD10063"/>
    <s v="C010"/>
    <s v="P303"/>
    <x v="57"/>
    <x v="58"/>
    <s v="Pooja Shah"/>
    <s v="Female"/>
    <d v="1996-04-13T00:00:00"/>
    <s v="Mumbai"/>
    <x v="2"/>
    <x v="2"/>
    <s v="Marker"/>
    <n v="15"/>
    <n v="45"/>
    <n v="0"/>
    <n v="675"/>
    <n v="4"/>
    <s v="Cash"/>
    <s v="Aisha"/>
    <s v="pooja.shah@company.com"/>
    <n v="9560201307"/>
    <s v="Cancelled"/>
  </r>
  <r>
    <s v="ORD10064"/>
    <s v="C006"/>
    <s v="P102"/>
    <x v="58"/>
    <x v="59"/>
    <s v="Sneha Joshi"/>
    <s v="Female"/>
    <d v="2003-09-08T00:00:00"/>
    <s v="Ahmedabad"/>
    <x v="2"/>
    <x v="1"/>
    <s v="Mouse"/>
    <n v="15"/>
    <n v="700"/>
    <n v="10"/>
    <n v="9450"/>
    <n v="3"/>
    <s v="NetBanking"/>
    <s v="Karan"/>
    <s v="sneha.joshi@company.com"/>
    <n v="9826484650"/>
    <s v="Completed"/>
  </r>
  <r>
    <s v="ORD10065"/>
    <s v="C010"/>
    <s v="P303"/>
    <x v="59"/>
    <x v="60"/>
    <s v="Pooja Shah"/>
    <s v="Female"/>
    <d v="1992-09-24T00:00:00"/>
    <s v="Kolkata"/>
    <x v="3"/>
    <x v="2"/>
    <s v="Marker"/>
    <n v="3"/>
    <n v="45"/>
    <n v="15"/>
    <n v="114.75"/>
    <n v="2"/>
    <s v="UPI"/>
    <s v="Neha"/>
    <s v="pooja.shah@company.com"/>
    <n v="9219978007"/>
    <s v="Pending"/>
  </r>
  <r>
    <s v="ORD10066"/>
    <s v="C002"/>
    <s v="P202"/>
    <x v="60"/>
    <x v="61"/>
    <s v="Priya Patel"/>
    <s v="Female"/>
    <d v="1986-09-19T00:00:00"/>
    <s v="Kolkata"/>
    <x v="3"/>
    <x v="0"/>
    <s v="Iron"/>
    <n v="7"/>
    <n v="2200"/>
    <n v="15"/>
    <n v="13090"/>
    <n v="5"/>
    <s v="UPI"/>
    <s v="Neha"/>
    <s v="priYa.patel@company.com"/>
    <n v="9662063276"/>
    <s v="Completed"/>
  </r>
  <r>
    <s v="ORD10067"/>
    <s v="C008"/>
    <s v="P303"/>
    <x v="61"/>
    <x v="62"/>
    <s v="Kavya Nair"/>
    <s v="Female"/>
    <d v="1985-05-28T00:00:00"/>
    <s v="Delhi"/>
    <x v="1"/>
    <x v="2"/>
    <s v="Marker"/>
    <n v="19"/>
    <n v="45"/>
    <n v="10"/>
    <n v="769.5"/>
    <n v="5"/>
    <s v="Card"/>
    <s v="Neha"/>
    <s v="KAvya.nair@company.com"/>
    <n v="9190393639"/>
    <s v="Cancelled"/>
  </r>
  <r>
    <s v="ORD10068"/>
    <s v="C006"/>
    <s v="P201"/>
    <x v="62"/>
    <x v="39"/>
    <s v="Sneha Joshi"/>
    <s v="Female"/>
    <d v="1979-08-27T00:00:00"/>
    <s v="Hyderabad"/>
    <x v="0"/>
    <x v="0"/>
    <s v="Mixer"/>
    <n v="7"/>
    <n v="3500"/>
    <n v="15"/>
    <n v="20825"/>
    <n v="1"/>
    <s v="Cash"/>
    <s v="Karan"/>
    <s v="sneha.joshi@company.com"/>
    <n v="9106328582"/>
    <s v="Pending"/>
  </r>
  <r>
    <s v="ORD10069"/>
    <s v="C010"/>
    <s v="P203"/>
    <x v="63"/>
    <x v="63"/>
    <s v="Pooja Shah"/>
    <s v="Female"/>
    <d v="1976-12-22T00:00:00"/>
    <s v="Jaipur"/>
    <x v="1"/>
    <x v="0"/>
    <s v="Microwave"/>
    <n v="7"/>
    <n v="8500"/>
    <n v="20"/>
    <n v="47600"/>
    <n v="4"/>
    <s v="NetBanking"/>
    <s v="Neha"/>
    <s v="pooja.shah@company.com"/>
    <n v="9264401015"/>
    <s v="Completed"/>
  </r>
  <r>
    <s v="ORD10070"/>
    <s v="C008"/>
    <s v="P101"/>
    <x v="64"/>
    <x v="64"/>
    <s v="Kavya Nair"/>
    <s v="Female"/>
    <d v="2000-02-05T00:00:00"/>
    <s v="Bengaluru"/>
    <x v="0"/>
    <x v="1"/>
    <s v="Laptop"/>
    <n v="16"/>
    <n v="55000"/>
    <n v="10"/>
    <n v="792000"/>
    <n v="1"/>
    <s v="Card"/>
    <s v="Aisha"/>
    <s v="KAvya.nair@company.com"/>
    <n v="9959237375"/>
    <s v="Completed"/>
  </r>
  <r>
    <s v="ORD10071"/>
    <s v="C004"/>
    <s v="P104"/>
    <x v="65"/>
    <x v="65"/>
    <s v="Anita Gupta"/>
    <s v="Female"/>
    <d v="1987-02-24T00:00:00"/>
    <s v="Mumbai"/>
    <x v="2"/>
    <x v="1"/>
    <s v="Monitor"/>
    <n v="2"/>
    <n v="12000"/>
    <n v="20"/>
    <n v="19200"/>
    <n v="1"/>
    <s v="Cash"/>
    <s v="Karan"/>
    <s v="anita.gupta@company.com"/>
    <n v="9561836580"/>
    <s v="Pending"/>
  </r>
  <r>
    <s v="ORD10072"/>
    <s v="C003"/>
    <s v="P303"/>
    <x v="66"/>
    <x v="62"/>
    <s v="Rohit Singh"/>
    <s v="Male"/>
    <d v="1984-07-24T00:00:00"/>
    <s v="Bengaluru"/>
    <x v="0"/>
    <x v="2"/>
    <s v="Marker"/>
    <n v="4"/>
    <n v="45"/>
    <n v="5"/>
    <n v="171"/>
    <n v="1"/>
    <s v="Card"/>
    <s v="Rahul"/>
    <s v="rohit.singh@company.com"/>
    <n v="9512666401"/>
    <s v="Pending"/>
  </r>
  <r>
    <s v="ORD10073"/>
    <s v="C008"/>
    <s v="P103"/>
    <x v="67"/>
    <x v="66"/>
    <s v="Kavya Nair"/>
    <s v="Female"/>
    <d v="1981-09-22T00:00:00"/>
    <s v="Jaipur"/>
    <x v="1"/>
    <x v="1"/>
    <s v="Keyboard"/>
    <n v="1"/>
    <n v="1200"/>
    <n v="5"/>
    <n v="1140"/>
    <n v="3"/>
    <s v="UPI"/>
    <s v="Aisha"/>
    <s v="KAvya.nair@company.com"/>
    <n v="9808988530"/>
    <s v="Cancelled"/>
  </r>
  <r>
    <s v="ORD10074"/>
    <s v="C010"/>
    <s v="P202"/>
    <x v="68"/>
    <x v="67"/>
    <s v="Pooja Shah"/>
    <s v="Female"/>
    <d v="1980-06-20T00:00:00"/>
    <m/>
    <x v="0"/>
    <x v="0"/>
    <s v="Iron"/>
    <n v="1"/>
    <n v="2200"/>
    <n v="15"/>
    <n v="1870"/>
    <n v="4"/>
    <s v="Card"/>
    <s v="Aisha"/>
    <s v="pooja.shah@company.com"/>
    <n v="9286410494"/>
    <s v="Completed"/>
  </r>
  <r>
    <s v="ORD10075"/>
    <s v="C003"/>
    <s v="P103"/>
    <x v="69"/>
    <x v="68"/>
    <s v="Rohit Singh"/>
    <s v="Male"/>
    <d v="1982-11-02T00:00:00"/>
    <s v="Pune"/>
    <x v="2"/>
    <x v="1"/>
    <s v="Keyboard"/>
    <n v="3"/>
    <n v="1200"/>
    <n v="10"/>
    <n v="3240"/>
    <n v="5"/>
    <s v="Cash"/>
    <s v="Rahul"/>
    <s v="rohit.singh@company.com"/>
    <n v="9311555196"/>
    <s v="Completed"/>
  </r>
  <r>
    <s v="ORD10076"/>
    <s v="C008"/>
    <s v="P201"/>
    <x v="70"/>
    <x v="69"/>
    <s v="Kavya Nair"/>
    <s v="Female"/>
    <d v="1980-01-10T00:00:00"/>
    <s v="Bengaluru"/>
    <x v="0"/>
    <x v="0"/>
    <s v="Mixer"/>
    <n v="10"/>
    <n v="3500"/>
    <n v="20"/>
    <n v="28000"/>
    <n v="5"/>
    <s v="Card"/>
    <s v="Ritika"/>
    <s v="KAvya.nair@company.com"/>
    <n v="9101810266"/>
    <s v="Completed"/>
  </r>
  <r>
    <s v="ORD10077"/>
    <s v="C007"/>
    <s v="P102"/>
    <x v="71"/>
    <x v="54"/>
    <s v="Arjun Rao"/>
    <s v="Male"/>
    <d v="1981-04-27T00:00:00"/>
    <s v="Delhi"/>
    <x v="1"/>
    <x v="1"/>
    <s v="Mouse"/>
    <n v="18"/>
    <n v="700"/>
    <n v="5"/>
    <n v="11970"/>
    <n v="3"/>
    <s v="Card"/>
    <s v="Neha"/>
    <s v="arjun.rao@company.com"/>
    <n v="9464556593"/>
    <s v="Cancelled"/>
  </r>
  <r>
    <s v="ORD10078"/>
    <s v="C005"/>
    <s v="P102"/>
    <x v="72"/>
    <x v="70"/>
    <s v="Vikas Mehta"/>
    <s v="Male"/>
    <d v="1985-03-12T00:00:00"/>
    <s v="Bengaluru"/>
    <x v="0"/>
    <x v="1"/>
    <s v="Mouse"/>
    <n v="12"/>
    <n v="700"/>
    <n v="15"/>
    <n v="7140"/>
    <n v="2"/>
    <s v="UPI"/>
    <s v="Rahul"/>
    <s v="vikas.mehta@company.com"/>
    <n v="9338278358"/>
    <s v="Completed"/>
  </r>
  <r>
    <s v="ORD10079"/>
    <s v="C009"/>
    <s v="P103"/>
    <x v="73"/>
    <x v="71"/>
    <s v="Mohit Verma"/>
    <s v="Male"/>
    <d v="1999-03-15T00:00:00"/>
    <s v="Mumbai"/>
    <x v="2"/>
    <x v="1"/>
    <s v="Keyboard"/>
    <n v="8"/>
    <n v="1200"/>
    <n v="0"/>
    <n v="9600"/>
    <n v="4"/>
    <s v="Card"/>
    <s v="Rahul"/>
    <s v="mohit.verma@company.com"/>
    <n v="9621410770"/>
    <s v="Pending"/>
  </r>
  <r>
    <s v="ORD10080"/>
    <s v="C003"/>
    <s v="P301"/>
    <x v="74"/>
    <x v="72"/>
    <s v="Rohit Singh"/>
    <s v="Male"/>
    <d v="1983-07-07T00:00:00"/>
    <s v="Pune"/>
    <x v="2"/>
    <x v="2"/>
    <s v="Notebook"/>
    <n v="2"/>
    <n v="60"/>
    <n v="0"/>
    <n v="120"/>
    <n v="2"/>
    <s v="UPI"/>
    <s v="Rahul"/>
    <s v="rohit.singh@company.com"/>
    <n v="9981333189"/>
    <s v="Completed"/>
  </r>
  <r>
    <s v="ORD10081"/>
    <s v="C001"/>
    <s v="P303"/>
    <x v="75"/>
    <x v="73"/>
    <s v="Amit Sharma"/>
    <s v="Male"/>
    <d v="1989-03-06T00:00:00"/>
    <s v="Pune"/>
    <x v="2"/>
    <x v="2"/>
    <s v="Marker"/>
    <n v="10"/>
    <n v="45"/>
    <n v="15"/>
    <n v="382.5"/>
    <n v="3"/>
    <s v="NetBanking"/>
    <s v="Ritika"/>
    <s v="amit.sharma@company.com"/>
    <n v="9723450355"/>
    <s v="Cancelled"/>
  </r>
  <r>
    <s v="ORD10082"/>
    <s v="C005"/>
    <s v="P201"/>
    <x v="76"/>
    <x v="74"/>
    <s v="Vikas Mehta"/>
    <s v="Male"/>
    <d v="1982-06-20T00:00:00"/>
    <s v="Kolkata"/>
    <x v="3"/>
    <x v="0"/>
    <s v="Mixer"/>
    <n v="12"/>
    <n v="3500"/>
    <n v="5"/>
    <n v="39900"/>
    <n v="3"/>
    <s v="NetBanking"/>
    <s v="Aisha"/>
    <s v="vikas.mehta@company.com"/>
    <n v="9886243907"/>
    <s v="Pending"/>
  </r>
  <r>
    <s v="ORD10083"/>
    <s v="C003"/>
    <s v="P301"/>
    <x v="9"/>
    <x v="75"/>
    <s v="Rohit Singh"/>
    <s v="Male"/>
    <d v="2001-06-23T00:00:00"/>
    <s v="Mumbai"/>
    <x v="2"/>
    <x v="2"/>
    <s v="Notebook"/>
    <n v="2"/>
    <n v="60"/>
    <n v="15"/>
    <n v="102"/>
    <n v="1"/>
    <s v="UPI"/>
    <s v="Neha"/>
    <s v="rohit.singh@company.com"/>
    <n v="9473931904"/>
    <s v="Completed"/>
  </r>
  <r>
    <s v="ORD10084"/>
    <s v="C003"/>
    <s v="P103"/>
    <x v="77"/>
    <x v="76"/>
    <s v="Rohit Singh"/>
    <s v="Male"/>
    <d v="1983-07-19T00:00:00"/>
    <s v="Hyderabad"/>
    <x v="0"/>
    <x v="1"/>
    <s v="Keyboard"/>
    <n v="18"/>
    <n v="1200"/>
    <n v="15"/>
    <n v="18360"/>
    <n v="3"/>
    <s v="Card"/>
    <s v="Neha"/>
    <s v="rohit.singh@company.com"/>
    <n v="9287159610"/>
    <s v="Pending"/>
  </r>
  <r>
    <s v="ORD10085"/>
    <s v="C008"/>
    <s v="P104"/>
    <x v="78"/>
    <x v="77"/>
    <s v="Kavya Nair"/>
    <s v="Female"/>
    <d v="1993-03-24T00:00:00"/>
    <s v="Mumbai"/>
    <x v="2"/>
    <x v="1"/>
    <s v="Monitor"/>
    <n v="18"/>
    <n v="12000"/>
    <n v="15"/>
    <n v="183600"/>
    <n v="2"/>
    <s v="Cash"/>
    <s v="Rahul"/>
    <s v="KAvya.nair@company.com"/>
    <n v="9876513858"/>
    <s v="Completed"/>
  </r>
  <r>
    <s v="ORD10086"/>
    <s v="C007"/>
    <s v="P302"/>
    <x v="79"/>
    <x v="78"/>
    <s v="Arjun Rao"/>
    <s v="Male"/>
    <d v="1995-05-10T00:00:00"/>
    <s v="Ahmedabad"/>
    <x v="2"/>
    <x v="2"/>
    <s v="Pen"/>
    <n v="7"/>
    <n v="20"/>
    <n v="0"/>
    <n v="140"/>
    <n v="2"/>
    <s v="Card"/>
    <s v="Ritika"/>
    <s v="arjun.rao@company.com"/>
    <n v="9237400853"/>
    <s v="Cancelled"/>
  </r>
  <r>
    <s v="ORD10087"/>
    <s v="C006"/>
    <s v="P201"/>
    <x v="80"/>
    <x v="79"/>
    <s v="Sneha Joshi"/>
    <s v="Female"/>
    <d v="2001-02-15T00:00:00"/>
    <s v="Pune"/>
    <x v="2"/>
    <x v="0"/>
    <s v="Mixer"/>
    <n v="20"/>
    <n v="3500"/>
    <n v="20"/>
    <n v="56000"/>
    <n v="4"/>
    <s v="Card"/>
    <s v="Neha"/>
    <s v="sneha.joshi@company.com"/>
    <n v="9599597595"/>
    <s v="Pending"/>
  </r>
  <r>
    <s v="ORD10088"/>
    <s v="C002"/>
    <s v="P203"/>
    <x v="81"/>
    <x v="80"/>
    <s v="Priya Patel"/>
    <s v="Female"/>
    <d v="1999-08-14T00:00:00"/>
    <s v="Ahmedabad"/>
    <x v="2"/>
    <x v="0"/>
    <s v="Microwave"/>
    <n v="8"/>
    <n v="8500"/>
    <n v="20"/>
    <n v="54400"/>
    <n v="3"/>
    <s v="Card"/>
    <s v="Neha"/>
    <s v="priYa.patel@company.com"/>
    <n v="9230007509"/>
    <s v="Pending"/>
  </r>
  <r>
    <s v="ORD10089"/>
    <s v="C001"/>
    <s v="P104"/>
    <x v="82"/>
    <x v="81"/>
    <s v="Amit Sharma"/>
    <s v="Male"/>
    <d v="2002-03-20T00:00:00"/>
    <s v="Ahmedabad"/>
    <x v="1"/>
    <x v="1"/>
    <s v="Monitor"/>
    <n v="6"/>
    <n v="12000"/>
    <n v="5"/>
    <n v="68400"/>
    <n v="4"/>
    <s v="NetBanking"/>
    <s v="Ritika"/>
    <s v="amit.sharma@company.com"/>
    <n v="9823428025"/>
    <s v="Completed"/>
  </r>
  <r>
    <s v="ORD10090"/>
    <s v="C008"/>
    <s v="P203"/>
    <x v="83"/>
    <x v="54"/>
    <s v="Kavya Nair"/>
    <s v="Female"/>
    <d v="1992-06-13T00:00:00"/>
    <s v="Pune"/>
    <x v="2"/>
    <x v="0"/>
    <s v="Microwave"/>
    <n v="15"/>
    <n v="8500"/>
    <n v="0"/>
    <n v="127500"/>
    <n v="4"/>
    <s v="NetBanking"/>
    <s v="Ritika"/>
    <s v="KAvya.nair@company.com"/>
    <n v="9505048912"/>
    <s v="Cancelled"/>
  </r>
  <r>
    <s v="ORD10091"/>
    <s v="C010"/>
    <s v="P103"/>
    <x v="84"/>
    <x v="49"/>
    <s v="Pooja Shah"/>
    <s v="Female"/>
    <d v="1996-06-18T00:00:00"/>
    <s v="Jaipur"/>
    <x v="1"/>
    <x v="1"/>
    <s v="Keyboard"/>
    <n v="5"/>
    <n v="1200"/>
    <n v="15"/>
    <n v="5100"/>
    <n v="1"/>
    <s v="NetBanking"/>
    <s v="Ritika"/>
    <s v="pooja.shah@company.com"/>
    <n v="9508068393"/>
    <s v="Cancelled"/>
  </r>
  <r>
    <s v="ORD10092"/>
    <s v="C010"/>
    <s v="P302"/>
    <x v="85"/>
    <x v="82"/>
    <s v="Pooja Shah"/>
    <s v="Female"/>
    <d v="1982-11-08T00:00:00"/>
    <s v="Hyderabad"/>
    <x v="0"/>
    <x v="2"/>
    <s v="Pen"/>
    <n v="4"/>
    <n v="20"/>
    <n v="0"/>
    <n v="80"/>
    <n v="4"/>
    <s v="NetBanking"/>
    <s v="Rahul"/>
    <s v="pooja.shah@company.com"/>
    <n v="9785807771"/>
    <s v="Completed"/>
  </r>
  <r>
    <s v="ORD10093"/>
    <s v="C008"/>
    <s v="P302"/>
    <x v="86"/>
    <x v="83"/>
    <s v="Kavya Nair"/>
    <s v="Female"/>
    <d v="1984-06-25T00:00:00"/>
    <s v="Bengaluru"/>
    <x v="0"/>
    <x v="2"/>
    <s v="Pen"/>
    <n v="10"/>
    <n v="20"/>
    <n v="0"/>
    <n v="200"/>
    <n v="3"/>
    <s v="Cash"/>
    <s v="Karan"/>
    <s v="KAvya.nair@company.com"/>
    <n v="9215250979"/>
    <s v="Pending"/>
  </r>
  <r>
    <s v="ORD10094"/>
    <s v="C004"/>
    <s v="P202"/>
    <x v="87"/>
    <x v="84"/>
    <s v="Anita Gupta"/>
    <s v="Female"/>
    <d v="1994-06-21T00:00:00"/>
    <s v="Delhi"/>
    <x v="1"/>
    <x v="0"/>
    <s v="Iron"/>
    <n v="18"/>
    <n v="2200"/>
    <n v="10"/>
    <n v="35640"/>
    <n v="3"/>
    <s v="Cash"/>
    <s v="Ritika"/>
    <s v="anita.gupta@company.com"/>
    <n v="9845884906"/>
    <s v="Cancelled"/>
  </r>
  <r>
    <s v="ORD10095"/>
    <s v="C001"/>
    <s v="P201"/>
    <x v="88"/>
    <x v="85"/>
    <s v="Amit Sharma"/>
    <s v="Male"/>
    <d v="1990-10-17T00:00:00"/>
    <s v="Delhi"/>
    <x v="1"/>
    <x v="0"/>
    <s v="Mixer"/>
    <n v="7"/>
    <n v="3500"/>
    <n v="15"/>
    <n v="20825"/>
    <n v="3"/>
    <s v="NetBanking"/>
    <s v="Rahul"/>
    <s v="amit.sharma@company.com"/>
    <n v="9393097397"/>
    <s v="Completed"/>
  </r>
  <r>
    <s v="ORD10096"/>
    <s v="C002"/>
    <s v="P203"/>
    <x v="89"/>
    <x v="86"/>
    <s v="Priya Patel"/>
    <s v="Female"/>
    <d v="1987-01-28T00:00:00"/>
    <s v="Kolkata"/>
    <x v="3"/>
    <x v="0"/>
    <s v="Microwave"/>
    <n v="19"/>
    <n v="8500"/>
    <n v="15"/>
    <n v="137275"/>
    <n v="4"/>
    <s v="Card"/>
    <s v="Karan"/>
    <s v="priYa.patel@company.com"/>
    <n v="9958032109"/>
    <s v="Pending"/>
  </r>
  <r>
    <s v="ORD10097"/>
    <s v="C006"/>
    <s v="P104"/>
    <x v="90"/>
    <x v="87"/>
    <s v="Sneha Joshi"/>
    <s v="Female"/>
    <d v="1983-09-21T00:00:00"/>
    <s v="Ahmedabad"/>
    <x v="2"/>
    <x v="1"/>
    <s v="Monitor"/>
    <n v="13"/>
    <n v="12000"/>
    <n v="15"/>
    <n v="132600"/>
    <n v="4"/>
    <s v="Cash"/>
    <s v="Rahul"/>
    <s v="sneha.joshi@company.com"/>
    <n v="9755082957"/>
    <s v="Completed"/>
  </r>
  <r>
    <s v="ORD10098"/>
    <s v="C001"/>
    <s v="P302"/>
    <x v="91"/>
    <x v="88"/>
    <s v="Amit Sharma"/>
    <s v="Male"/>
    <d v="1989-04-04T00:00:00"/>
    <s v="Pune"/>
    <x v="2"/>
    <x v="2"/>
    <s v="Pen"/>
    <n v="7"/>
    <n v="20"/>
    <n v="0"/>
    <n v="140"/>
    <n v="1"/>
    <s v="Card"/>
    <s v="Karan"/>
    <s v="amit.sharma@company.com"/>
    <n v="9872235856"/>
    <s v="Cancelled"/>
  </r>
  <r>
    <s v="ORD10099"/>
    <s v="C004"/>
    <s v="P102"/>
    <x v="92"/>
    <x v="89"/>
    <s v="Anita Gupta"/>
    <s v="Female"/>
    <d v="1987-09-25T00:00:00"/>
    <s v="Delhi"/>
    <x v="1"/>
    <x v="1"/>
    <s v="Mouse"/>
    <n v="5"/>
    <n v="700"/>
    <n v="15"/>
    <n v="999999"/>
    <n v="4"/>
    <s v="Card"/>
    <s v="Ritika"/>
    <s v="anita.gupta@company.com"/>
    <n v="9335138816"/>
    <s v="Pending"/>
  </r>
  <r>
    <s v="ORD10100"/>
    <s v="C007"/>
    <s v="P303"/>
    <x v="93"/>
    <x v="90"/>
    <s v="Arjun Rao"/>
    <s v="Male"/>
    <d v="1982-08-07T00:00:00"/>
    <s v="Bengaluru"/>
    <x v="0"/>
    <x v="2"/>
    <s v="Marker"/>
    <n v="9"/>
    <n v="45"/>
    <n v="5"/>
    <n v="384.75"/>
    <n v="3"/>
    <s v="Cash"/>
    <s v="Ritika"/>
    <s v="arjun.rao@company.com"/>
    <n v="9750365609"/>
    <s v="Completed"/>
  </r>
  <r>
    <s v="ORD10101"/>
    <s v="C003"/>
    <s v="P301"/>
    <x v="94"/>
    <x v="91"/>
    <s v="Rohit Singh"/>
    <s v="Male"/>
    <d v="1986-07-17T00:00:00"/>
    <s v="Kolkata"/>
    <x v="3"/>
    <x v="2"/>
    <s v="Notebook"/>
    <n v="19"/>
    <n v="60"/>
    <n v="10"/>
    <n v="1026"/>
    <n v="5"/>
    <s v="NetBanking"/>
    <s v="Neha"/>
    <s v="rohit.singh@company.com"/>
    <n v="9736812737"/>
    <s v="Completed"/>
  </r>
  <r>
    <s v="ORD10102"/>
    <s v="C001"/>
    <s v="P102"/>
    <x v="95"/>
    <x v="92"/>
    <s v="Amit Sharma"/>
    <s v="Male"/>
    <d v="1987-04-06T00:00:00"/>
    <s v="Ahmedabad"/>
    <x v="2"/>
    <x v="1"/>
    <s v="Mouse"/>
    <n v="4"/>
    <n v="700"/>
    <n v="5"/>
    <n v="2660"/>
    <n v="3"/>
    <s v="NetBanking"/>
    <s v="Aisha"/>
    <s v="amit.sharma@company.com"/>
    <n v="9271420931"/>
    <s v="Completed"/>
  </r>
  <r>
    <s v="ORD10103"/>
    <s v="C001"/>
    <s v="P201"/>
    <x v="93"/>
    <x v="93"/>
    <s v="Amit Sharma"/>
    <s v="Male"/>
    <d v="2004-02-25T00:00:00"/>
    <s v="Pune"/>
    <x v="2"/>
    <x v="0"/>
    <s v="Mixer"/>
    <n v="16"/>
    <n v="3500"/>
    <n v="0"/>
    <n v="56000"/>
    <n v="2"/>
    <s v="Card"/>
    <s v="Rahul"/>
    <s v="amit.sharma@company.com"/>
    <n v="9781411370"/>
    <s v="Completed"/>
  </r>
  <r>
    <s v="ORD10104"/>
    <s v="C006"/>
    <s v="P303"/>
    <x v="96"/>
    <x v="94"/>
    <s v="Sneha Joshi"/>
    <s v="Female"/>
    <d v="2001-04-24T00:00:00"/>
    <s v="Bengaluru"/>
    <x v="0"/>
    <x v="2"/>
    <s v="Marker"/>
    <n v="5"/>
    <n v="45"/>
    <n v="20"/>
    <n v="180"/>
    <n v="3"/>
    <s v="Card"/>
    <s v="Ritika"/>
    <s v="sneha.joshi@company.com"/>
    <n v="9584152818"/>
    <s v="Completed"/>
  </r>
  <r>
    <s v="ORD10105"/>
    <s v="C007"/>
    <s v="P302"/>
    <x v="97"/>
    <x v="95"/>
    <s v="Arjun Rao"/>
    <s v="Male"/>
    <d v="1996-07-01T00:00:00"/>
    <s v="Mumbai"/>
    <x v="2"/>
    <x v="2"/>
    <s v="Pen"/>
    <n v="9"/>
    <n v="20"/>
    <n v="10"/>
    <n v="162"/>
    <n v="4"/>
    <s v="Card"/>
    <s v="Ritika"/>
    <s v="arjun.rao@company.com"/>
    <n v="9507986836"/>
    <s v="Pending"/>
  </r>
  <r>
    <s v="ORD10106"/>
    <s v="C010"/>
    <s v="P103"/>
    <x v="98"/>
    <x v="96"/>
    <s v="Pooja Shah"/>
    <s v="Female"/>
    <d v="1979-02-06T00:00:00"/>
    <s v="Delhi"/>
    <x v="1"/>
    <x v="1"/>
    <s v="Keyboard"/>
    <n v="9"/>
    <n v="1200"/>
    <n v="5"/>
    <n v="10260"/>
    <n v="3"/>
    <s v="UPI"/>
    <s v="Ritika"/>
    <s v="pooja.shah@company.com"/>
    <n v="9518249687"/>
    <s v="Pending"/>
  </r>
  <r>
    <s v="ORD10107"/>
    <s v="C002"/>
    <s v="P201"/>
    <x v="99"/>
    <x v="97"/>
    <s v="Priya Patel"/>
    <s v="Female"/>
    <d v="1985-12-12T00:00:00"/>
    <s v="Delhi"/>
    <x v="1"/>
    <x v="0"/>
    <s v="Mixer"/>
    <n v="3"/>
    <n v="3500"/>
    <n v="10"/>
    <n v="9450"/>
    <n v="2"/>
    <s v="Card"/>
    <s v="Karan"/>
    <s v="priYa.patel@company.com"/>
    <n v="9179328207"/>
    <s v="Cancelled"/>
  </r>
  <r>
    <s v="ORD10108"/>
    <s v="C005"/>
    <s v="P103"/>
    <x v="26"/>
    <x v="98"/>
    <s v="Vikas Mehta"/>
    <s v="Male"/>
    <d v="1992-01-28T00:00:00"/>
    <s v="Mumbai"/>
    <x v="2"/>
    <x v="1"/>
    <s v="Keyboard"/>
    <n v="6"/>
    <n v="1200"/>
    <n v="15"/>
    <n v="6120"/>
    <n v="4"/>
    <s v="UPI"/>
    <s v="Ritika"/>
    <s v="vikas.mehta@company.com"/>
    <n v="9778490728"/>
    <s v="Cancelled"/>
  </r>
  <r>
    <s v="ORD10109"/>
    <s v="C007"/>
    <s v="P103"/>
    <x v="100"/>
    <x v="99"/>
    <s v="Arjun Rao"/>
    <s v="Male"/>
    <d v="1993-07-05T00:00:00"/>
    <s v="Jaipur"/>
    <x v="1"/>
    <x v="1"/>
    <s v="Keyboard"/>
    <n v="17"/>
    <n v="1200"/>
    <n v="15"/>
    <n v="17340"/>
    <n v="1"/>
    <s v="Cash"/>
    <s v="Aisha"/>
    <s v="arjun.rao@company.com"/>
    <n v="9223058722"/>
    <s v="Completed"/>
  </r>
  <r>
    <s v="ORD10110"/>
    <s v="C005"/>
    <s v="P203"/>
    <x v="101"/>
    <x v="33"/>
    <s v="Vikas Mehta"/>
    <s v="Male"/>
    <d v="1977-09-13T00:00:00"/>
    <s v="Bengaluru"/>
    <x v="0"/>
    <x v="0"/>
    <s v="Microwave"/>
    <n v="15"/>
    <n v="8500"/>
    <n v="0"/>
    <n v="127500"/>
    <n v="3"/>
    <s v="Cash"/>
    <s v="Neha"/>
    <s v="vikas.mehta@company.com"/>
    <n v="9999889465"/>
    <s v="Pending"/>
  </r>
  <r>
    <s v="ORD10111"/>
    <s v="C003"/>
    <s v="P103"/>
    <x v="6"/>
    <x v="6"/>
    <s v="Rohit Singh"/>
    <s v="Male"/>
    <d v="1985-10-11T00:00:00"/>
    <s v="Hyderabad"/>
    <x v="0"/>
    <x v="1"/>
    <s v="Keyboard"/>
    <n v="1"/>
    <n v="1200"/>
    <n v="20"/>
    <n v="960"/>
    <n v="1"/>
    <s v="UPI"/>
    <s v="Neha"/>
    <s v="rohit.singh@company.com"/>
    <n v="9489687402"/>
    <s v="Pending"/>
  </r>
  <r>
    <s v="ORD10112"/>
    <s v="C003"/>
    <s v="P203"/>
    <x v="102"/>
    <x v="79"/>
    <s v="Rohit Singh"/>
    <s v="Male"/>
    <d v="2001-10-02T00:00:00"/>
    <s v="Kolkata"/>
    <x v="3"/>
    <x v="0"/>
    <s v="Microwave"/>
    <n v="5"/>
    <n v="8500"/>
    <n v="10"/>
    <n v="38250"/>
    <n v="1"/>
    <s v="Card"/>
    <s v="Aisha"/>
    <s v="rohit.singh@company.com"/>
    <n v="9236963301"/>
    <s v="Completed"/>
  </r>
  <r>
    <s v="ORD10113"/>
    <s v="C010"/>
    <s v="P303"/>
    <x v="103"/>
    <x v="100"/>
    <s v="Pooja Shah"/>
    <s v="Female"/>
    <d v="1986-04-08T00:00:00"/>
    <s v="Hyderabad"/>
    <x v="0"/>
    <x v="2"/>
    <s v="Marker"/>
    <n v="12"/>
    <n v="45"/>
    <n v="5"/>
    <n v="513"/>
    <n v="2"/>
    <s v="NetBanking"/>
    <s v="Ritika"/>
    <s v="pooja.shah@company.com"/>
    <n v="9653594592"/>
    <s v="Cancelled"/>
  </r>
  <r>
    <s v="ORD10114"/>
    <s v="C005"/>
    <s v="P301"/>
    <x v="104"/>
    <x v="101"/>
    <s v="Vikas Mehta"/>
    <s v="Male"/>
    <d v="1990-07-21T00:00:00"/>
    <s v="Pune"/>
    <x v="2"/>
    <x v="2"/>
    <s v="Notebook"/>
    <n v="5"/>
    <n v="60"/>
    <n v="5"/>
    <n v="285"/>
    <n v="2"/>
    <s v="Cash"/>
    <s v="Aisha"/>
    <s v="vikas.mehta@company.com"/>
    <n v="9781970426"/>
    <s v="Completed"/>
  </r>
  <r>
    <s v="ORD10115"/>
    <s v="C010"/>
    <s v="P102"/>
    <x v="105"/>
    <x v="102"/>
    <s v="Pooja Shah"/>
    <s v="Female"/>
    <d v="1994-04-11T00:00:00"/>
    <s v="Kolkata"/>
    <x v="3"/>
    <x v="1"/>
    <s v="Mouse"/>
    <n v="3"/>
    <n v="700"/>
    <n v="0"/>
    <n v="2100"/>
    <n v="4"/>
    <s v="Card"/>
    <s v="Aisha"/>
    <s v="pooja.shah@company.com"/>
    <n v="9862165194"/>
    <s v="Completed"/>
  </r>
  <r>
    <s v="ORD10116"/>
    <s v="C004"/>
    <s v="P302"/>
    <x v="42"/>
    <x v="91"/>
    <s v="Anita Gupta"/>
    <s v="Female"/>
    <d v="1992-05-04T00:00:00"/>
    <s v="Delhi"/>
    <x v="1"/>
    <x v="2"/>
    <s v="Pen"/>
    <n v="6"/>
    <n v="20"/>
    <n v="15"/>
    <n v="102"/>
    <n v="5"/>
    <s v="Card"/>
    <s v="Karan"/>
    <s v="anita.gupta@company.com"/>
    <n v="9661280388"/>
    <s v="Completed"/>
  </r>
  <r>
    <s v="ORD10117"/>
    <s v="C002"/>
    <s v="P102"/>
    <x v="106"/>
    <x v="103"/>
    <s v="Priya Patel"/>
    <s v="Female"/>
    <d v="1980-05-13T00:00:00"/>
    <s v="Bengaluru"/>
    <x v="0"/>
    <x v="1"/>
    <s v="Mouse"/>
    <n v="2"/>
    <n v="700"/>
    <n v="15"/>
    <n v="1190"/>
    <n v="4"/>
    <s v="Cash"/>
    <s v="Karan"/>
    <s v="priYa.patel@company.com"/>
    <n v="9896985355"/>
    <s v="Pending"/>
  </r>
  <r>
    <s v="ORD10118"/>
    <s v="C001"/>
    <s v="P303"/>
    <x v="107"/>
    <x v="104"/>
    <s v="Amit Sharma"/>
    <s v="Male"/>
    <d v="1995-09-07T00:00:00"/>
    <s v="Pune"/>
    <x v="2"/>
    <x v="2"/>
    <s v="Marker"/>
    <n v="16"/>
    <n v="45"/>
    <n v="0"/>
    <n v="720"/>
    <n v="1"/>
    <s v="NetBanking"/>
    <s v="Aisha"/>
    <s v="amit.sharma@company.com"/>
    <n v="9807154421"/>
    <s v="Completed"/>
  </r>
  <r>
    <s v="ORD10119"/>
    <s v="C009"/>
    <s v="P103"/>
    <x v="108"/>
    <x v="105"/>
    <s v="Mohit Verma"/>
    <s v="Male"/>
    <d v="1988-03-08T00:00:00"/>
    <s v="Ahmedabad"/>
    <x v="2"/>
    <x v="1"/>
    <s v="Keyboard"/>
    <s v="Ten"/>
    <n v="1200"/>
    <n v="15"/>
    <n v="7140"/>
    <n v="4"/>
    <s v="UPI"/>
    <s v="Karan"/>
    <s v="mohit.verma@company.com"/>
    <n v="9919834000"/>
    <s v="Pending"/>
  </r>
  <r>
    <s v="ORD10120"/>
    <s v="C002"/>
    <s v="P104"/>
    <x v="49"/>
    <x v="106"/>
    <s v="Priya Patel"/>
    <s v="Female"/>
    <d v="1989-07-07T00:00:00"/>
    <s v="Jaipur"/>
    <x v="1"/>
    <x v="1"/>
    <s v="Monitor"/>
    <n v="14"/>
    <n v="12000"/>
    <n v="15"/>
    <n v="142800"/>
    <n v="2"/>
    <s v="NetBanking"/>
    <s v="Aisha"/>
    <s v="priYa.patel@company.com"/>
    <n v="9739798818"/>
    <s v="Pending"/>
  </r>
  <r>
    <s v="ORD10121"/>
    <s v="C003"/>
    <s v="P203"/>
    <x v="63"/>
    <x v="107"/>
    <s v="Rohit Singh"/>
    <s v="Male"/>
    <d v="1993-11-11T00:00:00"/>
    <s v="Pune"/>
    <x v="2"/>
    <x v="0"/>
    <s v="Microwave"/>
    <n v="8"/>
    <n v="8500"/>
    <n v="20"/>
    <n v="54400"/>
    <n v="3"/>
    <s v="Card"/>
    <s v="Rahul"/>
    <s v="rohit.singh@company.com"/>
    <n v="9208625306"/>
    <s v="Completed"/>
  </r>
  <r>
    <s v="ORD10122"/>
    <s v="C007"/>
    <s v="P303"/>
    <x v="7"/>
    <x v="108"/>
    <s v="Arjun Rao"/>
    <s v="Male"/>
    <d v="2000-02-01T00:00:00"/>
    <s v="Bengaluru"/>
    <x v="0"/>
    <x v="2"/>
    <s v="Marker"/>
    <n v="3"/>
    <n v="45"/>
    <n v="0"/>
    <n v="135"/>
    <n v="4"/>
    <s v="UPI"/>
    <s v="Aisha"/>
    <s v="arjun.rao@company.com"/>
    <n v="9970178536"/>
    <s v="Cancelled"/>
  </r>
  <r>
    <s v="ORD10123"/>
    <s v="C001"/>
    <s v="P102"/>
    <x v="109"/>
    <x v="109"/>
    <s v="Amit Sharma"/>
    <s v="Male"/>
    <d v="1986-06-22T00:00:00"/>
    <s v="Jaipur"/>
    <x v="1"/>
    <x v="1"/>
    <s v="Mouse"/>
    <n v="13"/>
    <n v="700"/>
    <n v="5"/>
    <n v="8645"/>
    <n v="3"/>
    <s v="Card"/>
    <s v="Neha"/>
    <s v="amit.sharma@company.com"/>
    <n v="9633745195"/>
    <s v="Pending"/>
  </r>
  <r>
    <s v="ORD10124"/>
    <s v="C004"/>
    <s v="P103"/>
    <x v="110"/>
    <x v="110"/>
    <s v="Anita Gupta"/>
    <s v="Female"/>
    <d v="1986-02-16T00:00:00"/>
    <s v="Mumbai"/>
    <x v="2"/>
    <x v="1"/>
    <s v="Keyboard"/>
    <n v="14"/>
    <n v="1200"/>
    <n v="20"/>
    <n v="13440"/>
    <n v="5"/>
    <s v="NetBanking"/>
    <s v="Aisha"/>
    <s v="anita.gupta@company.com"/>
    <n v="9922102053"/>
    <s v="Completed"/>
  </r>
  <r>
    <s v="ORD10125"/>
    <s v="C002"/>
    <s v="P303"/>
    <x v="111"/>
    <x v="111"/>
    <s v="Priya Patel"/>
    <s v="Female"/>
    <d v="1991-09-18T00:00:00"/>
    <s v="Delhi"/>
    <x v="1"/>
    <x v="2"/>
    <s v="Marker"/>
    <n v="2"/>
    <n v="45"/>
    <n v="5"/>
    <n v="85.5"/>
    <n v="3"/>
    <s v="UPI"/>
    <s v="Ritika"/>
    <s v="priYa.patel@company.com"/>
    <n v="9135963930"/>
    <s v="Cancelled"/>
  </r>
  <r>
    <s v="ORD10126"/>
    <s v="C004"/>
    <s v="P103"/>
    <x v="112"/>
    <x v="112"/>
    <s v="Anita Gupta"/>
    <s v="Female"/>
    <d v="1981-01-04T00:00:00"/>
    <s v="Bengaluru"/>
    <x v="0"/>
    <x v="1"/>
    <s v="Keyboard"/>
    <n v="2"/>
    <n v="1200"/>
    <n v="20"/>
    <n v="1920"/>
    <n v="3"/>
    <s v="Card"/>
    <s v="Neha"/>
    <s v="anita.gupta@company.com"/>
    <n v="9429405275"/>
    <s v="Completed"/>
  </r>
  <r>
    <s v="ORD10127"/>
    <s v="C003"/>
    <s v="P101"/>
    <x v="113"/>
    <x v="113"/>
    <s v="Rohit Singh"/>
    <s v="Male"/>
    <d v="2004-10-12T00:00:00"/>
    <s v="Bengaluru"/>
    <x v="0"/>
    <x v="1"/>
    <s v="Laptop"/>
    <n v="10"/>
    <n v="55000"/>
    <n v="5"/>
    <n v="522500"/>
    <n v="5"/>
    <s v="UPI"/>
    <s v="Aisha"/>
    <s v="rohit.singh@company.com"/>
    <n v="9521757571"/>
    <s v="Pending"/>
  </r>
  <r>
    <s v="ORD10128"/>
    <s v="C006"/>
    <s v="P201"/>
    <x v="114"/>
    <x v="50"/>
    <s v="Sneha Joshi"/>
    <s v="Female"/>
    <d v="1984-03-25T00:00:00"/>
    <s v="Jaipur"/>
    <x v="1"/>
    <x v="0"/>
    <s v="Mixer"/>
    <n v="15"/>
    <n v="3500"/>
    <n v="10"/>
    <n v="47250"/>
    <n v="3"/>
    <s v="NetBanking"/>
    <s v="Neha"/>
    <s v="sneha.joshi@company.com"/>
    <n v="9467375455"/>
    <s v="Completed"/>
  </r>
  <r>
    <s v="ORD10129"/>
    <s v="C002"/>
    <s v="P202"/>
    <x v="85"/>
    <x v="114"/>
    <s v="Priya Patel"/>
    <s v="Female"/>
    <d v="1982-09-09T00:00:00"/>
    <s v="Bengaluru"/>
    <x v="0"/>
    <x v="0"/>
    <s v="Iron"/>
    <n v="10"/>
    <n v="2200"/>
    <n v="15"/>
    <n v="18700"/>
    <n v="4"/>
    <s v="Card"/>
    <s v="Rahul"/>
    <s v="priYa.patel@company.com"/>
    <n v="9838809695"/>
    <s v="Pending"/>
  </r>
  <r>
    <s v="ORD10130"/>
    <s v="C006"/>
    <s v="P201"/>
    <x v="29"/>
    <x v="115"/>
    <s v="Sneha Joshi"/>
    <s v="Female"/>
    <d v="1993-02-15T00:00:00"/>
    <s v="Pune"/>
    <x v="2"/>
    <x v="0"/>
    <s v="Mixer"/>
    <n v="11"/>
    <n v="3500"/>
    <n v="5"/>
    <n v="36575"/>
    <n v="5"/>
    <s v="Cash"/>
    <s v="Ritika"/>
    <s v="sneha.joshi@company.com"/>
    <n v="9296609782"/>
    <s v="Cancelled"/>
  </r>
  <r>
    <s v="ORD10131"/>
    <s v="C004"/>
    <s v="P103"/>
    <x v="115"/>
    <x v="116"/>
    <s v="Anita Gupta"/>
    <s v="Female"/>
    <d v="2003-04-08T00:00:00"/>
    <s v="Bengaluru"/>
    <x v="0"/>
    <x v="1"/>
    <s v="Keyboard"/>
    <n v="14"/>
    <n v="1200"/>
    <n v="0"/>
    <n v="16800"/>
    <n v="5"/>
    <s v="Cash"/>
    <s v="Rahul"/>
    <s v="anita.gupta@company.com"/>
    <n v="9848259992"/>
    <s v="Cancelled"/>
  </r>
  <r>
    <s v="ORD10132"/>
    <s v="C002"/>
    <s v="P302"/>
    <x v="116"/>
    <x v="117"/>
    <s v="Priya Patel"/>
    <s v="Female"/>
    <d v="1989-10-20T00:00:00"/>
    <s v="Delhi"/>
    <x v="1"/>
    <x v="2"/>
    <s v="Pen"/>
    <n v="11"/>
    <n v="20"/>
    <n v="20"/>
    <n v="176"/>
    <n v="4"/>
    <s v="NetBanking"/>
    <s v="Ritika"/>
    <s v="priYa.patel@company.com"/>
    <n v="9254082295"/>
    <s v="Completed"/>
  </r>
  <r>
    <s v="ORD10133"/>
    <s v="C009"/>
    <s v="P104"/>
    <x v="117"/>
    <x v="100"/>
    <s v="Mohit Verma"/>
    <s v="Male"/>
    <d v="1995-09-15T00:00:00"/>
    <s v="Pune"/>
    <x v="2"/>
    <x v="1"/>
    <s v="Monitor"/>
    <n v="6"/>
    <n v="12000"/>
    <n v="10"/>
    <n v="64800"/>
    <n v="5"/>
    <s v="UPI"/>
    <s v="Karan"/>
    <s v="mohit.verma@company.com"/>
    <n v="9687923860"/>
    <s v="Completed"/>
  </r>
  <r>
    <s v="ORD10134"/>
    <s v="C009"/>
    <s v="P202"/>
    <x v="102"/>
    <x v="79"/>
    <s v="Mohit Verma"/>
    <s v="Male"/>
    <d v="1994-04-07T00:00:00"/>
    <s v="Hyderabad"/>
    <x v="0"/>
    <x v="0"/>
    <s v="Iron"/>
    <n v="6"/>
    <n v="2200"/>
    <n v="5"/>
    <n v="12540"/>
    <n v="4"/>
    <s v="Cash"/>
    <s v="Rahul"/>
    <s v="mohit.verma@company.com"/>
    <n v="9426459149"/>
    <s v="Completed"/>
  </r>
  <r>
    <s v="ORD10135"/>
    <s v="C010"/>
    <s v="P201"/>
    <x v="54"/>
    <x v="118"/>
    <s v="Pooja Shah"/>
    <s v="Female"/>
    <d v="2003-10-02T00:00:00"/>
    <s v="Delhi"/>
    <x v="1"/>
    <x v="0"/>
    <s v="Mixer"/>
    <n v="3"/>
    <n v="3500"/>
    <n v="5"/>
    <n v="9975"/>
    <n v="4"/>
    <s v="NetBanking"/>
    <s v="Rahul"/>
    <s v="pooja.shah@company.com"/>
    <n v="9155925975"/>
    <s v="Pending"/>
  </r>
  <r>
    <s v="ORD10136"/>
    <s v="C009"/>
    <s v="P203"/>
    <x v="118"/>
    <x v="119"/>
    <s v="Mohit Verma"/>
    <s v="Male"/>
    <d v="1997-07-14T00:00:00"/>
    <s v="Hyderabad"/>
    <x v="0"/>
    <x v="0"/>
    <s v="Microwave"/>
    <n v="5"/>
    <n v="8500"/>
    <n v="20"/>
    <n v="34000"/>
    <n v="5"/>
    <s v="Cash"/>
    <s v="Aisha"/>
    <s v="mohit.verma@company.com"/>
    <n v="9945247701"/>
    <s v="Pending"/>
  </r>
  <r>
    <s v="ORD10137"/>
    <s v="C008"/>
    <s v="P201"/>
    <x v="119"/>
    <x v="120"/>
    <s v="Kavya Nair"/>
    <s v="Female"/>
    <d v="1979-08-09T00:00:00"/>
    <s v="Bengaluru"/>
    <x v="0"/>
    <x v="0"/>
    <s v="Mixer"/>
    <n v="14"/>
    <n v="3500"/>
    <n v="10"/>
    <n v="44100"/>
    <n v="4"/>
    <s v="UPI"/>
    <s v="Ritika"/>
    <s v="KAvya.nair@company.com"/>
    <n v="9597378398"/>
    <s v="Cancelled"/>
  </r>
  <r>
    <s v="ORD10138"/>
    <s v="C001"/>
    <s v="P303"/>
    <x v="120"/>
    <x v="121"/>
    <s v="Amit Sharma"/>
    <s v="Male"/>
    <d v="2002-10-20T00:00:00"/>
    <s v="Ahmedabad"/>
    <x v="2"/>
    <x v="2"/>
    <s v="Marker"/>
    <n v="8"/>
    <n v="45"/>
    <n v="0"/>
    <n v="360"/>
    <n v="1"/>
    <s v="Card"/>
    <s v="Karan"/>
    <s v="amit.sharma@company.com"/>
    <n v="9343963736"/>
    <s v="Cancelled"/>
  </r>
  <r>
    <s v="ORD10139"/>
    <s v="C005"/>
    <s v="P303"/>
    <x v="121"/>
    <x v="122"/>
    <s v="Vikas Mehta"/>
    <s v="Male"/>
    <d v="1985-07-24T00:00:00"/>
    <s v="Delhi"/>
    <x v="1"/>
    <x v="2"/>
    <s v="Marker"/>
    <n v="11"/>
    <n v="45"/>
    <n v="5"/>
    <n v="470.25"/>
    <n v="3"/>
    <s v="Card"/>
    <s v="Rahul"/>
    <s v="vikas.mehta@company.com"/>
    <n v="9548742147"/>
    <s v="Completed"/>
  </r>
  <r>
    <s v="ORD10140"/>
    <s v="C007"/>
    <s v="P101"/>
    <x v="122"/>
    <x v="123"/>
    <s v="Arjun Rao"/>
    <s v="Male"/>
    <d v="1988-08-23T00:00:00"/>
    <s v="Ahmedabad"/>
    <x v="2"/>
    <x v="1"/>
    <s v="Laptop"/>
    <n v="19"/>
    <n v="55000"/>
    <n v="0"/>
    <n v="1045000"/>
    <n v="2"/>
    <s v="Card"/>
    <s v="Ritika"/>
    <s v="arjun.rao@company.com"/>
    <n v="9912945471"/>
    <s v="Cancelled"/>
  </r>
  <r>
    <s v="ORD10141"/>
    <s v="C010"/>
    <s v="P201"/>
    <x v="123"/>
    <x v="79"/>
    <s v="Pooja Shah"/>
    <s v="Female"/>
    <d v="1979-01-09T00:00:00"/>
    <s v="Pune"/>
    <x v="2"/>
    <x v="0"/>
    <s v="Mixer"/>
    <n v="20"/>
    <n v="3500"/>
    <n v="20"/>
    <n v="56000"/>
    <n v="4"/>
    <s v="NetBanking"/>
    <s v="Rahul"/>
    <s v="pooja.shah@company.com"/>
    <n v="9912630684"/>
    <s v="Completed"/>
  </r>
  <r>
    <s v="ORD10142"/>
    <s v="C007"/>
    <s v="P202"/>
    <x v="124"/>
    <x v="124"/>
    <s v="Arjun Rao"/>
    <s v="Male"/>
    <d v="1986-08-25T00:00:00"/>
    <s v="Pune"/>
    <x v="2"/>
    <x v="0"/>
    <s v="Iron"/>
    <n v="17"/>
    <n v="2200"/>
    <n v="0"/>
    <n v="37400"/>
    <n v="5"/>
    <s v="NetBanking"/>
    <s v="Ritika"/>
    <s v="arjun.rao@company.com"/>
    <n v="9114017237"/>
    <s v="Pending"/>
  </r>
  <r>
    <s v="ORD10143"/>
    <s v="C007"/>
    <s v="P103"/>
    <x v="122"/>
    <x v="125"/>
    <s v="Arjun Rao"/>
    <s v="Male"/>
    <d v="1977-04-01T00:00:00"/>
    <s v="Pune"/>
    <x v="2"/>
    <x v="1"/>
    <s v="Keyboard"/>
    <n v="10"/>
    <n v="1200"/>
    <n v="5"/>
    <n v="11400"/>
    <n v="2"/>
    <s v="Cash"/>
    <s v="Rahul"/>
    <s v="arjun.rao@company.com"/>
    <n v="9872471236"/>
    <s v="Cancelled"/>
  </r>
  <r>
    <s v="ORD10144"/>
    <s v="C005"/>
    <s v="P301"/>
    <x v="125"/>
    <x v="126"/>
    <s v="Vikas Mehta"/>
    <s v="Male"/>
    <d v="1983-08-04T00:00:00"/>
    <s v="Hyderabad"/>
    <x v="0"/>
    <x v="2"/>
    <s v="Notebook"/>
    <n v="3"/>
    <n v="60"/>
    <n v="0"/>
    <n v="180"/>
    <n v="4"/>
    <s v="NetBanking"/>
    <s v="Karan"/>
    <s v="vikas.mehta@company.com"/>
    <n v="9461383824"/>
    <s v="Completed"/>
  </r>
  <r>
    <s v="ORD10145"/>
    <s v="C010"/>
    <s v="P202"/>
    <x v="126"/>
    <x v="127"/>
    <s v="Pooja Shah"/>
    <s v="Female"/>
    <d v="1978-04-07T00:00:00"/>
    <s v="Mumbai"/>
    <x v="2"/>
    <x v="0"/>
    <s v="Iron"/>
    <n v="18"/>
    <n v="2200"/>
    <n v="10"/>
    <n v="35640"/>
    <n v="1"/>
    <s v="Card"/>
    <s v="Karan"/>
    <s v="pooja.shah@company.com"/>
    <n v="9243407457"/>
    <s v="Cancelled"/>
  </r>
  <r>
    <s v="ORD10146"/>
    <s v="C009"/>
    <s v="P301"/>
    <x v="127"/>
    <x v="128"/>
    <s v="Mohit Verma"/>
    <s v="Male"/>
    <d v="1983-03-04T00:00:00"/>
    <s v="Delhi"/>
    <x v="1"/>
    <x v="2"/>
    <s v="Notebook"/>
    <n v="18"/>
    <n v="60"/>
    <n v="5"/>
    <n v="1026"/>
    <n v="3"/>
    <s v="Card"/>
    <s v="Rahul"/>
    <s v="mohit.verma@company.com"/>
    <n v="9418672379"/>
    <s v="Pending"/>
  </r>
  <r>
    <s v="ORD10147"/>
    <s v="C003"/>
    <s v="P101"/>
    <x v="56"/>
    <x v="49"/>
    <s v="Rohit Singh"/>
    <s v="Male"/>
    <d v="1987-10-27T00:00:00"/>
    <s v="Pune"/>
    <x v="2"/>
    <x v="1"/>
    <s v="Laptop"/>
    <n v="11"/>
    <n v="55000"/>
    <n v="15"/>
    <n v="514250"/>
    <n v="4"/>
    <s v="UPI"/>
    <s v="Neha"/>
    <s v="rohit.singh@company.com"/>
    <n v="9222733065"/>
    <s v="Cancelled"/>
  </r>
  <r>
    <s v="ORD10148"/>
    <s v="C006"/>
    <s v="P203"/>
    <x v="128"/>
    <x v="65"/>
    <s v="Sneha Joshi"/>
    <s v="Female"/>
    <d v="2003-04-19T00:00:00"/>
    <s v="Kolkata"/>
    <x v="3"/>
    <x v="0"/>
    <s v="Microwave"/>
    <n v="5"/>
    <n v="8500"/>
    <n v="5"/>
    <n v="40375"/>
    <n v="4"/>
    <s v="Cash"/>
    <s v="Karan"/>
    <s v="sneha.joshi@company.com"/>
    <n v="9684246902"/>
    <s v="Completed"/>
  </r>
  <r>
    <s v="ORD10150"/>
    <s v="C003"/>
    <s v="P102"/>
    <x v="129"/>
    <x v="30"/>
    <s v="Rohit Singh"/>
    <s v="Male"/>
    <d v="1975-07-05T00:00:00"/>
    <s v="Pune"/>
    <x v="2"/>
    <x v="1"/>
    <s v="Mouse"/>
    <n v="6"/>
    <n v="700"/>
    <n v="10"/>
    <n v="3780"/>
    <n v="4"/>
    <s v="Cash"/>
    <s v="Rahul"/>
    <s v="rohit.singh@company.com"/>
    <n v="9110269572"/>
    <s v="Cancelled"/>
  </r>
  <r>
    <s v="ORD10151"/>
    <s v="C010"/>
    <s v="P201"/>
    <x v="130"/>
    <x v="93"/>
    <s v="Pooja Shah"/>
    <s v="Female"/>
    <d v="1992-03-05T00:00:00"/>
    <s v="Delhi"/>
    <x v="1"/>
    <x v="0"/>
    <s v="Mixer"/>
    <n v="20"/>
    <n v="3500"/>
    <n v="10"/>
    <n v="63000"/>
    <n v="4"/>
    <s v="UPI"/>
    <s v="Rahul"/>
    <s v="pooja.shah@company.com"/>
    <n v="9745972422"/>
    <s v="Pending"/>
  </r>
  <r>
    <s v="ORD10152"/>
    <s v="C008"/>
    <s v="P302"/>
    <x v="131"/>
    <x v="129"/>
    <s v="Kavya Nair"/>
    <s v="Female"/>
    <d v="1998-06-03T00:00:00"/>
    <s v="Bengaluru"/>
    <x v="0"/>
    <x v="2"/>
    <s v="Pen"/>
    <n v="2"/>
    <n v="20"/>
    <n v="10"/>
    <n v="36"/>
    <n v="1"/>
    <s v="NetBanking"/>
    <s v="Neha"/>
    <s v="KAvya.nair@company.com"/>
    <n v="9123712257"/>
    <s v="Pending"/>
  </r>
  <r>
    <s v="ORD10153"/>
    <s v="C002"/>
    <s v="P202"/>
    <x v="132"/>
    <x v="130"/>
    <s v="Priya Patel"/>
    <s v="Female"/>
    <d v="1996-09-28T00:00:00"/>
    <s v="Pune"/>
    <x v="2"/>
    <x v="0"/>
    <s v="Iron"/>
    <n v="16"/>
    <n v="2200"/>
    <n v="20"/>
    <n v="28160"/>
    <n v="2"/>
    <s v="UPI"/>
    <s v="Karan"/>
    <s v="priYa.patel@company.com"/>
    <n v="9665525431"/>
    <s v="Pending"/>
  </r>
  <r>
    <s v="ORD10154"/>
    <s v="C005"/>
    <s v="P104"/>
    <x v="133"/>
    <x v="131"/>
    <s v="Vikas Mehta"/>
    <s v="Male"/>
    <d v="1995-12-15T00:00:00"/>
    <s v="Pune"/>
    <x v="2"/>
    <x v="1"/>
    <s v="Monitor"/>
    <n v="15"/>
    <n v="12000"/>
    <n v="0"/>
    <n v="180000"/>
    <n v="1"/>
    <s v="Card"/>
    <s v="Aisha"/>
    <s v="vikas.mehta@company.com"/>
    <n v="9682415134"/>
    <s v="Pending"/>
  </r>
  <r>
    <s v="ORD10155"/>
    <s v="C008"/>
    <s v="P301"/>
    <x v="134"/>
    <x v="132"/>
    <s v="Kavya Nair"/>
    <s v="Female"/>
    <d v="1976-07-24T00:00:00"/>
    <s v="Delhi"/>
    <x v="1"/>
    <x v="2"/>
    <s v="Notebook"/>
    <n v="14"/>
    <n v="60"/>
    <n v="15"/>
    <n v="714"/>
    <n v="4"/>
    <s v="UPI"/>
    <s v="Rahul"/>
    <s v="KAvya.nair@company.com"/>
    <n v="9808223872"/>
    <s v="Completed"/>
  </r>
  <r>
    <s v="ORD10156"/>
    <s v="C010"/>
    <s v="P103"/>
    <x v="135"/>
    <x v="133"/>
    <s v="Pooja Shah"/>
    <s v="Female"/>
    <d v="1984-06-22T00:00:00"/>
    <s v="Hyderabad"/>
    <x v="0"/>
    <x v="1"/>
    <s v="Keyboard"/>
    <n v="9"/>
    <n v="1200"/>
    <n v="5"/>
    <n v="10260"/>
    <n v="5"/>
    <s v="NetBanking"/>
    <s v="Aisha"/>
    <s v="pooja.shah@company.com"/>
    <n v="9193549730"/>
    <s v="Pending"/>
  </r>
  <r>
    <s v="ORD10157"/>
    <s v="C005"/>
    <s v="P103"/>
    <x v="136"/>
    <x v="134"/>
    <s v="Vikas Mehta"/>
    <s v="Male"/>
    <d v="1998-08-06T00:00:00"/>
    <s v="Kolkata"/>
    <x v="3"/>
    <x v="1"/>
    <s v="Keyboard"/>
    <n v="3"/>
    <n v="1200"/>
    <n v="10"/>
    <n v="3240"/>
    <n v="2"/>
    <s v="Card"/>
    <s v="Karan"/>
    <s v="vikas.mehta@company.com"/>
    <n v="9520617130"/>
    <s v="Cancelled"/>
  </r>
  <r>
    <s v="ORD10158"/>
    <s v="C001"/>
    <s v="P301"/>
    <x v="80"/>
    <x v="135"/>
    <s v="Amit Sharma"/>
    <s v="Male"/>
    <d v="2001-06-18T00:00:00"/>
    <s v="Hyderabad"/>
    <x v="0"/>
    <x v="2"/>
    <s v="Notebook"/>
    <n v="2"/>
    <n v="60"/>
    <n v="10"/>
    <n v="108"/>
    <n v="2"/>
    <s v="UPI"/>
    <s v="Aisha"/>
    <s v="amit.sharma@company.com"/>
    <n v="9264578122"/>
    <s v="Completed"/>
  </r>
  <r>
    <s v="ORD10159"/>
    <s v="C009"/>
    <s v="P201"/>
    <x v="57"/>
    <x v="136"/>
    <s v="Mohit Verma"/>
    <s v="Male"/>
    <d v="1999-09-11T00:00:00"/>
    <s v="Delhi"/>
    <x v="1"/>
    <x v="0"/>
    <s v="Mixer"/>
    <n v="9"/>
    <n v="3500"/>
    <n v="20"/>
    <n v="25200"/>
    <n v="1"/>
    <s v="NetBanking"/>
    <s v="Ritika"/>
    <s v="mohit.verma@company.com"/>
    <n v="9275071213"/>
    <s v="Completed"/>
  </r>
  <r>
    <s v="ORD10160"/>
    <s v="C005"/>
    <s v="P101"/>
    <x v="26"/>
    <x v="137"/>
    <s v="Vikas Mehta"/>
    <s v="Male"/>
    <d v="1995-12-07T00:00:00"/>
    <s v="Jaipur"/>
    <x v="1"/>
    <x v="1"/>
    <s v="Laptop"/>
    <n v="4"/>
    <n v="55000"/>
    <n v="5"/>
    <n v="209000"/>
    <n v="2"/>
    <s v="Cash"/>
    <s v="Karan"/>
    <s v="vikas.mehta@company.com"/>
    <n v="9715222543"/>
    <s v="Pending"/>
  </r>
  <r>
    <s v="ORD10161"/>
    <s v="C001"/>
    <s v="P102"/>
    <x v="70"/>
    <x v="138"/>
    <s v="Amit Sharma"/>
    <s v="Male"/>
    <d v="1999-07-22T00:00:00"/>
    <s v="Delhi"/>
    <x v="1"/>
    <x v="1"/>
    <s v="Mouse"/>
    <n v="11"/>
    <n v="700"/>
    <n v="20"/>
    <n v="6160"/>
    <n v="4"/>
    <s v="Cash"/>
    <s v="Karan"/>
    <s v="amit.sharma@company.com"/>
    <n v="9942010833"/>
    <s v="Cancelled"/>
  </r>
  <r>
    <s v="ORD10162"/>
    <s v="C004"/>
    <s v="P103"/>
    <x v="33"/>
    <x v="139"/>
    <s v="Anita Gupta"/>
    <s v="Female"/>
    <d v="2000-11-14T00:00:00"/>
    <s v="Kolkata"/>
    <x v="3"/>
    <x v="1"/>
    <s v="Keyboard"/>
    <n v="16"/>
    <n v="1200"/>
    <n v="5"/>
    <n v="18240"/>
    <n v="1"/>
    <s v="Card"/>
    <s v="Ritika"/>
    <s v="anita.gupta@company.com"/>
    <n v="9347718932"/>
    <s v="Pending"/>
  </r>
  <r>
    <s v="ORD10163"/>
    <s v="C004"/>
    <s v="P103"/>
    <x v="82"/>
    <x v="140"/>
    <s v="Anita Gupta"/>
    <s v="Female"/>
    <d v="2002-07-24T00:00:00"/>
    <s v="Pune"/>
    <x v="2"/>
    <x v="1"/>
    <s v="Keyboard"/>
    <n v="1"/>
    <n v="1200"/>
    <n v="5"/>
    <n v="1140"/>
    <n v="4"/>
    <s v="Card"/>
    <s v="Ritika"/>
    <s v="anita.gupta@company.com"/>
    <n v="9274808844"/>
    <s v="Completed"/>
  </r>
  <r>
    <s v="ORD10164"/>
    <s v="C001"/>
    <s v="P301"/>
    <x v="137"/>
    <x v="141"/>
    <s v="Amit Sharma"/>
    <s v="Male"/>
    <d v="2002-02-25T00:00:00"/>
    <s v="Jaipur"/>
    <x v="1"/>
    <x v="2"/>
    <s v="Notebook"/>
    <n v="7"/>
    <n v="60"/>
    <n v="0"/>
    <n v="420"/>
    <n v="2"/>
    <s v="UPI"/>
    <s v="Karan"/>
    <s v="amit.sharma@company.com"/>
    <n v="9798996063"/>
    <s v="Completed"/>
  </r>
  <r>
    <s v="ORD10165"/>
    <s v="C004"/>
    <s v="P202"/>
    <x v="20"/>
    <x v="73"/>
    <s v="Anita Gupta"/>
    <s v="Female"/>
    <d v="1980-07-16T00:00:00"/>
    <s v="Pune"/>
    <x v="2"/>
    <x v="0"/>
    <s v="Iron"/>
    <n v="14"/>
    <n v="2200"/>
    <n v="0"/>
    <n v="30800"/>
    <n v="2"/>
    <s v="UPI"/>
    <s v="Ritika"/>
    <s v="anita.gupta@company.com"/>
    <n v="9145200936"/>
    <s v="Cancelled"/>
  </r>
  <r>
    <s v="ORD10166"/>
    <s v="C004"/>
    <s v="P201"/>
    <x v="138"/>
    <x v="118"/>
    <s v="Anita Gupta"/>
    <s v="Female"/>
    <d v="1996-05-25T00:00:00"/>
    <s v="Ahmedabad"/>
    <x v="2"/>
    <x v="0"/>
    <s v="Mixer"/>
    <n v="15"/>
    <n v="3500"/>
    <n v="15"/>
    <n v="44625"/>
    <n v="2"/>
    <s v="UPI"/>
    <s v="Aisha"/>
    <s v="anita.gupta@company.com"/>
    <n v="9697654418"/>
    <s v="Pending"/>
  </r>
  <r>
    <s v="ORD10167"/>
    <s v="C003"/>
    <s v="P201"/>
    <x v="139"/>
    <x v="142"/>
    <s v="Rohit Singh"/>
    <s v="Male"/>
    <d v="1986-05-11T00:00:00"/>
    <s v="Kolkata"/>
    <x v="3"/>
    <x v="0"/>
    <s v="Mixer"/>
    <n v="19"/>
    <n v="3500"/>
    <n v="5"/>
    <n v="63175"/>
    <n v="2"/>
    <s v="Cash"/>
    <s v="Neha"/>
    <s v="rohit.singh@company.com"/>
    <n v="9457923119"/>
    <s v="Cancelled"/>
  </r>
  <r>
    <s v="ORD10168"/>
    <s v="C001"/>
    <s v="P101"/>
    <x v="140"/>
    <x v="143"/>
    <s v="Amit Sharma"/>
    <s v="Male"/>
    <d v="1989-05-25T00:00:00"/>
    <s v="Bengaluru"/>
    <x v="0"/>
    <x v="1"/>
    <s v="Laptop"/>
    <n v="12"/>
    <n v="55000"/>
    <n v="5"/>
    <n v="627000"/>
    <n v="4"/>
    <s v="Card"/>
    <s v="Aisha"/>
    <s v="amit.sharma@company.com"/>
    <n v="9236111271"/>
    <s v="Cancelled"/>
  </r>
  <r>
    <s v="ORD10169"/>
    <s v="C010"/>
    <s v="P103"/>
    <x v="90"/>
    <x v="144"/>
    <s v="Pooja Shah"/>
    <s v="Female"/>
    <d v="1989-08-25T00:00:00"/>
    <s v="Mumbai"/>
    <x v="2"/>
    <x v="1"/>
    <s v="Keyboard"/>
    <n v="6"/>
    <n v="1200"/>
    <n v="10"/>
    <n v="6480"/>
    <n v="5"/>
    <s v="NetBanking"/>
    <s v="Neha"/>
    <s v="pooja.shah@company.com"/>
    <n v="9402569141"/>
    <s v="Cancelled"/>
  </r>
  <r>
    <s v="ORD10170"/>
    <s v="C006"/>
    <s v="P203"/>
    <x v="9"/>
    <x v="27"/>
    <s v="Sneha Joshi"/>
    <s v="Female"/>
    <d v="1997-05-20T00:00:00"/>
    <s v="Hyderabad"/>
    <x v="0"/>
    <x v="0"/>
    <s v="Microwave"/>
    <n v="1"/>
    <n v="8500"/>
    <n v="0"/>
    <n v="8500"/>
    <n v="1"/>
    <s v="UPI"/>
    <s v="Karan"/>
    <s v="sneha.joshi@company.com"/>
    <n v="9138184056"/>
    <s v="Cancelled"/>
  </r>
  <r>
    <s v="ORD10171"/>
    <s v="C003"/>
    <s v="P101"/>
    <x v="141"/>
    <x v="145"/>
    <s v="Rohit Singh"/>
    <s v="Male"/>
    <d v="1987-05-03T00:00:00"/>
    <s v="Ahmedabad"/>
    <x v="2"/>
    <x v="1"/>
    <s v="Laptop"/>
    <n v="20"/>
    <n v="55000"/>
    <n v="10"/>
    <n v="990000"/>
    <n v="5"/>
    <s v="NetBanking"/>
    <s v="Karan"/>
    <s v="rohit.singh@company.com"/>
    <n v="9609598700"/>
    <s v="Completed"/>
  </r>
  <r>
    <s v="ORD10172"/>
    <s v="C005"/>
    <s v="P103"/>
    <x v="142"/>
    <x v="146"/>
    <s v="Vikas Mehta"/>
    <s v="Male"/>
    <d v="2002-12-02T00:00:00"/>
    <s v="Ahmedabad"/>
    <x v="2"/>
    <x v="1"/>
    <s v="Keyboard"/>
    <n v="8"/>
    <n v="1200"/>
    <n v="15"/>
    <n v="8160"/>
    <n v="2"/>
    <s v="UPI"/>
    <s v="Neha"/>
    <s v="vikas.mehta@company.com"/>
    <n v="9385894399"/>
    <s v="Cancelled"/>
  </r>
  <r>
    <s v="ORD10173"/>
    <s v="C008"/>
    <s v="P201"/>
    <x v="143"/>
    <x v="147"/>
    <s v="Kavya Nair"/>
    <s v="Female"/>
    <d v="1986-05-25T00:00:00"/>
    <s v="Jaipur"/>
    <x v="1"/>
    <x v="0"/>
    <s v="Mixer"/>
    <n v="19"/>
    <n v="3500"/>
    <n v="5"/>
    <n v="63175"/>
    <n v="4"/>
    <s v="UPI"/>
    <s v="Rahul"/>
    <s v="KAvya.nair@company.com"/>
    <n v="9329448011"/>
    <s v="Pending"/>
  </r>
  <r>
    <s v="ORD10174"/>
    <s v="C005"/>
    <s v="P303"/>
    <x v="1"/>
    <x v="91"/>
    <s v="Vikas Mehta"/>
    <s v="Male"/>
    <d v="1986-02-22T00:00:00"/>
    <s v="Jaipur"/>
    <x v="1"/>
    <x v="2"/>
    <s v="Marker"/>
    <n v="6"/>
    <n v="45"/>
    <n v="20"/>
    <n v="216"/>
    <n v="1"/>
    <s v="Card"/>
    <s v="Rahul"/>
    <s v="vikas.mehtacompany.com"/>
    <n v="9889544104"/>
    <s v="Pending"/>
  </r>
  <r>
    <s v="ORD10175"/>
    <s v="C006"/>
    <s v="P303"/>
    <x v="144"/>
    <x v="148"/>
    <s v="Sneha Joshi"/>
    <s v="Female"/>
    <d v="1988-04-07T00:00:00"/>
    <s v="Pune"/>
    <x v="2"/>
    <x v="2"/>
    <s v="Marker"/>
    <n v="17"/>
    <n v="45"/>
    <n v="15"/>
    <n v="650.25"/>
    <n v="5"/>
    <s v="Cash"/>
    <s v="Neha"/>
    <s v="sneha.joshi@company.com"/>
    <n v="9101861045"/>
    <s v="Pending"/>
  </r>
  <r>
    <s v="ORD10176"/>
    <s v="C008"/>
    <s v="P302"/>
    <x v="124"/>
    <x v="149"/>
    <s v="Kavya Nair"/>
    <s v="Female"/>
    <d v="1993-06-27T00:00:00"/>
    <s v="Pune"/>
    <x v="2"/>
    <x v="2"/>
    <s v="Pen"/>
    <n v="19"/>
    <n v="20"/>
    <n v="5"/>
    <n v="361"/>
    <n v="4"/>
    <s v="Cash"/>
    <s v="Ritika"/>
    <s v="KAvya.nair@company.com"/>
    <n v="9364712105"/>
    <s v="Pending"/>
  </r>
  <r>
    <s v="ORD10177"/>
    <s v="C006"/>
    <s v="P302"/>
    <x v="145"/>
    <x v="44"/>
    <s v="Sneha Joshi"/>
    <s v="Female"/>
    <d v="2004-06-18T00:00:00"/>
    <s v="Ahmedabad"/>
    <x v="2"/>
    <x v="2"/>
    <s v="Pen"/>
    <n v="11"/>
    <n v="20"/>
    <n v="0"/>
    <n v="220"/>
    <n v="3"/>
    <s v="NetBanking"/>
    <s v="Rahul"/>
    <s v="sneha.joshi@company.com"/>
    <n v="9950206376"/>
    <s v="Completed"/>
  </r>
  <r>
    <s v="ORD10178"/>
    <s v="C004"/>
    <s v="P301"/>
    <x v="146"/>
    <x v="150"/>
    <s v="Anita Gupta"/>
    <s v="Female"/>
    <d v="1993-09-09T00:00:00"/>
    <s v="Delhi"/>
    <x v="1"/>
    <x v="2"/>
    <s v="Notebook"/>
    <n v="12"/>
    <n v="60"/>
    <n v="0"/>
    <n v="720"/>
    <n v="2"/>
    <s v="NetBanking"/>
    <s v="Rahul"/>
    <s v="anita.gupta@company.com"/>
    <n v="9235822094"/>
    <s v="Completed"/>
  </r>
  <r>
    <s v="ORD10179"/>
    <s v="C005"/>
    <s v="P303"/>
    <x v="147"/>
    <x v="141"/>
    <s v="Priya Patel"/>
    <s v="Male"/>
    <d v="2001-09-13T00:00:00"/>
    <s v="Kolkata"/>
    <x v="3"/>
    <x v="2"/>
    <s v="Marker"/>
    <n v="14"/>
    <n v="45"/>
    <n v="15"/>
    <n v="535.5"/>
    <n v="5"/>
    <s v="UPI"/>
    <s v="Neha"/>
    <s v="vikas.mehta@company.com"/>
    <n v="9311021344"/>
    <s v="Pending"/>
  </r>
  <r>
    <s v="ORD10180"/>
    <s v="C008"/>
    <s v="P102"/>
    <x v="148"/>
    <x v="35"/>
    <s v="Kavya Nair"/>
    <s v="Female"/>
    <d v="1981-11-15T00:00:00"/>
    <s v="Hyderabad"/>
    <x v="0"/>
    <x v="1"/>
    <s v="Mouse"/>
    <n v="15"/>
    <n v="700"/>
    <n v="10"/>
    <n v="9450"/>
    <n v="3"/>
    <s v="NetBanking"/>
    <s v="Rahul"/>
    <s v="KAvya.nair@company.com"/>
    <n v="9891358505"/>
    <s v="Pending"/>
  </r>
  <r>
    <s v="ORD10181"/>
    <s v="C002"/>
    <s v="P203"/>
    <x v="149"/>
    <x v="151"/>
    <s v="Priya Patel"/>
    <s v="Female"/>
    <d v="1980-09-12T00:00:00"/>
    <s v="Ahmedabad"/>
    <x v="2"/>
    <x v="0"/>
    <s v="Microwave"/>
    <n v="19"/>
    <n v="8500"/>
    <n v="15"/>
    <n v="137275"/>
    <n v="2"/>
    <s v="Cash"/>
    <s v="Ritika"/>
    <s v="priYa.patel@company.com"/>
    <n v="9910085332"/>
    <s v="Cancelled"/>
  </r>
  <r>
    <s v="ORD10182"/>
    <s v="C006"/>
    <s v="P301"/>
    <x v="150"/>
    <x v="152"/>
    <s v="Sneha Joshi"/>
    <s v="Female"/>
    <d v="1988-04-07T00:00:00"/>
    <s v="Jaipur"/>
    <x v="1"/>
    <x v="2"/>
    <s v="Notebook"/>
    <n v="19"/>
    <n v="60"/>
    <n v="20"/>
    <n v="912"/>
    <n v="4"/>
    <s v="Card"/>
    <s v="Rahul"/>
    <s v="sneha.joshi@company.com"/>
    <n v="9756908023"/>
    <s v="Pending"/>
  </r>
  <r>
    <s v="ORD10183"/>
    <s v="C002"/>
    <s v="P303"/>
    <x v="151"/>
    <x v="153"/>
    <s v="Priya Patel"/>
    <s v="Female"/>
    <d v="1988-02-19T00:00:00"/>
    <s v="Bengaluru"/>
    <x v="0"/>
    <x v="2"/>
    <s v="Marker"/>
    <n v="10"/>
    <n v="45"/>
    <n v="15"/>
    <n v="382.5"/>
    <n v="4"/>
    <s v="Cash"/>
    <s v="Karan"/>
    <s v="priYa.patel@company.com"/>
    <n v="9645913247"/>
    <s v="Completed"/>
  </r>
  <r>
    <s v="ORD10184"/>
    <s v="C009"/>
    <s v="P202"/>
    <x v="152"/>
    <x v="154"/>
    <s v="Mohit Verma"/>
    <s v="Male"/>
    <d v="1981-12-03T00:00:00"/>
    <s v="Delhi"/>
    <x v="1"/>
    <x v="0"/>
    <s v="Iron"/>
    <n v="7"/>
    <n v="2200"/>
    <n v="20"/>
    <n v="12320"/>
    <n v="5"/>
    <s v="UPI"/>
    <s v="Rahul"/>
    <s v="mohit.verma@company.com"/>
    <n v="9806914795"/>
    <s v="Pending"/>
  </r>
  <r>
    <s v="ORD10185"/>
    <s v="C002"/>
    <s v="P203"/>
    <x v="153"/>
    <x v="1"/>
    <s v="Priya Patel"/>
    <s v="Female"/>
    <d v="1984-02-11T00:00:00"/>
    <s v="Kolkata"/>
    <x v="3"/>
    <x v="0"/>
    <s v="Microwave"/>
    <n v="20"/>
    <n v="8500"/>
    <n v="20"/>
    <n v="136000"/>
    <n v="4"/>
    <s v="NetBanking"/>
    <s v="Ritika"/>
    <s v="priYa.patel@company.com"/>
    <n v="9276222829"/>
    <s v="Completed"/>
  </r>
  <r>
    <s v="ORD10186"/>
    <s v="C006"/>
    <s v="P202"/>
    <x v="122"/>
    <x v="155"/>
    <s v="Sneha Joshi"/>
    <s v="Female"/>
    <d v="1991-12-07T00:00:00"/>
    <s v="Hyderabad"/>
    <x v="0"/>
    <x v="0"/>
    <s v="Iron"/>
    <n v="10"/>
    <n v="2200"/>
    <n v="5"/>
    <n v="20900"/>
    <n v="2"/>
    <s v="NetBanking"/>
    <s v="Rahul"/>
    <s v="sneha.joshi@company.com"/>
    <n v="9533835528"/>
    <s v="Completed"/>
  </r>
  <r>
    <s v="ORD10187"/>
    <s v="C003"/>
    <s v="P301"/>
    <x v="154"/>
    <x v="156"/>
    <s v="Rohit Singh"/>
    <s v="Male"/>
    <d v="1976-02-21T00:00:00"/>
    <s v="Pune"/>
    <x v="2"/>
    <x v="2"/>
    <s v="Notebook"/>
    <n v="15"/>
    <n v="60"/>
    <n v="20"/>
    <n v="720"/>
    <n v="1"/>
    <s v="Card"/>
    <s v="Ritika"/>
    <s v="rohit.singh@company.com"/>
    <n v="9654885820"/>
    <s v="Completed"/>
  </r>
  <r>
    <s v="ORD10188"/>
    <s v="C005"/>
    <s v="P201"/>
    <x v="24"/>
    <x v="157"/>
    <s v="Vikas Mehta"/>
    <s v="Male"/>
    <d v="1975-08-28T00:00:00"/>
    <s v="Hyderabad"/>
    <x v="0"/>
    <x v="0"/>
    <s v="Mixer"/>
    <n v="18"/>
    <n v="3500"/>
    <n v="5"/>
    <n v="59850"/>
    <n v="1"/>
    <s v="Card"/>
    <s v="Rahul"/>
    <s v="vikas.mehta@company.com"/>
    <n v="9456029544"/>
    <s v="Cancelled"/>
  </r>
  <r>
    <s v="ORD10189"/>
    <s v="C001"/>
    <s v="P104"/>
    <x v="155"/>
    <x v="158"/>
    <s v="Amit Sharma"/>
    <s v="Male"/>
    <d v="1987-12-05T00:00:00"/>
    <s v="Pune"/>
    <x v="2"/>
    <x v="1"/>
    <s v="Monitor"/>
    <n v="6"/>
    <n v="12000"/>
    <n v="5"/>
    <n v="68400"/>
    <n v="1"/>
    <s v="NetBanking"/>
    <s v="Rahul"/>
    <s v="amit.sharma@company.com"/>
    <n v="9914571493"/>
    <s v="Cancelled"/>
  </r>
  <r>
    <s v="ORD10190"/>
    <s v="C001"/>
    <s v="P302"/>
    <x v="146"/>
    <x v="67"/>
    <s v="Amit Sharma"/>
    <s v="Male"/>
    <d v="2004-08-26T00:00:00"/>
    <s v="Bengaluru"/>
    <x v="0"/>
    <x v="2"/>
    <s v="Pen"/>
    <n v="19"/>
    <n v="20"/>
    <n v="10"/>
    <n v="342"/>
    <n v="2"/>
    <s v="NetBanking"/>
    <s v="Ritika"/>
    <s v="amit.sharma@company.com"/>
    <n v="9270726986"/>
    <s v="Pending"/>
  </r>
  <r>
    <s v="ORD10191"/>
    <s v="C005"/>
    <s v="P202"/>
    <x v="57"/>
    <x v="58"/>
    <s v="Vikas Mehta"/>
    <s v="Male"/>
    <d v="1994-01-16T00:00:00"/>
    <s v="Pune"/>
    <x v="2"/>
    <x v="0"/>
    <s v="Iron"/>
    <n v="7"/>
    <n v="2200"/>
    <n v="0"/>
    <n v="15400"/>
    <n v="1"/>
    <s v="Card"/>
    <s v="Neha"/>
    <s v="vikas.mehta@company.com"/>
    <n v="9570080664"/>
    <s v="Cancelled"/>
  </r>
  <r>
    <s v="ORD10192"/>
    <s v="C001"/>
    <s v="P104"/>
    <x v="156"/>
    <x v="159"/>
    <s v="Amit Sharma"/>
    <s v="Male"/>
    <d v="2003-10-28T00:00:00"/>
    <s v="Jaipur"/>
    <x v="1"/>
    <x v="1"/>
    <s v="Monitor"/>
    <n v="3"/>
    <n v="12000"/>
    <n v="5"/>
    <n v="34200"/>
    <n v="3"/>
    <s v="Card"/>
    <s v="Aisha"/>
    <s v="amit.sharma@company.com"/>
    <n v="9109009524"/>
    <s v="Cancelled"/>
  </r>
  <r>
    <s v="ORD10193"/>
    <s v="C004"/>
    <s v="P202"/>
    <x v="104"/>
    <x v="160"/>
    <s v="Anita Gupta"/>
    <s v="Female"/>
    <d v="2000-05-16T00:00:00"/>
    <s v="Jaipur"/>
    <x v="1"/>
    <x v="0"/>
    <s v="Iron"/>
    <n v="16"/>
    <n v="2200"/>
    <n v="0"/>
    <n v="35200"/>
    <n v="5"/>
    <s v="Card"/>
    <s v="Ritika"/>
    <s v="anita.gupta@company.com"/>
    <n v="9701276770"/>
    <s v="Pending"/>
  </r>
  <r>
    <s v="ORD10194"/>
    <s v="C006"/>
    <s v="P202"/>
    <x v="157"/>
    <x v="161"/>
    <s v="Sneha Joshi"/>
    <s v="Female"/>
    <d v="1989-07-04T00:00:00"/>
    <s v="Delhi"/>
    <x v="1"/>
    <x v="0"/>
    <s v="Iron"/>
    <n v="8"/>
    <n v="2200"/>
    <n v="5"/>
    <n v="16720"/>
    <n v="2"/>
    <s v="UPI"/>
    <s v="Karan"/>
    <s v="sneha.joshi@company.com"/>
    <n v="9298278507"/>
    <s v="Completed"/>
  </r>
  <r>
    <s v="ORD10195"/>
    <s v="C006"/>
    <s v="P202"/>
    <x v="95"/>
    <x v="162"/>
    <s v="Sneha Joshi"/>
    <s v="Female"/>
    <d v="1998-03-09T00:00:00"/>
    <s v="Ahmedabad"/>
    <x v="2"/>
    <x v="0"/>
    <s v="Iron"/>
    <n v="10"/>
    <n v="2200"/>
    <n v="10"/>
    <n v="19800"/>
    <n v="5"/>
    <s v="NetBanking"/>
    <s v="Neha"/>
    <s v="sneha.joshi@company.com"/>
    <n v="9895908093"/>
    <s v="Pending"/>
  </r>
  <r>
    <s v="ORD10196"/>
    <s v="C007"/>
    <s v="P302"/>
    <x v="158"/>
    <x v="163"/>
    <s v="Arjun Rao"/>
    <s v="Male"/>
    <d v="1988-05-21T00:00:00"/>
    <s v="Delhi"/>
    <x v="1"/>
    <x v="2"/>
    <s v="Pen"/>
    <n v="7"/>
    <n v="20"/>
    <n v="10"/>
    <n v="126"/>
    <n v="4"/>
    <s v="Card"/>
    <s v="Aisha"/>
    <s v="arjun.rao@company.com"/>
    <n v="9734108795"/>
    <s v="Completed"/>
  </r>
  <r>
    <s v="ORD10197"/>
    <s v="C005"/>
    <s v="P203"/>
    <x v="28"/>
    <x v="164"/>
    <s v="Vikas Mehta"/>
    <s v="Male"/>
    <d v="1994-07-18T00:00:00"/>
    <s v="Hyderabad"/>
    <x v="0"/>
    <x v="0"/>
    <s v="Microwave"/>
    <n v="19"/>
    <n v="8500"/>
    <n v="20"/>
    <n v="129200"/>
    <n v="3"/>
    <s v="NetBanking"/>
    <s v="Aisha"/>
    <s v="vikas.mehta@company.com"/>
    <n v="9799597413"/>
    <s v="Pending"/>
  </r>
  <r>
    <s v="ORD10198"/>
    <s v="C002"/>
    <s v="P301"/>
    <x v="58"/>
    <x v="55"/>
    <s v="Priya Patel"/>
    <s v="Female"/>
    <d v="1977-11-15T00:00:00"/>
    <s v="Pune"/>
    <x v="2"/>
    <x v="2"/>
    <s v="Notebook"/>
    <n v="16"/>
    <n v="60"/>
    <n v="0"/>
    <n v="960"/>
    <n v="2"/>
    <s v="NetBanking"/>
    <s v="Neha"/>
    <s v="priYa.patel@company.com"/>
    <n v="9688987266"/>
    <s v="Completed"/>
  </r>
  <r>
    <s v="ORD10199"/>
    <s v="C005"/>
    <s v="P201"/>
    <x v="159"/>
    <x v="165"/>
    <s v="Vikas Mehta"/>
    <s v="Male"/>
    <d v="1982-09-22T00:00:00"/>
    <s v="Bengaluru"/>
    <x v="0"/>
    <x v="2"/>
    <s v="Mixer"/>
    <n v="18"/>
    <n v="3500"/>
    <n v="5"/>
    <n v="59850"/>
    <n v="1"/>
    <s v="UPI"/>
    <s v="Neha"/>
    <s v="vikas.mehta@company.com"/>
    <n v="9867169037"/>
    <s v="Pending"/>
  </r>
  <r>
    <s v="ORD10200"/>
    <s v="C002"/>
    <s v="P101"/>
    <x v="160"/>
    <x v="96"/>
    <s v="Priya Patel"/>
    <s v="Female"/>
    <d v="1994-09-14T00:00:00"/>
    <s v="Jaipur"/>
    <x v="1"/>
    <x v="1"/>
    <s v="Laptop"/>
    <n v="16"/>
    <n v="55000"/>
    <n v="0"/>
    <n v="880000"/>
    <n v="1"/>
    <s v="Card"/>
    <s v="Aisha"/>
    <s v="priYa.patel@company.com"/>
    <n v="9485547425"/>
    <s v="Cancelled"/>
  </r>
  <r>
    <s v="ORD10201"/>
    <s v="C005"/>
    <s v="P103"/>
    <x v="143"/>
    <x v="166"/>
    <s v="Vikas Mehta"/>
    <s v="Male"/>
    <d v="1995-12-02T00:00:00"/>
    <s v="Ahmedabad"/>
    <x v="2"/>
    <x v="1"/>
    <s v="Keyboard"/>
    <n v="18"/>
    <n v="1200"/>
    <n v="15"/>
    <n v="18360"/>
    <n v="2"/>
    <s v="NetBanking"/>
    <s v="Ritika"/>
    <s v="vikas.mehta@company.com"/>
    <n v="9889733076"/>
    <s v="Cancelled"/>
  </r>
  <r>
    <s v="ORD10202"/>
    <s v="C009"/>
    <s v="P303"/>
    <x v="161"/>
    <x v="167"/>
    <s v="Mohit Verma"/>
    <s v="Male"/>
    <d v="1985-07-10T00:00:00"/>
    <s v="Hyderabad"/>
    <x v="0"/>
    <x v="2"/>
    <s v="Marker"/>
    <n v="2"/>
    <n v="45"/>
    <n v="15"/>
    <n v="76.5"/>
    <n v="5"/>
    <s v="Cash"/>
    <s v="Aisha"/>
    <s v="mohit.verma@company.com"/>
    <n v="9145434449"/>
    <s v="Cancelled"/>
  </r>
  <r>
    <s v="ORD10203"/>
    <s v="C010"/>
    <s v="P203"/>
    <x v="162"/>
    <x v="4"/>
    <s v="Pooja Shah"/>
    <s v="Female"/>
    <d v="2001-03-25T00:00:00"/>
    <s v="Bengaluru"/>
    <x v="0"/>
    <x v="0"/>
    <s v="Microwave"/>
    <n v="20"/>
    <n v="8500"/>
    <n v="0"/>
    <n v="170000"/>
    <n v="4"/>
    <s v="NetBanking"/>
    <s v="Aisha"/>
    <s v="pooja.shah@company.com"/>
    <n v="9598942148"/>
    <s v="Cancelled"/>
  </r>
  <r>
    <s v="ORD10204"/>
    <s v="C003"/>
    <s v="P201"/>
    <x v="35"/>
    <x v="168"/>
    <s v="Rohit Singh"/>
    <s v="Male"/>
    <d v="1981-04-27T00:00:00"/>
    <s v="Jaipur"/>
    <x v="1"/>
    <x v="0"/>
    <s v="Mixer"/>
    <n v="6"/>
    <n v="3500"/>
    <n v="5"/>
    <n v="19950"/>
    <n v="1"/>
    <s v="Cash"/>
    <s v="Karan"/>
    <s v="rohit.singh@company.com"/>
    <n v="9599252705"/>
    <s v="Completed"/>
  </r>
  <r>
    <s v="ORD10205"/>
    <s v="C004"/>
    <s v="P303"/>
    <x v="37"/>
    <x v="169"/>
    <s v="Anita Gupta"/>
    <s v="Female"/>
    <d v="2003-01-14T00:00:00"/>
    <s v="Pune"/>
    <x v="2"/>
    <x v="2"/>
    <s v="Marker"/>
    <n v="8"/>
    <n v="45"/>
    <n v="5"/>
    <n v="342"/>
    <n v="2"/>
    <s v="Cash"/>
    <s v="Rahul"/>
    <s v="anita.gupta@company.com"/>
    <n v="9626843681"/>
    <s v="Pending"/>
  </r>
  <r>
    <s v="ORD10206"/>
    <s v="C001"/>
    <s v="P202"/>
    <x v="163"/>
    <x v="170"/>
    <s v="Amit Sharma"/>
    <s v="Male"/>
    <d v="1980-10-02T00:00:00"/>
    <s v="Mumbai"/>
    <x v="2"/>
    <x v="0"/>
    <s v="Iron"/>
    <n v="18"/>
    <n v="2200"/>
    <n v="15"/>
    <n v="33660"/>
    <n v="4"/>
    <s v="Card"/>
    <s v="Aisha"/>
    <s v="amit.sharma@company.com"/>
    <n v="9934933215"/>
    <s v="Pending"/>
  </r>
  <r>
    <s v="ORD10207"/>
    <s v="C005"/>
    <s v="P102"/>
    <x v="164"/>
    <x v="171"/>
    <s v="Vikas Mehta"/>
    <s v="Male"/>
    <d v="1990-10-24T00:00:00"/>
    <s v="Hyderabad"/>
    <x v="0"/>
    <x v="1"/>
    <s v="Mouse"/>
    <n v="18"/>
    <n v="700"/>
    <n v="15"/>
    <n v="10710"/>
    <n v="3"/>
    <s v="Card"/>
    <s v="Karan"/>
    <s v="vikas.mehta@company.com"/>
    <n v="9508025585"/>
    <s v="Cancelled"/>
  </r>
  <r>
    <s v="ORD10208"/>
    <s v="C001"/>
    <s v="P101"/>
    <x v="165"/>
    <x v="172"/>
    <s v="Amit Sharma"/>
    <s v="Male"/>
    <d v="1977-09-24T00:00:00"/>
    <s v="Pune"/>
    <x v="2"/>
    <x v="1"/>
    <s v="Laptop"/>
    <n v="12"/>
    <n v="55000"/>
    <n v="0"/>
    <n v="660000"/>
    <n v="2"/>
    <s v="UPI"/>
    <s v="Rahul"/>
    <s v="amit.sharma@company.com"/>
    <n v="9364681052"/>
    <s v="Cancelled"/>
  </r>
  <r>
    <s v="ORD10209"/>
    <s v="C008"/>
    <s v="P104"/>
    <x v="73"/>
    <x v="173"/>
    <s v="Kavya Nair"/>
    <s v="Female"/>
    <d v="1996-10-02T00:00:00"/>
    <s v="Mumbai"/>
    <x v="2"/>
    <x v="1"/>
    <s v="Monitor"/>
    <n v="7"/>
    <n v="12000"/>
    <n v="5"/>
    <n v="79800"/>
    <n v="3"/>
    <s v="Card"/>
    <s v="Karan"/>
    <s v="KAvya.nair@company.com"/>
    <n v="9117102884"/>
    <s v="Pending"/>
  </r>
  <r>
    <s v="ORD10210"/>
    <s v="C006"/>
    <s v="P104"/>
    <x v="166"/>
    <x v="9"/>
    <s v="Sneha Joshi"/>
    <s v="Female"/>
    <d v="1976-05-17T00:00:00"/>
    <s v="Mumbai"/>
    <x v="2"/>
    <x v="1"/>
    <s v="Monitor"/>
    <n v="8"/>
    <n v="12000"/>
    <n v="15"/>
    <n v="81600"/>
    <n v="4"/>
    <s v="Card"/>
    <s v="Rahul"/>
    <s v="sneha.joshi@company.com"/>
    <n v="9819453185"/>
    <s v="Completed"/>
  </r>
  <r>
    <s v="ORD10211"/>
    <s v="C001"/>
    <s v="P201"/>
    <x v="167"/>
    <x v="174"/>
    <s v="Amit Sharma"/>
    <s v="Male"/>
    <d v="1987-12-09T00:00:00"/>
    <s v="Mumbai"/>
    <x v="2"/>
    <x v="0"/>
    <s v="Mixer"/>
    <n v="19"/>
    <n v="3500"/>
    <n v="5"/>
    <n v="63175"/>
    <n v="3"/>
    <s v="Card"/>
    <s v="Aisha"/>
    <s v="amit.sharma@company.com"/>
    <n v="9511806701"/>
    <s v="Pending"/>
  </r>
  <r>
    <s v="ORD10212"/>
    <s v="C006"/>
    <s v="P303"/>
    <x v="143"/>
    <x v="175"/>
    <s v="Sneha Joshi"/>
    <s v="Female"/>
    <d v="1990-07-16T00:00:00"/>
    <s v="Ahmedabad"/>
    <x v="2"/>
    <x v="2"/>
    <s v="Marker"/>
    <n v="7"/>
    <n v="45"/>
    <n v="5"/>
    <n v="299.25"/>
    <n v="3"/>
    <s v="Card"/>
    <s v="Ritika"/>
    <s v="sneha.joshi@company.com"/>
    <n v="9875249891"/>
    <s v="Cancelled"/>
  </r>
  <r>
    <s v="ORD10213"/>
    <s v="C008"/>
    <s v="P301"/>
    <x v="168"/>
    <x v="176"/>
    <s v="Kavya Nair"/>
    <s v="Female"/>
    <d v="1991-08-09T00:00:00"/>
    <s v="Hyderabad"/>
    <x v="0"/>
    <x v="2"/>
    <s v="Notebook"/>
    <n v="3"/>
    <n v="60"/>
    <n v="15"/>
    <n v="153"/>
    <n v="3"/>
    <s v="NetBanking"/>
    <s v="Rahul"/>
    <s v="KAvya.nair@company.com"/>
    <n v="9438232503"/>
    <s v="Cancelled"/>
  </r>
  <r>
    <s v="ORD10214"/>
    <s v="C010"/>
    <s v="P303"/>
    <x v="169"/>
    <x v="177"/>
    <s v="Pooja Shah"/>
    <s v="Female"/>
    <d v="1977-12-26T00:00:00"/>
    <s v="Pune"/>
    <x v="2"/>
    <x v="2"/>
    <s v="Marker"/>
    <n v="19"/>
    <n v="45"/>
    <n v="0"/>
    <n v="855"/>
    <n v="2"/>
    <s v="Cash"/>
    <s v="Aisha"/>
    <s v="pooja.shah@company.com"/>
    <n v="9449953754"/>
    <s v="Completed"/>
  </r>
  <r>
    <s v="ORD10215"/>
    <s v="C002"/>
    <s v="P104"/>
    <x v="170"/>
    <x v="137"/>
    <s v="Priya Patel"/>
    <s v="Female"/>
    <d v="1995-06-04T00:00:00"/>
    <s v="Bengaluru"/>
    <x v="0"/>
    <x v="1"/>
    <s v="Monitor"/>
    <n v="10"/>
    <n v="12000"/>
    <n v="5"/>
    <n v="114000"/>
    <n v="1"/>
    <s v="Card"/>
    <s v="Neha"/>
    <s v="priYa.patel@company.com"/>
    <n v="9833801891"/>
    <s v="Cancelled"/>
  </r>
  <r>
    <s v="ORD10216"/>
    <s v="C008"/>
    <s v="P103"/>
    <x v="171"/>
    <x v="170"/>
    <s v="Kavya Nair"/>
    <s v="Female"/>
    <d v="1983-11-16T00:00:00"/>
    <s v="Kolkata"/>
    <x v="3"/>
    <x v="1"/>
    <s v="Keyboard"/>
    <n v="4"/>
    <n v="1200"/>
    <n v="0"/>
    <n v="4800"/>
    <n v="4"/>
    <s v="Cash"/>
    <s v="Aisha"/>
    <s v="KAvya.nair@company.com"/>
    <n v="9183949273"/>
    <s v="Completed"/>
  </r>
  <r>
    <s v="ORD10217"/>
    <s v="C005"/>
    <s v="P203"/>
    <x v="79"/>
    <x v="178"/>
    <s v="Vikas Mehta"/>
    <s v="Male"/>
    <d v="1985-10-10T00:00:00"/>
    <s v="Bengaluru"/>
    <x v="0"/>
    <x v="0"/>
    <s v="Microwave"/>
    <n v="2"/>
    <n v="8500"/>
    <n v="20"/>
    <n v="13600"/>
    <n v="3"/>
    <s v="Card"/>
    <s v="Karan"/>
    <s v="vikas.mehta@company.com"/>
    <n v="9168257367"/>
    <s v="Completed"/>
  </r>
  <r>
    <s v="ORD10218"/>
    <s v="C007"/>
    <s v="P102"/>
    <x v="172"/>
    <x v="179"/>
    <s v="Arjun Rao"/>
    <s v="Male"/>
    <d v="2002-01-07T00:00:00"/>
    <s v="Kolkata"/>
    <x v="3"/>
    <x v="1"/>
    <s v="Mouse"/>
    <n v="7"/>
    <n v="700"/>
    <n v="20"/>
    <n v="3920"/>
    <n v="2"/>
    <s v="Card"/>
    <s v="Karan"/>
    <s v="arjun.rao@company.com"/>
    <n v="9580903210"/>
    <s v="Pending"/>
  </r>
  <r>
    <s v="ORD10219"/>
    <s v="C010"/>
    <s v="P302"/>
    <x v="173"/>
    <x v="74"/>
    <s v="Pooja Shah"/>
    <s v="Female"/>
    <d v="1999-07-18T00:00:00"/>
    <s v="Pune"/>
    <x v="2"/>
    <x v="2"/>
    <s v="Pen"/>
    <n v="9"/>
    <n v="20"/>
    <n v="15"/>
    <n v="153"/>
    <n v="3"/>
    <s v="NetBanking"/>
    <s v="Neha"/>
    <s v="pooja.shah@company.com"/>
    <n v="9602152945"/>
    <s v="Completed"/>
  </r>
  <r>
    <s v="ORD10220"/>
    <s v="C002"/>
    <s v="P203"/>
    <x v="174"/>
    <x v="180"/>
    <s v="Priya Patel"/>
    <s v="Female"/>
    <d v="1990-09-02T00:00:00"/>
    <s v="Kolkata"/>
    <x v="3"/>
    <x v="0"/>
    <s v="Microwave"/>
    <n v="16"/>
    <n v="8500"/>
    <n v="0"/>
    <n v="136000"/>
    <n v="4"/>
    <s v="NetBanking"/>
    <s v="Ritika"/>
    <s v="priYa.patel@company.com"/>
    <n v="9646917552"/>
    <s v="Completed"/>
  </r>
  <r>
    <s v="ORD10221"/>
    <s v="C006"/>
    <s v="P201"/>
    <x v="175"/>
    <x v="181"/>
    <s v="Sneha Joshi"/>
    <s v="Female"/>
    <d v="1992-08-02T00:00:00"/>
    <s v="Delhi"/>
    <x v="1"/>
    <x v="0"/>
    <s v="Mixer"/>
    <n v="10"/>
    <n v="3500"/>
    <n v="5"/>
    <n v="33250"/>
    <n v="3"/>
    <s v="NetBanking"/>
    <s v="Neha"/>
    <s v="sneha.joshi@company.com"/>
    <n v="9127548552"/>
    <s v="Completed"/>
  </r>
  <r>
    <s v="ORD10222"/>
    <s v="C010"/>
    <s v="P104"/>
    <x v="176"/>
    <x v="87"/>
    <s v="Pooja Shah"/>
    <s v="Female"/>
    <d v="1980-02-09T00:00:00"/>
    <s v="Kolkata"/>
    <x v="3"/>
    <x v="1"/>
    <s v="Monitor"/>
    <n v="1"/>
    <n v="12000"/>
    <n v="0"/>
    <n v="12000"/>
    <n v="5"/>
    <s v="UPI"/>
    <s v="Neha"/>
    <s v="pooja.shah@company.com"/>
    <n v="9712805603"/>
    <s v="Pending"/>
  </r>
  <r>
    <s v="ORD10223"/>
    <s v="C001"/>
    <s v="P303"/>
    <x v="177"/>
    <x v="90"/>
    <s v="Amit Sharma"/>
    <s v="Male"/>
    <d v="1989-02-18T00:00:00"/>
    <s v="Kolkata"/>
    <x v="3"/>
    <x v="2"/>
    <s v="Marker"/>
    <n v="19"/>
    <n v="45"/>
    <n v="15"/>
    <n v="726.75"/>
    <n v="2"/>
    <s v="UPI"/>
    <s v="Karan"/>
    <s v="amit.sharma@company.com"/>
    <n v="9798313682"/>
    <s v="Pending"/>
  </r>
  <r>
    <s v="ORD10224"/>
    <s v="C008"/>
    <s v="P101"/>
    <x v="79"/>
    <x v="182"/>
    <s v="Kavya Nair"/>
    <s v="Female"/>
    <d v="1993-09-10T00:00:00"/>
    <s v="Delhi"/>
    <x v="1"/>
    <x v="1"/>
    <s v="Laptop"/>
    <n v="13"/>
    <n v="55000"/>
    <n v="5"/>
    <n v="679250"/>
    <n v="4"/>
    <s v="Card"/>
    <s v="Rahul"/>
    <s v="KAvya.nair@company.com"/>
    <n v="9642822397"/>
    <s v="Cancelled"/>
  </r>
  <r>
    <s v="ORD10225"/>
    <s v="C007"/>
    <s v="P303"/>
    <x v="178"/>
    <x v="183"/>
    <s v="Arjun Rao"/>
    <s v="Male"/>
    <d v="1981-11-17T00:00:00"/>
    <s v="Mumbai"/>
    <x v="2"/>
    <x v="2"/>
    <s v="Marker"/>
    <n v="2"/>
    <n v="45"/>
    <n v="15"/>
    <n v="76.5"/>
    <n v="1"/>
    <s v="NetBanking"/>
    <s v="Neha"/>
    <s v="arjun.rao@company.com"/>
    <n v="9490067655"/>
    <s v="Completed"/>
  </r>
  <r>
    <s v="ORD10226"/>
    <s v="C002"/>
    <s v="P302"/>
    <x v="179"/>
    <x v="184"/>
    <s v="Priya Patel"/>
    <s v="Female"/>
    <d v="2003-08-24T00:00:00"/>
    <s v="Hyderabad"/>
    <x v="0"/>
    <x v="2"/>
    <s v="Pen"/>
    <n v="8"/>
    <n v="20"/>
    <n v="15"/>
    <n v="136"/>
    <n v="1"/>
    <s v="Card"/>
    <s v="Ritika"/>
    <s v="priYa.patel@company.com"/>
    <n v="9389792144"/>
    <s v="Pending"/>
  </r>
  <r>
    <s v="ORD10227"/>
    <s v="C004"/>
    <s v="P104"/>
    <x v="180"/>
    <x v="185"/>
    <s v="Anita Gupta"/>
    <s v="Female"/>
    <d v="1985-07-19T00:00:00"/>
    <s v="Hyderabad"/>
    <x v="0"/>
    <x v="1"/>
    <s v="Monitor"/>
    <n v="9"/>
    <n v="12000"/>
    <n v="5"/>
    <n v="102600"/>
    <n v="2"/>
    <s v="Card"/>
    <s v="Ritika"/>
    <s v="anita.gupta@company.com"/>
    <n v="9736113863"/>
    <s v="Cancelled"/>
  </r>
  <r>
    <s v="ORD10228"/>
    <s v="C009"/>
    <s v="P201"/>
    <x v="181"/>
    <x v="186"/>
    <s v="Mohit Verma"/>
    <s v="Male"/>
    <d v="1994-05-10T00:00:00"/>
    <s v="Kolkata"/>
    <x v="3"/>
    <x v="0"/>
    <s v="Mixer"/>
    <n v="3"/>
    <n v="3500"/>
    <n v="15"/>
    <n v="8925"/>
    <n v="1"/>
    <s v="Cash"/>
    <s v="Rahul"/>
    <s v="mohit.verma@company.com"/>
    <n v="9324634732"/>
    <s v="Cancelled"/>
  </r>
  <r>
    <s v="ORD10229"/>
    <s v="C002"/>
    <s v="P102"/>
    <x v="182"/>
    <x v="187"/>
    <s v="Priya Patel"/>
    <s v="Female"/>
    <d v="1993-03-23T00:00:00"/>
    <s v="Hyderabad"/>
    <x v="0"/>
    <x v="1"/>
    <s v="Mouse"/>
    <n v="18"/>
    <n v="700"/>
    <n v="20"/>
    <n v="10080"/>
    <n v="1"/>
    <s v="Card"/>
    <s v="Karan"/>
    <s v="priYa.patel@company.com"/>
    <n v="9529968110"/>
    <s v="Completed"/>
  </r>
  <r>
    <s v="ORD10230"/>
    <s v="C009"/>
    <s v="P201"/>
    <x v="183"/>
    <x v="188"/>
    <s v="Mohit Verma"/>
    <s v="Male"/>
    <d v="1979-06-13T00:00:00"/>
    <s v="Pune"/>
    <x v="2"/>
    <x v="0"/>
    <s v="Mixer"/>
    <n v="14"/>
    <n v="3500"/>
    <n v="5"/>
    <n v="46550"/>
    <n v="1"/>
    <s v="Cash"/>
    <s v="Aisha"/>
    <s v="mohit.verma@company.com"/>
    <n v="9102417647"/>
    <s v="Completed"/>
  </r>
  <r>
    <s v="ORD10231"/>
    <s v="C002"/>
    <s v="P102"/>
    <x v="168"/>
    <x v="189"/>
    <s v="Priya Patel"/>
    <s v="Female"/>
    <d v="1991-01-24T00:00:00"/>
    <s v="Kolkata"/>
    <x v="3"/>
    <x v="1"/>
    <s v="Mouse"/>
    <n v="6"/>
    <n v="700"/>
    <n v="5"/>
    <n v="3990"/>
    <n v="5"/>
    <s v="Cash"/>
    <s v="Ritika"/>
    <s v="priYa.patel@company.com"/>
    <n v="9630302865"/>
    <s v="Completed"/>
  </r>
  <r>
    <s v="ORD10232"/>
    <s v="C002"/>
    <s v="P201"/>
    <x v="184"/>
    <x v="190"/>
    <s v="Priya Patel"/>
    <s v="Female"/>
    <d v="2004-02-22T00:00:00"/>
    <s v="Mumbai"/>
    <x v="2"/>
    <x v="0"/>
    <s v="Mixer"/>
    <n v="17"/>
    <n v="3500"/>
    <n v="15"/>
    <n v="50575"/>
    <n v="3"/>
    <s v="NetBanking"/>
    <s v="Rahul"/>
    <s v="priYa.patel@company.com"/>
    <n v="9465353780"/>
    <s v="Pending"/>
  </r>
  <r>
    <s v="ORD10233"/>
    <s v="C006"/>
    <s v="P302"/>
    <x v="185"/>
    <x v="191"/>
    <s v="Sneha Joshi"/>
    <s v="Female"/>
    <d v="1977-04-25T00:00:00"/>
    <s v="Kolkata"/>
    <x v="3"/>
    <x v="2"/>
    <s v="Pen"/>
    <n v="7"/>
    <n v="20"/>
    <n v="5"/>
    <n v="133"/>
    <n v="2"/>
    <s v="UPI"/>
    <s v="Karan"/>
    <s v="sneha.joshi@company.com"/>
    <n v="9837426414"/>
    <s v="Completed"/>
  </r>
  <r>
    <s v="ORD10234"/>
    <s v="C008"/>
    <s v="P202"/>
    <x v="186"/>
    <x v="192"/>
    <s v="Kavya Nair"/>
    <s v="Female"/>
    <d v="1994-07-22T00:00:00"/>
    <s v="Bengaluru"/>
    <x v="0"/>
    <x v="0"/>
    <s v="Iron"/>
    <n v="15"/>
    <n v="2200"/>
    <n v="20"/>
    <n v="26400"/>
    <n v="2"/>
    <s v="Cash"/>
    <s v="Aisha"/>
    <s v="KAvya.nair@company.com"/>
    <n v="9249918272"/>
    <s v="Completed"/>
  </r>
  <r>
    <s v="ORD10235"/>
    <s v="C009"/>
    <s v="P302"/>
    <x v="116"/>
    <x v="5"/>
    <s v="Mohit Verma"/>
    <s v="Male"/>
    <d v="1979-11-11T00:00:00"/>
    <s v="Mumbai"/>
    <x v="2"/>
    <x v="2"/>
    <s v="Pen"/>
    <n v="5"/>
    <n v="20"/>
    <n v="0"/>
    <n v="100"/>
    <n v="3"/>
    <s v="Cash"/>
    <s v="Karan"/>
    <s v="mohit.verma@company.com"/>
    <n v="9265580582"/>
    <s v="Completed"/>
  </r>
  <r>
    <s v="ORD10236"/>
    <s v="C003"/>
    <s v="P104"/>
    <x v="187"/>
    <x v="124"/>
    <s v="Rohit Singh"/>
    <s v="Male"/>
    <d v="1995-05-27T00:00:00"/>
    <s v="Delhi"/>
    <x v="1"/>
    <x v="1"/>
    <s v="Monitor"/>
    <n v="8"/>
    <n v="12000"/>
    <n v="20"/>
    <n v="76800"/>
    <n v="3"/>
    <s v="Card"/>
    <s v="Aisha"/>
    <s v="rohit.singh@company.com"/>
    <n v="9751049833"/>
    <s v="Pending"/>
  </r>
  <r>
    <s v="ORD10237"/>
    <s v="C003"/>
    <s v="P201"/>
    <x v="188"/>
    <x v="175"/>
    <s v="Rohit Singh"/>
    <s v="Male"/>
    <d v="1998-06-18T00:00:00"/>
    <s v="Mumbai"/>
    <x v="2"/>
    <x v="0"/>
    <s v="Mixer"/>
    <n v="4"/>
    <n v="3500"/>
    <n v="20"/>
    <n v="11200"/>
    <n v="1"/>
    <s v="Card"/>
    <s v="Neha"/>
    <s v="rohit.singh@company.com"/>
    <n v="9741671507"/>
    <s v="Completed"/>
  </r>
  <r>
    <s v="ORD10238"/>
    <s v="C005"/>
    <s v="P303"/>
    <x v="98"/>
    <x v="193"/>
    <s v="Vikas Mehta"/>
    <s v="Male"/>
    <d v="1983-01-21T00:00:00"/>
    <s v="Hyderabad"/>
    <x v="0"/>
    <x v="2"/>
    <s v="Marker"/>
    <n v="19"/>
    <n v="45"/>
    <n v="10"/>
    <n v="769.5"/>
    <n v="1"/>
    <s v="Cash"/>
    <s v="Neha"/>
    <s v="vikas.mehta@company.com"/>
    <n v="9367541035"/>
    <s v="Completed"/>
  </r>
  <r>
    <s v="ORD10239"/>
    <s v="C010"/>
    <s v="P303"/>
    <x v="189"/>
    <x v="194"/>
    <s v="Pooja Shah"/>
    <s v="Female"/>
    <d v="1978-03-03T00:00:00"/>
    <s v="Pune"/>
    <x v="2"/>
    <x v="2"/>
    <s v="Marker"/>
    <n v="10"/>
    <n v="45"/>
    <n v="0"/>
    <n v="450"/>
    <n v="4"/>
    <s v="UPI"/>
    <s v="Aisha"/>
    <s v="pooja.shah@company.com"/>
    <n v="9323696971"/>
    <s v="Completed"/>
  </r>
  <r>
    <s v="ORD10240"/>
    <s v="C010"/>
    <s v="P303"/>
    <x v="190"/>
    <x v="195"/>
    <s v="Pooja Shah"/>
    <s v="Female"/>
    <d v="1997-06-24T00:00:00"/>
    <s v="Hyderabad"/>
    <x v="0"/>
    <x v="2"/>
    <s v="Marker"/>
    <n v="16"/>
    <n v="45"/>
    <n v="15"/>
    <n v="612"/>
    <n v="3"/>
    <s v="Cash"/>
    <s v="Neha"/>
    <s v="pooja.shah@company.com"/>
    <n v="9786384529"/>
    <s v="Cancelled"/>
  </r>
  <r>
    <s v="ORD10241"/>
    <s v="C004"/>
    <s v="P203"/>
    <x v="8"/>
    <x v="8"/>
    <s v="Anita Gupta"/>
    <s v="Female"/>
    <d v="1976-08-25T00:00:00"/>
    <s v="Pune"/>
    <x v="2"/>
    <x v="0"/>
    <s v="Microwave"/>
    <n v="16"/>
    <n v="8500"/>
    <n v="15"/>
    <n v="115600"/>
    <n v="4"/>
    <s v="NetBanking"/>
    <s v="Ritika"/>
    <s v="anita.gupta@company.com"/>
    <n v="9444900541"/>
    <s v="Cancelled"/>
  </r>
  <r>
    <s v="ORD10242"/>
    <s v="C004"/>
    <s v="P302"/>
    <x v="61"/>
    <x v="196"/>
    <s v="Anita Gupta"/>
    <s v="Female"/>
    <d v="1996-04-04T00:00:00"/>
    <s v="Kolkata"/>
    <x v="3"/>
    <x v="2"/>
    <s v="Pen"/>
    <n v="15"/>
    <n v="20"/>
    <n v="20"/>
    <n v="240"/>
    <n v="3"/>
    <s v="NetBanking"/>
    <s v="Rahul"/>
    <s v="anita.gupta@company.com"/>
    <n v="9108024911"/>
    <s v="Cancelled"/>
  </r>
  <r>
    <s v="ORD10243"/>
    <s v="C007"/>
    <s v="P301"/>
    <x v="60"/>
    <x v="197"/>
    <s v="Arjun Rao"/>
    <s v="Male"/>
    <d v="2001-10-09T00:00:00"/>
    <s v="Bengaluru"/>
    <x v="0"/>
    <x v="2"/>
    <s v="Notebook"/>
    <n v="14"/>
    <n v="60"/>
    <n v="5"/>
    <n v="798"/>
    <n v="4"/>
    <s v="Cash"/>
    <s v="Rahul"/>
    <s v="arjun.rao@company.com"/>
    <n v="9897181325"/>
    <s v="Completed"/>
  </r>
  <r>
    <s v="ORD10244"/>
    <s v="C010"/>
    <s v="P103"/>
    <x v="191"/>
    <x v="198"/>
    <s v="Pooja Shah"/>
    <s v="Female"/>
    <d v="1995-04-11T00:00:00"/>
    <s v="Mumbai"/>
    <x v="2"/>
    <x v="1"/>
    <s v="Keyboard"/>
    <n v="19"/>
    <n v="1200"/>
    <n v="20"/>
    <n v="18240"/>
    <n v="2"/>
    <s v="Cash"/>
    <s v="Neha"/>
    <s v="pooja.shah@company.com"/>
    <n v="9554719621"/>
    <s v="Cancelled"/>
  </r>
  <r>
    <s v="ORD10245"/>
    <s v="C008"/>
    <s v="P303"/>
    <x v="43"/>
    <x v="43"/>
    <s v="Kavya Nair"/>
    <s v="Female"/>
    <d v="2000-05-04T00:00:00"/>
    <s v="Bengaluru"/>
    <x v="0"/>
    <x v="2"/>
    <s v="Marker"/>
    <n v="5"/>
    <n v="45"/>
    <n v="15"/>
    <n v="191.25"/>
    <n v="2"/>
    <s v="Cash"/>
    <s v="Aisha"/>
    <s v="KAvya.nair@company.com"/>
    <n v="9815899217"/>
    <s v="Cancelled"/>
  </r>
  <r>
    <s v="ORD10246"/>
    <s v="C001"/>
    <s v="P102"/>
    <x v="192"/>
    <x v="199"/>
    <s v="Amit Sharma"/>
    <s v="Male"/>
    <d v="2002-03-01T00:00:00"/>
    <s v="Hyderabad"/>
    <x v="0"/>
    <x v="1"/>
    <s v="Mouse"/>
    <n v="19"/>
    <n v="700"/>
    <n v="5"/>
    <n v="12635"/>
    <n v="5"/>
    <s v="UPI"/>
    <s v="Karan"/>
    <s v="amit.sharma@company.com"/>
    <n v="9308497039"/>
    <s v="Completed"/>
  </r>
  <r>
    <s v="ORD10247"/>
    <s v="C003"/>
    <s v="P301"/>
    <x v="109"/>
    <x v="109"/>
    <s v="Rohit Singh"/>
    <s v="Male"/>
    <d v="1975-05-27T00:00:00"/>
    <s v="Kolkata"/>
    <x v="3"/>
    <x v="2"/>
    <s v="Notebook"/>
    <n v="7"/>
    <n v="60"/>
    <n v="0"/>
    <n v="420"/>
    <n v="4"/>
    <s v="Cash"/>
    <s v="Neha"/>
    <s v="rohit.singh@company.com"/>
    <n v="9882054354"/>
    <s v="Pending"/>
  </r>
  <r>
    <s v="ORD10248"/>
    <s v="C009"/>
    <s v="P202"/>
    <x v="22"/>
    <x v="200"/>
    <s v="Mohit Verma"/>
    <s v="Male"/>
    <d v="1988-12-02T00:00:00"/>
    <s v="Mumbai"/>
    <x v="2"/>
    <x v="0"/>
    <s v="Iron"/>
    <n v="13"/>
    <n v="2200"/>
    <n v="10"/>
    <n v="25740"/>
    <n v="1"/>
    <s v="Card"/>
    <s v="Karan"/>
    <s v="mohit.verma@company.com"/>
    <n v="9193016830"/>
    <s v="Completed"/>
  </r>
  <r>
    <s v="ORD10249"/>
    <s v="C009"/>
    <s v="P202"/>
    <x v="193"/>
    <x v="201"/>
    <s v="Mohit Verma"/>
    <s v="Male"/>
    <d v="1984-12-06T00:00:00"/>
    <s v="Bengaluru"/>
    <x v="0"/>
    <x v="0"/>
    <s v="Iron"/>
    <n v="9"/>
    <n v="2200"/>
    <n v="10"/>
    <n v="17820"/>
    <n v="2"/>
    <s v="Crypto"/>
    <s v="Aisha"/>
    <s v="mohit.verma@company.com"/>
    <n v="9921470418"/>
    <s v="Cancelled"/>
  </r>
  <r>
    <s v="ORD10250"/>
    <s v="C001"/>
    <s v="P203"/>
    <x v="151"/>
    <x v="202"/>
    <s v="Amit Sharma"/>
    <s v="Male"/>
    <d v="1990-05-01T00:00:00"/>
    <s v="Bengaluru"/>
    <x v="0"/>
    <x v="0"/>
    <s v="Microwave"/>
    <n v="6"/>
    <n v="8500"/>
    <n v="15"/>
    <n v="43350"/>
    <n v="2"/>
    <s v="Cash"/>
    <s v="Karan"/>
    <s v="amit.sharma@company.com"/>
    <n v="9686979026"/>
    <s v="Cancelled"/>
  </r>
  <r>
    <s v="ORD10251"/>
    <s v="C005"/>
    <s v="P202"/>
    <x v="116"/>
    <x v="5"/>
    <s v="Vikas Mehta"/>
    <s v="Male"/>
    <d v="1988-02-09T00:00:00"/>
    <s v="Delhi"/>
    <x v="1"/>
    <x v="0"/>
    <s v="Iron"/>
    <n v="9"/>
    <n v="2200"/>
    <n v="10"/>
    <n v="17820"/>
    <n v="3"/>
    <s v="Card"/>
    <s v="Ritika"/>
    <s v="vikas.mehta@company.com"/>
    <n v="9569007422"/>
    <s v="Pending"/>
  </r>
  <r>
    <s v="ORD10252"/>
    <s v="C008"/>
    <s v="P203"/>
    <x v="194"/>
    <x v="203"/>
    <s v="Kavya Nair"/>
    <s v="Female"/>
    <d v="1982-03-28T00:00:00"/>
    <s v="Kolkata"/>
    <x v="3"/>
    <x v="0"/>
    <s v="Microwave"/>
    <n v="16"/>
    <n v="8500"/>
    <n v="0"/>
    <n v="136000"/>
    <n v="5"/>
    <s v="UPI"/>
    <s v="Neha"/>
    <s v="KAvya.nair@company.com"/>
    <n v="9180820441"/>
    <s v="Cancelled"/>
  </r>
  <r>
    <s v="ORD10253"/>
    <s v="C001"/>
    <s v="P103"/>
    <x v="195"/>
    <x v="107"/>
    <s v="Amit Sharma"/>
    <s v="Male"/>
    <d v="1976-12-28T00:00:00"/>
    <s v="Delhi"/>
    <x v="1"/>
    <x v="1"/>
    <s v="Keyboard"/>
    <n v="10"/>
    <n v="1200"/>
    <n v="15"/>
    <n v="10200"/>
    <n v="5"/>
    <s v="Cash"/>
    <s v="Rahul"/>
    <s v="amit.sharma@company.com"/>
    <n v="9769075826"/>
    <s v="Completed"/>
  </r>
  <r>
    <s v="ORD10254"/>
    <s v="C003"/>
    <s v="P104"/>
    <x v="55"/>
    <x v="10"/>
    <s v="Rohit Singh"/>
    <s v="Male"/>
    <d v="2003-08-03T00:00:00"/>
    <s v="Kolkata"/>
    <x v="3"/>
    <x v="1"/>
    <s v="Monitor"/>
    <n v="7"/>
    <n v="12000"/>
    <n v="0"/>
    <n v="84000"/>
    <n v="1"/>
    <s v="UPI"/>
    <s v="Karan"/>
    <s v="rohit.singh@company.com"/>
    <n v="9467916296"/>
    <s v="Pending"/>
  </r>
  <r>
    <s v="ORD10255"/>
    <s v="C005"/>
    <s v="P104"/>
    <x v="9"/>
    <x v="204"/>
    <s v="Vikas Mehta"/>
    <s v="Male"/>
    <d v="1986-05-06T00:00:00"/>
    <s v="Pune"/>
    <x v="2"/>
    <x v="1"/>
    <s v="Monitor"/>
    <n v="3"/>
    <n v="12000"/>
    <n v="10"/>
    <n v="32400"/>
    <n v="4"/>
    <s v="Card"/>
    <s v="Karan"/>
    <s v="vikas.mehta@company.com"/>
    <n v="9477052923"/>
    <s v="Completed"/>
  </r>
  <r>
    <s v="ORD10256"/>
    <s v="C005"/>
    <s v="P104"/>
    <x v="196"/>
    <x v="205"/>
    <s v="Vikas Mehta"/>
    <s v="Male"/>
    <d v="1989-02-04T00:00:00"/>
    <s v="Hyderabad"/>
    <x v="0"/>
    <x v="1"/>
    <s v="Monitor"/>
    <n v="4"/>
    <n v="12000"/>
    <n v="15"/>
    <n v="40800"/>
    <n v="3"/>
    <s v="Card"/>
    <s v="Ritika"/>
    <s v="vikas.mehta@company.com"/>
    <n v="9184311420"/>
    <s v="Pending"/>
  </r>
  <r>
    <s v="ORD10257"/>
    <s v="C003"/>
    <s v="P104"/>
    <x v="29"/>
    <x v="70"/>
    <s v="Rohit Singh"/>
    <s v="Male"/>
    <d v="1980-02-08T00:00:00"/>
    <s v="Hyderabad"/>
    <x v="0"/>
    <x v="1"/>
    <s v="Monitor"/>
    <n v="13"/>
    <n v="12000"/>
    <n v="10"/>
    <n v="140400"/>
    <n v="2"/>
    <s v="Cash"/>
    <s v="Karan"/>
    <s v="rohit.singh@company.com"/>
    <n v="9630913127"/>
    <s v="Cancelled"/>
  </r>
  <r>
    <s v="ORD10258"/>
    <s v="C008"/>
    <s v="P201"/>
    <x v="39"/>
    <x v="104"/>
    <s v="Kavya Nair"/>
    <s v="Female"/>
    <d v="1985-01-13T00:00:00"/>
    <s v="Bengaluru"/>
    <x v="0"/>
    <x v="0"/>
    <s v="Mixer"/>
    <n v="19"/>
    <n v="3500"/>
    <n v="20"/>
    <n v="53200"/>
    <n v="1"/>
    <s v="Cash"/>
    <s v="Aisha"/>
    <s v="KAvya.nair@company.com"/>
    <n v="9997515828"/>
    <s v="Cancelled"/>
  </r>
  <r>
    <s v="ORD10259"/>
    <s v="C008"/>
    <s v="P202"/>
    <x v="148"/>
    <x v="60"/>
    <s v="Kavya Nair"/>
    <s v="Female"/>
    <d v="1979-07-24T00:00:00"/>
    <s v="Mumbai"/>
    <x v="2"/>
    <x v="0"/>
    <s v="Iron"/>
    <n v="7"/>
    <n v="2200"/>
    <n v="5"/>
    <n v="14630"/>
    <n v="3"/>
    <s v="UPI"/>
    <s v="Aisha"/>
    <s v="KAvya.nair@company.com"/>
    <n v="9394291182"/>
    <s v="Cancelled"/>
  </r>
  <r>
    <s v="ORD10260"/>
    <s v="C007"/>
    <s v="P102"/>
    <x v="197"/>
    <x v="206"/>
    <s v="Arjun Rao"/>
    <s v="Male"/>
    <d v="1993-08-03T00:00:00"/>
    <s v="Jaipur"/>
    <x v="1"/>
    <x v="1"/>
    <s v="Mouse"/>
    <n v="18"/>
    <n v="700"/>
    <n v="5"/>
    <n v="11970"/>
    <n v="2"/>
    <s v="UPI"/>
    <s v="Aisha"/>
    <s v="arjun.rao@company.com"/>
    <n v="9616853220"/>
    <s v="Cancelled"/>
  </r>
  <r>
    <s v="ORD10261"/>
    <s v="C008"/>
    <s v="P302"/>
    <x v="178"/>
    <x v="207"/>
    <s v="Kavya Nair"/>
    <s v="Female"/>
    <d v="1975-08-23T00:00:00"/>
    <s v="Kolkata"/>
    <x v="3"/>
    <x v="2"/>
    <s v="Pen"/>
    <n v="11"/>
    <n v="20"/>
    <n v="0"/>
    <n v="220"/>
    <n v="2"/>
    <s v="NetBanking"/>
    <s v="Neha"/>
    <s v="KAvya.nair@company.com"/>
    <n v="9147552626"/>
    <s v="Cancelled"/>
  </r>
  <r>
    <s v="ORD10262"/>
    <s v="C001"/>
    <s v="P104"/>
    <x v="171"/>
    <x v="208"/>
    <s v="Amit Sharma"/>
    <s v="Male"/>
    <d v="1978-04-23T00:00:00"/>
    <s v="Pune"/>
    <x v="2"/>
    <x v="1"/>
    <s v="Monitor"/>
    <n v="17"/>
    <n v="12000"/>
    <n v="20"/>
    <n v="163200"/>
    <n v="4"/>
    <s v="UPI"/>
    <s v="Karan"/>
    <s v="amit.sharma@company.com"/>
    <n v="9724197033"/>
    <s v="Completed"/>
  </r>
  <r>
    <s v="ORD10263"/>
    <s v="C006"/>
    <s v="P202"/>
    <x v="198"/>
    <x v="30"/>
    <s v="Sneha Joshi"/>
    <s v="Female"/>
    <d v="2003-09-25T00:00:00"/>
    <s v="Kolkata"/>
    <x v="3"/>
    <x v="0"/>
    <s v="Iron"/>
    <n v="4"/>
    <n v="2200"/>
    <n v="5"/>
    <n v="8360"/>
    <n v="2"/>
    <s v="Cash"/>
    <s v="Ritika"/>
    <s v="sneha.joshi@company.com"/>
    <n v="9130666128"/>
    <s v="Completed"/>
  </r>
  <r>
    <s v="ORD10264"/>
    <s v="C008"/>
    <s v="P101"/>
    <x v="199"/>
    <x v="63"/>
    <s v="Kavya Nair"/>
    <s v="Female"/>
    <d v="2002-04-09T00:00:00"/>
    <s v="Ahmedabad"/>
    <x v="2"/>
    <x v="1"/>
    <s v="Laptop"/>
    <n v="6"/>
    <n v="55000"/>
    <n v="20"/>
    <n v="264000"/>
    <n v="2"/>
    <s v="UPI"/>
    <s v="Karan"/>
    <s v="KAvya.nair@company.com"/>
    <n v="9866567601"/>
    <s v="Cancelled"/>
  </r>
  <r>
    <s v="ORD10265"/>
    <s v="C009"/>
    <s v="P203"/>
    <x v="4"/>
    <x v="164"/>
    <s v="Mohit Verma"/>
    <s v="Male"/>
    <d v="1985-09-24T00:00:00"/>
    <s v="Delhi"/>
    <x v="1"/>
    <x v="0"/>
    <s v="Microwave"/>
    <n v="6"/>
    <n v="8500"/>
    <n v="10"/>
    <n v="45900"/>
    <n v="5"/>
    <s v="UPI"/>
    <s v="Aisha"/>
    <s v="mohit.verma@company.com"/>
    <n v="9477282450"/>
    <s v="Completed"/>
  </r>
  <r>
    <s v="ORD10266"/>
    <s v="C008"/>
    <s v="P302"/>
    <x v="84"/>
    <x v="57"/>
    <s v="Kavya Nair"/>
    <s v="Female"/>
    <d v="1984-12-12T00:00:00"/>
    <s v="Jaipur"/>
    <x v="1"/>
    <x v="2"/>
    <s v="Pen"/>
    <n v="6"/>
    <n v="20"/>
    <n v="15"/>
    <n v="102"/>
    <n v="2"/>
    <s v="UPI"/>
    <s v="Rahul"/>
    <s v="KAvya.nair@company.com"/>
    <n v="9857621478"/>
    <s v="Cancelled"/>
  </r>
  <r>
    <s v="ORD10267"/>
    <s v="C010"/>
    <s v="P301"/>
    <x v="200"/>
    <x v="89"/>
    <s v="Pooja Shah"/>
    <s v="Female"/>
    <d v="1984-07-20T00:00:00"/>
    <s v="Mumbai"/>
    <x v="2"/>
    <x v="2"/>
    <s v="Notebook"/>
    <n v="6"/>
    <n v="60"/>
    <n v="5"/>
    <n v="342"/>
    <n v="1"/>
    <s v="NetBanking"/>
    <s v="Aisha"/>
    <s v="pooja.shah@company.com"/>
    <n v="9753869055"/>
    <s v="Completed"/>
  </r>
  <r>
    <s v="ORD10268"/>
    <s v="C003"/>
    <s v="P203"/>
    <x v="201"/>
    <x v="209"/>
    <s v="Rohit Singh"/>
    <s v="Male"/>
    <d v="1988-03-15T00:00:00"/>
    <s v="Hyderabad"/>
    <x v="0"/>
    <x v="0"/>
    <s v="Microwave"/>
    <n v="19"/>
    <n v="8500"/>
    <n v="0"/>
    <n v="161500"/>
    <n v="5"/>
    <s v="UPI"/>
    <s v="Karan"/>
    <s v="rohit.singh@company.com"/>
    <n v="9663266204"/>
    <s v="Completed"/>
  </r>
  <r>
    <s v="ORD10269"/>
    <s v="C006"/>
    <s v="P101"/>
    <x v="61"/>
    <x v="84"/>
    <s v="Sneha Joshi"/>
    <s v="Female"/>
    <d v="1987-05-27T00:00:00"/>
    <s v="Jaipur"/>
    <x v="1"/>
    <x v="1"/>
    <s v="Laptop"/>
    <n v="8"/>
    <n v="55000"/>
    <n v="0"/>
    <n v="440000"/>
    <n v="3"/>
    <s v="Card"/>
    <s v="Neha"/>
    <s v="sneha.joshi@company.com"/>
    <n v="9675208616"/>
    <s v="Pending"/>
  </r>
  <r>
    <s v="ORD10270"/>
    <s v="C009"/>
    <s v="P104"/>
    <x v="177"/>
    <x v="86"/>
    <s v="Mohit Verma"/>
    <s v="Male"/>
    <d v="1988-10-25T00:00:00"/>
    <s v="Kolkata"/>
    <x v="3"/>
    <x v="1"/>
    <s v="Monitor"/>
    <n v="18"/>
    <n v="12000"/>
    <n v="20"/>
    <n v="172800"/>
    <n v="5"/>
    <s v="UPI"/>
    <s v="Aisha"/>
    <s v="mohit.verma@company.com"/>
    <n v="9618393586"/>
    <s v="Cancelled"/>
  </r>
  <r>
    <s v="ORD10271"/>
    <s v="C003"/>
    <s v="P203"/>
    <x v="202"/>
    <x v="210"/>
    <s v="Rohit Singh"/>
    <s v="Male"/>
    <d v="1990-12-12T00:00:00"/>
    <s v="Ahmedabad"/>
    <x v="2"/>
    <x v="0"/>
    <s v="Microwave"/>
    <n v="8"/>
    <n v="8500"/>
    <n v="5"/>
    <n v="64600"/>
    <n v="2"/>
    <s v="Card"/>
    <s v="Aisha"/>
    <s v="rohit.singh@company.com"/>
    <n v="9137027840"/>
    <s v="Cancelled"/>
  </r>
  <r>
    <s v="ORD10272"/>
    <s v="C008"/>
    <s v="P302"/>
    <x v="203"/>
    <x v="114"/>
    <s v="Kavya Nair"/>
    <s v="Female"/>
    <d v="1981-02-23T00:00:00"/>
    <s v="Mumbai"/>
    <x v="2"/>
    <x v="2"/>
    <s v="Pen"/>
    <n v="13"/>
    <n v="20"/>
    <n v="5"/>
    <n v="247"/>
    <n v="3"/>
    <s v="NetBanking"/>
    <s v="Neha"/>
    <s v="KAvya.nair@company.com"/>
    <n v="9362758134"/>
    <s v="Pending"/>
  </r>
  <r>
    <s v="ORD10273"/>
    <s v="C007"/>
    <s v="P301"/>
    <x v="117"/>
    <x v="211"/>
    <s v="Arjun Rao"/>
    <s v="Male"/>
    <d v="1985-04-03T00:00:00"/>
    <s v="Jaipur"/>
    <x v="1"/>
    <x v="2"/>
    <s v="Notebook"/>
    <n v="1"/>
    <n v="60"/>
    <n v="15"/>
    <n v="51"/>
    <n v="2"/>
    <s v="Card"/>
    <s v="Aisha"/>
    <s v="arjun.rao@company.com"/>
    <n v="9648541985"/>
    <s v="Cancelled"/>
  </r>
  <r>
    <s v="ORD10274"/>
    <s v="C010"/>
    <s v="P302"/>
    <x v="204"/>
    <x v="157"/>
    <s v="Pooja Shah"/>
    <s v="Female"/>
    <d v="1976-08-06T00:00:00"/>
    <s v="Pune"/>
    <x v="2"/>
    <x v="2"/>
    <s v="Pen"/>
    <n v="5"/>
    <n v="20"/>
    <n v="5"/>
    <n v="95"/>
    <n v="2"/>
    <s v="NetBanking"/>
    <s v="Rahul"/>
    <s v="pooja.shah@company.com"/>
    <n v="9175002781"/>
    <s v="Pending"/>
  </r>
  <r>
    <s v="ORD10275"/>
    <s v="C005"/>
    <s v="P302"/>
    <x v="205"/>
    <x v="212"/>
    <s v="Vikas Mehta"/>
    <s v="Male"/>
    <d v="1978-05-13T00:00:00"/>
    <s v="Kolkata"/>
    <x v="3"/>
    <x v="2"/>
    <s v="Pen"/>
    <n v="19"/>
    <n v="20"/>
    <n v="20"/>
    <n v="304"/>
    <n v="3"/>
    <s v="Cash"/>
    <s v="Ritika"/>
    <s v="vikas.mehta@company.com"/>
    <n v="9786241263"/>
    <s v="Cancelled"/>
  </r>
  <r>
    <s v="ORD10276"/>
    <s v="C002"/>
    <s v="P303"/>
    <x v="206"/>
    <x v="47"/>
    <s v="Priya Patel"/>
    <s v="Female"/>
    <d v="1998-08-19T00:00:00"/>
    <s v="Ahmedabad"/>
    <x v="2"/>
    <x v="2"/>
    <s v="Marker"/>
    <n v="17"/>
    <n v="45"/>
    <n v="5"/>
    <n v="726.75"/>
    <n v="4"/>
    <s v="Cash"/>
    <s v="Neha"/>
    <s v="priYa.patel@company.com"/>
    <n v="9691078176"/>
    <s v="Pending"/>
  </r>
  <r>
    <s v="ORD10277"/>
    <s v="C007"/>
    <s v="P102"/>
    <x v="207"/>
    <x v="117"/>
    <s v="Arjun Rao"/>
    <s v="Male"/>
    <d v="1975-10-20T00:00:00"/>
    <s v="Bengaluru"/>
    <x v="0"/>
    <x v="1"/>
    <s v="Mouse"/>
    <n v="8"/>
    <n v="700"/>
    <n v="15"/>
    <n v="4760"/>
    <n v="4"/>
    <s v="NetBanking"/>
    <s v="Ritika"/>
    <s v="arjun.rao@company.com"/>
    <n v="9336679085"/>
    <s v="Pending"/>
  </r>
  <r>
    <s v="ORD10278"/>
    <s v="C004"/>
    <s v="P202"/>
    <x v="208"/>
    <x v="213"/>
    <s v="Anita Gupta"/>
    <s v="Female"/>
    <d v="1975-09-28T00:00:00"/>
    <s v="Mumbai"/>
    <x v="2"/>
    <x v="0"/>
    <s v="Iron"/>
    <n v="15"/>
    <n v="2200"/>
    <n v="10"/>
    <n v="29700"/>
    <n v="5"/>
    <s v="UPI"/>
    <s v="Karan"/>
    <s v="anita.gupta@company.com"/>
    <n v="9497351043"/>
    <s v="Completed"/>
  </r>
  <r>
    <s v="ORD10279"/>
    <s v="C002"/>
    <s v="P202"/>
    <x v="209"/>
    <x v="214"/>
    <s v="Priya Patel"/>
    <s v="Female"/>
    <d v="2002-09-23T00:00:00"/>
    <s v="Mumbai"/>
    <x v="2"/>
    <x v="0"/>
    <s v="Iron"/>
    <n v="1"/>
    <n v="2200"/>
    <n v="0"/>
    <n v="2200"/>
    <n v="4"/>
    <s v="Cash"/>
    <s v="Rahul"/>
    <s v="priYa.patel@company.com"/>
    <n v="9357038998"/>
    <s v="Cancelled"/>
  </r>
  <r>
    <s v="ORD10280"/>
    <s v="C006"/>
    <s v="P201"/>
    <x v="138"/>
    <x v="215"/>
    <s v="Sneha Joshi"/>
    <s v="Female"/>
    <d v="1988-06-17T00:00:00"/>
    <s v="Ahmedabad"/>
    <x v="2"/>
    <x v="0"/>
    <s v="Mixer"/>
    <n v="10"/>
    <n v="3500"/>
    <n v="10"/>
    <n v="31500"/>
    <n v="4"/>
    <s v="NetBanking"/>
    <s v="Ritika"/>
    <s v="sneha.joshi@company.com"/>
    <n v="9986371291"/>
    <s v="Cancelled"/>
  </r>
  <r>
    <s v="ORD10281"/>
    <s v="C009"/>
    <s v="P201"/>
    <x v="210"/>
    <x v="216"/>
    <s v="Mohit Verma"/>
    <s v="Male"/>
    <d v="1991-02-02T00:00:00"/>
    <s v="Jaipur"/>
    <x v="1"/>
    <x v="0"/>
    <s v="Mixer"/>
    <n v="16"/>
    <n v="3500"/>
    <n v="15"/>
    <n v="47600"/>
    <n v="1"/>
    <s v="Card"/>
    <s v="Neha"/>
    <s v="mohit.verma@company.com"/>
    <n v="9397839191"/>
    <s v="Pending"/>
  </r>
  <r>
    <s v="ORD10282"/>
    <s v="C006"/>
    <s v="P104"/>
    <x v="211"/>
    <x v="217"/>
    <s v="Sneha Joshi"/>
    <s v="Female"/>
    <d v="1978-08-09T00:00:00"/>
    <s v="Jaipur"/>
    <x v="1"/>
    <x v="1"/>
    <s v="Monitor"/>
    <n v="1"/>
    <n v="12000"/>
    <n v="0"/>
    <n v="12000"/>
    <n v="4"/>
    <s v="NetBanking"/>
    <s v="Neha"/>
    <s v="sneha.joshi@company.com"/>
    <n v="9162975843"/>
    <s v="Cancelled"/>
  </r>
  <r>
    <s v="ORD10283"/>
    <s v="C007"/>
    <s v="P102"/>
    <x v="212"/>
    <x v="91"/>
    <s v="Arjun Rao"/>
    <s v="Male"/>
    <d v="1994-02-02T00:00:00"/>
    <s v="Mumbai"/>
    <x v="2"/>
    <x v="1"/>
    <s v="Mouse"/>
    <n v="6"/>
    <n v="700"/>
    <n v="20"/>
    <n v="3360"/>
    <n v="2"/>
    <s v="NetBanking"/>
    <s v="Neha"/>
    <s v="arjun.rao@company.com"/>
    <n v="9237616558"/>
    <s v="Pending"/>
  </r>
  <r>
    <s v="ORD10284"/>
    <s v="C009"/>
    <s v="P202"/>
    <x v="213"/>
    <x v="218"/>
    <s v="Mohit Verma"/>
    <s v="Male"/>
    <d v="1995-03-28T00:00:00"/>
    <s v="Ahmedabad"/>
    <x v="2"/>
    <x v="0"/>
    <s v="Iron"/>
    <n v="3"/>
    <n v="2200"/>
    <n v="0"/>
    <n v="6600"/>
    <n v="4"/>
    <s v="Card"/>
    <s v="Ritika"/>
    <s v="mohit.verma@company.com"/>
    <n v="9935063989"/>
    <s v="Completed"/>
  </r>
  <r>
    <s v="ORD10285"/>
    <s v="C006"/>
    <s v="P303"/>
    <x v="193"/>
    <x v="22"/>
    <s v="Sneha Joshi"/>
    <s v="Female"/>
    <d v="1992-03-12T00:00:00"/>
    <s v="Hyderabad"/>
    <x v="0"/>
    <x v="2"/>
    <s v="Marker"/>
    <n v="6"/>
    <n v="45"/>
    <n v="15"/>
    <n v="229.5"/>
    <n v="1"/>
    <s v="UPI"/>
    <s v="Rahul"/>
    <s v="sneha.joshi@company.com"/>
    <n v="9167376169"/>
    <s v="Completed"/>
  </r>
  <r>
    <s v="ORD10286"/>
    <s v="C006"/>
    <s v="P103"/>
    <x v="214"/>
    <x v="219"/>
    <s v="Sneha Joshi"/>
    <s v="Female"/>
    <d v="1981-01-23T00:00:00"/>
    <s v="Bengaluru"/>
    <x v="0"/>
    <x v="1"/>
    <s v="Keyboard"/>
    <n v="2"/>
    <n v="1200"/>
    <n v="0"/>
    <n v="2400"/>
    <n v="1"/>
    <s v="Cash"/>
    <s v="Karan"/>
    <s v="sneha.joshi@company.com"/>
    <n v="9231845497"/>
    <s v="Cancelled"/>
  </r>
  <r>
    <s v="ORD10287"/>
    <s v="C004"/>
    <s v="P102"/>
    <x v="215"/>
    <x v="220"/>
    <s v="Anita Gupta"/>
    <s v="Female"/>
    <d v="1984-09-28T00:00:00"/>
    <s v="Hyderabad"/>
    <x v="0"/>
    <x v="1"/>
    <s v="Mouse"/>
    <n v="14"/>
    <n v="700"/>
    <n v="15"/>
    <n v="8330"/>
    <n v="5"/>
    <s v="Cash"/>
    <s v="Neha"/>
    <s v="anita.gupta@company.com"/>
    <n v="9409415805"/>
    <s v="Pending"/>
  </r>
  <r>
    <s v="ORD10288"/>
    <s v="C002"/>
    <s v="P302"/>
    <x v="34"/>
    <x v="221"/>
    <s v="Priya Patel"/>
    <s v="Female"/>
    <d v="1975-11-06T00:00:00"/>
    <s v="Mumbai"/>
    <x v="2"/>
    <x v="2"/>
    <s v="Pen"/>
    <n v="13"/>
    <n v="20"/>
    <n v="5"/>
    <n v="247"/>
    <n v="1"/>
    <s v="Card"/>
    <s v="Ritika"/>
    <s v="priya.patecompany.com"/>
    <n v="9240800508"/>
    <s v="Pending"/>
  </r>
  <r>
    <s v="ORD10289"/>
    <s v="C009"/>
    <s v="P202"/>
    <x v="10"/>
    <x v="10"/>
    <s v="Mohit Verma"/>
    <s v="Male"/>
    <d v="1995-06-26T00:00:00"/>
    <s v="Pune"/>
    <x v="2"/>
    <x v="0"/>
    <s v="Iron"/>
    <n v="3"/>
    <n v="2200"/>
    <n v="0"/>
    <n v="6600"/>
    <n v="4"/>
    <s v="NetBanking"/>
    <s v="Aisha"/>
    <s v="mohit.verma@company.com"/>
    <n v="9764609936"/>
    <s v="Cancelled"/>
  </r>
  <r>
    <s v="ORD10290"/>
    <s v="C009"/>
    <s v="P301"/>
    <x v="62"/>
    <x v="150"/>
    <s v="Mohit Verma"/>
    <s v="Male"/>
    <d v="1979-11-21T00:00:00"/>
    <s v="Pune"/>
    <x v="2"/>
    <x v="2"/>
    <s v="Notebook"/>
    <n v="3"/>
    <n v="60"/>
    <n v="15"/>
    <n v="153"/>
    <n v="4"/>
    <s v="UPI"/>
    <s v="Neha"/>
    <s v="mohit.verma@company.com"/>
    <n v="9362733217"/>
    <s v="Completed"/>
  </r>
  <r>
    <s v="ORD10291"/>
    <s v="C003"/>
    <s v="P201"/>
    <x v="97"/>
    <x v="131"/>
    <s v="Rohit Singh"/>
    <s v="Male"/>
    <d v="1987-01-28T00:00:00"/>
    <s v="Mumbai"/>
    <x v="2"/>
    <x v="0"/>
    <s v="Mixer"/>
    <n v="9"/>
    <n v="3500"/>
    <n v="5"/>
    <n v="29925"/>
    <n v="1"/>
    <s v="Cash"/>
    <s v="Aisha"/>
    <s v="rohit.singh@company.com"/>
    <n v="9270466205"/>
    <s v="Pending"/>
  </r>
  <r>
    <s v="ORD10292"/>
    <s v="C001"/>
    <s v="P103"/>
    <x v="216"/>
    <x v="222"/>
    <s v="Amit Sharma"/>
    <s v="Male"/>
    <d v="2001-02-08T00:00:00"/>
    <s v="Jaipur"/>
    <x v="1"/>
    <x v="1"/>
    <s v="Keyboard"/>
    <n v="5"/>
    <n v="1200"/>
    <n v="20"/>
    <n v="4800"/>
    <n v="2"/>
    <s v="UPI"/>
    <s v="Neha"/>
    <s v="amit.sharma@company.com"/>
    <n v="9571436865"/>
    <s v="Pending"/>
  </r>
  <r>
    <s v="ORD10293"/>
    <s v="C010"/>
    <s v="P103"/>
    <x v="217"/>
    <x v="223"/>
    <s v="Pooja Shah"/>
    <s v="Female"/>
    <d v="1989-12-14T00:00:00"/>
    <s v="Jaipur"/>
    <x v="1"/>
    <x v="1"/>
    <s v="Keyboard"/>
    <n v="10"/>
    <n v="1200"/>
    <n v="20"/>
    <n v="9600"/>
    <n v="4"/>
    <s v="Cash"/>
    <s v="Rahul"/>
    <s v="pooja.shah@company.com"/>
    <n v="9307011171"/>
    <s v="Completed"/>
  </r>
  <r>
    <s v="ORD10294"/>
    <s v="C008"/>
    <s v="P103"/>
    <x v="218"/>
    <x v="224"/>
    <s v="Kavya Nair"/>
    <s v="Female"/>
    <d v="1988-12-15T00:00:00"/>
    <s v="Ahmedabad"/>
    <x v="2"/>
    <x v="1"/>
    <s v="Keyboard"/>
    <n v="5"/>
    <n v="1200"/>
    <n v="20"/>
    <n v="4800"/>
    <n v="3"/>
    <s v="NetBanking"/>
    <s v="Karan"/>
    <s v="KAvya.nair@company.com"/>
    <n v="9922380435"/>
    <s v="Completed"/>
  </r>
  <r>
    <s v="ORD10295"/>
    <s v="C004"/>
    <s v="P302"/>
    <x v="219"/>
    <x v="225"/>
    <s v="Anita Gupta"/>
    <s v="Female"/>
    <d v="1990-10-20T00:00:00"/>
    <s v="Mumbai"/>
    <x v="2"/>
    <x v="2"/>
    <s v="Pen"/>
    <n v="10"/>
    <n v="20"/>
    <n v="5"/>
    <n v="190"/>
    <n v="4"/>
    <s v="Cash"/>
    <s v="Karan"/>
    <s v="anita.gupta@company.com"/>
    <n v="9463618792"/>
    <s v="Pending"/>
  </r>
  <r>
    <s v="ORD10296"/>
    <s v="C002"/>
    <s v="P301"/>
    <x v="220"/>
    <x v="226"/>
    <s v="Priya Patel"/>
    <s v="Female"/>
    <d v="1978-09-08T00:00:00"/>
    <s v="Delhi"/>
    <x v="1"/>
    <x v="2"/>
    <s v="Notebook"/>
    <n v="20"/>
    <n v="60"/>
    <n v="15"/>
    <n v="1020"/>
    <n v="5"/>
    <s v="Card"/>
    <s v="Ritika"/>
    <s v="priYa.patel@company.com"/>
    <n v="9954973200"/>
    <s v="Pending"/>
  </r>
  <r>
    <s v="ORD10297"/>
    <s v="C001"/>
    <s v="P202"/>
    <x v="221"/>
    <x v="135"/>
    <s v="Amit Sharma"/>
    <s v="Male"/>
    <d v="1978-02-09T00:00:00"/>
    <s v="Ahmedabad"/>
    <x v="2"/>
    <x v="0"/>
    <s v="Iron"/>
    <n v="7"/>
    <n v="2200"/>
    <n v="15"/>
    <n v="13090"/>
    <n v="4"/>
    <s v="Cash"/>
    <s v="Aisha"/>
    <s v="amit.sharma@company.com"/>
    <n v="9383199236"/>
    <s v="Cancelled"/>
  </r>
  <r>
    <s v="ORD10298"/>
    <s v="C003"/>
    <s v="P101"/>
    <x v="96"/>
    <x v="227"/>
    <s v="Rohit Singh"/>
    <s v="Male"/>
    <d v="2004-01-03T00:00:00"/>
    <s v="Hyderabad"/>
    <x v="0"/>
    <x v="1"/>
    <s v="Laptop"/>
    <n v="11"/>
    <n v="55000"/>
    <n v="5"/>
    <n v="574750"/>
    <n v="1"/>
    <s v="UPI"/>
    <s v="Ritika"/>
    <s v="rohit.singh@company.com"/>
    <n v="9482699727"/>
    <s v="Cancelled"/>
  </r>
  <r>
    <s v="ORD10299"/>
    <s v="C007"/>
    <s v="P201"/>
    <x v="37"/>
    <x v="228"/>
    <s v="Arjun Rao"/>
    <s v="Male"/>
    <d v="1992-05-02T00:00:00"/>
    <s v="Jaipur"/>
    <x v="1"/>
    <x v="0"/>
    <s v="Mixer"/>
    <n v="12"/>
    <n v="3500"/>
    <n v="0"/>
    <n v="42000"/>
    <n v="2"/>
    <s v="NetBanking"/>
    <s v="Not_Assigned"/>
    <s v="arjun.rao@company.com"/>
    <n v="9332473934"/>
    <s v="Pending"/>
  </r>
  <r>
    <s v="ORD10300"/>
    <s v="C009"/>
    <s v="P303"/>
    <x v="222"/>
    <x v="229"/>
    <s v="Mohit Verma"/>
    <s v="Male"/>
    <d v="2003-01-26T00:00:00"/>
    <s v="Hyderabad"/>
    <x v="0"/>
    <x v="2"/>
    <s v="Marker"/>
    <n v="15"/>
    <n v="45"/>
    <n v="10"/>
    <n v="607.5"/>
    <n v="2"/>
    <s v="Cash"/>
    <s v="Karan"/>
    <s v="mohit.verma@company.com"/>
    <n v="9647657382"/>
    <s v="Pending"/>
  </r>
  <r>
    <s v="ORD10301"/>
    <s v="C001"/>
    <s v="P303"/>
    <x v="223"/>
    <x v="153"/>
    <s v="Amit Sharma"/>
    <s v="Male"/>
    <d v="1987-05-20T00:00:00"/>
    <s v="Bengaluru"/>
    <x v="0"/>
    <x v="2"/>
    <s v="Marker"/>
    <n v="13"/>
    <n v="45"/>
    <n v="0"/>
    <n v="585"/>
    <n v="5"/>
    <s v="NetBanking"/>
    <s v="Rahul"/>
    <s v="amit.sharma@company.com"/>
    <n v="9736797776"/>
    <s v="Pending"/>
  </r>
  <r>
    <s v="ORD10302"/>
    <s v="C003"/>
    <s v="P101"/>
    <x v="112"/>
    <x v="201"/>
    <s v="Rohit Singh"/>
    <s v="Male"/>
    <d v="1975-09-07T00:00:00"/>
    <s v="Bengaluru"/>
    <x v="0"/>
    <x v="1"/>
    <s v="Laptop"/>
    <n v="8"/>
    <n v="55000"/>
    <n v="0"/>
    <n v="440000"/>
    <n v="2"/>
    <s v="UPI"/>
    <s v="Karan"/>
    <s v="rohit.singh@company.com"/>
    <n v="9745773533"/>
    <s v="Cancelled"/>
  </r>
  <r>
    <s v="ORD10303"/>
    <s v="C006"/>
    <s v="P101"/>
    <x v="224"/>
    <x v="230"/>
    <s v="Sneha Joshi"/>
    <s v="Female"/>
    <d v="1980-08-10T00:00:00"/>
    <s v="Delhi"/>
    <x v="1"/>
    <x v="1"/>
    <s v="Laptop"/>
    <n v="4"/>
    <n v="55000"/>
    <n v="20"/>
    <n v="176000"/>
    <n v="5"/>
    <s v="Cash"/>
    <s v="Rahul"/>
    <s v="sneha.joshi@company.com"/>
    <n v="9246715757"/>
    <s v="Pending"/>
  </r>
  <r>
    <s v="ORD10304"/>
    <s v="C008"/>
    <s v="P201"/>
    <x v="225"/>
    <x v="113"/>
    <s v="Kavya Nair"/>
    <s v="Female"/>
    <d v="1989-04-07T00:00:00"/>
    <s v="Ahmedabad"/>
    <x v="2"/>
    <x v="0"/>
    <s v="Mixer"/>
    <n v="19"/>
    <n v="3500"/>
    <n v="5"/>
    <n v="63175"/>
    <n v="1"/>
    <s v="Card"/>
    <s v="Neha"/>
    <s v="KAvya.nair@company.com"/>
    <n v="9904065774"/>
    <s v="Completed"/>
  </r>
  <r>
    <s v="ORD10305"/>
    <s v="C005"/>
    <s v="P103"/>
    <x v="226"/>
    <x v="55"/>
    <s v="Vikas Mehta"/>
    <s v="Male"/>
    <d v="1998-08-20T00:00:00"/>
    <s v="Jaipur"/>
    <x v="1"/>
    <x v="1"/>
    <s v="Keyboard"/>
    <n v="17"/>
    <n v="1200"/>
    <n v="15"/>
    <n v="17340"/>
    <n v="2"/>
    <s v="NetBanking"/>
    <s v="Rahul"/>
    <s v="vikas.mehta@company.com"/>
    <n v="9652985385"/>
    <s v="Completed"/>
  </r>
  <r>
    <s v="ORD10306"/>
    <s v="C008"/>
    <s v="P202"/>
    <x v="62"/>
    <x v="231"/>
    <s v="Kavya Nair"/>
    <s v="Female"/>
    <d v="2001-04-03T00:00:00"/>
    <s v="Hyderabad"/>
    <x v="0"/>
    <x v="0"/>
    <s v="Iron"/>
    <n v="8"/>
    <n v="2200"/>
    <n v="5"/>
    <n v="16720"/>
    <n v="3"/>
    <s v="Card"/>
    <s v="Neha"/>
    <s v="KAvya.nair@company.com"/>
    <n v="9427001508"/>
    <s v="Pending"/>
  </r>
  <r>
    <s v="ORD10307"/>
    <s v="C006"/>
    <s v="P102"/>
    <x v="157"/>
    <x v="51"/>
    <s v="Sneha Joshi"/>
    <s v="Female"/>
    <d v="1992-03-05T00:00:00"/>
    <s v="Mumbai"/>
    <x v="2"/>
    <x v="1"/>
    <s v="Mouse"/>
    <n v="17"/>
    <n v="700"/>
    <n v="20"/>
    <n v="9520"/>
    <n v="4"/>
    <s v="NetBanking"/>
    <s v="Neha"/>
    <s v="sneha.joshi@company.com"/>
    <n v="9666803655"/>
    <s v="Completed"/>
  </r>
  <r>
    <s v="ORD10308"/>
    <s v="C006"/>
    <s v="P203"/>
    <x v="227"/>
    <x v="232"/>
    <s v="Sneha Joshi"/>
    <s v="Female"/>
    <d v="1976-12-28T00:00:00"/>
    <s v="Pune"/>
    <x v="2"/>
    <x v="0"/>
    <s v="Microwave"/>
    <n v="6"/>
    <n v="8500"/>
    <n v="15"/>
    <n v="43350"/>
    <n v="1"/>
    <s v="Cash"/>
    <s v="Aisha"/>
    <s v="sneha.joshi@company.com"/>
    <n v="9134878547"/>
    <s v="Completed"/>
  </r>
  <r>
    <s v="ORD10309"/>
    <s v="C010"/>
    <s v="P201"/>
    <x v="228"/>
    <x v="233"/>
    <s v="Pooja Shah"/>
    <s v="Female"/>
    <d v="1986-09-04T00:00:00"/>
    <s v="Hyderabad"/>
    <x v="0"/>
    <x v="0"/>
    <s v="Mixer"/>
    <n v="3"/>
    <n v="3500"/>
    <n v="10"/>
    <n v="9450"/>
    <n v="1"/>
    <s v="NetBanking"/>
    <s v="Rahul"/>
    <s v="pooja.shah@company.com"/>
    <n v="9253593557"/>
    <s v="Completed"/>
  </r>
  <r>
    <s v="ORD10310"/>
    <s v="C009"/>
    <s v="P104"/>
    <x v="220"/>
    <x v="125"/>
    <s v="Mohit Verma"/>
    <s v="Male"/>
    <d v="1989-08-14T00:00:00"/>
    <s v="Ahmedabad"/>
    <x v="2"/>
    <x v="1"/>
    <s v="Monitor"/>
    <n v="2"/>
    <n v="12000"/>
    <n v="20"/>
    <n v="19200"/>
    <n v="1"/>
    <s v="Card"/>
    <s v="Aisha"/>
    <s v="mohit.verma@company.com"/>
    <n v="9183094051"/>
    <s v="Completed"/>
  </r>
  <r>
    <s v="ORD10311"/>
    <s v="C005"/>
    <s v="P302"/>
    <x v="43"/>
    <x v="234"/>
    <s v="Vikas Mehta"/>
    <s v="Male"/>
    <d v="1991-03-02T00:00:00"/>
    <s v="Delhi"/>
    <x v="1"/>
    <x v="2"/>
    <s v="Pen"/>
    <n v="12"/>
    <n v="20"/>
    <n v="20"/>
    <n v="192"/>
    <n v="2"/>
    <s v="Card"/>
    <s v="Rahul"/>
    <s v="vikas.mehta@company.com"/>
    <n v="9293147620"/>
    <s v="Completed"/>
  </r>
  <r>
    <s v="ORD10312"/>
    <s v="C002"/>
    <s v="P104"/>
    <x v="229"/>
    <x v="235"/>
    <s v="Priya Patel"/>
    <s v="Female"/>
    <d v="1989-08-13T00:00:00"/>
    <s v="Kolkata"/>
    <x v="3"/>
    <x v="1"/>
    <s v="Monitor"/>
    <n v="20"/>
    <n v="12000"/>
    <n v="15"/>
    <n v="204000"/>
    <n v="3"/>
    <s v="Cash"/>
    <s v="Ritika"/>
    <s v="priYa.patel@company.com"/>
    <n v="9755583734"/>
    <s v="Pending"/>
  </r>
  <r>
    <s v="ORD10313"/>
    <s v="C010"/>
    <s v="P301"/>
    <x v="53"/>
    <x v="236"/>
    <s v="Pooja Shah"/>
    <s v="Female"/>
    <d v="2003-02-02T00:00:00"/>
    <s v="Jaipur"/>
    <x v="1"/>
    <x v="2"/>
    <s v="Notebook"/>
    <n v="13"/>
    <n v="60"/>
    <n v="10"/>
    <n v="702"/>
    <n v="5"/>
    <s v="Cash"/>
    <s v="Ritika"/>
    <s v="pooja.shah@company.com"/>
    <n v="9186592813"/>
    <s v="Pending"/>
  </r>
  <r>
    <s v="ORD10314"/>
    <s v="C009"/>
    <s v="P101"/>
    <x v="230"/>
    <x v="237"/>
    <s v="Mohit Verma"/>
    <s v="Male"/>
    <d v="1995-11-16T00:00:00"/>
    <s v="Pune"/>
    <x v="2"/>
    <x v="1"/>
    <s v="Laptop"/>
    <n v="13"/>
    <n v="55000"/>
    <n v="5"/>
    <n v="679250"/>
    <n v="1"/>
    <s v="UPI"/>
    <s v="Karan"/>
    <s v="mohit.verma@company.com"/>
    <n v="9203482008"/>
    <s v="Pending"/>
  </r>
  <r>
    <s v="ORD10315"/>
    <s v="C002"/>
    <s v="P103"/>
    <x v="127"/>
    <x v="128"/>
    <s v="Priya Patel"/>
    <s v="Female"/>
    <d v="1989-11-24T00:00:00"/>
    <s v="Bengaluru"/>
    <x v="0"/>
    <x v="1"/>
    <s v="Keyboard"/>
    <n v="7"/>
    <n v="1200"/>
    <n v="15"/>
    <n v="7140"/>
    <n v="5"/>
    <s v="UPI"/>
    <s v="Rahul"/>
    <s v="priYa.patel@company.com"/>
    <n v="9829888777"/>
    <s v="Pending"/>
  </r>
  <r>
    <s v="ORD10316"/>
    <s v="C007"/>
    <s v="P104"/>
    <x v="231"/>
    <x v="238"/>
    <s v="Arjun Rao"/>
    <s v="Male"/>
    <d v="1988-04-20T00:00:00"/>
    <s v="Jaipur"/>
    <x v="1"/>
    <x v="1"/>
    <s v="Monitor"/>
    <n v="17"/>
    <n v="12000"/>
    <n v="5"/>
    <n v="193800"/>
    <n v="1"/>
    <s v="Cash"/>
    <s v="Aisha"/>
    <s v="arjun.rao@company.com"/>
    <n v="9566101317"/>
    <s v="Cancelled"/>
  </r>
  <r>
    <s v="ORD10317"/>
    <s v="C007"/>
    <s v="P302"/>
    <x v="46"/>
    <x v="239"/>
    <s v="Arjun Rao"/>
    <s v="Male"/>
    <d v="1978-11-02T00:00:00"/>
    <s v="Bengaluru"/>
    <x v="0"/>
    <x v="2"/>
    <s v="Pen"/>
    <n v="10"/>
    <n v="20"/>
    <n v="5"/>
    <n v="190"/>
    <n v="2"/>
    <s v="Cash"/>
    <s v="Aisha"/>
    <s v="arjun.rao@company.com"/>
    <n v="9706240823"/>
    <s v="Cancelled"/>
  </r>
  <r>
    <s v="ORD10318"/>
    <s v="C004"/>
    <s v="P202"/>
    <x v="34"/>
    <x v="240"/>
    <s v="Anita Gupta"/>
    <s v="Female"/>
    <d v="1989-12-13T00:00:00"/>
    <s v="Delhi"/>
    <x v="1"/>
    <x v="0"/>
    <s v="Iron"/>
    <n v="11"/>
    <n v="2200"/>
    <n v="5"/>
    <n v="22990"/>
    <n v="5"/>
    <s v="Card"/>
    <s v="Rahul"/>
    <s v="anita.gupta@company.com"/>
    <n v="9259943760"/>
    <s v="Pending"/>
  </r>
  <r>
    <s v="ORD10319"/>
    <s v="C002"/>
    <s v="P301"/>
    <x v="232"/>
    <x v="241"/>
    <s v="Priya Patel"/>
    <s v="Female"/>
    <d v="1995-01-08T00:00:00"/>
    <s v="Jaipur"/>
    <x v="1"/>
    <x v="2"/>
    <s v="Notebook"/>
    <n v="8"/>
    <n v="60"/>
    <n v="15"/>
    <n v="408"/>
    <n v="4"/>
    <s v="Cash"/>
    <s v="Rahul"/>
    <s v="priYa.patel@company.com"/>
    <n v="9527326977"/>
    <s v="Pending"/>
  </r>
  <r>
    <s v="ORD10320"/>
    <s v="C005"/>
    <s v="P303"/>
    <x v="194"/>
    <x v="148"/>
    <s v="Vikas Mehta"/>
    <s v="Male"/>
    <d v="1994-10-23T00:00:00"/>
    <s v="Delhi"/>
    <x v="1"/>
    <x v="2"/>
    <s v="Marker"/>
    <n v="17"/>
    <n v="45"/>
    <n v="15"/>
    <n v="650.25"/>
    <n v="2"/>
    <s v="UPI"/>
    <s v="Karan"/>
    <s v="vikas.mehta@company.com"/>
    <n v="9886970990"/>
    <s v="Completed"/>
  </r>
  <r>
    <s v="ORD10321"/>
    <s v="C001"/>
    <s v="P102"/>
    <x v="233"/>
    <x v="242"/>
    <s v="Amit Sharma"/>
    <s v="Male"/>
    <d v="1996-05-21T00:00:00"/>
    <s v="Jaipur"/>
    <x v="1"/>
    <x v="1"/>
    <s v="Mouse"/>
    <n v="14"/>
    <n v="700"/>
    <n v="15"/>
    <n v="8330"/>
    <n v="1"/>
    <s v="Card"/>
    <s v="Neha"/>
    <s v="amit.sharma@company.com"/>
    <n v="9106930369"/>
    <s v="Completed"/>
  </r>
  <r>
    <s v="ORD10322"/>
    <s v="C007"/>
    <s v="P103"/>
    <x v="234"/>
    <x v="243"/>
    <s v="Arjun Rao"/>
    <s v="Male"/>
    <d v="1982-05-26T00:00:00"/>
    <s v="Pune"/>
    <x v="2"/>
    <x v="1"/>
    <s v="Keyboard"/>
    <n v="3"/>
    <n v="1200"/>
    <n v="5"/>
    <n v="3420"/>
    <n v="3"/>
    <s v="NetBanking"/>
    <s v="Karan"/>
    <s v="arjun.rao@company.com"/>
    <n v="9342009114"/>
    <s v="Completed"/>
  </r>
  <r>
    <s v="ORD10323"/>
    <s v="C008"/>
    <s v="P103"/>
    <x v="129"/>
    <x v="149"/>
    <s v="Kavya Nair"/>
    <s v="Female"/>
    <d v="2001-11-22T00:00:00"/>
    <s v="Ahmedabad"/>
    <x v="2"/>
    <x v="1"/>
    <s v="Keyboard"/>
    <n v="9"/>
    <n v="1200"/>
    <n v="15"/>
    <n v="9180"/>
    <n v="3"/>
    <s v="Cash"/>
    <s v="Rahul"/>
    <s v="KAvya.nair@company.com"/>
    <n v="9992739960"/>
    <s v="Completed"/>
  </r>
  <r>
    <s v="ORD10324"/>
    <s v="C006"/>
    <s v="P302"/>
    <x v="113"/>
    <x v="46"/>
    <s v="Sneha Joshi"/>
    <s v="Female"/>
    <d v="1989-02-26T00:00:00"/>
    <s v="Mumbai"/>
    <x v="2"/>
    <x v="2"/>
    <s v="Pen"/>
    <n v="5"/>
    <n v="20"/>
    <n v="5"/>
    <n v="95"/>
    <n v="4"/>
    <s v="Cash"/>
    <s v="Karan"/>
    <s v="sneha.joshi@company.com"/>
    <n v="9241987748"/>
    <s v="Completed"/>
  </r>
  <r>
    <s v="ORD10325"/>
    <s v="C006"/>
    <s v="P202"/>
    <x v="235"/>
    <x v="244"/>
    <s v="Sneha Joshi"/>
    <s v="Female"/>
    <d v="1985-08-18T00:00:00"/>
    <s v="Ahmedabad"/>
    <x v="2"/>
    <x v="0"/>
    <s v="Iron"/>
    <n v="8"/>
    <n v="2200"/>
    <n v="10"/>
    <n v="15840"/>
    <n v="4"/>
    <s v="UPI"/>
    <s v="Aisha"/>
    <s v="sneha.joshi@company.com"/>
    <n v="9571990711"/>
    <s v="Cancelled"/>
  </r>
  <r>
    <s v="ORD10326"/>
    <s v="C006"/>
    <s v="P102"/>
    <x v="35"/>
    <x v="245"/>
    <s v="Sneha Joshi"/>
    <s v="Female"/>
    <d v="1980-01-03T00:00:00"/>
    <s v="Mumbai"/>
    <x v="2"/>
    <x v="1"/>
    <s v="Mouse"/>
    <n v="10"/>
    <n v="700"/>
    <n v="20"/>
    <n v="5600"/>
    <n v="1"/>
    <s v="UPI"/>
    <s v="Neha"/>
    <s v="sneha.joshi@company.com"/>
    <n v="9219231183"/>
    <s v="Completed"/>
  </r>
  <r>
    <s v="ORD10327"/>
    <s v="C007"/>
    <s v="P102"/>
    <x v="236"/>
    <x v="246"/>
    <s v="Arjun Rao"/>
    <s v="Male"/>
    <d v="1978-01-08T00:00:00"/>
    <s v="Bengaluru"/>
    <x v="0"/>
    <x v="1"/>
    <s v="Mouse"/>
    <n v="2"/>
    <n v="700"/>
    <n v="20"/>
    <n v="1120"/>
    <n v="2"/>
    <s v="Cash"/>
    <s v="Neha"/>
    <s v="arjun.rao@company.com"/>
    <n v="9847386174"/>
    <s v="Pending"/>
  </r>
  <r>
    <s v="ORD10328"/>
    <s v="C005"/>
    <s v="P201"/>
    <x v="138"/>
    <x v="157"/>
    <s v="Vikas Mehta"/>
    <s v="Male"/>
    <d v="1992-08-05T00:00:00"/>
    <s v="Pune"/>
    <x v="2"/>
    <x v="0"/>
    <s v="Mixer"/>
    <n v="16"/>
    <n v="3500"/>
    <n v="20"/>
    <n v="44800"/>
    <n v="2"/>
    <s v="UPI"/>
    <s v="Ritika"/>
    <s v="vikas.mehta@company.com"/>
    <n v="9941274924"/>
    <s v="Pending"/>
  </r>
  <r>
    <s v="ORD10329"/>
    <s v="C004"/>
    <s v="P201"/>
    <x v="134"/>
    <x v="120"/>
    <s v="Anita Gupta"/>
    <s v="Female"/>
    <d v="2004-12-28T00:00:00"/>
    <s v="Delhi"/>
    <x v="1"/>
    <x v="0"/>
    <s v="Mixer"/>
    <n v="9"/>
    <n v="3500"/>
    <n v="20"/>
    <n v="25200"/>
    <n v="1"/>
    <s v="Card"/>
    <s v="Rahul"/>
    <s v="anita.gupta@company.com"/>
    <n v="9950650508"/>
    <s v="Cancelled"/>
  </r>
  <r>
    <s v="ORD10330"/>
    <s v="C003"/>
    <s v="P102"/>
    <x v="237"/>
    <x v="247"/>
    <s v="Rohit Singh"/>
    <s v="Male"/>
    <d v="2003-01-07T00:00:00"/>
    <s v="Hyderabad"/>
    <x v="0"/>
    <x v="1"/>
    <s v="Mouse"/>
    <n v="15"/>
    <n v="700"/>
    <n v="5"/>
    <n v="9975"/>
    <n v="1"/>
    <s v="Cash"/>
    <s v="Rahul"/>
    <s v="rohit.singh@company.com"/>
    <n v="9464035549"/>
    <s v="Cancelled"/>
  </r>
  <r>
    <s v="ORD10331"/>
    <s v="C010"/>
    <s v="P103"/>
    <x v="238"/>
    <x v="128"/>
    <s v="Pooja Shah"/>
    <s v="Female"/>
    <d v="1993-03-09T00:00:00"/>
    <s v="Ahmedabad"/>
    <x v="2"/>
    <x v="1"/>
    <s v="Keyboard"/>
    <n v="13"/>
    <n v="1200"/>
    <n v="0"/>
    <n v="15600"/>
    <n v="3"/>
    <s v="NetBanking"/>
    <s v="Neha"/>
    <s v="pooja.shah@company.com"/>
    <n v="9142334315"/>
    <s v="Cancelled"/>
  </r>
  <r>
    <s v="ORD10332"/>
    <s v="C001"/>
    <s v="P104"/>
    <x v="239"/>
    <x v="248"/>
    <s v="Amit Sharma"/>
    <s v="Male"/>
    <d v="1993-06-03T00:00:00"/>
    <s v="Delhi"/>
    <x v="1"/>
    <x v="1"/>
    <s v="Monitor"/>
    <n v="5"/>
    <n v="12000"/>
    <n v="10"/>
    <n v="54000"/>
    <n v="3"/>
    <s v="UPI"/>
    <s v="Rahul"/>
    <s v="amit.sharma@company.com"/>
    <n v="9123961962"/>
    <s v="Completed"/>
  </r>
  <r>
    <s v="ORD10333"/>
    <s v="C010"/>
    <s v="P303"/>
    <x v="240"/>
    <x v="249"/>
    <s v="Pooja Shah"/>
    <s v="Female"/>
    <d v="1999-12-10T00:00:00"/>
    <s v="Bengaluru"/>
    <x v="0"/>
    <x v="2"/>
    <s v="Marker"/>
    <n v="12"/>
    <n v="45"/>
    <n v="20"/>
    <n v="432"/>
    <n v="3"/>
    <s v="NetBanking"/>
    <s v="Aisha"/>
    <s v="pooja.shah@company.com"/>
    <n v="9741953402"/>
    <s v="Completed"/>
  </r>
  <r>
    <s v="ORD10334"/>
    <s v="C008"/>
    <s v="P201"/>
    <x v="102"/>
    <x v="102"/>
    <s v="Kavya Nair"/>
    <s v="Female"/>
    <d v="1976-06-06T00:00:00"/>
    <s v="Bengaluru"/>
    <x v="0"/>
    <x v="0"/>
    <s v="Mixer"/>
    <n v="2"/>
    <n v="3500"/>
    <n v="0"/>
    <n v="7000"/>
    <n v="1"/>
    <s v="NetBanking"/>
    <s v="Neha"/>
    <s v="KAvya.nair@company.com"/>
    <n v="9404733633"/>
    <s v="Pending"/>
  </r>
  <r>
    <s v="ORD10335"/>
    <s v="C008"/>
    <s v="P202"/>
    <x v="57"/>
    <x v="250"/>
    <s v="Kavya Nair"/>
    <s v="Female"/>
    <d v="1984-10-27T00:00:00"/>
    <s v="Pune"/>
    <x v="2"/>
    <x v="0"/>
    <s v="Iron"/>
    <n v="15"/>
    <n v="2200"/>
    <n v="15"/>
    <n v="28050"/>
    <n v="2"/>
    <s v="NetBanking"/>
    <s v="Rahul"/>
    <s v="KAvya.nair@company.com"/>
    <n v="9297492337"/>
    <s v="Pending"/>
  </r>
  <r>
    <s v="ORD10336"/>
    <s v="C002"/>
    <s v="P302"/>
    <x v="241"/>
    <x v="251"/>
    <s v="Priya Patel"/>
    <s v="Female"/>
    <d v="1975-02-28T00:00:00"/>
    <s v="Ahmedabad"/>
    <x v="2"/>
    <x v="2"/>
    <s v="Pen"/>
    <n v="8"/>
    <n v="20"/>
    <n v="20"/>
    <n v="128"/>
    <n v="5"/>
    <s v="UPI"/>
    <s v="Rahul"/>
    <s v="priYa.patel@company.com"/>
    <n v="9350338928"/>
    <s v="Completed"/>
  </r>
  <r>
    <s v="ORD10337"/>
    <s v="C003"/>
    <s v="P302"/>
    <x v="35"/>
    <x v="128"/>
    <s v="Rohit Singh"/>
    <s v="Male"/>
    <d v="1993-10-19T00:00:00"/>
    <s v="Hyderabad"/>
    <x v="0"/>
    <x v="2"/>
    <s v="Pen"/>
    <n v="1"/>
    <n v="20"/>
    <n v="0"/>
    <n v="20"/>
    <n v="3"/>
    <s v="UPI"/>
    <s v="Ritika"/>
    <s v="rohit.singh@company.com"/>
    <n v="9933894798"/>
    <s v="Completed"/>
  </r>
  <r>
    <s v="ORD10338"/>
    <s v="C008"/>
    <s v="P102"/>
    <x v="242"/>
    <x v="28"/>
    <s v="Kavya Nair"/>
    <s v="Female"/>
    <d v="1983-10-25T00:00:00"/>
    <s v="Jaipur"/>
    <x v="1"/>
    <x v="1"/>
    <s v="Mouse"/>
    <n v="15"/>
    <n v="700"/>
    <n v="0"/>
    <n v="10500"/>
    <n v="2"/>
    <s v="UPI"/>
    <s v="Rahul"/>
    <s v="KAvya.nair@company.com"/>
    <n v="9705218824"/>
    <s v="Completed"/>
  </r>
  <r>
    <s v="ORD10339"/>
    <s v="C001"/>
    <s v="P201"/>
    <x v="148"/>
    <x v="252"/>
    <s v="Amit Sharma"/>
    <s v="Male"/>
    <d v="1983-01-08T00:00:00"/>
    <s v="Hyderabad"/>
    <x v="0"/>
    <x v="0"/>
    <s v="Mixer"/>
    <n v="15"/>
    <n v="3500"/>
    <n v="10"/>
    <n v="47250"/>
    <n v="3"/>
    <s v="Cash"/>
    <s v="Karan"/>
    <s v="amit.sharma@company.com"/>
    <n v="9229164453"/>
    <s v="Pending"/>
  </r>
  <r>
    <s v="ORD10340"/>
    <s v="C008"/>
    <s v="P301"/>
    <x v="243"/>
    <x v="13"/>
    <s v="Kavya Nair"/>
    <s v="Female"/>
    <d v="1983-12-14T00:00:00"/>
    <s v="Kolkata"/>
    <x v="3"/>
    <x v="2"/>
    <s v="Notebook"/>
    <n v="16"/>
    <n v="60"/>
    <n v="10"/>
    <n v="864"/>
    <n v="4"/>
    <s v="Card"/>
    <s v="Aisha"/>
    <s v="KAvya.nair@company.com"/>
    <n v="9219806176"/>
    <s v="Completed"/>
  </r>
  <r>
    <s v="ORD10341"/>
    <s v="C003"/>
    <s v="P303"/>
    <x v="244"/>
    <x v="127"/>
    <s v="Rohit Singh"/>
    <s v="Male"/>
    <d v="1983-09-26T00:00:00"/>
    <s v="Delhi"/>
    <x v="1"/>
    <x v="2"/>
    <s v="Marker"/>
    <n v="2"/>
    <n v="45"/>
    <n v="15"/>
    <n v="76.5"/>
    <n v="1"/>
    <s v="UPI"/>
    <s v="Karan"/>
    <s v="rohit.singh@company.com"/>
    <n v="9630210250"/>
    <s v="Cancelled"/>
  </r>
  <r>
    <s v="ORD10342"/>
    <s v="C004"/>
    <s v="P301"/>
    <x v="245"/>
    <x v="253"/>
    <s v="Anita Gupta"/>
    <s v="Female"/>
    <d v="1975-05-23T00:00:00"/>
    <s v="Delhi"/>
    <x v="1"/>
    <x v="2"/>
    <s v="Notebook"/>
    <n v="13"/>
    <n v="60"/>
    <n v="15"/>
    <n v="663"/>
    <n v="2"/>
    <s v="NetBanking"/>
    <s v="Aisha"/>
    <s v="anita.gupta@company.com"/>
    <n v="9583354052"/>
    <s v="Cancelled"/>
  </r>
  <r>
    <s v="ORD10343"/>
    <s v="C007"/>
    <s v="P104"/>
    <x v="182"/>
    <x v="254"/>
    <s v="Arjun Rao"/>
    <s v="Male"/>
    <d v="1994-11-09T00:00:00"/>
    <s v="Delhi"/>
    <x v="1"/>
    <x v="1"/>
    <s v="Monitor"/>
    <n v="15"/>
    <n v="12000"/>
    <n v="20"/>
    <n v="144000"/>
    <n v="3"/>
    <s v="Card"/>
    <s v="Ritika"/>
    <s v="arjun.rao@company.com"/>
    <n v="9242534507"/>
    <s v="Cancelled"/>
  </r>
  <r>
    <s v="ORD10344"/>
    <s v="C001"/>
    <s v="P302"/>
    <x v="119"/>
    <x v="255"/>
    <s v="Amit Sharma"/>
    <s v="Male"/>
    <d v="1987-12-17T00:00:00"/>
    <s v="Delhi"/>
    <x v="1"/>
    <x v="2"/>
    <s v="Pen"/>
    <n v="2"/>
    <n v="20"/>
    <n v="20"/>
    <n v="32"/>
    <n v="4"/>
    <s v="Cash"/>
    <s v="Ritika"/>
    <s v="amit.sharma@company.com"/>
    <n v="9291239150"/>
    <s v="Pending"/>
  </r>
  <r>
    <s v="ORD10345"/>
    <s v="C003"/>
    <s v="P201"/>
    <x v="246"/>
    <x v="256"/>
    <s v="Rohit Singh"/>
    <s v="Male"/>
    <d v="1975-06-19T00:00:00"/>
    <s v="Bengaluru"/>
    <x v="0"/>
    <x v="0"/>
    <s v="Mixer"/>
    <n v="16"/>
    <n v="3500"/>
    <n v="0"/>
    <n v="56000"/>
    <n v="4"/>
    <s v="Cash"/>
    <s v="Neha"/>
    <s v="rohit.singh@company.com"/>
    <n v="9550820904"/>
    <s v="Completed"/>
  </r>
  <r>
    <s v="ORD10346"/>
    <s v="C010"/>
    <s v="P201"/>
    <x v="207"/>
    <x v="5"/>
    <s v="Pooja Shah"/>
    <s v="Female"/>
    <d v="1977-01-09T00:00:00"/>
    <s v="Ahmedabad"/>
    <x v="2"/>
    <x v="0"/>
    <s v="Mixer"/>
    <n v="18"/>
    <n v="3500"/>
    <n v="15"/>
    <n v="53550"/>
    <n v="5"/>
    <s v="Cash"/>
    <s v="Karan"/>
    <s v="pooja.shah@company.com"/>
    <n v="9294486423"/>
    <s v="Cancelled"/>
  </r>
  <r>
    <s v="ORD10347"/>
    <s v="C008"/>
    <s v="P303"/>
    <x v="247"/>
    <x v="80"/>
    <s v="Kavya Nair"/>
    <s v="Female"/>
    <d v="1993-09-20T00:00:00"/>
    <s v="Ahmedabad"/>
    <x v="2"/>
    <x v="2"/>
    <s v="Marker"/>
    <n v="20"/>
    <n v="45"/>
    <n v="15"/>
    <n v="765"/>
    <n v="4"/>
    <s v="Cash"/>
    <s v="Karan"/>
    <s v="KAvya.nair@company.com"/>
    <n v="9260258621"/>
    <s v="Cancelled"/>
  </r>
  <r>
    <s v="ORD10348"/>
    <s v="C006"/>
    <s v="P202"/>
    <x v="248"/>
    <x v="56"/>
    <s v="Sneha Joshi"/>
    <s v="Female"/>
    <d v="1997-03-05T00:00:00"/>
    <s v="Delhi"/>
    <x v="1"/>
    <x v="0"/>
    <s v="Iron"/>
    <n v="13"/>
    <n v="2200"/>
    <n v="15"/>
    <n v="24310"/>
    <n v="2"/>
    <s v="NetBanking"/>
    <s v="Neha"/>
    <s v="sneha.joshi@company.com"/>
    <n v="9697433584"/>
    <s v="Pending"/>
  </r>
  <r>
    <s v="ORD10349"/>
    <s v="C010"/>
    <s v="P999"/>
    <x v="43"/>
    <x v="43"/>
    <s v="Pooja Shah"/>
    <s v="Female"/>
    <d v="2002-07-10T00:00:00"/>
    <s v="Kolkata"/>
    <x v="3"/>
    <x v="0"/>
    <s v="Microwave"/>
    <n v="11"/>
    <n v="8500"/>
    <n v="5"/>
    <n v="88825"/>
    <n v="1"/>
    <s v="UPI"/>
    <s v="Neha"/>
    <s v="pooja.shah@company.com"/>
    <n v="9837969758"/>
    <s v="Cancelled"/>
  </r>
  <r>
    <s v="ORD10350"/>
    <s v="C010"/>
    <s v="P202"/>
    <x v="249"/>
    <x v="257"/>
    <s v="Pooja Shah"/>
    <s v="Female"/>
    <d v="1984-04-18T00:00:00"/>
    <s v="Jaipur"/>
    <x v="1"/>
    <x v="0"/>
    <s v="Iron"/>
    <n v="2"/>
    <n v="2200"/>
    <n v="0"/>
    <n v="4400"/>
    <n v="4"/>
    <s v="UPI"/>
    <s v="Karan"/>
    <s v="pooja.shah@company.com"/>
    <n v="9209736419"/>
    <s v="Pending"/>
  </r>
  <r>
    <s v="ORD10351"/>
    <s v="C007"/>
    <s v="P102"/>
    <x v="250"/>
    <x v="258"/>
    <s v="Arjun Rao"/>
    <s v="Male"/>
    <d v="2003-07-01T00:00:00"/>
    <s v="Mumbai"/>
    <x v="2"/>
    <x v="1"/>
    <s v="Mouse"/>
    <n v="15"/>
    <n v="700"/>
    <n v="15"/>
    <n v="8925"/>
    <n v="3"/>
    <s v="NetBanking"/>
    <s v="Neha"/>
    <s v="arjun.rao@company.com"/>
    <n v="9645907237"/>
    <s v="Completed"/>
  </r>
  <r>
    <s v="ORD10352"/>
    <s v="C003"/>
    <s v="P202"/>
    <x v="251"/>
    <x v="133"/>
    <s v="Rohit Singh"/>
    <s v="Male"/>
    <d v="1992-10-25T00:00:00"/>
    <s v="Ahmedabad"/>
    <x v="2"/>
    <x v="0"/>
    <s v="Iron"/>
    <n v="5"/>
    <n v="2200"/>
    <n v="15"/>
    <n v="9350"/>
    <n v="1"/>
    <s v="NetBanking"/>
    <s v="Neha"/>
    <s v="rohit.singh@company.com"/>
    <n v="9566149945"/>
    <s v="Pending"/>
  </r>
  <r>
    <s v="ORD10353"/>
    <s v="C007"/>
    <s v="P103"/>
    <x v="83"/>
    <x v="245"/>
    <s v="Arjun Rao"/>
    <s v="Male"/>
    <d v="1988-08-05T00:00:00"/>
    <s v="Ahmedabad"/>
    <x v="2"/>
    <x v="1"/>
    <s v="Keyboard"/>
    <n v="15"/>
    <n v="1200"/>
    <n v="0"/>
    <n v="18000"/>
    <n v="3"/>
    <s v="NetBanking"/>
    <s v="Aisha"/>
    <s v="arjun.rao@company.com"/>
    <n v="9935018068"/>
    <s v="Cancelled"/>
  </r>
  <r>
    <s v="ORD10354"/>
    <s v="C006"/>
    <s v="P103"/>
    <x v="14"/>
    <x v="100"/>
    <s v="Sneha Joshi"/>
    <s v="Female"/>
    <d v="1987-06-24T00:00:00"/>
    <s v="Mumbai"/>
    <x v="2"/>
    <x v="1"/>
    <s v="Keyboard"/>
    <n v="19"/>
    <n v="1200"/>
    <n v="0"/>
    <n v="22800"/>
    <n v="1"/>
    <s v="Cash"/>
    <s v="Rahul"/>
    <s v="sneha.joshi@company.com"/>
    <n v="9171794652"/>
    <s v="Cancelled"/>
  </r>
  <r>
    <s v="ORD10355"/>
    <s v="C004"/>
    <s v="P104"/>
    <x v="0"/>
    <x v="259"/>
    <s v="Anita Gupta"/>
    <s v="Female"/>
    <d v="1989-10-19T00:00:00"/>
    <s v="Mumbai"/>
    <x v="2"/>
    <x v="1"/>
    <s v="Monitor"/>
    <n v="9"/>
    <n v="12000"/>
    <n v="15"/>
    <n v="91800"/>
    <n v="3"/>
    <s v="UPI"/>
    <s v="Rahul"/>
    <s v="anita.gupta@company.com"/>
    <n v="9671497416"/>
    <s v="Cancelled"/>
  </r>
  <r>
    <s v="ORD10356"/>
    <s v="C008"/>
    <s v="P303"/>
    <x v="44"/>
    <x v="127"/>
    <s v="Kavya Nair"/>
    <s v="Female"/>
    <d v="1992-05-22T00:00:00"/>
    <s v="Jaipur"/>
    <x v="1"/>
    <x v="2"/>
    <s v="Marker"/>
    <n v="5"/>
    <n v="45"/>
    <n v="5"/>
    <n v="213.75"/>
    <n v="1"/>
    <s v="Card"/>
    <s v="Neha"/>
    <s v="KAvya.nair@company.com"/>
    <n v="9810433484"/>
    <s v="Completed"/>
  </r>
  <r>
    <s v="ORD10357"/>
    <s v="C006"/>
    <s v="P102"/>
    <x v="252"/>
    <x v="260"/>
    <s v="Sneha Joshi"/>
    <s v="Female"/>
    <d v="1989-11-10T00:00:00"/>
    <s v="Mumbai"/>
    <x v="2"/>
    <x v="1"/>
    <s v="Mouse"/>
    <n v="3"/>
    <n v="700"/>
    <n v="15"/>
    <n v="1785"/>
    <n v="4"/>
    <s v="Cash"/>
    <s v="Karan"/>
    <s v="sneha.joshi@company.com"/>
    <n v="9990243436"/>
    <s v="Completed"/>
  </r>
  <r>
    <s v="ORD10358"/>
    <s v="C009"/>
    <s v="P203"/>
    <x v="63"/>
    <x v="156"/>
    <s v="Mohit Verma"/>
    <s v="Male"/>
    <d v="1980-09-03T00:00:00"/>
    <s v="Jaipur"/>
    <x v="1"/>
    <x v="0"/>
    <s v="Microwave"/>
    <n v="12"/>
    <n v="8500"/>
    <n v="5"/>
    <n v="96900"/>
    <n v="3"/>
    <s v="Card"/>
    <s v="Aisha"/>
    <s v="mohit.verma@company.com"/>
    <n v="9396678031"/>
    <s v="Pending"/>
  </r>
  <r>
    <s v="ORD10359"/>
    <s v="C006"/>
    <s v="P203"/>
    <x v="253"/>
    <x v="56"/>
    <s v="Sneha Joshi"/>
    <s v="Female"/>
    <d v="1979-03-06T00:00:00"/>
    <s v="Pune"/>
    <x v="2"/>
    <x v="0"/>
    <s v="Microwave"/>
    <n v="4"/>
    <n v="8500"/>
    <n v="15"/>
    <n v="28900"/>
    <n v="4"/>
    <s v="NetBanking"/>
    <s v="Aisha"/>
    <s v="sneha.joshi@company.com"/>
    <n v="9818591245"/>
    <s v="Pending"/>
  </r>
  <r>
    <s v="ORD10360"/>
    <s v="C003"/>
    <s v="P302"/>
    <x v="21"/>
    <x v="261"/>
    <s v="Rohit Singh"/>
    <s v="Male"/>
    <d v="1996-09-04T00:00:00"/>
    <s v="Jaipur"/>
    <x v="1"/>
    <x v="2"/>
    <s v="Pen"/>
    <n v="16"/>
    <n v="20"/>
    <n v="10"/>
    <n v="288"/>
    <n v="4"/>
    <s v="Cash"/>
    <s v="Neha"/>
    <s v="rohit.singh@company.com"/>
    <n v="9505550047"/>
    <s v="Cancelled"/>
  </r>
  <r>
    <s v="ORD10361"/>
    <s v="C003"/>
    <s v="P301"/>
    <x v="254"/>
    <x v="262"/>
    <s v="Rohit Singh"/>
    <s v="Male"/>
    <d v="1999-03-14T00:00:00"/>
    <s v="Mumbai"/>
    <x v="2"/>
    <x v="2"/>
    <s v="Notebook"/>
    <n v="3"/>
    <n v="60"/>
    <n v="20"/>
    <n v="144"/>
    <n v="4"/>
    <s v="UPI"/>
    <s v="Karan"/>
    <s v="rohit.singh@company.com"/>
    <n v="9469828772"/>
    <s v="Pending"/>
  </r>
  <r>
    <s v="ORD10362"/>
    <s v="C009"/>
    <s v="P202"/>
    <x v="178"/>
    <x v="183"/>
    <s v="Mohit Verma"/>
    <s v="Male"/>
    <d v="1984-10-03T00:00:00"/>
    <s v="Mumbai"/>
    <x v="2"/>
    <x v="0"/>
    <s v="Iron"/>
    <n v="19"/>
    <n v="2200"/>
    <n v="10"/>
    <n v="37620"/>
    <n v="2"/>
    <s v="Cash"/>
    <s v="Karan"/>
    <s v="mohit.verma@company.com"/>
    <n v="9885092680"/>
    <s v="Pending"/>
  </r>
  <r>
    <s v="ORD10363"/>
    <s v="C009"/>
    <s v="P103"/>
    <x v="255"/>
    <x v="87"/>
    <s v="Mohit Verma"/>
    <s v="Male"/>
    <d v="1984-07-09T00:00:00"/>
    <s v="Hyderabad"/>
    <x v="0"/>
    <x v="1"/>
    <s v="Keyboard"/>
    <n v="7"/>
    <n v="1200"/>
    <n v="20"/>
    <n v="6720"/>
    <n v="3"/>
    <s v="Card"/>
    <s v="Neha"/>
    <s v="mohit.verma@company.com"/>
    <n v="9362319457"/>
    <s v="Cancelled"/>
  </r>
  <r>
    <s v="ORD10364"/>
    <s v="C010"/>
    <s v="P302"/>
    <x v="81"/>
    <x v="263"/>
    <s v="Pooja Shah"/>
    <s v="Female"/>
    <d v="1989-03-10T00:00:00"/>
    <s v="Bengaluru"/>
    <x v="0"/>
    <x v="2"/>
    <s v="Pen"/>
    <n v="20"/>
    <n v="20"/>
    <n v="20"/>
    <n v="320"/>
    <n v="5"/>
    <s v="Card"/>
    <s v="Neha"/>
    <s v="pooja.shah@company.com"/>
    <n v="9223945130"/>
    <s v="Pending"/>
  </r>
  <r>
    <s v="ORD10365"/>
    <s v="C002"/>
    <s v="P103"/>
    <x v="256"/>
    <x v="264"/>
    <s v="Priya Patel"/>
    <s v="Female"/>
    <d v="1985-04-19T00:00:00"/>
    <s v="Hyderabad"/>
    <x v="0"/>
    <x v="1"/>
    <s v="Keyboard"/>
    <n v="19"/>
    <n v="1200"/>
    <n v="5"/>
    <n v="21660"/>
    <n v="3"/>
    <s v="Card"/>
    <s v="Ritika"/>
    <s v="priYa.patel@company.com"/>
    <n v="9910804926"/>
    <s v="Pending"/>
  </r>
  <r>
    <s v="ORD10366"/>
    <s v="C010"/>
    <s v="P302"/>
    <x v="257"/>
    <x v="265"/>
    <s v="Pooja Shah"/>
    <s v="Female"/>
    <d v="2003-08-13T00:00:00"/>
    <s v="Hyderabad"/>
    <x v="0"/>
    <x v="2"/>
    <s v="Pen"/>
    <n v="5"/>
    <n v="20"/>
    <n v="0"/>
    <n v="100"/>
    <n v="2"/>
    <s v="UPI"/>
    <s v="Rahul"/>
    <s v="pooja.shah@company.com"/>
    <n v="9274269744"/>
    <s v="Pending"/>
  </r>
  <r>
    <s v="ORD10367"/>
    <s v="C002"/>
    <s v="P303"/>
    <x v="127"/>
    <x v="137"/>
    <s v="Priya Patel"/>
    <s v="Female"/>
    <d v="1983-09-11T00:00:00"/>
    <s v="Jaipur"/>
    <x v="1"/>
    <x v="2"/>
    <s v="Marker"/>
    <n v="16"/>
    <n v="45"/>
    <n v="15"/>
    <n v="612"/>
    <n v="5"/>
    <s v="Cash"/>
    <s v="Aisha"/>
    <s v="priYa.patel@company.com"/>
    <n v="9223196101"/>
    <s v="Cancelled"/>
  </r>
  <r>
    <s v="ORD10368"/>
    <s v="C008"/>
    <s v="P202"/>
    <x v="200"/>
    <x v="266"/>
    <s v="Kavya Nair"/>
    <s v="Female"/>
    <d v="1976-06-11T00:00:00"/>
    <s v="Jaipur"/>
    <x v="1"/>
    <x v="0"/>
    <s v="Iron"/>
    <n v="1"/>
    <n v="2200"/>
    <n v="10"/>
    <n v="1980"/>
    <n v="5"/>
    <s v="Card"/>
    <s v="Rahul"/>
    <s v="KAvya.nair@company.com"/>
    <n v="9888477457"/>
    <s v="Completed"/>
  </r>
  <r>
    <s v="ORD10369"/>
    <s v="C010"/>
    <s v="P301"/>
    <x v="141"/>
    <x v="267"/>
    <s v="Pooja Shah"/>
    <s v="Female"/>
    <d v="1987-01-04T00:00:00"/>
    <s v="Hyderabad"/>
    <x v="0"/>
    <x v="2"/>
    <s v="Notebook"/>
    <n v="19"/>
    <n v="60"/>
    <n v="15"/>
    <n v="969"/>
    <n v="4"/>
    <s v="NetBanking"/>
    <s v="Neha"/>
    <s v="pooja.shah@company.com"/>
    <n v="9435947486"/>
    <s v="Cancelled"/>
  </r>
  <r>
    <s v="ORD10370"/>
    <s v="C001"/>
    <s v="P101"/>
    <x v="258"/>
    <x v="268"/>
    <s v="Amit Sharma"/>
    <s v="Male"/>
    <d v="1992-05-14T00:00:00"/>
    <s v="Delhi"/>
    <x v="1"/>
    <x v="1"/>
    <s v="Laptop"/>
    <n v="15"/>
    <n v="55000"/>
    <n v="0"/>
    <n v="825000"/>
    <n v="5"/>
    <s v="Card"/>
    <s v="Neha"/>
    <s v="amit.sharma@company.com"/>
    <n v="9411668831"/>
    <s v="Cancelled"/>
  </r>
  <r>
    <s v="ORD10371"/>
    <s v="C009"/>
    <s v="P303"/>
    <x v="228"/>
    <x v="269"/>
    <s v="Mohit Verma"/>
    <s v="Male"/>
    <d v="1989-05-03T00:00:00"/>
    <s v="Bengaluru"/>
    <x v="0"/>
    <x v="2"/>
    <s v="Marker"/>
    <n v="11"/>
    <n v="45"/>
    <n v="5"/>
    <n v="470.25"/>
    <n v="5"/>
    <s v="NetBanking"/>
    <s v="Karan"/>
    <s v="mohit.verma@company.com"/>
    <n v="9523682403"/>
    <s v="Completed"/>
  </r>
  <r>
    <s v="ORD10372"/>
    <s v="C006"/>
    <s v="P302"/>
    <x v="259"/>
    <x v="270"/>
    <s v="Sneha Joshi"/>
    <s v="Female"/>
    <d v="1990-12-19T00:00:00"/>
    <s v="Jaipur"/>
    <x v="1"/>
    <x v="2"/>
    <s v="Pen"/>
    <n v="9"/>
    <n v="20"/>
    <n v="10"/>
    <n v="162"/>
    <n v="1"/>
    <s v="Card"/>
    <s v="Rahul"/>
    <s v="sneha.joshi@company.com"/>
    <n v="9652936744"/>
    <s v="Cancelled"/>
  </r>
  <r>
    <s v="ORD10373"/>
    <s v="C004"/>
    <s v="P303"/>
    <x v="101"/>
    <x v="159"/>
    <s v="Anita Gupta"/>
    <s v="Female"/>
    <d v="1995-07-09T00:00:00"/>
    <s v="Bengaluru"/>
    <x v="0"/>
    <x v="2"/>
    <s v="Marker"/>
    <n v="5"/>
    <n v="45"/>
    <n v="5"/>
    <n v="213.75"/>
    <n v="3"/>
    <s v="Card"/>
    <s v="Neha"/>
    <s v="anita.gupta@company.com"/>
    <n v="9726464733"/>
    <s v="Pending"/>
  </r>
  <r>
    <s v="ORD10374"/>
    <s v="C007"/>
    <s v="P102"/>
    <x v="260"/>
    <x v="182"/>
    <s v="Arjun Rao"/>
    <s v="Male"/>
    <d v="1998-12-23T00:00:00"/>
    <s v="Hyderabad"/>
    <x v="0"/>
    <x v="1"/>
    <s v="Mouse"/>
    <n v="5"/>
    <n v="700"/>
    <n v="10"/>
    <n v="3150"/>
    <n v="2"/>
    <s v="UPI"/>
    <s v="Rahul"/>
    <s v="arjun.rao@company.com"/>
    <n v="9273520544"/>
    <s v="Completed"/>
  </r>
  <r>
    <s v="ORD10375"/>
    <s v="C005"/>
    <s v="P102"/>
    <x v="261"/>
    <x v="271"/>
    <s v="Vikas Mehta"/>
    <s v="Male"/>
    <d v="1979-12-23T00:00:00"/>
    <s v="Kolkata"/>
    <x v="3"/>
    <x v="1"/>
    <s v="Mouse"/>
    <n v="1"/>
    <n v="700"/>
    <n v="0"/>
    <n v="700"/>
    <n v="1"/>
    <s v="UPI"/>
    <s v="Karan"/>
    <s v="vikas.mehta@company.com"/>
    <n v="9374259988"/>
    <s v="Completed"/>
  </r>
  <r>
    <s v="ORD10376"/>
    <s v="C008"/>
    <s v="P102"/>
    <x v="218"/>
    <x v="150"/>
    <s v="Kavya Nair"/>
    <s v="Female"/>
    <d v="1975-12-15T00:00:00"/>
    <s v="Mumbai"/>
    <x v="2"/>
    <x v="1"/>
    <s v="Mouse"/>
    <n v="13"/>
    <n v="700"/>
    <n v="20"/>
    <n v="7280"/>
    <n v="2"/>
    <s v="Card"/>
    <s v="Ritika"/>
    <s v="KAvya.nair@company.com"/>
    <n v="9538129419"/>
    <s v="Completed"/>
  </r>
  <r>
    <s v="ORD10377"/>
    <s v="C009"/>
    <s v="P104"/>
    <x v="188"/>
    <x v="35"/>
    <s v="Mohit Verma"/>
    <s v="Male"/>
    <d v="1993-05-17T00:00:00"/>
    <s v="Pune"/>
    <x v="2"/>
    <x v="1"/>
    <s v="Monitor"/>
    <n v="20"/>
    <n v="12000"/>
    <n v="0"/>
    <n v="240000"/>
    <n v="2"/>
    <s v="Card"/>
    <s v="Neha"/>
    <s v="mohit.verma@company.com"/>
    <n v="9382815686"/>
    <s v="Completed"/>
  </r>
  <r>
    <s v="ORD10378"/>
    <s v="C007"/>
    <s v="P103"/>
    <x v="193"/>
    <x v="112"/>
    <s v="Arjun Rao"/>
    <s v="Male"/>
    <d v="1976-09-17T00:00:00"/>
    <s v="Kolkata"/>
    <x v="3"/>
    <x v="1"/>
    <s v="Keyboard"/>
    <n v="9"/>
    <n v="1200"/>
    <n v="15"/>
    <n v="9180"/>
    <n v="1"/>
    <s v="UPI"/>
    <s v="Ritika"/>
    <s v="arjun.rao@company.com"/>
    <n v="9450746157"/>
    <s v="Pending"/>
  </r>
  <r>
    <s v="ORD10379"/>
    <s v="C007"/>
    <s v="P302"/>
    <x v="262"/>
    <x v="272"/>
    <s v="Arjun Rao"/>
    <s v="Male"/>
    <d v="1996-12-22T00:00:00"/>
    <s v="Jaipur"/>
    <x v="1"/>
    <x v="2"/>
    <s v="Pen"/>
    <n v="3"/>
    <n v="20"/>
    <n v="15"/>
    <n v="51"/>
    <n v="3"/>
    <s v="Cash"/>
    <s v="Neha"/>
    <s v="arjun.rao@company.com"/>
    <n v="9349012570"/>
    <s v="Pending"/>
  </r>
  <r>
    <s v="ORD10380"/>
    <s v="C006"/>
    <s v="P101"/>
    <x v="167"/>
    <x v="63"/>
    <s v="Sneha Joshi"/>
    <s v="Female"/>
    <d v="1995-12-25T00:00:00"/>
    <s v="Delhi"/>
    <x v="1"/>
    <x v="1"/>
    <s v="Laptop"/>
    <n v="8"/>
    <n v="55000"/>
    <n v="20"/>
    <n v="352000"/>
    <n v="5"/>
    <s v="Card"/>
    <s v="Karan"/>
    <s v="sneha.joshi@company.com"/>
    <n v="9442163790"/>
    <s v="Pending"/>
  </r>
  <r>
    <s v="ORD10381"/>
    <s v="C006"/>
    <s v="P301"/>
    <x v="263"/>
    <x v="3"/>
    <s v="Sneha Joshi"/>
    <s v="Female"/>
    <d v="1985-06-23T00:00:00"/>
    <s v="Delhi"/>
    <x v="1"/>
    <x v="2"/>
    <s v="Notebook"/>
    <n v="17"/>
    <n v="60"/>
    <n v="20"/>
    <n v="816"/>
    <n v="1"/>
    <s v="UPI"/>
    <s v="Ritika"/>
    <s v="sneha.joshi@company.com"/>
    <n v="9953329223"/>
    <s v="Pending"/>
  </r>
  <r>
    <s v="ORD10382"/>
    <s v="C003"/>
    <s v="P302"/>
    <x v="264"/>
    <x v="254"/>
    <s v="Rohit Singh"/>
    <s v="Male"/>
    <d v="1984-02-10T00:00:00"/>
    <s v="Bengaluru"/>
    <x v="0"/>
    <x v="2"/>
    <s v="Pen"/>
    <n v="4"/>
    <n v="20"/>
    <n v="15"/>
    <n v="68"/>
    <n v="3"/>
    <s v="NetBanking"/>
    <s v="Aisha"/>
    <s v="rohit.singh@company.com"/>
    <n v="9202321359"/>
    <s v="Pending"/>
  </r>
  <r>
    <s v="ORD10383"/>
    <s v="C003"/>
    <s v="P202"/>
    <x v="221"/>
    <x v="273"/>
    <s v="Rohit Singh"/>
    <s v="Male"/>
    <d v="2002-04-02T00:00:00"/>
    <s v="Kolkata"/>
    <x v="3"/>
    <x v="0"/>
    <s v="Iron"/>
    <n v="2"/>
    <n v="2200"/>
    <n v="10"/>
    <n v="3960"/>
    <n v="2"/>
    <s v="UPI"/>
    <s v="Rahul"/>
    <s v="rohit.singh@company.com"/>
    <n v="9812564160"/>
    <s v="Pending"/>
  </r>
  <r>
    <s v="ORD10384"/>
    <s v="C005"/>
    <s v="P301"/>
    <x v="64"/>
    <x v="79"/>
    <s v="Vikas Mehta"/>
    <s v="Male"/>
    <d v="2003-07-17T00:00:00"/>
    <s v="Bengaluru"/>
    <x v="0"/>
    <x v="2"/>
    <s v="Notebook"/>
    <n v="5"/>
    <n v="60"/>
    <n v="5"/>
    <n v="285"/>
    <n v="1"/>
    <s v="UPI"/>
    <s v="Ritika"/>
    <s v="vikas.mehta@company.com"/>
    <n v="9688458222"/>
    <s v="Cancelled"/>
  </r>
  <r>
    <s v="ORD10385"/>
    <s v="C003"/>
    <s v="P202"/>
    <x v="265"/>
    <x v="274"/>
    <s v="Rohit Singh"/>
    <s v="Male"/>
    <d v="1991-10-06T00:00:00"/>
    <s v="Delhi"/>
    <x v="1"/>
    <x v="0"/>
    <s v="Iron"/>
    <n v="17"/>
    <n v="2200"/>
    <n v="0"/>
    <n v="37400"/>
    <n v="2"/>
    <s v="UPI"/>
    <s v="Karan"/>
    <s v="rohit.singh@company.com"/>
    <n v="9634473337"/>
    <s v="Cancelled"/>
  </r>
  <r>
    <s v="ORD10386"/>
    <s v="C004"/>
    <s v="P301"/>
    <x v="241"/>
    <x v="275"/>
    <s v="Anita Gupta"/>
    <s v="Female"/>
    <d v="1984-01-05T00:00:00"/>
    <s v="Ahmedabad"/>
    <x v="2"/>
    <x v="2"/>
    <s v="Notebook"/>
    <n v="7"/>
    <n v="60"/>
    <n v="0"/>
    <n v="420"/>
    <n v="2"/>
    <s v="UPI"/>
    <s v="Aisha"/>
    <s v="anita.gupta@company.com"/>
    <n v="9608737026"/>
    <s v="Pending"/>
  </r>
  <r>
    <s v="ORD10387"/>
    <s v="C005"/>
    <s v="P101"/>
    <x v="110"/>
    <x v="276"/>
    <s v="Vikas Mehta"/>
    <s v="Male"/>
    <d v="1975-03-12T00:00:00"/>
    <s v="Hyderabad"/>
    <x v="0"/>
    <x v="1"/>
    <s v="Laptop"/>
    <n v="6"/>
    <n v="55000"/>
    <n v="5"/>
    <n v="313500"/>
    <n v="4"/>
    <s v="Card"/>
    <s v="Aisha"/>
    <s v="vikas.mehta@company.com"/>
    <n v="9804498139"/>
    <s v="Completed"/>
  </r>
  <r>
    <s v="ORD10388"/>
    <s v="C009"/>
    <s v="P302"/>
    <x v="208"/>
    <x v="277"/>
    <s v="Mohit Verma"/>
    <s v="Male"/>
    <d v="1983-03-15T00:00:00"/>
    <s v="Hyderabad"/>
    <x v="0"/>
    <x v="2"/>
    <s v="Pen"/>
    <n v="16"/>
    <n v="20"/>
    <n v="5"/>
    <n v="304"/>
    <n v="1"/>
    <s v="Card"/>
    <s v="Rahul"/>
    <s v="mohit.verma@company.com"/>
    <n v="9798643580"/>
    <s v="Completed"/>
  </r>
  <r>
    <s v="ORD10389"/>
    <s v="C008"/>
    <s v="P202"/>
    <x v="266"/>
    <x v="278"/>
    <s v="Kavya Nair"/>
    <s v="Female"/>
    <d v="1976-04-20T00:00:00"/>
    <s v="Kolkata"/>
    <x v="3"/>
    <x v="0"/>
    <s v="Iron"/>
    <n v="11"/>
    <n v="2200"/>
    <n v="15"/>
    <n v="20570"/>
    <n v="1"/>
    <s v="NetBanking"/>
    <s v="Neha"/>
    <s v="KAvya.nair@company.com"/>
    <n v="9809823278"/>
    <s v="Cancelled"/>
  </r>
  <r>
    <s v="ORD10390"/>
    <s v="C002"/>
    <s v="P302"/>
    <x v="171"/>
    <x v="279"/>
    <s v="Priya Patel"/>
    <s v="Female"/>
    <d v="1986-02-11T00:00:00"/>
    <s v="Pune"/>
    <x v="2"/>
    <x v="2"/>
    <s v="Pen"/>
    <n v="19"/>
    <n v="20"/>
    <n v="5"/>
    <n v="361"/>
    <n v="4"/>
    <s v="UPI"/>
    <s v="Ritika"/>
    <s v="priYa.patel@company.com"/>
    <n v="9177767854"/>
    <s v="Pending"/>
  </r>
  <r>
    <s v="ORD10391"/>
    <s v="C002"/>
    <s v="P103"/>
    <x v="267"/>
    <x v="280"/>
    <s v="Priya Patel"/>
    <s v="Female"/>
    <d v="1978-03-21T00:00:00"/>
    <s v="Pune"/>
    <x v="2"/>
    <x v="1"/>
    <s v="Keyboard"/>
    <n v="20"/>
    <n v="1200"/>
    <n v="15"/>
    <n v="20400"/>
    <n v="4"/>
    <s v="Card"/>
    <s v="Ritika"/>
    <s v="priYa.patel@company.com"/>
    <n v="9643440006"/>
    <s v="Pending"/>
  </r>
  <r>
    <s v="ORD10392"/>
    <s v="C010"/>
    <s v="P302"/>
    <x v="268"/>
    <x v="281"/>
    <s v="Pooja Shah"/>
    <s v="Female"/>
    <d v="1996-07-12T00:00:00"/>
    <s v="Hyderabad"/>
    <x v="0"/>
    <x v="2"/>
    <s v="Pen"/>
    <n v="13"/>
    <n v="20"/>
    <n v="15"/>
    <n v="221"/>
    <n v="4"/>
    <s v="Cash"/>
    <s v="Ritika"/>
    <s v="pooja.shah@company.com"/>
    <n v="9673698825"/>
    <s v="Pending"/>
  </r>
  <r>
    <s v="ORD10393"/>
    <s v="C006"/>
    <s v="P103"/>
    <x v="20"/>
    <x v="20"/>
    <s v="Sneha Joshi"/>
    <s v="Female"/>
    <d v="1992-12-02T00:00:00"/>
    <s v="Delhi"/>
    <x v="1"/>
    <x v="1"/>
    <s v="Keyboard"/>
    <n v="12"/>
    <n v="1200"/>
    <n v="10"/>
    <n v="12960"/>
    <n v="3"/>
    <s v="NetBanking"/>
    <s v="Ritika"/>
    <s v="sneha.joshi@company.com"/>
    <n v="9706238784"/>
    <s v="Pending"/>
  </r>
  <r>
    <s v="ORD10394"/>
    <s v="C002"/>
    <s v="P203"/>
    <x v="269"/>
    <x v="125"/>
    <s v="Priya Patel"/>
    <s v="Female"/>
    <d v="1996-03-23T00:00:00"/>
    <s v="Kolkata"/>
    <x v="3"/>
    <x v="0"/>
    <s v="Microwave"/>
    <n v="6"/>
    <n v="8500"/>
    <n v="5"/>
    <n v="48450"/>
    <n v="5"/>
    <s v="Cash"/>
    <s v="Neha"/>
    <s v="priYa.patel@company.com"/>
    <n v="9132959877"/>
    <s v="Cancelled"/>
  </r>
  <r>
    <s v="ORD10395"/>
    <s v="C008"/>
    <s v="P203"/>
    <x v="207"/>
    <x v="282"/>
    <s v="Kavya Nair"/>
    <s v="Female"/>
    <d v="1994-06-23T00:00:00"/>
    <s v="Ahmedabad"/>
    <x v="2"/>
    <x v="0"/>
    <s v="Microwave"/>
    <n v="15"/>
    <n v="8500"/>
    <n v="10"/>
    <n v="114750"/>
    <n v="1"/>
    <s v="Cash"/>
    <s v="Neha"/>
    <s v="KAvya.nair@company.com"/>
    <n v="9295011645"/>
    <s v="Completed"/>
  </r>
  <r>
    <s v="ORD10396"/>
    <s v="C003"/>
    <s v="P104"/>
    <x v="270"/>
    <x v="283"/>
    <s v="Rohit Singh"/>
    <s v="Male"/>
    <d v="1980-02-02T00:00:00"/>
    <s v="Hyderabad"/>
    <x v="0"/>
    <x v="1"/>
    <s v="Monitor"/>
    <n v="19"/>
    <n v="12000"/>
    <n v="20"/>
    <n v="182400"/>
    <n v="5"/>
    <s v="Cash"/>
    <s v="Neha"/>
    <s v="rohit.singh@company.com"/>
    <n v="9677606427"/>
    <s v="Completed"/>
  </r>
  <r>
    <s v="ORD10397"/>
    <s v="C007"/>
    <s v="P102"/>
    <x v="271"/>
    <x v="284"/>
    <s v="Arjun Rao"/>
    <s v="Male"/>
    <d v="1990-08-24T00:00:00"/>
    <s v="Delhi"/>
    <x v="1"/>
    <x v="1"/>
    <s v="Mouse"/>
    <n v="5"/>
    <n v="700"/>
    <n v="0"/>
    <n v="3500"/>
    <n v="2"/>
    <s v="Card"/>
    <s v="Aisha"/>
    <s v="arjun.rao@company.com"/>
    <n v="9161631566"/>
    <s v="Cancelled"/>
  </r>
  <r>
    <s v="ORD10398"/>
    <s v="C007"/>
    <s v="P104"/>
    <x v="272"/>
    <x v="285"/>
    <s v="Arjun Rao"/>
    <s v="Male"/>
    <d v="1978-12-10T00:00:00"/>
    <s v="Kolkata"/>
    <x v="3"/>
    <x v="1"/>
    <s v="Monitor"/>
    <n v="19"/>
    <n v="12000"/>
    <n v="0"/>
    <n v="228000"/>
    <n v="4"/>
    <s v="UPI"/>
    <s v="Aisha"/>
    <s v="arjun.rao@company.com"/>
    <n v="9136906750"/>
    <s v="Pending"/>
  </r>
  <r>
    <s v="ORD10399"/>
    <s v="C001"/>
    <s v="P102"/>
    <x v="142"/>
    <x v="286"/>
    <s v="Amit Sharma"/>
    <s v="Male"/>
    <d v="1979-09-01T00:00:00"/>
    <s v="Bengaluru"/>
    <x v="0"/>
    <x v="1"/>
    <s v="Mouse"/>
    <n v="12"/>
    <n v="700"/>
    <n v="15"/>
    <n v="7140"/>
    <n v="3"/>
    <s v="Card"/>
    <s v="Ritika"/>
    <s v="amit.sharma@company.com"/>
    <n v="9485286324"/>
    <s v="Completed"/>
  </r>
  <r>
    <s v="ORD10400"/>
    <s v="C008"/>
    <s v="P103"/>
    <x v="273"/>
    <x v="111"/>
    <s v="Kavya Nair"/>
    <s v="Female"/>
    <d v="2001-04-08T00:00:00"/>
    <s v="Delhi"/>
    <x v="1"/>
    <x v="1"/>
    <s v="Keyboard"/>
    <n v="16"/>
    <n v="1200"/>
    <n v="20"/>
    <n v="15360"/>
    <n v="1"/>
    <s v="Cash"/>
    <s v="Rahul"/>
    <s v="KAvya.nair@company.com"/>
    <n v="9414633966"/>
    <s v="Pending"/>
  </r>
  <r>
    <s v="ORD10401"/>
    <s v="C009"/>
    <s v="P203"/>
    <x v="274"/>
    <x v="109"/>
    <s v="Mohit Verma"/>
    <s v="Male"/>
    <d v="1983-01-01T00:00:00"/>
    <s v="Hyderabad"/>
    <x v="0"/>
    <x v="0"/>
    <s v="Microwave"/>
    <n v="10"/>
    <n v="8500"/>
    <n v="5"/>
    <n v="80750"/>
    <n v="5"/>
    <s v="NetBanking"/>
    <s v="Ritika"/>
    <s v="mohit.verma@company.com"/>
    <n v="9833735234"/>
    <s v="Completed"/>
  </r>
  <r>
    <s v="ORD10402"/>
    <s v="C008"/>
    <s v="P302"/>
    <x v="219"/>
    <x v="287"/>
    <s v="Kavya Nair"/>
    <s v="Female"/>
    <d v="1989-08-09T00:00:00"/>
    <s v="Ahmedabad"/>
    <x v="2"/>
    <x v="2"/>
    <s v="Pen"/>
    <n v="18"/>
    <n v="20"/>
    <n v="20"/>
    <n v="288"/>
    <n v="1"/>
    <s v="UPI"/>
    <s v="Ritika"/>
    <s v="KAvya.nair@company.com"/>
    <n v="9523689108"/>
    <s v="Pending"/>
  </r>
  <r>
    <s v="ORD10403"/>
    <s v="C009"/>
    <s v="P203"/>
    <x v="26"/>
    <x v="54"/>
    <s v="Mohit Verma"/>
    <s v="Male"/>
    <d v="1993-10-22T00:00:00"/>
    <s v="Mumbai"/>
    <x v="2"/>
    <x v="0"/>
    <s v="Microwave"/>
    <n v="9"/>
    <n v="8500"/>
    <n v="0"/>
    <n v="76500"/>
    <n v="2"/>
    <s v="Card"/>
    <s v="Ritika"/>
    <s v="mohit.verma@company.com"/>
    <n v="9812909831"/>
    <s v="Pending"/>
  </r>
  <r>
    <s v="ORD10404"/>
    <s v="C008"/>
    <s v="P203"/>
    <x v="262"/>
    <x v="288"/>
    <s v="Kavya Nair"/>
    <s v="Female"/>
    <d v="2000-05-05T00:00:00"/>
    <s v="Mumbai"/>
    <x v="2"/>
    <x v="0"/>
    <s v="Microwave"/>
    <n v="8"/>
    <n v="8500"/>
    <n v="10"/>
    <n v="61200"/>
    <n v="4"/>
    <s v="Cash"/>
    <s v="Neha"/>
    <s v="KAvya.nair@company.com"/>
    <n v="9106290987"/>
    <s v="Cancelled"/>
  </r>
  <r>
    <s v="ORD10405"/>
    <s v="C010"/>
    <s v="P302"/>
    <x v="69"/>
    <x v="289"/>
    <s v="Pooja Shah"/>
    <s v="Female"/>
    <d v="1984-02-18T00:00:00"/>
    <s v="Pune"/>
    <x v="2"/>
    <x v="2"/>
    <s v="Pen"/>
    <n v="3"/>
    <n v="20"/>
    <n v="10"/>
    <n v="54"/>
    <n v="3"/>
    <s v="Card"/>
    <s v="Karan"/>
    <s v="pooja.shah@company.com"/>
    <n v="9767727724"/>
    <s v="Pending"/>
  </r>
  <r>
    <s v="ORD10406"/>
    <s v="C004"/>
    <s v="P203"/>
    <x v="275"/>
    <x v="99"/>
    <s v="Anita Gupta"/>
    <s v="Female"/>
    <d v="1991-06-13T00:00:00"/>
    <s v="Kolkata"/>
    <x v="3"/>
    <x v="0"/>
    <s v="Microwave"/>
    <n v="18"/>
    <n v="8500"/>
    <n v="10"/>
    <n v="137700"/>
    <n v="4"/>
    <s v="Cash"/>
    <s v="Rahul"/>
    <s v="anita.gupta@company.com"/>
    <n v="9865401727"/>
    <s v="Cancelled"/>
  </r>
  <r>
    <s v="ORD10407"/>
    <s v="C010"/>
    <s v="P303"/>
    <x v="37"/>
    <x v="169"/>
    <s v="Pooja Shah"/>
    <s v="Female"/>
    <d v="1996-05-19T00:00:00"/>
    <s v="Pune"/>
    <x v="2"/>
    <x v="2"/>
    <s v="Marker"/>
    <n v="5"/>
    <n v="45"/>
    <n v="10"/>
    <n v="202.5"/>
    <n v="3"/>
    <s v="Cash"/>
    <s v="Neha"/>
    <s v="pooja.shah@company.com"/>
    <n v="9603848571"/>
    <s v="Pending"/>
  </r>
  <r>
    <s v="ORD10408"/>
    <s v="C009"/>
    <s v="P303"/>
    <x v="108"/>
    <x v="105"/>
    <s v="Mohit Verma"/>
    <s v="Male"/>
    <d v="1992-05-23T00:00:00"/>
    <s v="Mumbai"/>
    <x v="2"/>
    <x v="2"/>
    <s v="Marker"/>
    <n v="2"/>
    <n v="45"/>
    <n v="20"/>
    <n v="72"/>
    <n v="5"/>
    <s v="UPI"/>
    <s v="Aisha"/>
    <s v="mohit.verma@company.com"/>
    <n v="9101231789"/>
    <s v="Cancelled"/>
  </r>
  <r>
    <s v="ORD10409"/>
    <s v="C002"/>
    <s v="P303"/>
    <x v="276"/>
    <x v="290"/>
    <s v="Priya Patel"/>
    <s v="Female"/>
    <d v="1988-06-15T00:00:00"/>
    <s v="Hyderabad"/>
    <x v="0"/>
    <x v="2"/>
    <s v="Marker"/>
    <n v="18"/>
    <n v="45"/>
    <n v="10"/>
    <n v="729"/>
    <n v="2"/>
    <s v="NetBanking"/>
    <s v="Neha"/>
    <s v="priYa.patel@company.com"/>
    <n v="9485017802"/>
    <s v="Pending"/>
  </r>
  <r>
    <s v="ORD10410"/>
    <s v="C003"/>
    <s v="P103"/>
    <x v="65"/>
    <x v="22"/>
    <s v="Rohit Singh"/>
    <s v="Male"/>
    <d v="1993-07-22T00:00:00"/>
    <s v="Kolkata"/>
    <x v="3"/>
    <x v="1"/>
    <s v="Keyboard"/>
    <n v="13"/>
    <n v="1200"/>
    <n v="5"/>
    <n v="14820"/>
    <n v="4"/>
    <s v="Card"/>
    <s v="Neha"/>
    <s v="rohit.singh@company.com"/>
    <n v="9815464650"/>
    <s v="Completed"/>
  </r>
  <r>
    <s v="ORD10411"/>
    <s v="C008"/>
    <s v="P302"/>
    <x v="277"/>
    <x v="291"/>
    <s v="Kavya Nair"/>
    <s v="Female"/>
    <d v="2004-02-03T00:00:00"/>
    <s v="Hyderabad"/>
    <x v="0"/>
    <x v="2"/>
    <s v="Pen"/>
    <n v="14"/>
    <n v="20"/>
    <n v="20"/>
    <n v="224"/>
    <n v="5"/>
    <s v="UPI"/>
    <s v="Rahul"/>
    <s v="KAvya.nair@company.com"/>
    <n v="9860715839"/>
    <s v="Pending"/>
  </r>
  <r>
    <s v="ORD10412"/>
    <s v="C002"/>
    <s v="P201"/>
    <x v="278"/>
    <x v="274"/>
    <s v="Priya Patel"/>
    <s v="Female"/>
    <d v="1978-12-23T00:00:00"/>
    <s v="Hyderabad"/>
    <x v="0"/>
    <x v="0"/>
    <s v="Mixer"/>
    <n v="16"/>
    <n v="3500"/>
    <n v="15"/>
    <n v="47600"/>
    <n v="3"/>
    <s v="UPI"/>
    <s v="Aisha"/>
    <s v="priYa.patel@company.com"/>
    <n v="9207561051"/>
    <s v="Cancelled"/>
  </r>
  <r>
    <s v="ORD10413"/>
    <s v="C006"/>
    <s v="P302"/>
    <x v="157"/>
    <x v="184"/>
    <s v="Sneha Joshi"/>
    <s v="Female"/>
    <d v="1993-10-15T00:00:00"/>
    <s v="Bengaluru"/>
    <x v="0"/>
    <x v="2"/>
    <s v="Pen"/>
    <n v="20"/>
    <n v="20"/>
    <n v="15"/>
    <n v="340"/>
    <n v="1"/>
    <s v="NetBanking"/>
    <s v="Aisha"/>
    <s v="sneha.joshi@company.com"/>
    <n v="9159894508"/>
    <s v="Cancelled"/>
  </r>
  <r>
    <s v="ORD10414"/>
    <s v="C004"/>
    <s v="P101"/>
    <x v="102"/>
    <x v="102"/>
    <s v="Anita Gupta"/>
    <s v="Female"/>
    <d v="1979-12-12T00:00:00"/>
    <s v="Ahmedabad"/>
    <x v="2"/>
    <x v="1"/>
    <s v="Laptop"/>
    <n v="1"/>
    <n v="55000"/>
    <n v="15"/>
    <n v="46750"/>
    <n v="2"/>
    <s v="UPI"/>
    <s v="Neha"/>
    <s v="anita.gupta@company.com"/>
    <n v="9531465024"/>
    <s v="Cancelled"/>
  </r>
  <r>
    <s v="ORD10415"/>
    <s v="C002"/>
    <s v="P301"/>
    <x v="271"/>
    <x v="94"/>
    <s v="Priya Patel"/>
    <s v="Female"/>
    <d v="2002-05-24T00:00:00"/>
    <s v="Ahmedabad"/>
    <x v="2"/>
    <x v="2"/>
    <s v="Notebook"/>
    <n v="15"/>
    <n v="60"/>
    <n v="5"/>
    <n v="855"/>
    <n v="4"/>
    <s v="NetBanking"/>
    <s v="Aisha"/>
    <s v="priYa.patel@company.com"/>
    <n v="9158813608"/>
    <s v="Completed"/>
  </r>
  <r>
    <s v="ORD10416"/>
    <s v="C007"/>
    <s v="P102"/>
    <x v="279"/>
    <x v="292"/>
    <s v="Arjun Rao"/>
    <s v="Male"/>
    <d v="1976-03-09T00:00:00"/>
    <s v="Mumbai"/>
    <x v="2"/>
    <x v="1"/>
    <s v="Mouse"/>
    <n v="15"/>
    <n v="700"/>
    <n v="0"/>
    <n v="10500"/>
    <n v="5"/>
    <s v="NetBanking"/>
    <s v="Neha"/>
    <s v="arjun.rao@company.com"/>
    <n v="9308461700"/>
    <s v="Completed"/>
  </r>
  <r>
    <s v="ORD10417"/>
    <s v="C005"/>
    <s v="P104"/>
    <x v="242"/>
    <x v="293"/>
    <s v="Vikas Mehta"/>
    <s v="Male"/>
    <d v="1980-09-20T00:00:00"/>
    <s v="Kolkata"/>
    <x v="3"/>
    <x v="1"/>
    <s v="Monitor"/>
    <n v="13"/>
    <n v="12000"/>
    <n v="10"/>
    <n v="140400"/>
    <n v="1"/>
    <s v="Cash"/>
    <s v="Karan"/>
    <s v="vikas.mehta@company.com"/>
    <n v="9882279049"/>
    <s v="Cancelled"/>
  </r>
  <r>
    <s v="ORD10418"/>
    <s v="C007"/>
    <s v="P104"/>
    <x v="280"/>
    <x v="294"/>
    <s v="Arjun Rao"/>
    <s v="Male"/>
    <d v="1988-06-24T00:00:00"/>
    <s v="Hyderabad"/>
    <x v="0"/>
    <x v="1"/>
    <s v="Monitor"/>
    <n v="12"/>
    <n v="12000"/>
    <n v="20"/>
    <n v="115200"/>
    <n v="2"/>
    <s v="Cash"/>
    <s v="Ritika"/>
    <s v="arjun.rao@company.com"/>
    <n v="9961801338"/>
    <s v="Completed"/>
  </r>
  <r>
    <s v="ORD10419"/>
    <s v="C007"/>
    <s v="P303"/>
    <x v="8"/>
    <x v="295"/>
    <s v="Arjun Rao"/>
    <s v="Male"/>
    <d v="2003-06-11T00:00:00"/>
    <s v="Mumbai"/>
    <x v="2"/>
    <x v="2"/>
    <s v="Marker"/>
    <n v="10"/>
    <n v="45"/>
    <n v="0"/>
    <n v="450"/>
    <n v="5"/>
    <s v="Card"/>
    <s v="Neha"/>
    <s v="arjun.rao@company.com"/>
    <n v="9853525026"/>
    <s v="Cancelled"/>
  </r>
  <r>
    <s v="ORD10420"/>
    <s v="C003"/>
    <s v="P103"/>
    <x v="1"/>
    <x v="163"/>
    <s v="Rohit Singh"/>
    <s v="Male"/>
    <d v="1981-12-10T00:00:00"/>
    <s v="Mumbai"/>
    <x v="2"/>
    <x v="1"/>
    <s v="Keyboard"/>
    <n v="20"/>
    <n v="1200"/>
    <n v="20"/>
    <n v="19200"/>
    <n v="5"/>
    <s v="NetBanking"/>
    <s v="Aisha"/>
    <s v="rohit.singh@company.com"/>
    <n v="9209649485"/>
    <s v="Cancelled"/>
  </r>
  <r>
    <s v="ORD10421"/>
    <s v="C009"/>
    <s v="P103"/>
    <x v="9"/>
    <x v="296"/>
    <s v="Mohit Verma"/>
    <s v="Male"/>
    <d v="1975-02-24T00:00:00"/>
    <s v="Pune"/>
    <x v="2"/>
    <x v="1"/>
    <s v="Keyboard"/>
    <n v="8"/>
    <n v="1200"/>
    <n v="10"/>
    <n v="8640"/>
    <n v="4"/>
    <s v="NetBanking"/>
    <s v="Aisha"/>
    <s v="mohit.verma@company.com"/>
    <n v="9712905525"/>
    <s v="Completed"/>
  </r>
  <r>
    <s v="ORD10422"/>
    <s v="C003"/>
    <s v="P103"/>
    <x v="174"/>
    <x v="180"/>
    <s v="Rohit Singh"/>
    <s v="Male"/>
    <d v="1977-09-27T00:00:00"/>
    <s v="Jaipur"/>
    <x v="1"/>
    <x v="1"/>
    <s v="Keyboard"/>
    <n v="8"/>
    <n v="1200"/>
    <n v="10"/>
    <n v="8640"/>
    <n v="5"/>
    <s v="Card"/>
    <s v="Rahul"/>
    <s v="rohit.singh@company.com"/>
    <n v="9812472447"/>
    <s v="Cancelled"/>
  </r>
  <r>
    <s v="ORD10423"/>
    <s v="C001"/>
    <s v="P202"/>
    <x v="281"/>
    <x v="238"/>
    <s v="Amit Sharma"/>
    <s v="Male"/>
    <d v="1987-12-25T00:00:00"/>
    <s v="Jaipur"/>
    <x v="1"/>
    <x v="0"/>
    <s v="Iron"/>
    <n v="9"/>
    <n v="2200"/>
    <n v="20"/>
    <n v="15840"/>
    <n v="1"/>
    <s v="NetBanking"/>
    <s v="Neha"/>
    <s v="amit.sharma@company.com"/>
    <n v="9281127052"/>
    <s v="Completed"/>
  </r>
  <r>
    <s v="ORD10424"/>
    <s v="C003"/>
    <s v="P302"/>
    <x v="282"/>
    <x v="227"/>
    <s v="Rohit Singh"/>
    <s v="Male"/>
    <d v="2001-03-23T00:00:00"/>
    <s v="Kolkata"/>
    <x v="3"/>
    <x v="2"/>
    <s v="Pen"/>
    <n v="8"/>
    <n v="20"/>
    <n v="20"/>
    <n v="128"/>
    <n v="4"/>
    <s v="Cash"/>
    <s v="Ritika"/>
    <s v="rohit.singh@company.com"/>
    <n v="9346312555"/>
    <s v="Cancelled"/>
  </r>
  <r>
    <s v="ORD10425"/>
    <s v="C005"/>
    <s v="P101"/>
    <x v="283"/>
    <x v="297"/>
    <s v="Vikas Mehta"/>
    <s v="Male"/>
    <d v="1982-09-22T00:00:00"/>
    <s v="Pune"/>
    <x v="2"/>
    <x v="1"/>
    <s v="Laptop"/>
    <n v="5"/>
    <n v="55000"/>
    <n v="0"/>
    <n v="275000"/>
    <n v="1"/>
    <s v="Card"/>
    <s v="Neha"/>
    <s v="vikas.mehta@company.com"/>
    <n v="9443786067"/>
    <s v="Completed"/>
  </r>
  <r>
    <s v="ORD10426"/>
    <s v="C002"/>
    <s v="P103"/>
    <x v="284"/>
    <x v="98"/>
    <s v="Priya Patel"/>
    <s v="Female"/>
    <d v="1986-09-15T00:00:00"/>
    <s v="Mumbai"/>
    <x v="2"/>
    <x v="1"/>
    <s v="Keyboard"/>
    <n v="13"/>
    <n v="1200"/>
    <n v="5"/>
    <n v="14820"/>
    <n v="2"/>
    <s v="Card"/>
    <s v="Ritika"/>
    <s v="priYa.patel@company.com"/>
    <n v="9452540528"/>
    <s v="Cancelled"/>
  </r>
  <r>
    <s v="ORD10427"/>
    <s v="C007"/>
    <s v="P203"/>
    <x v="236"/>
    <x v="298"/>
    <s v="Arjun Rao"/>
    <s v="Male"/>
    <d v="2002-12-12T00:00:00"/>
    <s v="Jaipur"/>
    <x v="1"/>
    <x v="0"/>
    <s v="Microwave"/>
    <n v="13"/>
    <n v="8500"/>
    <n v="20"/>
    <n v="88400"/>
    <n v="5"/>
    <s v="Cash"/>
    <s v="Rahul"/>
    <s v="arjun.rao@company.com"/>
    <n v="9750918728"/>
    <s v="Pending"/>
  </r>
  <r>
    <s v="ORD10428"/>
    <s v="C009"/>
    <s v="P301"/>
    <x v="121"/>
    <x v="299"/>
    <s v="Mohit Verma"/>
    <s v="Male"/>
    <d v="1998-09-15T00:00:00"/>
    <s v="Pune"/>
    <x v="2"/>
    <x v="2"/>
    <s v="Notebook"/>
    <n v="14"/>
    <n v="60"/>
    <n v="10"/>
    <n v="756"/>
    <n v="1"/>
    <s v="Cash"/>
    <s v="Aisha"/>
    <s v="mohit.verma@company.com"/>
    <n v="9375975834"/>
    <s v="Cancelled"/>
  </r>
  <r>
    <s v="ORD10429"/>
    <s v="C006"/>
    <s v="P202"/>
    <x v="158"/>
    <x v="91"/>
    <s v="Sneha Joshi"/>
    <s v="Female"/>
    <d v="1985-10-17T00:00:00"/>
    <s v="Bengaluru"/>
    <x v="0"/>
    <x v="0"/>
    <s v="Iron"/>
    <n v="15"/>
    <n v="2200"/>
    <n v="0"/>
    <n v="33000"/>
    <n v="1"/>
    <s v="Cash"/>
    <s v="Aisha"/>
    <s v="sneha.joshi@company.com"/>
    <n v="9497321112"/>
    <s v="Completed"/>
  </r>
  <r>
    <s v="ORD10430"/>
    <s v="C007"/>
    <s v="P301"/>
    <x v="285"/>
    <x v="300"/>
    <s v="Arjun Rao"/>
    <s v="Male"/>
    <d v="1995-08-15T00:00:00"/>
    <s v="Jaipur"/>
    <x v="1"/>
    <x v="2"/>
    <s v="Notebook"/>
    <n v="19"/>
    <n v="60"/>
    <n v="20"/>
    <n v="912"/>
    <n v="3"/>
    <s v="Cash"/>
    <s v="Karan"/>
    <s v="arjun.rao@company.com"/>
    <n v="9828749888"/>
    <s v="Pending"/>
  </r>
  <r>
    <s v="ORD10431"/>
    <s v="C010"/>
    <s v="P303"/>
    <x v="286"/>
    <x v="42"/>
    <s v="Pooja Shah"/>
    <s v="Female"/>
    <d v="1985-08-27T00:00:00"/>
    <s v="Jaipur"/>
    <x v="1"/>
    <x v="2"/>
    <s v="Marker"/>
    <n v="13"/>
    <n v="45"/>
    <n v="15"/>
    <n v="497.25"/>
    <n v="2"/>
    <s v="Cash"/>
    <s v="Rahul"/>
    <s v="pooja.shah@company.com"/>
    <n v="9814267382"/>
    <s v="Completed"/>
  </r>
  <r>
    <s v="ORD10432"/>
    <s v="C006"/>
    <s v="P104"/>
    <x v="287"/>
    <x v="191"/>
    <s v="Sneha Joshi"/>
    <s v="Female"/>
    <d v="1975-06-05T00:00:00"/>
    <s v="Mumbai"/>
    <x v="2"/>
    <x v="1"/>
    <s v="Monitor"/>
    <n v="7"/>
    <n v="12000"/>
    <n v="5"/>
    <n v="79800"/>
    <n v="4"/>
    <s v="Card"/>
    <s v="Karan"/>
    <s v="sneha.joshi@company.com"/>
    <n v="9937007439"/>
    <s v="Cancelled"/>
  </r>
  <r>
    <s v="ORD10433"/>
    <s v="C001"/>
    <s v="P302"/>
    <x v="254"/>
    <x v="45"/>
    <s v="Amit Sharma"/>
    <s v="Male"/>
    <d v="1997-03-25T00:00:00"/>
    <s v="Kolkata"/>
    <x v="3"/>
    <x v="2"/>
    <s v="Pen"/>
    <n v="8"/>
    <n v="20"/>
    <n v="0"/>
    <n v="160"/>
    <n v="4"/>
    <s v="Card"/>
    <s v="Aisha"/>
    <s v="amit.sharma@company.com"/>
    <n v="9657513435"/>
    <s v="Pending"/>
  </r>
  <r>
    <s v="ORD10434"/>
    <s v="C008"/>
    <s v="P201"/>
    <x v="288"/>
    <x v="290"/>
    <s v="Kavya Nair"/>
    <s v="Female"/>
    <d v="1997-04-18T00:00:00"/>
    <s v="Kolkata"/>
    <x v="3"/>
    <x v="0"/>
    <s v="Mixer"/>
    <n v="16"/>
    <n v="3500"/>
    <n v="5"/>
    <n v="53200"/>
    <n v="1"/>
    <s v="Card"/>
    <s v="Aisha"/>
    <s v="KAvya.nair@company.com"/>
    <n v="9999406260"/>
    <s v="Cancelled"/>
  </r>
  <r>
    <s v="ORD10435"/>
    <s v="C001"/>
    <s v="P203"/>
    <x v="5"/>
    <x v="193"/>
    <s v="Amit Sharma"/>
    <s v="Male"/>
    <d v="1999-05-28T00:00:00"/>
    <s v="Mumbai"/>
    <x v="2"/>
    <x v="0"/>
    <s v="Microwave"/>
    <n v="12"/>
    <n v="8500"/>
    <n v="10"/>
    <n v="91800"/>
    <n v="3"/>
    <s v="Card"/>
    <s v="Ritika"/>
    <s v="amit.sharma@company.com"/>
    <n v="9233727886"/>
    <s v="Completed"/>
  </r>
  <r>
    <s v="ORD10436"/>
    <s v="C008"/>
    <s v="P301"/>
    <x v="289"/>
    <x v="301"/>
    <s v="Kavya Nair"/>
    <s v="Female"/>
    <d v="1983-06-25T00:00:00"/>
    <s v="Ahmedabad"/>
    <x v="2"/>
    <x v="2"/>
    <s v="Notebook"/>
    <n v="1"/>
    <n v="60"/>
    <n v="20"/>
    <n v="48"/>
    <n v="2"/>
    <s v="Card"/>
    <s v="Karan"/>
    <s v="KAvya.nair@company.com"/>
    <n v="9831688801"/>
    <s v="Completed"/>
  </r>
  <r>
    <s v="ORD10437"/>
    <s v="C003"/>
    <s v="P301"/>
    <x v="74"/>
    <x v="78"/>
    <s v="Rohit Singh"/>
    <s v="Male"/>
    <d v="1993-01-26T00:00:00"/>
    <s v="Hyderabad"/>
    <x v="0"/>
    <x v="2"/>
    <s v="Notebook"/>
    <n v="3"/>
    <n v="60"/>
    <n v="15"/>
    <n v="153"/>
    <n v="4"/>
    <s v="Card"/>
    <s v="Ritika"/>
    <s v="rohit.singh@company.com"/>
    <n v="9982849508"/>
    <s v="Completed"/>
  </r>
  <r>
    <s v="ORD10438"/>
    <s v="C002"/>
    <s v="P102"/>
    <x v="290"/>
    <x v="148"/>
    <s v="Priya Patel"/>
    <s v="Female"/>
    <d v="1979-03-03T00:00:00"/>
    <s v="Kolkata"/>
    <x v="3"/>
    <x v="1"/>
    <s v="Mouse"/>
    <n v="10"/>
    <n v="700"/>
    <n v="15"/>
    <n v="5950"/>
    <n v="3"/>
    <s v="NetBanking"/>
    <s v="Ritika"/>
    <s v="priYa.patel@company.com"/>
    <n v="9288309246"/>
    <s v="Pending"/>
  </r>
  <r>
    <s v="ORD10439"/>
    <s v="C007"/>
    <s v="P302"/>
    <x v="291"/>
    <x v="302"/>
    <s v="Arjun Rao"/>
    <s v="Male"/>
    <d v="1976-09-13T00:00:00"/>
    <s v="Ahmedabad"/>
    <x v="2"/>
    <x v="2"/>
    <s v="Pen"/>
    <n v="2"/>
    <n v="20"/>
    <n v="10"/>
    <n v="36"/>
    <n v="2"/>
    <s v="UPI"/>
    <s v="Aisha"/>
    <s v="arjun.rao@company.com"/>
    <n v="9808476235"/>
    <s v="Completed"/>
  </r>
  <r>
    <s v="ORD10440"/>
    <s v="C007"/>
    <s v="P302"/>
    <x v="292"/>
    <x v="201"/>
    <s v="Arjun Rao"/>
    <s v="Male"/>
    <d v="1991-07-27T00:00:00"/>
    <s v="Delhi"/>
    <x v="1"/>
    <x v="2"/>
    <s v="Pen"/>
    <n v="14"/>
    <n v="20"/>
    <n v="20"/>
    <n v="224"/>
    <n v="5"/>
    <s v="Cash"/>
    <s v="Karan"/>
    <s v="arjun.rao@company.com"/>
    <n v="9869056117"/>
    <s v="Pending"/>
  </r>
  <r>
    <s v="ORD10441"/>
    <s v="C001"/>
    <s v="P201"/>
    <x v="293"/>
    <x v="303"/>
    <s v="Amit Sharma"/>
    <s v="Male"/>
    <d v="1987-10-25T00:00:00"/>
    <s v="Ahmedabad"/>
    <x v="2"/>
    <x v="0"/>
    <s v="Mixer"/>
    <n v="4"/>
    <n v="3500"/>
    <n v="0"/>
    <n v="14000"/>
    <n v="2"/>
    <s v="UPI"/>
    <s v="Ritika"/>
    <s v="amit.sharma@company.com"/>
    <n v="9734229772"/>
    <s v="Cancelled"/>
  </r>
  <r>
    <s v="ORD10442"/>
    <s v="C007"/>
    <s v="P201"/>
    <x v="39"/>
    <x v="304"/>
    <s v="Arjun Rao"/>
    <s v="Male"/>
    <d v="1983-11-09T00:00:00"/>
    <s v="Jaipur"/>
    <x v="1"/>
    <x v="0"/>
    <s v="Mixer"/>
    <n v="9"/>
    <n v="3500"/>
    <n v="5"/>
    <n v="29925"/>
    <n v="3"/>
    <s v="Card"/>
    <s v="Aisha"/>
    <s v="arjun.rao@company.com"/>
    <n v="9791617906"/>
    <s v="Completed"/>
  </r>
  <r>
    <s v="ORD10443"/>
    <s v="C003"/>
    <s v="P301"/>
    <x v="108"/>
    <x v="305"/>
    <s v="Rohit Singh"/>
    <s v="Male"/>
    <d v="1983-12-28T00:00:00"/>
    <s v="Mumbai"/>
    <x v="2"/>
    <x v="2"/>
    <s v="Notebook"/>
    <n v="9"/>
    <n v="60"/>
    <n v="0"/>
    <n v="540"/>
    <n v="3"/>
    <s v="UPI"/>
    <s v="Ritika"/>
    <s v="rohit.singh@company.com"/>
    <n v="9286316823"/>
    <s v="Pending"/>
  </r>
  <r>
    <s v="ORD10444"/>
    <s v="C004"/>
    <s v="P103"/>
    <x v="294"/>
    <x v="306"/>
    <s v="Anita Gupta"/>
    <s v="Female"/>
    <d v="1992-09-15T00:00:00"/>
    <s v="Ahmedabad"/>
    <x v="2"/>
    <x v="1"/>
    <s v="Keyboard"/>
    <n v="4"/>
    <n v="1200"/>
    <n v="0"/>
    <n v="4800"/>
    <n v="1"/>
    <s v="NetBanking"/>
    <s v="Aisha"/>
    <s v="anita.gupta@company.com"/>
    <n v="9810569252"/>
    <s v="Completed"/>
  </r>
  <r>
    <s v="ORD10445"/>
    <s v="C010"/>
    <s v="P101"/>
    <x v="257"/>
    <x v="265"/>
    <s v="Pooja Shah"/>
    <s v="Female"/>
    <d v="1999-08-09T00:00:00"/>
    <s v="Hyderabad"/>
    <x v="0"/>
    <x v="1"/>
    <s v="Laptop"/>
    <n v="10"/>
    <n v="55000"/>
    <n v="5"/>
    <n v="522500"/>
    <n v="5"/>
    <s v="UPI"/>
    <s v="Neha"/>
    <s v="pooja.shah@company.com"/>
    <n v="9771745925"/>
    <s v="Completed"/>
  </r>
  <r>
    <s v="ORD10446"/>
    <s v="C005"/>
    <s v="P303"/>
    <x v="295"/>
    <x v="307"/>
    <s v="Vikas Mehta"/>
    <s v="Male"/>
    <d v="1990-02-27T00:00:00"/>
    <s v="Hyderabad"/>
    <x v="0"/>
    <x v="2"/>
    <s v="Marker"/>
    <n v="20"/>
    <n v="45"/>
    <n v="15"/>
    <n v="765"/>
    <n v="2"/>
    <s v="Card"/>
    <s v="Ritika"/>
    <s v="vikas.mehta@company.com"/>
    <n v="9820683063"/>
    <s v="Cancelled"/>
  </r>
  <r>
    <s v="ORD10447"/>
    <s v="C008"/>
    <s v="P302"/>
    <x v="296"/>
    <x v="117"/>
    <s v="Kavya Nair"/>
    <s v="Female"/>
    <d v="1994-03-27T00:00:00"/>
    <s v="Mumbai"/>
    <x v="2"/>
    <x v="2"/>
    <s v="Pen"/>
    <n v="9"/>
    <n v="20"/>
    <n v="20"/>
    <n v="144"/>
    <n v="3"/>
    <s v="Card"/>
    <s v="Aisha"/>
    <s v="KAvya.nair@company.com"/>
    <n v="9292891941"/>
    <s v="Completed"/>
  </r>
  <r>
    <s v="ORD10448"/>
    <s v="C008"/>
    <s v="P101"/>
    <x v="297"/>
    <x v="223"/>
    <s v="Kavya Nair"/>
    <s v="Female"/>
    <d v="1980-06-11T00:00:00"/>
    <s v="Pune"/>
    <x v="2"/>
    <x v="1"/>
    <s v="Laptop"/>
    <n v="8"/>
    <n v="55000"/>
    <n v="0"/>
    <n v="440000"/>
    <n v="4"/>
    <s v="Cash"/>
    <s v="Neha"/>
    <s v="KAvya.nair@company.com"/>
    <n v="9413789556"/>
    <s v="Completed"/>
  </r>
  <r>
    <s v="ORD10449"/>
    <s v="C001"/>
    <s v="P103"/>
    <x v="298"/>
    <x v="235"/>
    <s v="Amit Sharma"/>
    <s v="Male"/>
    <d v="2000-06-10T00:00:00"/>
    <s v="Ahmedabad"/>
    <x v="2"/>
    <x v="1"/>
    <s v="Keyboard"/>
    <n v="4"/>
    <n v="1200"/>
    <n v="10"/>
    <n v="4320"/>
    <n v="4"/>
    <s v="UPI"/>
    <s v="Ritika"/>
    <s v="amit.sharma@company.com"/>
    <n v="98765"/>
    <s v="Cancelled"/>
  </r>
  <r>
    <s v="ORD10450"/>
    <s v="C001"/>
    <s v="P203"/>
    <x v="130"/>
    <x v="206"/>
    <s v="Amit Sharma"/>
    <s v="Male"/>
    <d v="1998-04-21T00:00:00"/>
    <s v="Kolkata"/>
    <x v="3"/>
    <x v="0"/>
    <s v="Microwave"/>
    <n v="14"/>
    <n v="8500"/>
    <n v="10"/>
    <n v="107100"/>
    <n v="4"/>
    <s v="Cash"/>
    <s v="Ritika"/>
    <s v="amit.sharma@company.com"/>
    <n v="9211936331"/>
    <s v="Completed"/>
  </r>
  <r>
    <s v="ORD10451"/>
    <s v="C009"/>
    <s v="P303"/>
    <x v="108"/>
    <x v="308"/>
    <s v="Mohit Verma"/>
    <s v="Male"/>
    <d v="1984-05-10T00:00:00"/>
    <s v="Hyderabad"/>
    <x v="0"/>
    <x v="2"/>
    <s v="Marker"/>
    <n v="1"/>
    <n v="45"/>
    <n v="0"/>
    <n v="45"/>
    <n v="3"/>
    <s v="UPI"/>
    <s v="Karan"/>
    <s v="mohit.verma@company.com"/>
    <n v="9167291747"/>
    <s v="Cancelled"/>
  </r>
  <r>
    <s v="ORD10452"/>
    <s v="C009"/>
    <s v="P101"/>
    <x v="299"/>
    <x v="309"/>
    <s v="Mohit Verma"/>
    <s v="Male"/>
    <d v="1986-10-07T00:00:00"/>
    <s v="Delhi"/>
    <x v="1"/>
    <x v="1"/>
    <s v="Laptop"/>
    <n v="16"/>
    <n v="55000"/>
    <n v="15"/>
    <n v="748000"/>
    <n v="1"/>
    <s v="Card"/>
    <s v="Karan"/>
    <s v="mohit.verma@company.com"/>
    <n v="9637283597"/>
    <s v="Cancelled"/>
  </r>
  <r>
    <s v="ORD10453"/>
    <s v="C010"/>
    <s v="P102"/>
    <x v="300"/>
    <x v="310"/>
    <s v="Pooja Shah"/>
    <s v="Female"/>
    <d v="2003-11-01T00:00:00"/>
    <s v="Ahmedabad"/>
    <x v="2"/>
    <x v="1"/>
    <s v="Mouse"/>
    <n v="8"/>
    <n v="700"/>
    <n v="0"/>
    <n v="5600"/>
    <n v="3"/>
    <s v="Cash"/>
    <s v="Rahul"/>
    <s v="pooja.shah@company.com"/>
    <n v="9514269002"/>
    <s v="Completed"/>
  </r>
  <r>
    <s v="ORD10454"/>
    <s v="C006"/>
    <s v="P103"/>
    <x v="301"/>
    <x v="311"/>
    <s v="Sneha Joshi"/>
    <s v="Female"/>
    <d v="2003-06-10T00:00:00"/>
    <s v="Ahmedabad"/>
    <x v="2"/>
    <x v="1"/>
    <s v="Keyboard"/>
    <n v="3"/>
    <n v="1200"/>
    <n v="0"/>
    <n v="3600"/>
    <n v="1"/>
    <s v="Card"/>
    <s v="Rahul"/>
    <s v="sneha.joshi@company.com"/>
    <n v="9778908233"/>
    <s v="Cancelled"/>
  </r>
  <r>
    <s v="ORD10455"/>
    <s v="C009"/>
    <s v="P201"/>
    <x v="302"/>
    <x v="51"/>
    <s v="Mohit Verma"/>
    <s v="Male"/>
    <d v="1990-03-27T00:00:00"/>
    <s v="Kolkata"/>
    <x v="3"/>
    <x v="0"/>
    <s v="Mixer"/>
    <n v="7"/>
    <n v="3500"/>
    <n v="15"/>
    <n v="20825"/>
    <n v="4"/>
    <s v="Card"/>
    <s v="Aisha"/>
    <s v="mohit.verma@company.com"/>
    <n v="9981118755"/>
    <s v="Pending"/>
  </r>
  <r>
    <s v="ORD10456"/>
    <s v="C010"/>
    <s v="P101"/>
    <x v="303"/>
    <x v="236"/>
    <s v="Pooja Shah"/>
    <s v="Female"/>
    <d v="2003-05-28T00:00:00"/>
    <s v="Pune"/>
    <x v="2"/>
    <x v="1"/>
    <s v="Laptop"/>
    <n v="9"/>
    <n v="55000"/>
    <n v="15"/>
    <n v="420750"/>
    <n v="3"/>
    <s v="UPI"/>
    <s v="Ritika"/>
    <s v="pooja.shah@company.com"/>
    <n v="9887896743"/>
    <s v="Cancelled"/>
  </r>
  <r>
    <s v="ORD10457"/>
    <s v="C001"/>
    <s v="P104"/>
    <x v="17"/>
    <x v="312"/>
    <s v="Amit Sharma"/>
    <s v="Male"/>
    <d v="1993-02-06T00:00:00"/>
    <s v="Bengaluru"/>
    <x v="0"/>
    <x v="1"/>
    <s v="Monitor"/>
    <n v="12"/>
    <n v="12000"/>
    <n v="0"/>
    <n v="144000"/>
    <n v="3"/>
    <s v="Card"/>
    <s v="Karan"/>
    <s v="amit.sharma@company.com"/>
    <n v="9585330043"/>
    <s v="Cancelled"/>
  </r>
  <r>
    <s v="ORD10458"/>
    <s v="C002"/>
    <s v="P301"/>
    <x v="304"/>
    <x v="89"/>
    <s v="Priya Patel"/>
    <s v="Female"/>
    <d v="1975-09-02T00:00:00"/>
    <s v="Ahmedabad"/>
    <x v="2"/>
    <x v="2"/>
    <s v="Notebook"/>
    <n v="7"/>
    <n v="60"/>
    <n v="10"/>
    <n v="378"/>
    <n v="4"/>
    <s v="Cash"/>
    <s v="Rahul"/>
    <s v="priYa.patel@company.com"/>
    <n v="9423719975"/>
    <s v="Cancelled"/>
  </r>
  <r>
    <s v="ORD10459"/>
    <s v="C005"/>
    <s v="P202"/>
    <x v="305"/>
    <x v="103"/>
    <s v="Vikas Mehta"/>
    <s v="Male"/>
    <d v="1994-09-09T00:00:00"/>
    <s v="Mumbai"/>
    <x v="2"/>
    <x v="0"/>
    <s v="Iron"/>
    <n v="17"/>
    <n v="2200"/>
    <n v="15"/>
    <n v="31790"/>
    <n v="3"/>
    <s v="UPI"/>
    <s v="Karan"/>
    <s v="vikas.mehta@company.com"/>
    <n v="9270746961"/>
    <s v="Pending"/>
  </r>
  <r>
    <s v="ORD10460"/>
    <s v="C001"/>
    <s v="P102"/>
    <x v="45"/>
    <x v="313"/>
    <s v="Amit Sharma"/>
    <s v="Male"/>
    <d v="1992-10-07T00:00:00"/>
    <s v="Bengaluru"/>
    <x v="0"/>
    <x v="1"/>
    <s v="Mouse"/>
    <n v="17"/>
    <n v="700"/>
    <n v="10"/>
    <n v="10710"/>
    <n v="2"/>
    <s v="Cash"/>
    <s v="Aisha"/>
    <s v="amit.sharma@company.com"/>
    <n v="9333162025"/>
    <s v="Pending"/>
  </r>
  <r>
    <s v="ORD10461"/>
    <s v="C001"/>
    <s v="P101"/>
    <x v="306"/>
    <x v="199"/>
    <s v="Amit Sharma"/>
    <s v="Male"/>
    <d v="2002-07-17T00:00:00"/>
    <s v="Delhi"/>
    <x v="1"/>
    <x v="1"/>
    <s v="Laptop"/>
    <n v="19"/>
    <n v="55000"/>
    <n v="20"/>
    <n v="836000"/>
    <n v="5"/>
    <s v="NetBanking"/>
    <s v="Aisha"/>
    <s v="amit.sharma@company.com"/>
    <n v="9247023285"/>
    <s v="Completed"/>
  </r>
  <r>
    <s v="ORD10462"/>
    <s v="C003"/>
    <s v="P301"/>
    <x v="307"/>
    <x v="314"/>
    <s v="Rohit Singh"/>
    <s v="Male"/>
    <d v="2001-02-03T00:00:00"/>
    <s v="Delhi"/>
    <x v="1"/>
    <x v="2"/>
    <s v="Notebook"/>
    <n v="1"/>
    <n v="60"/>
    <n v="10"/>
    <n v="54"/>
    <n v="4"/>
    <s v="NetBanking"/>
    <s v="Not_Assigned"/>
    <s v="rohit.singh@company.com"/>
    <n v="9448658297"/>
    <s v="Cancelled"/>
  </r>
  <r>
    <s v="ORD10463"/>
    <s v="C009"/>
    <s v="P201"/>
    <x v="308"/>
    <x v="315"/>
    <s v="Mohit Verma"/>
    <s v="Male"/>
    <d v="1990-06-23T00:00:00"/>
    <s v="Hyderabad"/>
    <x v="0"/>
    <x v="0"/>
    <s v="Mixer"/>
    <n v="16"/>
    <n v="3500"/>
    <n v="0"/>
    <n v="56000"/>
    <n v="4"/>
    <s v="NetBanking"/>
    <s v="Ritika"/>
    <s v="mohit.verma@company.com"/>
    <n v="9906748486"/>
    <s v="Pending"/>
  </r>
  <r>
    <s v="ORD10464"/>
    <s v="C003"/>
    <s v="P302"/>
    <x v="261"/>
    <x v="122"/>
    <s v="Rohit Singh"/>
    <s v="Male"/>
    <d v="1978-05-13T00:00:00"/>
    <s v="Pune"/>
    <x v="2"/>
    <x v="2"/>
    <s v="Pen"/>
    <n v="14"/>
    <n v="20"/>
    <n v="10"/>
    <n v="252"/>
    <n v="1"/>
    <s v="NetBanking"/>
    <s v="Aisha"/>
    <s v="rohit.singh@company.com"/>
    <n v="9365182725"/>
    <s v="Pending"/>
  </r>
  <r>
    <s v="ORD10465"/>
    <s v="C009"/>
    <s v="P202"/>
    <x v="67"/>
    <x v="162"/>
    <s v="Mohit Verma"/>
    <s v="Male"/>
    <d v="2000-07-22T00:00:00"/>
    <s v="Bengaluru"/>
    <x v="0"/>
    <x v="0"/>
    <s v="Iron"/>
    <n v="11"/>
    <n v="2200"/>
    <n v="15"/>
    <n v="20570"/>
    <n v="4"/>
    <s v="NetBanking"/>
    <s v="Rahul"/>
    <s v="mohit.verma@company.com"/>
    <n v="9937119494"/>
    <s v="Cancelled"/>
  </r>
  <r>
    <s v="ORD10466"/>
    <s v="C007"/>
    <s v="P101"/>
    <x v="309"/>
    <x v="316"/>
    <s v="Arjun Rao"/>
    <s v="Male"/>
    <d v="1985-03-20T00:00:00"/>
    <s v="Jaipur"/>
    <x v="1"/>
    <x v="1"/>
    <s v="Laptop"/>
    <n v="2"/>
    <n v="55000"/>
    <n v="0"/>
    <n v="110000"/>
    <n v="4"/>
    <s v="NetBanking"/>
    <s v="Rahul"/>
    <s v="arjun.rao@company.com"/>
    <n v="9828015293"/>
    <s v="Cancelled"/>
  </r>
  <r>
    <s v="ORD10467"/>
    <s v="C010"/>
    <s v="P202"/>
    <x v="75"/>
    <x v="73"/>
    <s v="Pooja Shah"/>
    <s v="Female"/>
    <d v="1988-02-08T00:00:00"/>
    <s v="Pune"/>
    <x v="2"/>
    <x v="0"/>
    <s v="Iron"/>
    <n v="7"/>
    <n v="2200"/>
    <n v="5"/>
    <n v="14630"/>
    <n v="4"/>
    <s v="Card"/>
    <s v="Neha"/>
    <s v="pooja.shah@company.com"/>
    <n v="9864206250"/>
    <s v="Cancelled"/>
  </r>
  <r>
    <s v="ORD10468"/>
    <s v="C008"/>
    <s v="P303"/>
    <x v="310"/>
    <x v="135"/>
    <s v="Kavya Nair"/>
    <s v="Female"/>
    <d v="1997-04-26T00:00:00"/>
    <s v="Ahmedabad"/>
    <x v="2"/>
    <x v="2"/>
    <s v="Marker"/>
    <n v="11"/>
    <n v="45"/>
    <n v="15"/>
    <n v="420.75"/>
    <n v="4"/>
    <s v="Card"/>
    <s v="Aisha"/>
    <s v="KAvya.nair@company.com"/>
    <n v="9519293104"/>
    <s v="Pending"/>
  </r>
  <r>
    <s v="ORD10469"/>
    <s v="C002"/>
    <s v="P301"/>
    <x v="180"/>
    <x v="21"/>
    <s v="Priya Patel"/>
    <s v="Female"/>
    <d v="2001-05-22T00:00:00"/>
    <s v="Mumbai"/>
    <x v="2"/>
    <x v="2"/>
    <s v="Notebook"/>
    <n v="16"/>
    <n v="60"/>
    <n v="5"/>
    <n v="912"/>
    <n v="2"/>
    <s v="Cash"/>
    <s v="Neha"/>
    <s v="priYa.patel@company.com"/>
    <n v="9296075245"/>
    <s v="Cancelled"/>
  </r>
  <r>
    <s v="ORD10470"/>
    <s v="C001"/>
    <s v="P101"/>
    <x v="311"/>
    <x v="160"/>
    <s v="Amit Sharma"/>
    <s v="Male"/>
    <d v="1982-06-19T00:00:00"/>
    <s v="Pune"/>
    <x v="2"/>
    <x v="1"/>
    <s v="Laptop"/>
    <n v="18"/>
    <n v="55000"/>
    <n v="0"/>
    <n v="990000"/>
    <n v="5"/>
    <s v="NetBanking"/>
    <s v="Rahul"/>
    <s v="amit.sharma@company.com"/>
    <n v="9316770206"/>
    <s v="Pending"/>
  </r>
  <r>
    <s v="ORD10471"/>
    <s v="C008"/>
    <s v="P103"/>
    <x v="312"/>
    <x v="317"/>
    <s v="Kavya Nair"/>
    <s v="Female"/>
    <d v="1999-06-23T00:00:00"/>
    <s v="Bengaluru"/>
    <x v="0"/>
    <x v="1"/>
    <s v="Keyboard"/>
    <n v="17"/>
    <n v="1200"/>
    <n v="5"/>
    <n v="19380"/>
    <n v="1"/>
    <s v="NetBanking"/>
    <s v="Ritika"/>
    <s v="KAvya.nair@company.com"/>
    <n v="9706553861"/>
    <s v="Pending"/>
  </r>
  <r>
    <s v="ORD10472"/>
    <s v="C010"/>
    <s v="P101"/>
    <x v="1"/>
    <x v="19"/>
    <s v="Pooja Shah"/>
    <s v="Female"/>
    <d v="2001-02-02T00:00:00"/>
    <s v="Pune"/>
    <x v="2"/>
    <x v="1"/>
    <s v="Laptop"/>
    <n v="11"/>
    <n v="55000"/>
    <n v="0"/>
    <n v="605000"/>
    <n v="2"/>
    <s v="Cash"/>
    <s v="Aisha"/>
    <s v="pooja.shah@company.com"/>
    <n v="9524904662"/>
    <s v="Pending"/>
  </r>
  <r>
    <s v="ORD10473"/>
    <s v="C006"/>
    <s v="P102"/>
    <x v="25"/>
    <x v="318"/>
    <s v="Sneha Joshi"/>
    <s v="Female"/>
    <d v="1999-02-09T00:00:00"/>
    <s v="Delhi"/>
    <x v="1"/>
    <x v="1"/>
    <s v="Mouse"/>
    <n v="20"/>
    <n v="700"/>
    <n v="20"/>
    <n v="11200"/>
    <n v="5"/>
    <s v="NetBanking"/>
    <s v="Aisha"/>
    <s v="sneha.joshi@company.com"/>
    <n v="9577624596"/>
    <s v="Completed"/>
  </r>
  <r>
    <s v="ORD10474"/>
    <s v="C009"/>
    <s v="P302"/>
    <x v="313"/>
    <x v="179"/>
    <s v="Mohit Verma"/>
    <s v="Male"/>
    <d v="1988-05-06T00:00:00"/>
    <s v="Delhi"/>
    <x v="1"/>
    <x v="2"/>
    <s v="Pen"/>
    <n v="5"/>
    <n v="20"/>
    <n v="5"/>
    <n v="95"/>
    <n v="4"/>
    <s v="Cash"/>
    <s v="Rahul"/>
    <s v="mohit.verma@company.com"/>
    <n v="9898452436"/>
    <s v="Cancelled"/>
  </r>
  <r>
    <s v="ORD10475"/>
    <s v="C001"/>
    <s v="P101"/>
    <x v="121"/>
    <x v="260"/>
    <s v="Amit Sharma"/>
    <s v="Male"/>
    <d v="1975-02-12T00:00:00"/>
    <s v="Mumbai"/>
    <x v="2"/>
    <x v="1"/>
    <s v="Laptop"/>
    <n v="13"/>
    <n v="55000"/>
    <n v="5"/>
    <n v="679250"/>
    <n v="1"/>
    <s v="NetBanking"/>
    <s v="Rahul"/>
    <s v="amit.sharma@company.com"/>
    <n v="9960757012"/>
    <s v="Pending"/>
  </r>
  <r>
    <s v="ORD10476"/>
    <s v="C003"/>
    <s v="P101"/>
    <x v="21"/>
    <x v="301"/>
    <s v="Rohit Singh"/>
    <s v="Male"/>
    <d v="2004-01-01T00:00:00"/>
    <s v="Kolkata"/>
    <x v="3"/>
    <x v="1"/>
    <s v="Laptop"/>
    <n v="12"/>
    <n v="55000"/>
    <n v="5"/>
    <n v="627000"/>
    <n v="1"/>
    <s v="NetBanking"/>
    <s v="Neha"/>
    <s v="rohit.singh@company.com"/>
    <n v="9331268182"/>
    <s v="Cancelled"/>
  </r>
  <r>
    <s v="ORD10477"/>
    <s v="C010"/>
    <s v="P303"/>
    <x v="314"/>
    <x v="278"/>
    <s v="Pooja Shah"/>
    <s v="Female"/>
    <d v="2001-08-23T00:00:00"/>
    <s v="Mumbai"/>
    <x v="2"/>
    <x v="2"/>
    <s v="Marker"/>
    <n v="16"/>
    <n v="45"/>
    <n v="20"/>
    <n v="576"/>
    <n v="2"/>
    <s v="Cash"/>
    <s v="Rahul"/>
    <s v="pooja.shah@company.com"/>
    <n v="9135996862"/>
    <s v="Pending"/>
  </r>
  <r>
    <s v="ORD10478"/>
    <s v="C008"/>
    <s v="P103"/>
    <x v="0"/>
    <x v="75"/>
    <s v="Kavya Nair"/>
    <s v="Female"/>
    <d v="1998-01-23T00:00:00"/>
    <s v="Bengaluru"/>
    <x v="0"/>
    <x v="1"/>
    <s v="Keyboard"/>
    <n v="5"/>
    <n v="1200"/>
    <n v="10"/>
    <n v="5400"/>
    <n v="1"/>
    <s v="Cash"/>
    <s v="Not_Assigned"/>
    <s v="KAvya.nair@company.com"/>
    <n v="9540813143"/>
    <s v="Completed"/>
  </r>
  <r>
    <s v="ORD10479"/>
    <s v="C004"/>
    <s v="P303"/>
    <x v="315"/>
    <x v="319"/>
    <s v="Anita Gupta"/>
    <s v="Female"/>
    <d v="2004-05-28T00:00:00"/>
    <s v="Kolkata"/>
    <x v="3"/>
    <x v="2"/>
    <s v="Marker"/>
    <n v="2"/>
    <n v="45"/>
    <n v="10"/>
    <n v="81"/>
    <n v="4"/>
    <s v="UPI"/>
    <s v="Rahul"/>
    <s v="anita.gupta@company.com"/>
    <n v="9910913552"/>
    <s v="Pending"/>
  </r>
  <r>
    <s v="ORD10480"/>
    <s v="C003"/>
    <s v="P104"/>
    <x v="316"/>
    <x v="320"/>
    <s v="Rohit Singh"/>
    <s v="Male"/>
    <d v="1985-03-06T00:00:00"/>
    <s v="Ahmedabad"/>
    <x v="2"/>
    <x v="1"/>
    <s v="Monitor"/>
    <n v="3"/>
    <n v="12000"/>
    <n v="0"/>
    <n v="36000"/>
    <n v="2"/>
    <s v="UPI"/>
    <s v="Karan"/>
    <s v="rohit.singh@company.com"/>
    <n v="9282751683"/>
    <s v="Pending"/>
  </r>
  <r>
    <s v="ORD10481"/>
    <s v="C008"/>
    <s v="P104"/>
    <x v="317"/>
    <x v="321"/>
    <s v="Kavya Nair"/>
    <s v="Female"/>
    <d v="1986-09-06T00:00:00"/>
    <s v="Bengaluru"/>
    <x v="0"/>
    <x v="1"/>
    <s v="Monitor"/>
    <n v="3"/>
    <n v="12000"/>
    <n v="20"/>
    <n v="28800"/>
    <n v="3"/>
    <s v="UPI"/>
    <s v="Neha"/>
    <s v="KAvya.nair@company.com"/>
    <n v="9939332058"/>
    <s v="Completed"/>
  </r>
  <r>
    <s v="ORD10482"/>
    <s v="C003"/>
    <s v="P203"/>
    <x v="318"/>
    <x v="322"/>
    <s v="Rohit Singh"/>
    <s v="Male"/>
    <d v="1981-08-21T00:00:00"/>
    <s v="Kolkata"/>
    <x v="3"/>
    <x v="0"/>
    <s v="Microwave"/>
    <n v="9"/>
    <n v="8500"/>
    <n v="15"/>
    <n v="65025"/>
    <n v="5"/>
    <s v="Cash"/>
    <s v="Rahul"/>
    <s v="rohit.singh@company.com"/>
    <n v="9780626473"/>
    <s v="Pending"/>
  </r>
  <r>
    <s v="ORD10483"/>
    <s v="C009"/>
    <s v="P102"/>
    <x v="319"/>
    <x v="307"/>
    <s v="Mohit Verma"/>
    <s v="Male"/>
    <d v="1992-04-23T00:00:00"/>
    <s v="Kolkata"/>
    <x v="3"/>
    <x v="1"/>
    <s v="Mouse"/>
    <n v="17"/>
    <n v="700"/>
    <n v="0"/>
    <n v="11900"/>
    <n v="2"/>
    <s v="Cash"/>
    <s v="Aisha"/>
    <s v="mohit.verma@company.com"/>
    <n v="9347298020"/>
    <s v="Cancelled"/>
  </r>
  <r>
    <s v="ORD10484"/>
    <s v="C008"/>
    <s v="P102"/>
    <x v="198"/>
    <x v="323"/>
    <s v="Kavya Nair"/>
    <s v="Female"/>
    <d v="1991-07-03T00:00:00"/>
    <s v="Hyderabad"/>
    <x v="0"/>
    <x v="1"/>
    <s v="Mouse"/>
    <n v="20"/>
    <n v="700"/>
    <n v="5"/>
    <n v="13300"/>
    <n v="2"/>
    <s v="UPI"/>
    <s v="Ritika"/>
    <s v="KAvya.nair@company.com"/>
    <n v="9345328522"/>
    <s v="Completed"/>
  </r>
  <r>
    <s v="ORD10485"/>
    <s v="C001"/>
    <s v="P103"/>
    <x v="83"/>
    <x v="263"/>
    <s v="Amit Sharma"/>
    <s v="Male"/>
    <d v="1978-02-05T00:00:00"/>
    <s v="Ahmedabad"/>
    <x v="2"/>
    <x v="1"/>
    <s v="Keyboard"/>
    <n v="13"/>
    <n v="1200"/>
    <n v="20"/>
    <n v="12480"/>
    <n v="5"/>
    <s v="Card"/>
    <s v="Neha"/>
    <s v="amit.sharma@company.com"/>
    <n v="9160310438"/>
    <s v="Completed"/>
  </r>
  <r>
    <s v="ORD10486"/>
    <s v="C002"/>
    <s v="P101"/>
    <x v="320"/>
    <x v="310"/>
    <s v="Priya Patel"/>
    <s v="Female"/>
    <d v="1999-07-18T00:00:00"/>
    <s v="Jaipur"/>
    <x v="1"/>
    <x v="1"/>
    <s v="Laptop"/>
    <n v="20"/>
    <n v="55000"/>
    <n v="10"/>
    <n v="990000"/>
    <n v="1"/>
    <s v="UPI"/>
    <s v="Ritika"/>
    <s v="priYa.patel@company.com"/>
    <n v="9343776153"/>
    <s v="Pending"/>
  </r>
  <r>
    <s v="ORD10487"/>
    <s v="C006"/>
    <s v="P103"/>
    <x v="79"/>
    <x v="324"/>
    <s v="Sneha Joshi"/>
    <s v="Female"/>
    <d v="1988-04-03T00:00:00"/>
    <s v="Kolkata"/>
    <x v="3"/>
    <x v="1"/>
    <s v="Keyboard"/>
    <n v="8"/>
    <n v="1200"/>
    <n v="0"/>
    <n v="9600"/>
    <n v="2"/>
    <s v="NetBanking"/>
    <s v="Karan"/>
    <s v="sneha.joshi@company.com"/>
    <n v="9458599727"/>
    <s v="Completed"/>
  </r>
  <r>
    <s v="ORD10488"/>
    <s v="C010"/>
    <s v="P302"/>
    <x v="321"/>
    <x v="325"/>
    <s v="Pooja Shah"/>
    <s v="Female"/>
    <d v="1978-11-11T00:00:00"/>
    <s v="Kolkata"/>
    <x v="3"/>
    <x v="2"/>
    <s v="Pen"/>
    <n v="18"/>
    <n v="20"/>
    <n v="10"/>
    <n v="324"/>
    <n v="5"/>
    <s v="Card"/>
    <s v="Not_Assigned"/>
    <s v="pooja.shah@company.com"/>
    <n v="9218660140"/>
    <s v="Pending"/>
  </r>
  <r>
    <s v="ORD10489"/>
    <s v="C004"/>
    <s v="P104"/>
    <x v="322"/>
    <x v="208"/>
    <s v="Anita Gupta"/>
    <s v="Female"/>
    <d v="1994-04-02T00:00:00"/>
    <s v="Pune"/>
    <x v="2"/>
    <x v="1"/>
    <s v="Monitor"/>
    <n v="11"/>
    <n v="12000"/>
    <n v="10"/>
    <n v="118800"/>
    <n v="1"/>
    <s v="Card"/>
    <s v="Rahul"/>
    <s v="anita.gupta@company.com"/>
    <n v="9341979199"/>
    <s v="Cancelled"/>
  </r>
  <r>
    <s v="ORD10490"/>
    <s v="C001"/>
    <s v="P203"/>
    <x v="271"/>
    <x v="326"/>
    <s v="Amit Sharma"/>
    <s v="Male"/>
    <d v="1993-05-09T00:00:00"/>
    <s v="Hyderabad"/>
    <x v="0"/>
    <x v="0"/>
    <s v="Microwave"/>
    <n v="2"/>
    <n v="8500"/>
    <n v="5"/>
    <n v="16150"/>
    <n v="1"/>
    <s v="Card"/>
    <s v="Aisha"/>
    <s v="amit.sharma@company.com"/>
    <n v="9823080381"/>
    <s v="Completed"/>
  </r>
  <r>
    <s v="ORD10491"/>
    <s v="C002"/>
    <s v="P202"/>
    <x v="41"/>
    <x v="249"/>
    <s v="Priya Patel"/>
    <s v="Female"/>
    <d v="1994-07-11T00:00:00"/>
    <s v="Pune"/>
    <x v="2"/>
    <x v="0"/>
    <s v="Iron"/>
    <n v="7"/>
    <n v="2200"/>
    <n v="0"/>
    <n v="15400"/>
    <n v="5"/>
    <s v="NetBanking"/>
    <s v="Ritika"/>
    <s v="priYa.patel@company.com"/>
    <n v="9981183477"/>
    <s v="Pending"/>
  </r>
  <r>
    <s v="ORD10492"/>
    <s v="C007"/>
    <s v="P203"/>
    <x v="298"/>
    <x v="327"/>
    <s v="Arjun Rao"/>
    <s v="Male"/>
    <d v="1982-12-19T00:00:00"/>
    <s v="Delhi"/>
    <x v="1"/>
    <x v="0"/>
    <s v="Microwave"/>
    <n v="20"/>
    <n v="8500"/>
    <n v="0"/>
    <n v="170000"/>
    <n v="3"/>
    <s v="NetBanking"/>
    <s v="Rahul"/>
    <s v="arjun.rao@company.com"/>
    <n v="9281596011"/>
    <s v="Completed"/>
  </r>
  <r>
    <s v="ORD10493"/>
    <s v="C003"/>
    <s v="P103"/>
    <x v="178"/>
    <x v="134"/>
    <s v="Rohit Singh"/>
    <s v="Male"/>
    <d v="2001-11-02T00:00:00"/>
    <s v="Hyderabad"/>
    <x v="0"/>
    <x v="1"/>
    <s v="Keyboard"/>
    <n v="11"/>
    <n v="1200"/>
    <n v="5"/>
    <n v="12540"/>
    <n v="2"/>
    <s v="Cash"/>
    <s v="Ritika"/>
    <s v="rohit.singh@company.com"/>
    <n v="9211734022"/>
    <s v="Pending"/>
  </r>
  <r>
    <s v="ORD10494"/>
    <s v="C007"/>
    <s v="P102"/>
    <x v="323"/>
    <x v="120"/>
    <s v="Arjun Rao"/>
    <s v="Male"/>
    <d v="2001-10-18T00:00:00"/>
    <s v="Ahmedabad"/>
    <x v="2"/>
    <x v="1"/>
    <s v="Mouse"/>
    <n v="14"/>
    <n v="700"/>
    <n v="0"/>
    <n v="9800"/>
    <n v="2"/>
    <s v="Card"/>
    <s v="Karan"/>
    <s v="arjun.rao@company.com"/>
    <n v="9447151666"/>
    <s v="Cancelled"/>
  </r>
  <r>
    <s v="ORD10495"/>
    <s v="C009"/>
    <s v="P103"/>
    <x v="324"/>
    <x v="328"/>
    <s v="Mohit Verma"/>
    <s v="Male"/>
    <d v="2000-12-21T00:00:00"/>
    <s v="Pune"/>
    <x v="2"/>
    <x v="1"/>
    <s v="Keyboard"/>
    <n v="16"/>
    <n v="1200"/>
    <n v="15"/>
    <n v="16320"/>
    <n v="4"/>
    <s v="Cash"/>
    <s v="Karan"/>
    <s v="mohit.verma@company.com"/>
    <n v="9345342793"/>
    <s v="Pending"/>
  </r>
  <r>
    <s v="ORD10496"/>
    <s v="C004"/>
    <s v="P202"/>
    <x v="71"/>
    <x v="310"/>
    <s v="Anita Gupta"/>
    <s v="Female"/>
    <d v="1983-02-20T00:00:00"/>
    <s v="Jaipur"/>
    <x v="1"/>
    <x v="0"/>
    <s v="Iron"/>
    <n v="20"/>
    <n v="2200"/>
    <n v="0"/>
    <n v="44000"/>
    <n v="5"/>
    <s v="Cash"/>
    <s v="Ritika"/>
    <s v="anita.gupta@company.com"/>
    <n v="9329668173"/>
    <s v="Cancelled"/>
  </r>
  <r>
    <s v="ORD10497"/>
    <s v="C007"/>
    <s v="P104"/>
    <x v="322"/>
    <x v="208"/>
    <s v="Arjun Rao"/>
    <s v="Male"/>
    <d v="1988-06-13T00:00:00"/>
    <s v="Jaipur"/>
    <x v="1"/>
    <x v="1"/>
    <s v="Monitor"/>
    <n v="12"/>
    <n v="12000"/>
    <n v="15"/>
    <n v="122400"/>
    <n v="5"/>
    <s v="Cash"/>
    <s v="Karan"/>
    <s v="arjun.rao@company.com"/>
    <n v="9294740227"/>
    <s v="Completed"/>
  </r>
  <r>
    <s v="ORD10498"/>
    <s v="C005"/>
    <s v="P103"/>
    <x v="95"/>
    <x v="92"/>
    <s v="Vikas Mehta"/>
    <s v="Male"/>
    <d v="1992-07-22T00:00:00"/>
    <s v="Delhi"/>
    <x v="1"/>
    <x v="1"/>
    <s v="Keyboard"/>
    <n v="3"/>
    <n v="1200"/>
    <n v="20"/>
    <n v="2880"/>
    <n v="2"/>
    <s v="NetBanking"/>
    <s v="Neha"/>
    <s v="vikas.mehtacompany.com"/>
    <n v="9549426303"/>
    <s v="Pending"/>
  </r>
  <r>
    <s v="ORD10499"/>
    <s v="C002"/>
    <s v="P101"/>
    <x v="124"/>
    <x v="329"/>
    <s v="Priya Patel"/>
    <s v="Female"/>
    <d v="1979-08-12T00:00:00"/>
    <s v="Mumbai"/>
    <x v="2"/>
    <x v="1"/>
    <s v="Laptop,Mouse"/>
    <n v="6"/>
    <n v="55000"/>
    <n v="20"/>
    <n v="264000"/>
    <n v="3"/>
    <s v="Cash"/>
    <s v="Karan"/>
    <s v="priYa.patel@company.com"/>
    <n v="9374249303"/>
    <s v="Completed"/>
  </r>
  <r>
    <s v="ORD10500"/>
    <s v="C002"/>
    <s v="P201"/>
    <x v="325"/>
    <x v="9"/>
    <s v="Priya Patel"/>
    <s v="Female"/>
    <d v="1976-11-24T00:00:00"/>
    <s v="Bengaluru"/>
    <x v="0"/>
    <x v="0"/>
    <s v="Mixer"/>
    <n v="20"/>
    <n v="3500"/>
    <n v="0"/>
    <n v="70000"/>
    <n v="1"/>
    <s v="NetBanking"/>
    <s v="Karan"/>
    <s v="priYa.patel@company.com"/>
    <n v="9810334941"/>
    <s v="Pending"/>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76A65FA-9CF8-4CDE-A450-E117499215BF}" name="PivotTable2" cacheId="31"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C2:C3" firstHeaderRow="1" firstDataRow="1" firstDataCol="0"/>
  <pivotFields count="26">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331">
        <item x="45"/>
        <item x="73"/>
        <item x="20"/>
        <item x="209"/>
        <item x="11"/>
        <item x="227"/>
        <item x="326"/>
        <item x="284"/>
        <item x="94"/>
        <item x="121"/>
        <item x="155"/>
        <item x="226"/>
        <item x="278"/>
        <item x="125"/>
        <item x="123"/>
        <item x="271"/>
        <item x="321"/>
        <item x="268"/>
        <item x="285"/>
        <item x="122"/>
        <item x="290"/>
        <item x="166"/>
        <item x="252"/>
        <item x="260"/>
        <item x="60"/>
        <item x="265"/>
        <item x="225"/>
        <item x="299"/>
        <item x="175"/>
        <item x="147"/>
        <item x="161"/>
        <item x="35"/>
        <item x="287"/>
        <item x="184"/>
        <item x="51"/>
        <item x="97"/>
        <item x="309"/>
        <item x="96"/>
        <item x="279"/>
        <item x="193"/>
        <item x="59"/>
        <item x="55"/>
        <item x="208"/>
        <item x="242"/>
        <item x="170"/>
        <item x="12"/>
        <item x="223"/>
        <item x="10"/>
        <item x="95"/>
        <item x="83"/>
        <item x="76"/>
        <item x="131"/>
        <item x="148"/>
        <item x="203"/>
        <item x="8"/>
        <item x="295"/>
        <item x="40"/>
        <item x="222"/>
        <item x="142"/>
        <item x="47"/>
        <item x="249"/>
        <item x="64"/>
        <item x="273"/>
        <item x="135"/>
        <item x="102"/>
        <item x="85"/>
        <item x="79"/>
        <item x="6"/>
        <item x="301"/>
        <item x="261"/>
        <item x="210"/>
        <item x="41"/>
        <item x="91"/>
        <item x="21"/>
        <item x="185"/>
        <item x="306"/>
        <item x="1"/>
        <item x="19"/>
        <item x="264"/>
        <item x="163"/>
        <item x="89"/>
        <item x="266"/>
        <item x="216"/>
        <item x="202"/>
        <item x="237"/>
        <item x="180"/>
        <item x="111"/>
        <item x="254"/>
        <item x="187"/>
        <item x="212"/>
        <item x="25"/>
        <item x="153"/>
        <item x="167"/>
        <item x="151"/>
        <item x="318"/>
        <item x="199"/>
        <item x="105"/>
        <item x="305"/>
        <item x="189"/>
        <item x="304"/>
        <item x="281"/>
        <item x="308"/>
        <item x="176"/>
        <item x="119"/>
        <item x="104"/>
        <item x="186"/>
        <item x="243"/>
        <item x="38"/>
        <item x="270"/>
        <item x="70"/>
        <item x="190"/>
        <item x="280"/>
        <item x="154"/>
        <item x="115"/>
        <item x="303"/>
        <item x="29"/>
        <item x="118"/>
        <item x="157"/>
        <item x="215"/>
        <item x="138"/>
        <item x="24"/>
        <item x="18"/>
        <item x="31"/>
        <item x="329"/>
        <item x="307"/>
        <item x="69"/>
        <item x="143"/>
        <item x="99"/>
        <item x="30"/>
        <item x="124"/>
        <item x="149"/>
        <item x="323"/>
        <item x="130"/>
        <item x="132"/>
        <item x="133"/>
        <item x="183"/>
        <item x="230"/>
        <item x="134"/>
        <item x="207"/>
        <item x="120"/>
        <item x="255"/>
        <item x="258"/>
        <item x="50"/>
        <item x="13"/>
        <item x="316"/>
        <item x="52"/>
        <item x="82"/>
        <item x="283"/>
        <item x="256"/>
        <item x="114"/>
        <item x="49"/>
        <item x="57"/>
        <item x="48"/>
        <item x="300"/>
        <item x="106"/>
        <item x="103"/>
        <item x="62"/>
        <item x="248"/>
        <item x="232"/>
        <item x="84"/>
        <item x="196"/>
        <item x="2"/>
        <item x="140"/>
        <item x="217"/>
        <item x="314"/>
        <item x="27"/>
        <item x="0"/>
        <item x="9"/>
        <item x="81"/>
        <item x="259"/>
        <item x="296"/>
        <item x="75"/>
        <item x="214"/>
        <item x="219"/>
        <item x="204"/>
        <item x="272"/>
        <item x="152"/>
        <item x="3"/>
        <item x="269"/>
        <item x="169"/>
        <item x="233"/>
        <item x="288"/>
        <item x="43"/>
        <item x="36"/>
        <item x="234"/>
        <item x="228"/>
        <item x="32"/>
        <item x="319"/>
        <item x="127"/>
        <item x="317"/>
        <item x="42"/>
        <item x="276"/>
        <item x="302"/>
        <item x="110"/>
        <item x="101"/>
        <item x="146"/>
        <item x="247"/>
        <item x="77"/>
        <item x="328"/>
        <item x="182"/>
        <item x="286"/>
        <item x="160"/>
        <item x="324"/>
        <item x="221"/>
        <item x="178"/>
        <item x="240"/>
        <item x="205"/>
        <item x="72"/>
        <item x="78"/>
        <item x="141"/>
        <item x="34"/>
        <item x="71"/>
        <item x="159"/>
        <item x="173"/>
        <item x="33"/>
        <item x="246"/>
        <item x="139"/>
        <item x="298"/>
        <item x="312"/>
        <item x="44"/>
        <item x="17"/>
        <item x="313"/>
        <item x="129"/>
        <item x="257"/>
        <item x="275"/>
        <item x="251"/>
        <item x="162"/>
        <item x="253"/>
        <item x="107"/>
        <item x="126"/>
        <item x="63"/>
        <item x="92"/>
        <item x="244"/>
        <item x="66"/>
        <item x="156"/>
        <item x="174"/>
        <item x="238"/>
        <item x="22"/>
        <item x="200"/>
        <item x="65"/>
        <item x="109"/>
        <item x="201"/>
        <item x="112"/>
        <item x="293"/>
        <item x="61"/>
        <item x="4"/>
        <item x="197"/>
        <item x="164"/>
        <item x="28"/>
        <item x="195"/>
        <item x="320"/>
        <item x="172"/>
        <item x="297"/>
        <item x="191"/>
        <item x="277"/>
        <item x="144"/>
        <item x="87"/>
        <item x="68"/>
        <item x="213"/>
        <item x="188"/>
        <item x="289"/>
        <item x="7"/>
        <item x="194"/>
        <item x="179"/>
        <item x="108"/>
        <item x="37"/>
        <item x="39"/>
        <item x="67"/>
        <item x="231"/>
        <item x="150"/>
        <item x="117"/>
        <item x="274"/>
        <item x="224"/>
        <item x="5"/>
        <item x="282"/>
        <item x="218"/>
        <item x="241"/>
        <item x="15"/>
        <item x="192"/>
        <item x="16"/>
        <item x="229"/>
        <item x="168"/>
        <item x="128"/>
        <item x="315"/>
        <item x="245"/>
        <item x="137"/>
        <item x="98"/>
        <item x="54"/>
        <item x="26"/>
        <item x="263"/>
        <item x="88"/>
        <item x="80"/>
        <item x="181"/>
        <item x="310"/>
        <item x="53"/>
        <item x="292"/>
        <item x="236"/>
        <item x="267"/>
        <item x="145"/>
        <item x="322"/>
        <item x="100"/>
        <item x="14"/>
        <item x="311"/>
        <item x="171"/>
        <item x="211"/>
        <item x="56"/>
        <item x="23"/>
        <item x="46"/>
        <item x="239"/>
        <item x="113"/>
        <item x="165"/>
        <item x="235"/>
        <item x="294"/>
        <item x="116"/>
        <item x="327"/>
        <item x="74"/>
        <item x="177"/>
        <item x="86"/>
        <item x="325"/>
        <item x="90"/>
        <item x="220"/>
        <item x="206"/>
        <item x="93"/>
        <item x="250"/>
        <item x="291"/>
        <item x="262"/>
        <item x="198"/>
        <item x="58"/>
        <item x="158"/>
        <item x="136"/>
        <item t="default"/>
      </items>
    </pivotField>
    <pivotField showAll="0"/>
    <pivotField showAll="0"/>
    <pivotField numFmtId="14" showAll="0"/>
    <pivotField showAll="0"/>
    <pivotField showAll="0">
      <items count="5">
        <item x="3"/>
        <item x="1"/>
        <item x="0"/>
        <item x="2"/>
        <item t="default"/>
      </items>
    </pivotField>
    <pivotField showAll="0">
      <items count="5">
        <item x="1"/>
        <item x="0"/>
        <item m="1" x="3"/>
        <item x="2"/>
        <item t="default"/>
      </items>
    </pivotField>
    <pivotField showAll="0"/>
    <pivotField showAll="0"/>
    <pivotField numFmtId="164" showAll="0"/>
    <pivotField showAll="0"/>
    <pivotField numFmtId="164" showAll="0"/>
    <pivotField showAll="0"/>
    <pivotField showAll="0"/>
    <pivotField showAll="0"/>
    <pivotField showAll="0"/>
    <pivotField showAll="0"/>
    <pivotField showAll="0"/>
    <pivotField dragToRow="0" dragToCol="0" dragToPage="0" showAll="0" defaultSubtotal="0"/>
    <pivotField showAll="0">
      <items count="2">
        <item x="0"/>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8ADB1E7-6178-43EC-B33E-FFB66F8899C7}" name="PivotTable3" cacheId="31"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3">
  <location ref="H16:I29" firstHeaderRow="1" firstDataRow="1" firstDataCol="1"/>
  <pivotFields count="26">
    <pivotField showAll="0"/>
    <pivotField showAll="0"/>
    <pivotField showAll="0"/>
    <pivotField axis="axisRow" numFmtId="166" showAll="0">
      <items count="15">
        <item x="0"/>
        <item x="1"/>
        <item x="2"/>
        <item x="3"/>
        <item x="4"/>
        <item x="5"/>
        <item x="6"/>
        <item x="7"/>
        <item x="8"/>
        <item x="9"/>
        <item x="10"/>
        <item x="11"/>
        <item x="12"/>
        <item x="13"/>
        <item t="default"/>
      </items>
    </pivotField>
    <pivotField showAll="0">
      <items count="331">
        <item x="45"/>
        <item x="73"/>
        <item x="20"/>
        <item x="209"/>
        <item x="11"/>
        <item x="227"/>
        <item x="326"/>
        <item x="284"/>
        <item x="94"/>
        <item x="121"/>
        <item x="155"/>
        <item x="226"/>
        <item x="278"/>
        <item x="125"/>
        <item x="123"/>
        <item x="271"/>
        <item x="321"/>
        <item x="268"/>
        <item x="285"/>
        <item x="122"/>
        <item x="290"/>
        <item x="166"/>
        <item x="252"/>
        <item x="260"/>
        <item x="60"/>
        <item x="265"/>
        <item x="225"/>
        <item x="299"/>
        <item x="175"/>
        <item x="147"/>
        <item x="161"/>
        <item x="35"/>
        <item x="287"/>
        <item x="184"/>
        <item x="51"/>
        <item x="97"/>
        <item x="309"/>
        <item x="96"/>
        <item x="279"/>
        <item x="193"/>
        <item x="59"/>
        <item x="55"/>
        <item x="208"/>
        <item x="242"/>
        <item x="170"/>
        <item x="12"/>
        <item x="223"/>
        <item x="10"/>
        <item x="95"/>
        <item x="83"/>
        <item x="76"/>
        <item x="131"/>
        <item x="148"/>
        <item x="203"/>
        <item x="8"/>
        <item x="295"/>
        <item x="40"/>
        <item x="222"/>
        <item x="142"/>
        <item x="47"/>
        <item x="249"/>
        <item x="64"/>
        <item x="273"/>
        <item x="135"/>
        <item x="102"/>
        <item x="85"/>
        <item x="79"/>
        <item x="6"/>
        <item x="301"/>
        <item x="261"/>
        <item x="210"/>
        <item x="41"/>
        <item x="91"/>
        <item x="21"/>
        <item x="185"/>
        <item x="306"/>
        <item x="1"/>
        <item x="19"/>
        <item x="264"/>
        <item x="163"/>
        <item x="89"/>
        <item x="266"/>
        <item x="216"/>
        <item x="202"/>
        <item x="237"/>
        <item x="180"/>
        <item x="111"/>
        <item x="254"/>
        <item x="187"/>
        <item x="212"/>
        <item x="25"/>
        <item x="153"/>
        <item x="167"/>
        <item x="151"/>
        <item x="318"/>
        <item x="199"/>
        <item x="105"/>
        <item x="305"/>
        <item x="189"/>
        <item x="304"/>
        <item x="281"/>
        <item x="308"/>
        <item x="176"/>
        <item x="119"/>
        <item x="104"/>
        <item x="186"/>
        <item x="243"/>
        <item x="38"/>
        <item x="270"/>
        <item x="70"/>
        <item x="190"/>
        <item x="280"/>
        <item x="154"/>
        <item x="115"/>
        <item x="303"/>
        <item x="29"/>
        <item x="118"/>
        <item x="157"/>
        <item x="215"/>
        <item x="138"/>
        <item x="24"/>
        <item x="18"/>
        <item x="31"/>
        <item x="329"/>
        <item x="307"/>
        <item x="69"/>
        <item x="143"/>
        <item x="99"/>
        <item x="30"/>
        <item x="124"/>
        <item x="149"/>
        <item x="323"/>
        <item x="130"/>
        <item x="132"/>
        <item x="133"/>
        <item x="183"/>
        <item x="230"/>
        <item x="134"/>
        <item x="207"/>
        <item x="120"/>
        <item x="255"/>
        <item x="258"/>
        <item x="50"/>
        <item x="13"/>
        <item x="316"/>
        <item x="52"/>
        <item x="82"/>
        <item x="283"/>
        <item x="256"/>
        <item x="114"/>
        <item x="49"/>
        <item x="57"/>
        <item x="48"/>
        <item x="300"/>
        <item x="106"/>
        <item x="103"/>
        <item x="62"/>
        <item x="248"/>
        <item x="232"/>
        <item x="84"/>
        <item x="196"/>
        <item x="2"/>
        <item x="140"/>
        <item x="217"/>
        <item x="314"/>
        <item x="27"/>
        <item x="0"/>
        <item x="9"/>
        <item x="81"/>
        <item x="259"/>
        <item x="296"/>
        <item x="75"/>
        <item x="214"/>
        <item x="219"/>
        <item x="204"/>
        <item x="272"/>
        <item x="152"/>
        <item x="3"/>
        <item x="269"/>
        <item x="169"/>
        <item x="233"/>
        <item x="288"/>
        <item x="43"/>
        <item x="36"/>
        <item x="234"/>
        <item x="228"/>
        <item x="32"/>
        <item x="319"/>
        <item x="127"/>
        <item x="317"/>
        <item x="42"/>
        <item x="276"/>
        <item x="302"/>
        <item x="110"/>
        <item x="101"/>
        <item x="146"/>
        <item x="247"/>
        <item x="77"/>
        <item x="328"/>
        <item x="182"/>
        <item x="286"/>
        <item x="160"/>
        <item x="324"/>
        <item x="221"/>
        <item x="178"/>
        <item x="240"/>
        <item x="205"/>
        <item x="72"/>
        <item x="78"/>
        <item x="141"/>
        <item x="34"/>
        <item x="71"/>
        <item x="159"/>
        <item x="173"/>
        <item x="33"/>
        <item x="246"/>
        <item x="139"/>
        <item x="298"/>
        <item x="312"/>
        <item x="44"/>
        <item x="17"/>
        <item x="313"/>
        <item x="129"/>
        <item x="257"/>
        <item x="275"/>
        <item x="251"/>
        <item x="162"/>
        <item x="253"/>
        <item x="107"/>
        <item x="126"/>
        <item x="63"/>
        <item x="92"/>
        <item x="244"/>
        <item x="66"/>
        <item x="156"/>
        <item x="174"/>
        <item x="238"/>
        <item x="22"/>
        <item x="200"/>
        <item x="65"/>
        <item x="109"/>
        <item x="201"/>
        <item x="112"/>
        <item x="293"/>
        <item x="61"/>
        <item x="4"/>
        <item x="197"/>
        <item x="164"/>
        <item x="28"/>
        <item x="195"/>
        <item x="320"/>
        <item x="172"/>
        <item x="297"/>
        <item x="191"/>
        <item x="277"/>
        <item x="144"/>
        <item x="87"/>
        <item x="68"/>
        <item x="213"/>
        <item x="188"/>
        <item x="289"/>
        <item x="7"/>
        <item x="194"/>
        <item x="179"/>
        <item x="108"/>
        <item x="37"/>
        <item x="39"/>
        <item x="67"/>
        <item x="231"/>
        <item x="150"/>
        <item x="117"/>
        <item x="274"/>
        <item x="224"/>
        <item x="5"/>
        <item x="282"/>
        <item x="218"/>
        <item x="241"/>
        <item x="15"/>
        <item x="192"/>
        <item x="16"/>
        <item x="229"/>
        <item x="168"/>
        <item x="128"/>
        <item x="315"/>
        <item x="245"/>
        <item x="137"/>
        <item x="98"/>
        <item x="54"/>
        <item x="26"/>
        <item x="263"/>
        <item x="88"/>
        <item x="80"/>
        <item x="181"/>
        <item x="310"/>
        <item x="53"/>
        <item x="292"/>
        <item x="236"/>
        <item x="267"/>
        <item x="145"/>
        <item x="322"/>
        <item x="100"/>
        <item x="14"/>
        <item x="311"/>
        <item x="171"/>
        <item x="211"/>
        <item x="56"/>
        <item x="23"/>
        <item x="46"/>
        <item x="239"/>
        <item x="113"/>
        <item x="165"/>
        <item x="235"/>
        <item x="294"/>
        <item x="116"/>
        <item x="327"/>
        <item x="74"/>
        <item x="177"/>
        <item x="86"/>
        <item x="325"/>
        <item x="90"/>
        <item x="220"/>
        <item x="206"/>
        <item x="93"/>
        <item x="250"/>
        <item x="291"/>
        <item x="262"/>
        <item x="198"/>
        <item x="58"/>
        <item x="158"/>
        <item x="136"/>
        <item t="default"/>
      </items>
    </pivotField>
    <pivotField showAll="0"/>
    <pivotField showAll="0"/>
    <pivotField numFmtId="166" showAll="0"/>
    <pivotField showAll="0"/>
    <pivotField showAll="0">
      <items count="5">
        <item x="3"/>
        <item x="1"/>
        <item x="0"/>
        <item x="2"/>
        <item t="default"/>
      </items>
    </pivotField>
    <pivotField showAll="0">
      <items count="5">
        <item x="1"/>
        <item x="0"/>
        <item m="1" x="3"/>
        <item x="2"/>
        <item t="default"/>
      </items>
    </pivotField>
    <pivotField showAll="0"/>
    <pivotField showAll="0"/>
    <pivotField numFmtId="164" showAll="0"/>
    <pivotField showAll="0"/>
    <pivotField dataField="1" numFmtId="164" showAll="0"/>
    <pivotField showAll="0"/>
    <pivotField showAll="0"/>
    <pivotField showAll="0"/>
    <pivotField showAll="0"/>
    <pivotField showAll="0"/>
    <pivotField showAll="0"/>
    <pivotField dragToRow="0" dragToCol="0" dragToPage="0" showAll="0" defaultSubtotal="0"/>
    <pivotField showAll="0" defaultSubtotal="0">
      <items count="1">
        <item x="0"/>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3"/>
  </rowFields>
  <rowItems count="13">
    <i>
      <x v="1"/>
    </i>
    <i>
      <x v="2"/>
    </i>
    <i>
      <x v="3"/>
    </i>
    <i>
      <x v="4"/>
    </i>
    <i>
      <x v="5"/>
    </i>
    <i>
      <x v="6"/>
    </i>
    <i>
      <x v="7"/>
    </i>
    <i>
      <x v="8"/>
    </i>
    <i>
      <x v="9"/>
    </i>
    <i>
      <x v="10"/>
    </i>
    <i>
      <x v="11"/>
    </i>
    <i>
      <x v="12"/>
    </i>
    <i t="grand">
      <x/>
    </i>
  </rowItems>
  <colItems count="1">
    <i/>
  </colItems>
  <dataFields count="1">
    <dataField name="Sum of Sales" fld="15"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782E57D-530E-46DD-88B3-983DD1301059}" name="PivotTable4" cacheId="31"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E2:E3" firstHeaderRow="1" firstDataRow="1" firstDataCol="0"/>
  <pivotFields count="26">
    <pivotField showAll="0"/>
    <pivotField showAll="0"/>
    <pivotField showAll="0"/>
    <pivotField showAll="0">
      <items count="15">
        <item x="0"/>
        <item x="1"/>
        <item x="2"/>
        <item x="3"/>
        <item x="4"/>
        <item x="5"/>
        <item x="6"/>
        <item x="7"/>
        <item x="8"/>
        <item x="9"/>
        <item x="10"/>
        <item x="11"/>
        <item x="12"/>
        <item x="13"/>
        <item t="default"/>
      </items>
    </pivotField>
    <pivotField showAll="0">
      <items count="331">
        <item x="45"/>
        <item x="73"/>
        <item x="20"/>
        <item x="209"/>
        <item x="11"/>
        <item x="227"/>
        <item x="326"/>
        <item x="284"/>
        <item x="94"/>
        <item x="121"/>
        <item x="155"/>
        <item x="226"/>
        <item x="278"/>
        <item x="125"/>
        <item x="123"/>
        <item x="271"/>
        <item x="321"/>
        <item x="268"/>
        <item x="285"/>
        <item x="122"/>
        <item x="290"/>
        <item x="166"/>
        <item x="252"/>
        <item x="260"/>
        <item x="60"/>
        <item x="265"/>
        <item x="225"/>
        <item x="299"/>
        <item x="175"/>
        <item x="147"/>
        <item x="161"/>
        <item x="35"/>
        <item x="287"/>
        <item x="184"/>
        <item x="51"/>
        <item x="97"/>
        <item x="309"/>
        <item x="96"/>
        <item x="279"/>
        <item x="193"/>
        <item x="59"/>
        <item x="55"/>
        <item x="208"/>
        <item x="242"/>
        <item x="170"/>
        <item x="12"/>
        <item x="223"/>
        <item x="10"/>
        <item x="95"/>
        <item x="83"/>
        <item x="76"/>
        <item x="131"/>
        <item x="148"/>
        <item x="203"/>
        <item x="8"/>
        <item x="295"/>
        <item x="40"/>
        <item x="222"/>
        <item x="142"/>
        <item x="47"/>
        <item x="249"/>
        <item x="64"/>
        <item x="273"/>
        <item x="135"/>
        <item x="102"/>
        <item x="85"/>
        <item x="79"/>
        <item x="6"/>
        <item x="301"/>
        <item x="261"/>
        <item x="210"/>
        <item x="41"/>
        <item x="91"/>
        <item x="21"/>
        <item x="185"/>
        <item x="306"/>
        <item x="1"/>
        <item x="19"/>
        <item x="264"/>
        <item x="163"/>
        <item x="89"/>
        <item x="266"/>
        <item x="216"/>
        <item x="202"/>
        <item x="237"/>
        <item x="180"/>
        <item x="111"/>
        <item x="254"/>
        <item x="187"/>
        <item x="212"/>
        <item x="25"/>
        <item x="153"/>
        <item x="167"/>
        <item x="151"/>
        <item x="318"/>
        <item x="199"/>
        <item x="105"/>
        <item x="305"/>
        <item x="189"/>
        <item x="304"/>
        <item x="281"/>
        <item x="308"/>
        <item x="176"/>
        <item x="119"/>
        <item x="104"/>
        <item x="186"/>
        <item x="243"/>
        <item x="38"/>
        <item x="270"/>
        <item x="70"/>
        <item x="190"/>
        <item x="280"/>
        <item x="154"/>
        <item x="115"/>
        <item x="303"/>
        <item x="29"/>
        <item x="118"/>
        <item x="157"/>
        <item x="215"/>
        <item x="138"/>
        <item x="24"/>
        <item x="18"/>
        <item x="31"/>
        <item x="329"/>
        <item x="307"/>
        <item x="69"/>
        <item x="143"/>
        <item x="99"/>
        <item x="30"/>
        <item x="124"/>
        <item x="149"/>
        <item x="323"/>
        <item x="130"/>
        <item x="132"/>
        <item x="133"/>
        <item x="183"/>
        <item x="230"/>
        <item x="134"/>
        <item x="207"/>
        <item x="120"/>
        <item x="255"/>
        <item x="258"/>
        <item x="50"/>
        <item x="13"/>
        <item x="316"/>
        <item x="52"/>
        <item x="82"/>
        <item x="283"/>
        <item x="256"/>
        <item x="114"/>
        <item x="49"/>
        <item x="57"/>
        <item x="48"/>
        <item x="300"/>
        <item x="106"/>
        <item x="103"/>
        <item x="62"/>
        <item x="248"/>
        <item x="232"/>
        <item x="84"/>
        <item x="196"/>
        <item x="2"/>
        <item x="140"/>
        <item x="217"/>
        <item x="314"/>
        <item x="27"/>
        <item x="0"/>
        <item x="9"/>
        <item x="81"/>
        <item x="259"/>
        <item x="296"/>
        <item x="75"/>
        <item x="214"/>
        <item x="219"/>
        <item x="204"/>
        <item x="272"/>
        <item x="152"/>
        <item x="3"/>
        <item x="269"/>
        <item x="169"/>
        <item x="233"/>
        <item x="288"/>
        <item x="43"/>
        <item x="36"/>
        <item x="234"/>
        <item x="228"/>
        <item x="32"/>
        <item x="319"/>
        <item x="127"/>
        <item x="317"/>
        <item x="42"/>
        <item x="276"/>
        <item x="302"/>
        <item x="110"/>
        <item x="101"/>
        <item x="146"/>
        <item x="247"/>
        <item x="77"/>
        <item x="328"/>
        <item x="182"/>
        <item x="286"/>
        <item x="160"/>
        <item x="324"/>
        <item x="221"/>
        <item x="178"/>
        <item x="240"/>
        <item x="205"/>
        <item x="72"/>
        <item x="78"/>
        <item x="141"/>
        <item x="34"/>
        <item x="71"/>
        <item x="159"/>
        <item x="173"/>
        <item x="33"/>
        <item x="246"/>
        <item x="139"/>
        <item x="298"/>
        <item x="312"/>
        <item x="44"/>
        <item x="17"/>
        <item x="313"/>
        <item x="129"/>
        <item x="257"/>
        <item x="275"/>
        <item x="251"/>
        <item x="162"/>
        <item x="253"/>
        <item x="107"/>
        <item x="126"/>
        <item x="63"/>
        <item x="92"/>
        <item x="244"/>
        <item x="66"/>
        <item x="156"/>
        <item x="174"/>
        <item x="238"/>
        <item x="22"/>
        <item x="200"/>
        <item x="65"/>
        <item x="109"/>
        <item x="201"/>
        <item x="112"/>
        <item x="293"/>
        <item x="61"/>
        <item x="4"/>
        <item x="197"/>
        <item x="164"/>
        <item x="28"/>
        <item x="195"/>
        <item x="320"/>
        <item x="172"/>
        <item x="297"/>
        <item x="191"/>
        <item x="277"/>
        <item x="144"/>
        <item x="87"/>
        <item x="68"/>
        <item x="213"/>
        <item x="188"/>
        <item x="289"/>
        <item x="7"/>
        <item x="194"/>
        <item x="179"/>
        <item x="108"/>
        <item x="37"/>
        <item x="39"/>
        <item x="67"/>
        <item x="231"/>
        <item x="150"/>
        <item x="117"/>
        <item x="274"/>
        <item x="224"/>
        <item x="5"/>
        <item x="282"/>
        <item x="218"/>
        <item x="241"/>
        <item x="15"/>
        <item x="192"/>
        <item x="16"/>
        <item x="229"/>
        <item x="168"/>
        <item x="128"/>
        <item x="315"/>
        <item x="245"/>
        <item x="137"/>
        <item x="98"/>
        <item x="54"/>
        <item x="26"/>
        <item x="263"/>
        <item x="88"/>
        <item x="80"/>
        <item x="181"/>
        <item x="310"/>
        <item x="53"/>
        <item x="292"/>
        <item x="236"/>
        <item x="267"/>
        <item x="145"/>
        <item x="322"/>
        <item x="100"/>
        <item x="14"/>
        <item x="311"/>
        <item x="171"/>
        <item x="211"/>
        <item x="56"/>
        <item x="23"/>
        <item x="46"/>
        <item x="239"/>
        <item x="113"/>
        <item x="165"/>
        <item x="235"/>
        <item x="294"/>
        <item x="116"/>
        <item x="327"/>
        <item x="74"/>
        <item x="177"/>
        <item x="86"/>
        <item x="325"/>
        <item x="90"/>
        <item x="220"/>
        <item x="206"/>
        <item x="93"/>
        <item x="250"/>
        <item x="291"/>
        <item x="262"/>
        <item x="198"/>
        <item x="58"/>
        <item x="158"/>
        <item x="136"/>
        <item t="default"/>
      </items>
    </pivotField>
    <pivotField showAll="0"/>
    <pivotField showAll="0"/>
    <pivotField numFmtId="14" showAll="0"/>
    <pivotField showAll="0"/>
    <pivotField showAll="0">
      <items count="5">
        <item x="3"/>
        <item x="1"/>
        <item x="0"/>
        <item x="2"/>
        <item t="default"/>
      </items>
    </pivotField>
    <pivotField showAll="0">
      <items count="5">
        <item x="1"/>
        <item x="0"/>
        <item m="1" x="3"/>
        <item x="2"/>
        <item t="default"/>
      </items>
    </pivotField>
    <pivotField showAll="0"/>
    <pivotField showAll="0"/>
    <pivotField numFmtId="164" showAll="0"/>
    <pivotField showAll="0"/>
    <pivotField dataField="1" numFmtId="164" showAll="0"/>
    <pivotField showAll="0"/>
    <pivotField showAll="0"/>
    <pivotField showAll="0"/>
    <pivotField showAll="0"/>
    <pivotField showAll="0"/>
    <pivotField showAll="0"/>
    <pivotField dragToRow="0" dragToCol="0" dragToPage="0" showAll="0" defaultSubtotal="0"/>
    <pivotField showAll="0">
      <items count="2">
        <item x="0"/>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Average of Sales" fld="15" subtotal="average" baseField="0" baseItem="9" numFmtId="2"/>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2F3308F-09DD-4C73-843D-B5FE67AACF12}" name="PivotTable5" cacheId="31"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3">
  <location ref="A7:B12" firstHeaderRow="1" firstDataRow="1" firstDataCol="1"/>
  <pivotFields count="26">
    <pivotField showAll="0"/>
    <pivotField showAll="0"/>
    <pivotField showAll="0"/>
    <pivotField showAll="0">
      <items count="15">
        <item x="0"/>
        <item x="1"/>
        <item x="2"/>
        <item x="3"/>
        <item x="4"/>
        <item x="5"/>
        <item x="6"/>
        <item x="7"/>
        <item x="8"/>
        <item x="9"/>
        <item x="10"/>
        <item x="11"/>
        <item x="12"/>
        <item x="13"/>
        <item t="default"/>
      </items>
    </pivotField>
    <pivotField showAll="0">
      <items count="331">
        <item x="45"/>
        <item x="73"/>
        <item x="20"/>
        <item x="209"/>
        <item x="11"/>
        <item x="227"/>
        <item x="326"/>
        <item x="284"/>
        <item x="94"/>
        <item x="121"/>
        <item x="155"/>
        <item x="226"/>
        <item x="278"/>
        <item x="125"/>
        <item x="123"/>
        <item x="271"/>
        <item x="321"/>
        <item x="268"/>
        <item x="285"/>
        <item x="122"/>
        <item x="290"/>
        <item x="166"/>
        <item x="252"/>
        <item x="260"/>
        <item x="60"/>
        <item x="265"/>
        <item x="225"/>
        <item x="299"/>
        <item x="175"/>
        <item x="147"/>
        <item x="161"/>
        <item x="35"/>
        <item x="287"/>
        <item x="184"/>
        <item x="51"/>
        <item x="97"/>
        <item x="309"/>
        <item x="96"/>
        <item x="279"/>
        <item x="193"/>
        <item x="59"/>
        <item x="55"/>
        <item x="208"/>
        <item x="242"/>
        <item x="170"/>
        <item x="12"/>
        <item x="223"/>
        <item x="10"/>
        <item x="95"/>
        <item x="83"/>
        <item x="76"/>
        <item x="131"/>
        <item x="148"/>
        <item x="203"/>
        <item x="8"/>
        <item x="295"/>
        <item x="40"/>
        <item x="222"/>
        <item x="142"/>
        <item x="47"/>
        <item x="249"/>
        <item x="64"/>
        <item x="273"/>
        <item x="135"/>
        <item x="102"/>
        <item x="85"/>
        <item x="79"/>
        <item x="6"/>
        <item x="301"/>
        <item x="261"/>
        <item x="210"/>
        <item x="41"/>
        <item x="91"/>
        <item x="21"/>
        <item x="185"/>
        <item x="306"/>
        <item x="1"/>
        <item x="19"/>
        <item x="264"/>
        <item x="163"/>
        <item x="89"/>
        <item x="266"/>
        <item x="216"/>
        <item x="202"/>
        <item x="237"/>
        <item x="180"/>
        <item x="111"/>
        <item x="254"/>
        <item x="187"/>
        <item x="212"/>
        <item x="25"/>
        <item x="153"/>
        <item x="167"/>
        <item x="151"/>
        <item x="318"/>
        <item x="199"/>
        <item x="105"/>
        <item x="305"/>
        <item x="189"/>
        <item x="304"/>
        <item x="281"/>
        <item x="308"/>
        <item x="176"/>
        <item x="119"/>
        <item x="104"/>
        <item x="186"/>
        <item x="243"/>
        <item x="38"/>
        <item x="270"/>
        <item x="70"/>
        <item x="190"/>
        <item x="280"/>
        <item x="154"/>
        <item x="115"/>
        <item x="303"/>
        <item x="29"/>
        <item x="118"/>
        <item x="157"/>
        <item x="215"/>
        <item x="138"/>
        <item x="24"/>
        <item x="18"/>
        <item x="31"/>
        <item x="329"/>
        <item x="307"/>
        <item x="69"/>
        <item x="143"/>
        <item x="99"/>
        <item x="30"/>
        <item x="124"/>
        <item x="149"/>
        <item x="323"/>
        <item x="130"/>
        <item x="132"/>
        <item x="133"/>
        <item x="183"/>
        <item x="230"/>
        <item x="134"/>
        <item x="207"/>
        <item x="120"/>
        <item x="255"/>
        <item x="258"/>
        <item x="50"/>
        <item x="13"/>
        <item x="316"/>
        <item x="52"/>
        <item x="82"/>
        <item x="283"/>
        <item x="256"/>
        <item x="114"/>
        <item x="49"/>
        <item x="57"/>
        <item x="48"/>
        <item x="300"/>
        <item x="106"/>
        <item x="103"/>
        <item x="62"/>
        <item x="248"/>
        <item x="232"/>
        <item x="84"/>
        <item x="196"/>
        <item x="2"/>
        <item x="140"/>
        <item x="217"/>
        <item x="314"/>
        <item x="27"/>
        <item x="0"/>
        <item x="9"/>
        <item x="81"/>
        <item x="259"/>
        <item x="296"/>
        <item x="75"/>
        <item x="214"/>
        <item x="219"/>
        <item x="204"/>
        <item x="272"/>
        <item x="152"/>
        <item x="3"/>
        <item x="269"/>
        <item x="169"/>
        <item x="233"/>
        <item x="288"/>
        <item x="43"/>
        <item x="36"/>
        <item x="234"/>
        <item x="228"/>
        <item x="32"/>
        <item x="319"/>
        <item x="127"/>
        <item x="317"/>
        <item x="42"/>
        <item x="276"/>
        <item x="302"/>
        <item x="110"/>
        <item x="101"/>
        <item x="146"/>
        <item x="247"/>
        <item x="77"/>
        <item x="328"/>
        <item x="182"/>
        <item x="286"/>
        <item x="160"/>
        <item x="324"/>
        <item x="221"/>
        <item x="178"/>
        <item x="240"/>
        <item x="205"/>
        <item x="72"/>
        <item x="78"/>
        <item x="141"/>
        <item x="34"/>
        <item x="71"/>
        <item x="159"/>
        <item x="173"/>
        <item x="33"/>
        <item x="246"/>
        <item x="139"/>
        <item x="298"/>
        <item x="312"/>
        <item x="44"/>
        <item x="17"/>
        <item x="313"/>
        <item x="129"/>
        <item x="257"/>
        <item x="275"/>
        <item x="251"/>
        <item x="162"/>
        <item x="253"/>
        <item x="107"/>
        <item x="126"/>
        <item x="63"/>
        <item x="92"/>
        <item x="244"/>
        <item x="66"/>
        <item x="156"/>
        <item x="174"/>
        <item x="238"/>
        <item x="22"/>
        <item x="200"/>
        <item x="65"/>
        <item x="109"/>
        <item x="201"/>
        <item x="112"/>
        <item x="293"/>
        <item x="61"/>
        <item x="4"/>
        <item x="197"/>
        <item x="164"/>
        <item x="28"/>
        <item x="195"/>
        <item x="320"/>
        <item x="172"/>
        <item x="297"/>
        <item x="191"/>
        <item x="277"/>
        <item x="144"/>
        <item x="87"/>
        <item x="68"/>
        <item x="213"/>
        <item x="188"/>
        <item x="289"/>
        <item x="7"/>
        <item x="194"/>
        <item x="179"/>
        <item x="108"/>
        <item x="37"/>
        <item x="39"/>
        <item x="67"/>
        <item x="231"/>
        <item x="150"/>
        <item x="117"/>
        <item x="274"/>
        <item x="224"/>
        <item x="5"/>
        <item x="282"/>
        <item x="218"/>
        <item x="241"/>
        <item x="15"/>
        <item x="192"/>
        <item x="16"/>
        <item x="229"/>
        <item x="168"/>
        <item x="128"/>
        <item x="315"/>
        <item x="245"/>
        <item x="137"/>
        <item x="98"/>
        <item x="54"/>
        <item x="26"/>
        <item x="263"/>
        <item x="88"/>
        <item x="80"/>
        <item x="181"/>
        <item x="310"/>
        <item x="53"/>
        <item x="292"/>
        <item x="236"/>
        <item x="267"/>
        <item x="145"/>
        <item x="322"/>
        <item x="100"/>
        <item x="14"/>
        <item x="311"/>
        <item x="171"/>
        <item x="211"/>
        <item x="56"/>
        <item x="23"/>
        <item x="46"/>
        <item x="239"/>
        <item x="113"/>
        <item x="165"/>
        <item x="235"/>
        <item x="294"/>
        <item x="116"/>
        <item x="327"/>
        <item x="74"/>
        <item x="177"/>
        <item x="86"/>
        <item x="325"/>
        <item x="90"/>
        <item x="220"/>
        <item x="206"/>
        <item x="93"/>
        <item x="250"/>
        <item x="291"/>
        <item x="262"/>
        <item x="198"/>
        <item x="58"/>
        <item x="158"/>
        <item x="136"/>
        <item t="default"/>
      </items>
    </pivotField>
    <pivotField showAll="0"/>
    <pivotField showAll="0"/>
    <pivotField numFmtId="14" showAll="0"/>
    <pivotField showAll="0"/>
    <pivotField axis="axisRow" showAll="0">
      <items count="5">
        <item x="3"/>
        <item x="1"/>
        <item x="0"/>
        <item x="2"/>
        <item t="default"/>
      </items>
    </pivotField>
    <pivotField showAll="0">
      <items count="5">
        <item x="1"/>
        <item x="0"/>
        <item m="1" x="3"/>
        <item x="2"/>
        <item t="default"/>
      </items>
    </pivotField>
    <pivotField showAll="0"/>
    <pivotField showAll="0"/>
    <pivotField numFmtId="164" showAll="0"/>
    <pivotField showAll="0"/>
    <pivotField dataField="1" numFmtId="164" showAll="0"/>
    <pivotField showAll="0"/>
    <pivotField showAll="0"/>
    <pivotField showAll="0"/>
    <pivotField showAll="0"/>
    <pivotField showAll="0"/>
    <pivotField showAll="0"/>
    <pivotField dragToRow="0" dragToCol="0" dragToPage="0" showAll="0" defaultSubtotal="0"/>
    <pivotField showAll="0">
      <items count="2">
        <item x="0"/>
        <item t="default"/>
      </items>
    </pivotField>
    <pivotField showAll="0">
      <items count="7">
        <item x="0"/>
        <item x="1"/>
        <item x="2"/>
        <item x="3"/>
        <item x="4"/>
        <item x="5"/>
        <item t="default"/>
      </items>
    </pivotField>
    <pivotField showAll="0">
      <items count="5">
        <item x="0"/>
        <item x="1"/>
        <item x="2"/>
        <item x="3"/>
        <item t="default"/>
      </items>
    </pivotField>
  </pivotFields>
  <rowFields count="1">
    <field x="9"/>
  </rowFields>
  <rowItems count="5">
    <i>
      <x/>
    </i>
    <i>
      <x v="1"/>
    </i>
    <i>
      <x v="2"/>
    </i>
    <i>
      <x v="3"/>
    </i>
    <i t="grand">
      <x/>
    </i>
  </rowItems>
  <colItems count="1">
    <i/>
  </colItems>
  <dataFields count="1">
    <dataField name="Sum of Sales" fld="15"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99087D3-9EB6-42A1-A52B-2B802AE78DA9}" name="PivotTable6" cacheId="31"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9">
  <location ref="J7:K11" firstHeaderRow="1" firstDataRow="1" firstDataCol="1"/>
  <pivotFields count="26">
    <pivotField showAll="0"/>
    <pivotField showAll="0"/>
    <pivotField showAll="0"/>
    <pivotField showAll="0">
      <items count="15">
        <item x="0"/>
        <item x="1"/>
        <item x="2"/>
        <item x="3"/>
        <item x="4"/>
        <item x="5"/>
        <item x="6"/>
        <item x="7"/>
        <item x="8"/>
        <item x="9"/>
        <item x="10"/>
        <item x="11"/>
        <item x="12"/>
        <item x="13"/>
        <item t="default"/>
      </items>
    </pivotField>
    <pivotField showAll="0">
      <items count="331">
        <item x="45"/>
        <item x="73"/>
        <item x="20"/>
        <item x="209"/>
        <item x="11"/>
        <item x="227"/>
        <item x="326"/>
        <item x="284"/>
        <item x="94"/>
        <item x="121"/>
        <item x="155"/>
        <item x="226"/>
        <item x="278"/>
        <item x="125"/>
        <item x="123"/>
        <item x="271"/>
        <item x="321"/>
        <item x="268"/>
        <item x="285"/>
        <item x="122"/>
        <item x="290"/>
        <item x="166"/>
        <item x="252"/>
        <item x="260"/>
        <item x="60"/>
        <item x="265"/>
        <item x="225"/>
        <item x="299"/>
        <item x="175"/>
        <item x="147"/>
        <item x="161"/>
        <item x="35"/>
        <item x="287"/>
        <item x="184"/>
        <item x="51"/>
        <item x="97"/>
        <item x="309"/>
        <item x="96"/>
        <item x="279"/>
        <item x="193"/>
        <item x="59"/>
        <item x="55"/>
        <item x="208"/>
        <item x="242"/>
        <item x="170"/>
        <item x="12"/>
        <item x="223"/>
        <item x="10"/>
        <item x="95"/>
        <item x="83"/>
        <item x="76"/>
        <item x="131"/>
        <item x="148"/>
        <item x="203"/>
        <item x="8"/>
        <item x="295"/>
        <item x="40"/>
        <item x="222"/>
        <item x="142"/>
        <item x="47"/>
        <item x="249"/>
        <item x="64"/>
        <item x="273"/>
        <item x="135"/>
        <item x="102"/>
        <item x="85"/>
        <item x="79"/>
        <item x="6"/>
        <item x="301"/>
        <item x="261"/>
        <item x="210"/>
        <item x="41"/>
        <item x="91"/>
        <item x="21"/>
        <item x="185"/>
        <item x="306"/>
        <item x="1"/>
        <item x="19"/>
        <item x="264"/>
        <item x="163"/>
        <item x="89"/>
        <item x="266"/>
        <item x="216"/>
        <item x="202"/>
        <item x="237"/>
        <item x="180"/>
        <item x="111"/>
        <item x="254"/>
        <item x="187"/>
        <item x="212"/>
        <item x="25"/>
        <item x="153"/>
        <item x="167"/>
        <item x="151"/>
        <item x="318"/>
        <item x="199"/>
        <item x="105"/>
        <item x="305"/>
        <item x="189"/>
        <item x="304"/>
        <item x="281"/>
        <item x="308"/>
        <item x="176"/>
        <item x="119"/>
        <item x="104"/>
        <item x="186"/>
        <item x="243"/>
        <item x="38"/>
        <item x="270"/>
        <item x="70"/>
        <item x="190"/>
        <item x="280"/>
        <item x="154"/>
        <item x="115"/>
        <item x="303"/>
        <item x="29"/>
        <item x="118"/>
        <item x="157"/>
        <item x="215"/>
        <item x="138"/>
        <item x="24"/>
        <item x="18"/>
        <item x="31"/>
        <item x="329"/>
        <item x="307"/>
        <item x="69"/>
        <item x="143"/>
        <item x="99"/>
        <item x="30"/>
        <item x="124"/>
        <item x="149"/>
        <item x="323"/>
        <item x="130"/>
        <item x="132"/>
        <item x="133"/>
        <item x="183"/>
        <item x="230"/>
        <item x="134"/>
        <item x="207"/>
        <item x="120"/>
        <item x="255"/>
        <item x="258"/>
        <item x="50"/>
        <item x="13"/>
        <item x="316"/>
        <item x="52"/>
        <item x="82"/>
        <item x="283"/>
        <item x="256"/>
        <item x="114"/>
        <item x="49"/>
        <item x="57"/>
        <item x="48"/>
        <item x="300"/>
        <item x="106"/>
        <item x="103"/>
        <item x="62"/>
        <item x="248"/>
        <item x="232"/>
        <item x="84"/>
        <item x="196"/>
        <item x="2"/>
        <item x="140"/>
        <item x="217"/>
        <item x="314"/>
        <item x="27"/>
        <item x="0"/>
        <item x="9"/>
        <item x="81"/>
        <item x="259"/>
        <item x="296"/>
        <item x="75"/>
        <item x="214"/>
        <item x="219"/>
        <item x="204"/>
        <item x="272"/>
        <item x="152"/>
        <item x="3"/>
        <item x="269"/>
        <item x="169"/>
        <item x="233"/>
        <item x="288"/>
        <item x="43"/>
        <item x="36"/>
        <item x="234"/>
        <item x="228"/>
        <item x="32"/>
        <item x="319"/>
        <item x="127"/>
        <item x="317"/>
        <item x="42"/>
        <item x="276"/>
        <item x="302"/>
        <item x="110"/>
        <item x="101"/>
        <item x="146"/>
        <item x="247"/>
        <item x="77"/>
        <item x="328"/>
        <item x="182"/>
        <item x="286"/>
        <item x="160"/>
        <item x="324"/>
        <item x="221"/>
        <item x="178"/>
        <item x="240"/>
        <item x="205"/>
        <item x="72"/>
        <item x="78"/>
        <item x="141"/>
        <item x="34"/>
        <item x="71"/>
        <item x="159"/>
        <item x="173"/>
        <item x="33"/>
        <item x="246"/>
        <item x="139"/>
        <item x="298"/>
        <item x="312"/>
        <item x="44"/>
        <item x="17"/>
        <item x="313"/>
        <item x="129"/>
        <item x="257"/>
        <item x="275"/>
        <item x="251"/>
        <item x="162"/>
        <item x="253"/>
        <item x="107"/>
        <item x="126"/>
        <item x="63"/>
        <item x="92"/>
        <item x="244"/>
        <item x="66"/>
        <item x="156"/>
        <item x="174"/>
        <item x="238"/>
        <item x="22"/>
        <item x="200"/>
        <item x="65"/>
        <item x="109"/>
        <item x="201"/>
        <item x="112"/>
        <item x="293"/>
        <item x="61"/>
        <item x="4"/>
        <item x="197"/>
        <item x="164"/>
        <item x="28"/>
        <item x="195"/>
        <item x="320"/>
        <item x="172"/>
        <item x="297"/>
        <item x="191"/>
        <item x="277"/>
        <item x="144"/>
        <item x="87"/>
        <item x="68"/>
        <item x="213"/>
        <item x="188"/>
        <item x="289"/>
        <item x="7"/>
        <item x="194"/>
        <item x="179"/>
        <item x="108"/>
        <item x="37"/>
        <item x="39"/>
        <item x="67"/>
        <item x="231"/>
        <item x="150"/>
        <item x="117"/>
        <item x="274"/>
        <item x="224"/>
        <item x="5"/>
        <item x="282"/>
        <item x="218"/>
        <item x="241"/>
        <item x="15"/>
        <item x="192"/>
        <item x="16"/>
        <item x="229"/>
        <item x="168"/>
        <item x="128"/>
        <item x="315"/>
        <item x="245"/>
        <item x="137"/>
        <item x="98"/>
        <item x="54"/>
        <item x="26"/>
        <item x="263"/>
        <item x="88"/>
        <item x="80"/>
        <item x="181"/>
        <item x="310"/>
        <item x="53"/>
        <item x="292"/>
        <item x="236"/>
        <item x="267"/>
        <item x="145"/>
        <item x="322"/>
        <item x="100"/>
        <item x="14"/>
        <item x="311"/>
        <item x="171"/>
        <item x="211"/>
        <item x="56"/>
        <item x="23"/>
        <item x="46"/>
        <item x="239"/>
        <item x="113"/>
        <item x="165"/>
        <item x="235"/>
        <item x="294"/>
        <item x="116"/>
        <item x="327"/>
        <item x="74"/>
        <item x="177"/>
        <item x="86"/>
        <item x="325"/>
        <item x="90"/>
        <item x="220"/>
        <item x="206"/>
        <item x="93"/>
        <item x="250"/>
        <item x="291"/>
        <item x="262"/>
        <item x="198"/>
        <item x="58"/>
        <item x="158"/>
        <item x="136"/>
        <item t="default"/>
      </items>
    </pivotField>
    <pivotField showAll="0"/>
    <pivotField showAll="0"/>
    <pivotField numFmtId="14" showAll="0"/>
    <pivotField showAll="0"/>
    <pivotField showAll="0">
      <items count="5">
        <item x="3"/>
        <item x="1"/>
        <item x="0"/>
        <item x="2"/>
        <item t="default"/>
      </items>
    </pivotField>
    <pivotField axis="axisRow" showAll="0">
      <items count="5">
        <item x="1"/>
        <item x="0"/>
        <item m="1" x="3"/>
        <item x="2"/>
        <item t="default"/>
      </items>
    </pivotField>
    <pivotField showAll="0"/>
    <pivotField showAll="0"/>
    <pivotField numFmtId="164" showAll="0"/>
    <pivotField showAll="0"/>
    <pivotField dataField="1" numFmtId="164" showAll="0"/>
    <pivotField showAll="0"/>
    <pivotField showAll="0"/>
    <pivotField showAll="0"/>
    <pivotField showAll="0"/>
    <pivotField showAll="0"/>
    <pivotField showAll="0"/>
    <pivotField dragToRow="0" dragToCol="0" dragToPage="0" showAll="0" defaultSubtotal="0"/>
    <pivotField showAll="0">
      <items count="2">
        <item x="0"/>
        <item t="default"/>
      </items>
    </pivotField>
    <pivotField showAll="0">
      <items count="7">
        <item x="0"/>
        <item x="1"/>
        <item x="2"/>
        <item x="3"/>
        <item x="4"/>
        <item x="5"/>
        <item t="default"/>
      </items>
    </pivotField>
    <pivotField showAll="0">
      <items count="5">
        <item x="0"/>
        <item x="1"/>
        <item x="2"/>
        <item x="3"/>
        <item t="default"/>
      </items>
    </pivotField>
  </pivotFields>
  <rowFields count="1">
    <field x="10"/>
  </rowFields>
  <rowItems count="4">
    <i>
      <x/>
    </i>
    <i>
      <x v="1"/>
    </i>
    <i>
      <x v="3"/>
    </i>
    <i t="grand">
      <x/>
    </i>
  </rowItems>
  <colItems count="1">
    <i/>
  </colItems>
  <dataFields count="1">
    <dataField name="Sum of Sales" fld="15" baseField="0" baseItem="0"/>
  </dataFields>
  <chartFormats count="7">
    <chartFormat chart="0"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10" series="1">
      <pivotArea type="data" outline="0" fieldPosition="0">
        <references count="1">
          <reference field="4294967294" count="1" selected="0">
            <x v="0"/>
          </reference>
        </references>
      </pivotArea>
    </chartFormat>
    <chartFormat chart="8" format="15" series="1">
      <pivotArea type="data" outline="0" fieldPosition="0">
        <references count="1">
          <reference field="4294967294" count="1" selected="0">
            <x v="0"/>
          </reference>
        </references>
      </pivotArea>
    </chartFormat>
    <chartFormat chart="8" format="16">
      <pivotArea type="data" outline="0" fieldPosition="0">
        <references count="2">
          <reference field="4294967294" count="1" selected="0">
            <x v="0"/>
          </reference>
          <reference field="10" count="1" selected="0">
            <x v="0"/>
          </reference>
        </references>
      </pivotArea>
    </chartFormat>
    <chartFormat chart="8" format="17">
      <pivotArea type="data" outline="0" fieldPosition="0">
        <references count="2">
          <reference field="4294967294" count="1" selected="0">
            <x v="0"/>
          </reference>
          <reference field="10" count="1" selected="0">
            <x v="1"/>
          </reference>
        </references>
      </pivotArea>
    </chartFormat>
    <chartFormat chart="8" format="18">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11C0593-4F78-4777-988F-410426EF91C1}" name="PivotTable1" cacheId="31"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A2:A3" firstHeaderRow="1" firstDataRow="1" firstDataCol="0"/>
  <pivotFields count="26">
    <pivotField showAll="0"/>
    <pivotField showAll="0"/>
    <pivotField showAll="0"/>
    <pivotField showAll="0">
      <items count="15">
        <item x="0"/>
        <item x="1"/>
        <item x="2"/>
        <item x="3"/>
        <item x="4"/>
        <item x="5"/>
        <item x="6"/>
        <item x="7"/>
        <item x="8"/>
        <item x="9"/>
        <item x="10"/>
        <item x="11"/>
        <item x="12"/>
        <item x="13"/>
        <item t="default"/>
      </items>
    </pivotField>
    <pivotField showAll="0">
      <items count="331">
        <item x="45"/>
        <item x="73"/>
        <item x="20"/>
        <item x="209"/>
        <item x="11"/>
        <item x="227"/>
        <item x="326"/>
        <item x="284"/>
        <item x="94"/>
        <item x="121"/>
        <item x="155"/>
        <item x="226"/>
        <item x="278"/>
        <item x="125"/>
        <item x="123"/>
        <item x="271"/>
        <item x="321"/>
        <item x="268"/>
        <item x="285"/>
        <item x="122"/>
        <item x="290"/>
        <item x="166"/>
        <item x="252"/>
        <item x="260"/>
        <item x="60"/>
        <item x="265"/>
        <item x="225"/>
        <item x="299"/>
        <item x="175"/>
        <item x="147"/>
        <item x="161"/>
        <item x="35"/>
        <item x="287"/>
        <item x="184"/>
        <item x="51"/>
        <item x="97"/>
        <item x="309"/>
        <item x="96"/>
        <item x="279"/>
        <item x="193"/>
        <item x="59"/>
        <item x="55"/>
        <item x="208"/>
        <item x="242"/>
        <item x="170"/>
        <item x="12"/>
        <item x="223"/>
        <item x="10"/>
        <item x="95"/>
        <item x="83"/>
        <item x="76"/>
        <item x="131"/>
        <item x="148"/>
        <item x="203"/>
        <item x="8"/>
        <item x="295"/>
        <item x="40"/>
        <item x="222"/>
        <item x="142"/>
        <item x="47"/>
        <item x="249"/>
        <item x="64"/>
        <item x="273"/>
        <item x="135"/>
        <item x="102"/>
        <item x="85"/>
        <item x="79"/>
        <item x="6"/>
        <item x="301"/>
        <item x="261"/>
        <item x="210"/>
        <item x="41"/>
        <item x="91"/>
        <item x="21"/>
        <item x="185"/>
        <item x="306"/>
        <item x="1"/>
        <item x="19"/>
        <item x="264"/>
        <item x="163"/>
        <item x="89"/>
        <item x="266"/>
        <item x="216"/>
        <item x="202"/>
        <item x="237"/>
        <item x="180"/>
        <item x="111"/>
        <item x="254"/>
        <item x="187"/>
        <item x="212"/>
        <item x="25"/>
        <item x="153"/>
        <item x="167"/>
        <item x="151"/>
        <item x="318"/>
        <item x="199"/>
        <item x="105"/>
        <item x="305"/>
        <item x="189"/>
        <item x="304"/>
        <item x="281"/>
        <item x="308"/>
        <item x="176"/>
        <item x="119"/>
        <item x="104"/>
        <item x="186"/>
        <item x="243"/>
        <item x="38"/>
        <item x="270"/>
        <item x="70"/>
        <item x="190"/>
        <item x="280"/>
        <item x="154"/>
        <item x="115"/>
        <item x="303"/>
        <item x="29"/>
        <item x="118"/>
        <item x="157"/>
        <item x="215"/>
        <item x="138"/>
        <item x="24"/>
        <item x="18"/>
        <item x="31"/>
        <item x="329"/>
        <item x="307"/>
        <item x="69"/>
        <item x="143"/>
        <item x="99"/>
        <item x="30"/>
        <item x="124"/>
        <item x="149"/>
        <item x="323"/>
        <item x="130"/>
        <item x="132"/>
        <item x="133"/>
        <item x="183"/>
        <item x="230"/>
        <item x="134"/>
        <item x="207"/>
        <item x="120"/>
        <item x="255"/>
        <item x="258"/>
        <item x="50"/>
        <item x="13"/>
        <item x="316"/>
        <item x="52"/>
        <item x="82"/>
        <item x="283"/>
        <item x="256"/>
        <item x="114"/>
        <item x="49"/>
        <item x="57"/>
        <item x="48"/>
        <item x="300"/>
        <item x="106"/>
        <item x="103"/>
        <item x="62"/>
        <item x="248"/>
        <item x="232"/>
        <item x="84"/>
        <item x="196"/>
        <item x="2"/>
        <item x="140"/>
        <item x="217"/>
        <item x="314"/>
        <item x="27"/>
        <item x="0"/>
        <item x="9"/>
        <item x="81"/>
        <item x="259"/>
        <item x="296"/>
        <item x="75"/>
        <item x="214"/>
        <item x="219"/>
        <item x="204"/>
        <item x="272"/>
        <item x="152"/>
        <item x="3"/>
        <item x="269"/>
        <item x="169"/>
        <item x="233"/>
        <item x="288"/>
        <item x="43"/>
        <item x="36"/>
        <item x="234"/>
        <item x="228"/>
        <item x="32"/>
        <item x="319"/>
        <item x="127"/>
        <item x="317"/>
        <item x="42"/>
        <item x="276"/>
        <item x="302"/>
        <item x="110"/>
        <item x="101"/>
        <item x="146"/>
        <item x="247"/>
        <item x="77"/>
        <item x="328"/>
        <item x="182"/>
        <item x="286"/>
        <item x="160"/>
        <item x="324"/>
        <item x="221"/>
        <item x="178"/>
        <item x="240"/>
        <item x="205"/>
        <item x="72"/>
        <item x="78"/>
        <item x="141"/>
        <item x="34"/>
        <item x="71"/>
        <item x="159"/>
        <item x="173"/>
        <item x="33"/>
        <item x="246"/>
        <item x="139"/>
        <item x="298"/>
        <item x="312"/>
        <item x="44"/>
        <item x="17"/>
        <item x="313"/>
        <item x="129"/>
        <item x="257"/>
        <item x="275"/>
        <item x="251"/>
        <item x="162"/>
        <item x="253"/>
        <item x="107"/>
        <item x="126"/>
        <item x="63"/>
        <item x="92"/>
        <item x="244"/>
        <item x="66"/>
        <item x="156"/>
        <item x="174"/>
        <item x="238"/>
        <item x="22"/>
        <item x="200"/>
        <item x="65"/>
        <item x="109"/>
        <item x="201"/>
        <item x="112"/>
        <item x="293"/>
        <item x="61"/>
        <item x="4"/>
        <item x="197"/>
        <item x="164"/>
        <item x="28"/>
        <item x="195"/>
        <item x="320"/>
        <item x="172"/>
        <item x="297"/>
        <item x="191"/>
        <item x="277"/>
        <item x="144"/>
        <item x="87"/>
        <item x="68"/>
        <item x="213"/>
        <item x="188"/>
        <item x="289"/>
        <item x="7"/>
        <item x="194"/>
        <item x="179"/>
        <item x="108"/>
        <item x="37"/>
        <item x="39"/>
        <item x="67"/>
        <item x="231"/>
        <item x="150"/>
        <item x="117"/>
        <item x="274"/>
        <item x="224"/>
        <item x="5"/>
        <item x="282"/>
        <item x="218"/>
        <item x="241"/>
        <item x="15"/>
        <item x="192"/>
        <item x="16"/>
        <item x="229"/>
        <item x="168"/>
        <item x="128"/>
        <item x="315"/>
        <item x="245"/>
        <item x="137"/>
        <item x="98"/>
        <item x="54"/>
        <item x="26"/>
        <item x="263"/>
        <item x="88"/>
        <item x="80"/>
        <item x="181"/>
        <item x="310"/>
        <item x="53"/>
        <item x="292"/>
        <item x="236"/>
        <item x="267"/>
        <item x="145"/>
        <item x="322"/>
        <item x="100"/>
        <item x="14"/>
        <item x="311"/>
        <item x="171"/>
        <item x="211"/>
        <item x="56"/>
        <item x="23"/>
        <item x="46"/>
        <item x="239"/>
        <item x="113"/>
        <item x="165"/>
        <item x="235"/>
        <item x="294"/>
        <item x="116"/>
        <item x="327"/>
        <item x="74"/>
        <item x="177"/>
        <item x="86"/>
        <item x="325"/>
        <item x="90"/>
        <item x="220"/>
        <item x="206"/>
        <item x="93"/>
        <item x="250"/>
        <item x="291"/>
        <item x="262"/>
        <item x="198"/>
        <item x="58"/>
        <item x="158"/>
        <item x="136"/>
        <item t="default"/>
      </items>
    </pivotField>
    <pivotField showAll="0"/>
    <pivotField showAll="0"/>
    <pivotField numFmtId="14" showAll="0"/>
    <pivotField showAll="0"/>
    <pivotField showAll="0">
      <items count="5">
        <item x="3"/>
        <item x="1"/>
        <item x="0"/>
        <item x="2"/>
        <item t="default"/>
      </items>
    </pivotField>
    <pivotField showAll="0">
      <items count="5">
        <item x="1"/>
        <item x="0"/>
        <item m="1" x="3"/>
        <item x="2"/>
        <item t="default"/>
      </items>
    </pivotField>
    <pivotField showAll="0"/>
    <pivotField showAll="0"/>
    <pivotField numFmtId="164" showAll="0"/>
    <pivotField showAll="0"/>
    <pivotField dataField="1" numFmtId="164" showAll="0"/>
    <pivotField showAll="0"/>
    <pivotField showAll="0"/>
    <pivotField showAll="0"/>
    <pivotField showAll="0"/>
    <pivotField showAll="0"/>
    <pivotField showAll="0"/>
    <pivotField dragToRow="0" dragToCol="0" dragToPage="0" showAll="0" defaultSubtotal="0"/>
    <pivotField showAll="0">
      <items count="2">
        <item x="0"/>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Sales"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36FE22D-9F54-4C4F-B2F6-C130D10A9E82}" sourceName="Region">
  <pivotTables>
    <pivotTable tabId="12" name="PivotTable5"/>
    <pivotTable tabId="12" name="PivotTable1"/>
    <pivotTable tabId="12" name="PivotTable2"/>
    <pivotTable tabId="12" name="PivotTable4"/>
    <pivotTable tabId="12" name="PivotTable6"/>
    <pivotTable tabId="12" name="PivotTable3"/>
  </pivotTables>
  <data>
    <tabular pivotCacheId="899839768">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DC02AE1-68D9-452D-8865-87EDBBC0D5FC}" sourceName="Category">
  <pivotTables>
    <pivotTable tabId="12" name="PivotTable6"/>
    <pivotTable tabId="12" name="PivotTable1"/>
    <pivotTable tabId="12" name="PivotTable2"/>
    <pivotTable tabId="12" name="PivotTable3"/>
    <pivotTable tabId="12" name="PivotTable4"/>
    <pivotTable tabId="12" name="PivotTable5"/>
  </pivotTables>
  <data>
    <tabular pivotCacheId="899839768">
      <items count="4">
        <i x="1" s="1"/>
        <i x="0" s="1"/>
        <i x="2"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2D01F1A0-5D1A-446A-88E9-56740F3758F4}" cache="Slicer_Region" caption="Region" style="SlicerStyleDark5" rowHeight="234950"/>
  <slicer name="Category 1" xr10:uid="{9518BE06-811A-4666-B6F1-BF5CA75F08FA}" cache="Slicer_Category" caption="Category" style="SlicerStyleDark5"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D67027E-871C-4504-AC6C-B220E1CE6436}" cache="Slicer_Region" caption="Region" rowHeight="234950"/>
  <slicer name="Category" xr10:uid="{CB5779D7-8167-4EE6-B104-D1B0D689F8FE}" cache="Slicer_Category" caption="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1D8F23E-E08D-4BDC-84F6-17491700A00C}" name="Corporate_sales_data_xlsx___Product_master" displayName="Corporate_sales_data_xlsx___Product_master" ref="A1:F11" totalsRowShown="0">
  <autoFilter ref="A1:F11" xr:uid="{71D8F23E-E08D-4BDC-84F6-17491700A00C}"/>
  <tableColumns count="6">
    <tableColumn id="1" xr3:uid="{FB1C6789-88DF-40DE-AF19-117A8C15CE3A}" name="Product_ID" dataDxfId="13"/>
    <tableColumn id="2" xr3:uid="{71E0F095-4F6A-4CEB-8506-34F0A4F29AA5}" name="Product_Name" dataDxfId="12"/>
    <tableColumn id="3" xr3:uid="{199582B9-C99B-4C79-ADB9-E16C5BDE11C3}" name="Category" dataDxfId="11"/>
    <tableColumn id="4" xr3:uid="{55153992-1DEF-485E-8243-CC6F385FC0A4}" name="Supplier" dataDxfId="10"/>
    <tableColumn id="5" xr3:uid="{86390D5F-C0DD-416E-916F-86C4FFCD8733}" name="Cost_Price" dataDxfId="9"/>
    <tableColumn id="6" xr3:uid="{D69F732B-769A-430F-82D7-8F801F4AFE14}" name="Warranty_Months"/>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4126659-CF1C-4B96-8C68-04DC3BECDC90}" name="Table3" displayName="Table3" ref="A1:B4" totalsRowShown="0">
  <autoFilter ref="A1:B4" xr:uid="{64126659-CF1C-4B96-8C68-04DC3BECDC90}"/>
  <tableColumns count="2">
    <tableColumn id="1" xr3:uid="{ABC38C1D-017B-4ABB-B883-299B3099B690}" name="Plan" dataDxfId="8"/>
    <tableColumn id="2" xr3:uid="{87877F78-D47D-4663-9782-90D007661807}" name="Amount" dataDxfId="7"/>
  </tableColumns>
  <tableStyleInfo name="TableStyleLight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C5F03667-8D2D-49D8-BF8D-99075DF10B70}" sourceName="Order_Date">
  <pivotTables>
    <pivotTable tabId="12" name="PivotTable6"/>
    <pivotTable tabId="12" name="PivotTable1"/>
    <pivotTable tabId="12" name="PivotTable2"/>
    <pivotTable tabId="12" name="PivotTable3"/>
    <pivotTable tabId="12" name="PivotTable4"/>
    <pivotTable tabId="12" name="PivotTable5"/>
  </pivotTables>
  <state minimalRefreshVersion="6" lastRefreshVersion="6" pivotCacheId="899839768" filterType="unknown">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3" xr10:uid="{FA0610E4-8A81-4E9F-AE24-A3EACC7F50C0}" cache="NativeTimeline_Order_Date" caption="Order_Date" showHorizontalScrollbar="0" level="2" selectionLevel="2" scrollPosition="2025-09-01T00:00:00" style="TimeSlicerStyleDark5"/>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2" xr10:uid="{AD2C7611-530C-4D16-92AE-9841B6D2DB01}" cache="NativeTimeline_Order_Date" caption="Order_Date" level="2" selectionLevel="2" scrollPosition="2026-06-06T00:00:00"/>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11/relationships/timeline" Target="../timelines/timelin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V501"/>
  <sheetViews>
    <sheetView topLeftCell="C1" workbookViewId="0">
      <selection activeCell="C3" sqref="A1:V501"/>
    </sheetView>
  </sheetViews>
  <sheetFormatPr defaultRowHeight="14.4" x14ac:dyDescent="0.3"/>
  <cols>
    <col min="1" max="1" width="9.6640625" bestFit="1" customWidth="1"/>
    <col min="2" max="2" width="11.6640625" bestFit="1" customWidth="1"/>
    <col min="3" max="3" width="10.109375" bestFit="1" customWidth="1"/>
    <col min="4" max="4" width="10.5546875" style="1" bestFit="1" customWidth="1"/>
    <col min="5" max="5" width="12.44140625" style="1" bestFit="1" customWidth="1"/>
    <col min="6" max="6" width="16.77734375" bestFit="1" customWidth="1"/>
    <col min="7" max="7" width="6.88671875" bestFit="1" customWidth="1"/>
    <col min="8" max="8" width="10.33203125" style="1" bestFit="1" customWidth="1"/>
    <col min="9" max="9" width="10.6640625" bestFit="1" customWidth="1"/>
    <col min="10" max="10" width="6.5546875" bestFit="1" customWidth="1"/>
    <col min="11" max="11" width="15.109375" bestFit="1" customWidth="1"/>
    <col min="12" max="12" width="13.33203125" bestFit="1" customWidth="1"/>
    <col min="13" max="13" width="8" bestFit="1" customWidth="1"/>
    <col min="14" max="14" width="11.44140625" style="8" bestFit="1" customWidth="1"/>
    <col min="15" max="15" width="10.5546875" bestFit="1" customWidth="1"/>
    <col min="16" max="16" width="12.88671875" style="8" bestFit="1" customWidth="1"/>
    <col min="17" max="17" width="6.109375" bestFit="1" customWidth="1"/>
    <col min="18" max="18" width="14" bestFit="1" customWidth="1"/>
    <col min="19" max="19" width="10.6640625" bestFit="1" customWidth="1"/>
    <col min="20" max="20" width="25.21875" bestFit="1" customWidth="1"/>
    <col min="21" max="21" width="11" bestFit="1" customWidth="1"/>
    <col min="22" max="22" width="11.6640625" bestFit="1" customWidth="1"/>
  </cols>
  <sheetData>
    <row r="1" spans="1:22" x14ac:dyDescent="0.3">
      <c r="A1" s="4" t="s">
        <v>0</v>
      </c>
      <c r="B1" s="4" t="s">
        <v>1</v>
      </c>
      <c r="C1" s="4" t="s">
        <v>2</v>
      </c>
      <c r="D1" s="5" t="s">
        <v>3</v>
      </c>
      <c r="E1" s="5" t="s">
        <v>4</v>
      </c>
      <c r="F1" s="4" t="s">
        <v>5</v>
      </c>
      <c r="G1" s="4" t="s">
        <v>6</v>
      </c>
      <c r="H1" s="5" t="s">
        <v>7</v>
      </c>
      <c r="I1" s="4" t="s">
        <v>8</v>
      </c>
      <c r="J1" s="4" t="s">
        <v>9</v>
      </c>
      <c r="K1" s="4" t="s">
        <v>10</v>
      </c>
      <c r="L1" s="4" t="s">
        <v>11</v>
      </c>
      <c r="M1" s="4" t="s">
        <v>12</v>
      </c>
      <c r="N1" s="6" t="s">
        <v>13</v>
      </c>
      <c r="O1" s="4" t="s">
        <v>14</v>
      </c>
      <c r="P1" s="6" t="s">
        <v>15</v>
      </c>
      <c r="Q1" s="4" t="s">
        <v>16</v>
      </c>
      <c r="R1" s="4" t="s">
        <v>17</v>
      </c>
      <c r="S1" s="4" t="s">
        <v>18</v>
      </c>
      <c r="T1" s="4" t="s">
        <v>19</v>
      </c>
      <c r="U1" s="4" t="s">
        <v>20</v>
      </c>
      <c r="V1" s="4" t="s">
        <v>21</v>
      </c>
    </row>
    <row r="2" spans="1:22" x14ac:dyDescent="0.3">
      <c r="A2" s="2" t="s">
        <v>22</v>
      </c>
      <c r="B2" s="2" t="s">
        <v>23</v>
      </c>
      <c r="C2" s="2" t="s">
        <v>24</v>
      </c>
      <c r="D2" s="3">
        <v>45918</v>
      </c>
      <c r="E2" s="3">
        <v>45922</v>
      </c>
      <c r="F2" s="2" t="s">
        <v>25</v>
      </c>
      <c r="G2" s="2" t="s">
        <v>26</v>
      </c>
      <c r="H2" s="3">
        <v>27973</v>
      </c>
      <c r="I2" s="2" t="s">
        <v>27</v>
      </c>
      <c r="J2" s="2" t="s">
        <v>28</v>
      </c>
      <c r="K2" s="2" t="s">
        <v>29</v>
      </c>
      <c r="L2" s="2" t="s">
        <v>30</v>
      </c>
      <c r="M2" s="2">
        <v>4</v>
      </c>
      <c r="N2" s="7">
        <v>2200</v>
      </c>
      <c r="O2" s="23">
        <v>10</v>
      </c>
      <c r="P2" s="7">
        <v>7920</v>
      </c>
      <c r="Q2" s="2">
        <v>4</v>
      </c>
      <c r="R2" s="2" t="s">
        <v>31</v>
      </c>
      <c r="S2" s="2" t="s">
        <v>32</v>
      </c>
      <c r="T2" s="2" t="s">
        <v>33</v>
      </c>
      <c r="U2" s="2">
        <v>9431429797</v>
      </c>
      <c r="V2" s="2" t="s">
        <v>34</v>
      </c>
    </row>
    <row r="3" spans="1:22" x14ac:dyDescent="0.3">
      <c r="A3" s="2" t="s">
        <v>35</v>
      </c>
      <c r="B3" s="2" t="s">
        <v>23</v>
      </c>
      <c r="C3" s="2" t="s">
        <v>36</v>
      </c>
      <c r="D3" s="3">
        <v>45774</v>
      </c>
      <c r="E3" s="3">
        <v>45781</v>
      </c>
      <c r="F3" s="2" t="s">
        <v>25</v>
      </c>
      <c r="G3" s="2" t="s">
        <v>26</v>
      </c>
      <c r="H3" s="3">
        <v>36815</v>
      </c>
      <c r="I3" s="2" t="s">
        <v>37</v>
      </c>
      <c r="J3" s="2" t="s">
        <v>38</v>
      </c>
      <c r="K3" s="2" t="s">
        <v>39</v>
      </c>
      <c r="L3" s="2" t="s">
        <v>40</v>
      </c>
      <c r="M3" s="2">
        <v>17</v>
      </c>
      <c r="N3" s="7">
        <v>12000</v>
      </c>
      <c r="O3" s="2">
        <v>10</v>
      </c>
      <c r="P3" s="7">
        <v>183600</v>
      </c>
      <c r="Q3" s="2">
        <v>1</v>
      </c>
      <c r="R3" s="2" t="s">
        <v>41</v>
      </c>
      <c r="S3" s="2" t="s">
        <v>42</v>
      </c>
      <c r="T3" s="2" t="s">
        <v>43</v>
      </c>
      <c r="U3" s="2">
        <v>9129865339</v>
      </c>
      <c r="V3" s="2" t="s">
        <v>34</v>
      </c>
    </row>
    <row r="4" spans="1:22" x14ac:dyDescent="0.3">
      <c r="A4" s="2" t="s">
        <v>44</v>
      </c>
      <c r="B4" s="2" t="s">
        <v>45</v>
      </c>
      <c r="C4" s="2" t="s">
        <v>46</v>
      </c>
      <c r="D4" s="3">
        <v>45903</v>
      </c>
      <c r="E4" s="3">
        <v>45914</v>
      </c>
      <c r="F4" s="2" t="s">
        <v>47</v>
      </c>
      <c r="G4" s="2" t="s">
        <v>26</v>
      </c>
      <c r="H4" s="3">
        <v>34593</v>
      </c>
      <c r="I4" s="2" t="s">
        <v>48</v>
      </c>
      <c r="J4" s="2" t="s">
        <v>28</v>
      </c>
      <c r="K4" s="2" t="s">
        <v>39</v>
      </c>
      <c r="L4" s="2" t="s">
        <v>49</v>
      </c>
      <c r="M4" s="2">
        <v>5</v>
      </c>
      <c r="N4" s="7">
        <v>55000</v>
      </c>
      <c r="O4" s="2">
        <v>5</v>
      </c>
      <c r="P4" s="7">
        <v>261250</v>
      </c>
      <c r="Q4" s="2">
        <v>3</v>
      </c>
      <c r="R4" s="2" t="s">
        <v>41</v>
      </c>
      <c r="S4" s="2" t="s">
        <v>50</v>
      </c>
      <c r="T4" s="2" t="s">
        <v>51</v>
      </c>
      <c r="U4" s="2">
        <v>9380975626</v>
      </c>
      <c r="V4" s="2" t="s">
        <v>52</v>
      </c>
    </row>
    <row r="5" spans="1:22" x14ac:dyDescent="0.3">
      <c r="A5" s="2" t="s">
        <v>35</v>
      </c>
      <c r="B5" s="2" t="s">
        <v>23</v>
      </c>
      <c r="C5" s="2" t="s">
        <v>24</v>
      </c>
      <c r="D5" s="3">
        <v>46102</v>
      </c>
      <c r="E5" s="3">
        <v>46114</v>
      </c>
      <c r="F5" s="2" t="s">
        <v>25</v>
      </c>
      <c r="G5" s="2" t="s">
        <v>26</v>
      </c>
      <c r="H5" s="3">
        <v>38053</v>
      </c>
      <c r="I5" s="2" t="s">
        <v>48</v>
      </c>
      <c r="J5" s="2" t="s">
        <v>28</v>
      </c>
      <c r="K5" s="2" t="s">
        <v>29</v>
      </c>
      <c r="L5" s="2" t="s">
        <v>30</v>
      </c>
      <c r="M5" s="2">
        <v>5</v>
      </c>
      <c r="N5" s="7">
        <v>2200</v>
      </c>
      <c r="O5" s="2">
        <v>5</v>
      </c>
      <c r="P5" s="7">
        <v>10450</v>
      </c>
      <c r="Q5" s="2">
        <v>5</v>
      </c>
      <c r="R5" s="2" t="s">
        <v>41</v>
      </c>
      <c r="S5" s="2" t="s">
        <v>50</v>
      </c>
      <c r="T5" s="2" t="s">
        <v>43</v>
      </c>
      <c r="U5" s="2">
        <v>9600261125</v>
      </c>
      <c r="V5" s="2" t="s">
        <v>53</v>
      </c>
    </row>
    <row r="6" spans="1:22" x14ac:dyDescent="0.3">
      <c r="A6" s="2" t="s">
        <v>54</v>
      </c>
      <c r="B6" s="2" t="s">
        <v>55</v>
      </c>
      <c r="C6" s="2" t="s">
        <v>56</v>
      </c>
      <c r="D6" s="3">
        <v>45927</v>
      </c>
      <c r="E6" s="3">
        <v>45937</v>
      </c>
      <c r="F6" s="2" t="s">
        <v>57</v>
      </c>
      <c r="G6" s="2" t="s">
        <v>58</v>
      </c>
      <c r="H6" s="3">
        <v>27863</v>
      </c>
      <c r="I6" s="2" t="s">
        <v>37</v>
      </c>
      <c r="J6" s="2" t="s">
        <v>38</v>
      </c>
      <c r="K6" s="2" t="s">
        <v>39</v>
      </c>
      <c r="L6" s="2" t="s">
        <v>59</v>
      </c>
      <c r="M6" s="2">
        <v>8</v>
      </c>
      <c r="N6" s="7">
        <v>1200</v>
      </c>
      <c r="O6" s="2">
        <v>5</v>
      </c>
      <c r="P6" s="7">
        <v>9120</v>
      </c>
      <c r="Q6" s="2">
        <v>2</v>
      </c>
      <c r="R6" s="2" t="s">
        <v>60</v>
      </c>
      <c r="S6" s="2" t="s">
        <v>50</v>
      </c>
      <c r="T6" s="2" t="s">
        <v>61</v>
      </c>
      <c r="U6" s="2">
        <v>9724635978</v>
      </c>
      <c r="V6" s="2" t="s">
        <v>52</v>
      </c>
    </row>
    <row r="7" spans="1:22" x14ac:dyDescent="0.3">
      <c r="A7" s="2" t="s">
        <v>62</v>
      </c>
      <c r="B7" s="2" t="s">
        <v>63</v>
      </c>
      <c r="C7" s="2" t="s">
        <v>24</v>
      </c>
      <c r="D7" s="3">
        <v>46026</v>
      </c>
      <c r="E7" s="3">
        <v>46034</v>
      </c>
      <c r="F7" s="2" t="s">
        <v>64</v>
      </c>
      <c r="G7" s="2" t="s">
        <v>58</v>
      </c>
      <c r="H7" s="3">
        <v>32180</v>
      </c>
      <c r="I7" s="2" t="s">
        <v>27</v>
      </c>
      <c r="J7" s="2" t="s">
        <v>28</v>
      </c>
      <c r="K7" s="2" t="s">
        <v>29</v>
      </c>
      <c r="L7" s="2" t="s">
        <v>30</v>
      </c>
      <c r="M7" s="2">
        <v>4</v>
      </c>
      <c r="N7" s="7">
        <v>2200</v>
      </c>
      <c r="O7" s="2">
        <v>0</v>
      </c>
      <c r="P7" s="7">
        <v>8800</v>
      </c>
      <c r="Q7" s="2">
        <v>1</v>
      </c>
      <c r="R7" s="2" t="s">
        <v>65</v>
      </c>
      <c r="S7" s="2" t="s">
        <v>32</v>
      </c>
      <c r="T7" s="2" t="s">
        <v>66</v>
      </c>
      <c r="U7" s="2">
        <v>9780584905</v>
      </c>
      <c r="V7" s="2" t="s">
        <v>34</v>
      </c>
    </row>
    <row r="8" spans="1:22" x14ac:dyDescent="0.3">
      <c r="A8" s="2" t="s">
        <v>67</v>
      </c>
      <c r="B8" s="2" t="s">
        <v>23</v>
      </c>
      <c r="C8" s="2" t="s">
        <v>68</v>
      </c>
      <c r="D8" s="3" t="s">
        <v>69</v>
      </c>
      <c r="E8" s="3">
        <v>46078</v>
      </c>
      <c r="F8" s="2" t="s">
        <v>70</v>
      </c>
      <c r="G8" s="2" t="s">
        <v>26</v>
      </c>
      <c r="H8" s="3">
        <v>37700</v>
      </c>
      <c r="I8" s="2" t="s">
        <v>27</v>
      </c>
      <c r="J8" s="2" t="s">
        <v>28</v>
      </c>
      <c r="K8" s="2" t="s">
        <v>29</v>
      </c>
      <c r="L8" s="2" t="s">
        <v>71</v>
      </c>
      <c r="M8" s="2">
        <v>2</v>
      </c>
      <c r="N8" s="7">
        <v>3500</v>
      </c>
      <c r="O8" s="2">
        <v>5</v>
      </c>
      <c r="P8" s="7">
        <v>6650</v>
      </c>
      <c r="Q8" s="2">
        <v>1</v>
      </c>
      <c r="R8" s="2" t="s">
        <v>65</v>
      </c>
      <c r="S8" s="2" t="s">
        <v>32</v>
      </c>
      <c r="T8" s="2" t="s">
        <v>43</v>
      </c>
      <c r="U8" s="2">
        <v>9958252176</v>
      </c>
      <c r="V8" s="2" t="s">
        <v>34</v>
      </c>
    </row>
    <row r="9" spans="1:22" x14ac:dyDescent="0.3">
      <c r="A9" s="2" t="s">
        <v>72</v>
      </c>
      <c r="B9" s="2" t="s">
        <v>73</v>
      </c>
      <c r="C9" s="2" t="s">
        <v>36</v>
      </c>
      <c r="D9" s="3">
        <v>45760</v>
      </c>
      <c r="E9" s="3">
        <v>45766</v>
      </c>
      <c r="F9" s="2" t="s">
        <v>74</v>
      </c>
      <c r="G9" s="2" t="s">
        <v>26</v>
      </c>
      <c r="H9" s="3">
        <v>34765</v>
      </c>
      <c r="I9" s="2" t="s">
        <v>75</v>
      </c>
      <c r="J9" s="2" t="s">
        <v>76</v>
      </c>
      <c r="K9" s="2" t="s">
        <v>39</v>
      </c>
      <c r="L9" s="2" t="s">
        <v>40</v>
      </c>
      <c r="M9" s="2">
        <v>14</v>
      </c>
      <c r="N9" s="7">
        <v>12000</v>
      </c>
      <c r="O9" s="2">
        <v>15</v>
      </c>
      <c r="P9" s="7">
        <v>142800</v>
      </c>
      <c r="Q9" s="2">
        <v>4</v>
      </c>
      <c r="R9" s="2" t="s">
        <v>41</v>
      </c>
      <c r="S9" s="2" t="s">
        <v>32</v>
      </c>
      <c r="T9" s="2" t="s">
        <v>77</v>
      </c>
      <c r="U9" s="2">
        <v>9705521654</v>
      </c>
      <c r="V9" s="2" t="s">
        <v>34</v>
      </c>
    </row>
    <row r="10" spans="1:22" x14ac:dyDescent="0.3">
      <c r="A10" s="2" t="s">
        <v>78</v>
      </c>
      <c r="B10" s="2" t="s">
        <v>23</v>
      </c>
      <c r="C10" s="2" t="s">
        <v>36</v>
      </c>
      <c r="D10" s="3">
        <v>46053</v>
      </c>
      <c r="E10" s="3">
        <v>46055</v>
      </c>
      <c r="F10" s="2" t="s">
        <v>79</v>
      </c>
      <c r="G10" s="2" t="s">
        <v>26</v>
      </c>
      <c r="H10" s="3">
        <v>35526</v>
      </c>
      <c r="I10" s="2" t="s">
        <v>80</v>
      </c>
      <c r="J10" s="2" t="s">
        <v>76</v>
      </c>
      <c r="K10" s="2" t="s">
        <v>39</v>
      </c>
      <c r="L10" s="2" t="s">
        <v>40</v>
      </c>
      <c r="M10" s="2">
        <v>4</v>
      </c>
      <c r="N10" s="7">
        <v>12000</v>
      </c>
      <c r="O10" s="2">
        <v>15</v>
      </c>
      <c r="P10" s="7">
        <v>40800</v>
      </c>
      <c r="Q10" s="2">
        <v>4</v>
      </c>
      <c r="R10" s="2" t="s">
        <v>65</v>
      </c>
      <c r="S10" s="2" t="s">
        <v>81</v>
      </c>
      <c r="T10" s="2" t="s">
        <v>43</v>
      </c>
      <c r="U10" s="2">
        <v>9588041011</v>
      </c>
      <c r="V10" s="2" t="s">
        <v>34</v>
      </c>
    </row>
    <row r="11" spans="1:22" x14ac:dyDescent="0.3">
      <c r="A11" s="2" t="s">
        <v>82</v>
      </c>
      <c r="B11" s="2" t="s">
        <v>73</v>
      </c>
      <c r="C11" s="2" t="s">
        <v>83</v>
      </c>
      <c r="D11" s="3">
        <v>45741</v>
      </c>
      <c r="E11" s="3">
        <v>45743</v>
      </c>
      <c r="F11" s="2" t="s">
        <v>74</v>
      </c>
      <c r="G11" s="2" t="s">
        <v>26</v>
      </c>
      <c r="H11" s="3">
        <v>32880</v>
      </c>
      <c r="I11" s="2" t="s">
        <v>75</v>
      </c>
      <c r="J11" s="2" t="s">
        <v>76</v>
      </c>
      <c r="K11" s="2" t="s">
        <v>84</v>
      </c>
      <c r="L11" s="2" t="s">
        <v>85</v>
      </c>
      <c r="M11" s="2">
        <v>6</v>
      </c>
      <c r="N11" s="7">
        <v>60</v>
      </c>
      <c r="O11" s="2">
        <v>0</v>
      </c>
      <c r="P11" s="7">
        <v>360</v>
      </c>
      <c r="Q11" s="2">
        <v>4</v>
      </c>
      <c r="R11" s="2" t="s">
        <v>60</v>
      </c>
      <c r="S11" s="2" t="s">
        <v>81</v>
      </c>
      <c r="T11" s="2" t="s">
        <v>86</v>
      </c>
      <c r="U11" s="2">
        <v>9340540608</v>
      </c>
      <c r="V11" s="2" t="s">
        <v>34</v>
      </c>
    </row>
    <row r="12" spans="1:22" x14ac:dyDescent="0.3">
      <c r="A12" s="2" t="s">
        <v>87</v>
      </c>
      <c r="B12" s="2" t="s">
        <v>88</v>
      </c>
      <c r="C12" s="2" t="s">
        <v>24</v>
      </c>
      <c r="D12" s="3">
        <v>45919</v>
      </c>
      <c r="E12" s="3">
        <v>45923</v>
      </c>
      <c r="F12" s="2" t="s">
        <v>89</v>
      </c>
      <c r="G12" s="2" t="s">
        <v>58</v>
      </c>
      <c r="H12" s="3">
        <v>30081</v>
      </c>
      <c r="I12" s="2" t="s">
        <v>37</v>
      </c>
      <c r="J12" s="2" t="s">
        <v>38</v>
      </c>
      <c r="K12" s="2" t="s">
        <v>29</v>
      </c>
      <c r="L12" s="2" t="s">
        <v>30</v>
      </c>
      <c r="M12" s="2">
        <v>-3</v>
      </c>
      <c r="N12" s="7">
        <v>2200</v>
      </c>
      <c r="O12" s="2">
        <v>0</v>
      </c>
      <c r="P12" s="7">
        <v>35200</v>
      </c>
      <c r="Q12" s="2">
        <v>2</v>
      </c>
      <c r="R12" s="2" t="s">
        <v>60</v>
      </c>
      <c r="S12" s="2" t="s">
        <v>42</v>
      </c>
      <c r="T12" s="2" t="s">
        <v>90</v>
      </c>
      <c r="U12" s="2">
        <v>9521710321</v>
      </c>
      <c r="V12" s="2" t="s">
        <v>52</v>
      </c>
    </row>
    <row r="13" spans="1:22" x14ac:dyDescent="0.3">
      <c r="A13" s="2" t="s">
        <v>91</v>
      </c>
      <c r="B13" s="2" t="s">
        <v>23</v>
      </c>
      <c r="C13" s="2" t="s">
        <v>68</v>
      </c>
      <c r="D13" s="3">
        <v>45724</v>
      </c>
      <c r="E13" s="3">
        <v>45731</v>
      </c>
      <c r="F13" s="2" t="s">
        <v>25</v>
      </c>
      <c r="G13" s="2" t="s">
        <v>26</v>
      </c>
      <c r="H13" s="3">
        <v>29974</v>
      </c>
      <c r="I13" s="2" t="s">
        <v>92</v>
      </c>
      <c r="J13" s="2" t="s">
        <v>76</v>
      </c>
      <c r="K13" s="2" t="s">
        <v>29</v>
      </c>
      <c r="L13" s="2" t="s">
        <v>71</v>
      </c>
      <c r="M13" s="2">
        <v>10</v>
      </c>
      <c r="N13" s="7">
        <v>3500</v>
      </c>
      <c r="O13" s="2">
        <v>5</v>
      </c>
      <c r="P13" s="7">
        <v>33250</v>
      </c>
      <c r="Q13" s="2">
        <v>5</v>
      </c>
      <c r="R13" s="2" t="s">
        <v>60</v>
      </c>
      <c r="S13" s="2" t="s">
        <v>50</v>
      </c>
      <c r="T13" s="2" t="s">
        <v>43</v>
      </c>
      <c r="U13" s="2">
        <v>9123535241</v>
      </c>
      <c r="V13" s="2" t="s">
        <v>53</v>
      </c>
    </row>
    <row r="14" spans="1:22" x14ac:dyDescent="0.3">
      <c r="A14" s="2" t="s">
        <v>93</v>
      </c>
      <c r="B14" s="2" t="s">
        <v>73</v>
      </c>
      <c r="C14" s="2" t="s">
        <v>24</v>
      </c>
      <c r="D14" s="3">
        <v>45667</v>
      </c>
      <c r="E14" s="3">
        <v>45672</v>
      </c>
      <c r="F14" s="2" t="s">
        <v>74</v>
      </c>
      <c r="G14" s="2" t="s">
        <v>26</v>
      </c>
      <c r="H14" s="3">
        <v>33791</v>
      </c>
      <c r="I14" s="2" t="s">
        <v>80</v>
      </c>
      <c r="J14" s="2" t="s">
        <v>76</v>
      </c>
      <c r="K14" s="2" t="s">
        <v>29</v>
      </c>
      <c r="L14" s="2" t="s">
        <v>30</v>
      </c>
      <c r="M14" s="2">
        <v>15</v>
      </c>
      <c r="N14" s="7">
        <v>2200</v>
      </c>
      <c r="O14" s="2">
        <v>10</v>
      </c>
      <c r="P14" s="7">
        <v>29700</v>
      </c>
      <c r="Q14" s="2">
        <v>1</v>
      </c>
      <c r="R14" s="2" t="s">
        <v>65</v>
      </c>
      <c r="S14" s="2" t="s">
        <v>81</v>
      </c>
      <c r="T14" s="2" t="s">
        <v>94</v>
      </c>
      <c r="U14" s="2">
        <v>9367316892</v>
      </c>
      <c r="V14" s="2" t="s">
        <v>52</v>
      </c>
    </row>
    <row r="15" spans="1:22" x14ac:dyDescent="0.3">
      <c r="A15" s="2" t="s">
        <v>95</v>
      </c>
      <c r="B15" s="2" t="s">
        <v>88</v>
      </c>
      <c r="C15" s="2" t="s">
        <v>24</v>
      </c>
      <c r="D15" s="3">
        <v>45725</v>
      </c>
      <c r="E15" s="3">
        <v>45729</v>
      </c>
      <c r="F15" s="2" t="s">
        <v>96</v>
      </c>
      <c r="G15" s="2" t="s">
        <v>58</v>
      </c>
      <c r="H15" s="3">
        <v>37334</v>
      </c>
      <c r="I15" s="2" t="s">
        <v>75</v>
      </c>
      <c r="J15" s="2" t="s">
        <v>76</v>
      </c>
      <c r="K15" s="2" t="s">
        <v>29</v>
      </c>
      <c r="L15" s="2" t="s">
        <v>30</v>
      </c>
      <c r="M15" s="2">
        <v>17</v>
      </c>
      <c r="N15" s="7">
        <v>2200</v>
      </c>
      <c r="O15" s="2">
        <v>5</v>
      </c>
      <c r="P15" s="7">
        <v>35530</v>
      </c>
      <c r="Q15" s="2">
        <v>1</v>
      </c>
      <c r="R15" s="2" t="s">
        <v>31</v>
      </c>
      <c r="S15" s="2" t="s">
        <v>97</v>
      </c>
      <c r="T15" s="2" t="s">
        <v>98</v>
      </c>
      <c r="U15" s="2">
        <v>9778489803</v>
      </c>
      <c r="V15" s="2" t="s">
        <v>34</v>
      </c>
    </row>
    <row r="16" spans="1:22" x14ac:dyDescent="0.3">
      <c r="A16" s="2" t="s">
        <v>99</v>
      </c>
      <c r="B16" s="2" t="s">
        <v>23</v>
      </c>
      <c r="C16" s="2" t="s">
        <v>68</v>
      </c>
      <c r="D16" s="3">
        <v>45864</v>
      </c>
      <c r="E16" s="3">
        <v>45876</v>
      </c>
      <c r="F16" s="2" t="s">
        <v>100</v>
      </c>
      <c r="G16" s="2" t="s">
        <v>26</v>
      </c>
      <c r="H16" s="3">
        <v>36908</v>
      </c>
      <c r="I16" s="2" t="s">
        <v>75</v>
      </c>
      <c r="J16" s="2" t="s">
        <v>76</v>
      </c>
      <c r="K16" s="2" t="s">
        <v>29</v>
      </c>
      <c r="L16" s="2" t="s">
        <v>71</v>
      </c>
      <c r="M16" s="2">
        <v>15</v>
      </c>
      <c r="N16" s="7">
        <v>3500</v>
      </c>
      <c r="O16" s="2">
        <v>15</v>
      </c>
      <c r="P16" s="7">
        <v>44625</v>
      </c>
      <c r="Q16" s="2">
        <v>2</v>
      </c>
      <c r="R16" s="2" t="s">
        <v>31</v>
      </c>
      <c r="S16" s="2" t="s">
        <v>81</v>
      </c>
      <c r="T16" s="2" t="s">
        <v>43</v>
      </c>
      <c r="U16" s="2">
        <v>9582960180</v>
      </c>
      <c r="V16" s="2" t="s">
        <v>53</v>
      </c>
    </row>
    <row r="17" spans="1:22" x14ac:dyDescent="0.3">
      <c r="A17" s="2" t="s">
        <v>101</v>
      </c>
      <c r="B17" s="2" t="s">
        <v>45</v>
      </c>
      <c r="C17" s="2" t="s">
        <v>56</v>
      </c>
      <c r="D17" s="3">
        <v>46120</v>
      </c>
      <c r="E17" s="3">
        <v>46123</v>
      </c>
      <c r="F17" s="2" t="s">
        <v>102</v>
      </c>
      <c r="G17" s="2" t="s">
        <v>26</v>
      </c>
      <c r="H17" s="3">
        <v>37357</v>
      </c>
      <c r="I17" s="2" t="s">
        <v>27</v>
      </c>
      <c r="J17" s="2" t="s">
        <v>28</v>
      </c>
      <c r="K17" s="2" t="s">
        <v>39</v>
      </c>
      <c r="L17" s="2" t="s">
        <v>59</v>
      </c>
      <c r="M17" s="2">
        <v>3</v>
      </c>
      <c r="N17" s="7">
        <v>1200</v>
      </c>
      <c r="O17" s="2">
        <v>5</v>
      </c>
      <c r="P17" s="7">
        <v>3420</v>
      </c>
      <c r="Q17" s="2">
        <v>5</v>
      </c>
      <c r="R17" s="2" t="s">
        <v>65</v>
      </c>
      <c r="S17" s="2" t="s">
        <v>32</v>
      </c>
      <c r="T17" s="2" t="s">
        <v>103</v>
      </c>
      <c r="U17" s="2">
        <v>9611394005</v>
      </c>
      <c r="V17" s="2" t="s">
        <v>34</v>
      </c>
    </row>
    <row r="18" spans="1:22" x14ac:dyDescent="0.3">
      <c r="A18" s="2" t="s">
        <v>104</v>
      </c>
      <c r="B18" s="2" t="s">
        <v>105</v>
      </c>
      <c r="C18" s="2" t="s">
        <v>106</v>
      </c>
      <c r="D18" s="3">
        <v>46075</v>
      </c>
      <c r="E18" s="3">
        <v>46084</v>
      </c>
      <c r="F18" s="2" t="s">
        <v>107</v>
      </c>
      <c r="G18" s="2" t="s">
        <v>26</v>
      </c>
      <c r="H18" s="3">
        <v>37272</v>
      </c>
      <c r="I18" s="2" t="s">
        <v>80</v>
      </c>
      <c r="J18" s="2" t="s">
        <v>76</v>
      </c>
      <c r="K18" s="2" t="s">
        <v>29</v>
      </c>
      <c r="L18" s="2" t="s">
        <v>108</v>
      </c>
      <c r="M18" s="2">
        <v>13</v>
      </c>
      <c r="N18" s="7">
        <v>8500</v>
      </c>
      <c r="O18" s="2">
        <v>20</v>
      </c>
      <c r="P18" s="7">
        <v>88400</v>
      </c>
      <c r="Q18" s="2">
        <v>4</v>
      </c>
      <c r="R18" s="2" t="s">
        <v>60</v>
      </c>
      <c r="S18" s="2" t="s">
        <v>42</v>
      </c>
      <c r="T18" s="2" t="s">
        <v>109</v>
      </c>
      <c r="U18" s="2">
        <v>9692599404</v>
      </c>
      <c r="V18" s="2" t="s">
        <v>52</v>
      </c>
    </row>
    <row r="19" spans="1:22" x14ac:dyDescent="0.3">
      <c r="A19" s="2" t="s">
        <v>110</v>
      </c>
      <c r="B19" s="2" t="s">
        <v>63</v>
      </c>
      <c r="C19" s="2" t="s">
        <v>106</v>
      </c>
      <c r="D19" s="3">
        <v>46081</v>
      </c>
      <c r="E19" s="3">
        <v>46086</v>
      </c>
      <c r="F19" s="2" t="s">
        <v>111</v>
      </c>
      <c r="G19" s="2" t="s">
        <v>58</v>
      </c>
      <c r="H19" s="3">
        <v>32790</v>
      </c>
      <c r="I19" s="2" t="s">
        <v>92</v>
      </c>
      <c r="J19" s="2" t="s">
        <v>76</v>
      </c>
      <c r="K19" s="2" t="s">
        <v>29</v>
      </c>
      <c r="L19" s="2" t="s">
        <v>108</v>
      </c>
      <c r="M19" s="2">
        <v>4</v>
      </c>
      <c r="N19" s="7">
        <v>8500</v>
      </c>
      <c r="O19" s="2">
        <v>20</v>
      </c>
      <c r="P19" s="7">
        <v>27200</v>
      </c>
      <c r="Q19" s="2">
        <v>5</v>
      </c>
      <c r="R19" s="2" t="s">
        <v>60</v>
      </c>
      <c r="S19" s="2" t="s">
        <v>50</v>
      </c>
      <c r="T19" s="2" t="s">
        <v>66</v>
      </c>
      <c r="U19" s="2">
        <v>9426119622</v>
      </c>
      <c r="V19" s="2" t="s">
        <v>52</v>
      </c>
    </row>
    <row r="20" spans="1:22" x14ac:dyDescent="0.3">
      <c r="A20" s="2" t="s">
        <v>112</v>
      </c>
      <c r="B20" s="2" t="s">
        <v>63</v>
      </c>
      <c r="C20" s="2" t="s">
        <v>113</v>
      </c>
      <c r="D20" s="3">
        <v>45992</v>
      </c>
      <c r="E20" s="3">
        <v>45995</v>
      </c>
      <c r="F20" s="2" t="s">
        <v>114</v>
      </c>
      <c r="G20" s="2" t="s">
        <v>58</v>
      </c>
      <c r="H20" s="3">
        <v>33539</v>
      </c>
      <c r="I20" s="2" t="s">
        <v>75</v>
      </c>
      <c r="J20" s="2" t="s">
        <v>76</v>
      </c>
      <c r="K20" s="2" t="s">
        <v>39</v>
      </c>
      <c r="L20" s="2" t="s">
        <v>115</v>
      </c>
      <c r="M20" s="2">
        <v>9</v>
      </c>
      <c r="N20" s="7">
        <v>700</v>
      </c>
      <c r="O20" s="2">
        <v>5</v>
      </c>
      <c r="P20" s="7">
        <v>5985</v>
      </c>
      <c r="Q20" s="2">
        <v>3</v>
      </c>
      <c r="R20" s="2" t="s">
        <v>65</v>
      </c>
      <c r="S20" s="2" t="s">
        <v>32</v>
      </c>
      <c r="T20" s="2" t="s">
        <v>116</v>
      </c>
      <c r="U20" s="2">
        <v>9184436009</v>
      </c>
      <c r="V20" s="2" t="s">
        <v>52</v>
      </c>
    </row>
    <row r="21" spans="1:22" x14ac:dyDescent="0.3">
      <c r="A21" s="2" t="s">
        <v>117</v>
      </c>
      <c r="B21" s="2" t="s">
        <v>23</v>
      </c>
      <c r="C21" s="2" t="s">
        <v>46</v>
      </c>
      <c r="D21" s="3">
        <v>45833</v>
      </c>
      <c r="E21" s="3">
        <v>45841</v>
      </c>
      <c r="F21" s="2" t="s">
        <v>25</v>
      </c>
      <c r="G21" s="2" t="s">
        <v>26</v>
      </c>
      <c r="H21" s="3">
        <v>32933</v>
      </c>
      <c r="I21" s="2" t="s">
        <v>92</v>
      </c>
      <c r="J21" s="2" t="s">
        <v>76</v>
      </c>
      <c r="K21" s="2" t="s">
        <v>39</v>
      </c>
      <c r="L21" s="2" t="s">
        <v>49</v>
      </c>
      <c r="M21" s="2">
        <v>8</v>
      </c>
      <c r="N21" s="7">
        <v>55000</v>
      </c>
      <c r="O21" s="2">
        <v>20</v>
      </c>
      <c r="P21" s="7">
        <v>352000</v>
      </c>
      <c r="Q21" s="2">
        <v>1</v>
      </c>
      <c r="R21" s="2" t="s">
        <v>31</v>
      </c>
      <c r="S21" s="2" t="s">
        <v>97</v>
      </c>
      <c r="T21" s="2" t="s">
        <v>43</v>
      </c>
      <c r="U21" s="2">
        <v>9263774934</v>
      </c>
      <c r="V21" s="2" t="s">
        <v>34</v>
      </c>
    </row>
    <row r="22" spans="1:22" x14ac:dyDescent="0.3">
      <c r="A22" s="2" t="s">
        <v>118</v>
      </c>
      <c r="B22" s="2" t="s">
        <v>88</v>
      </c>
      <c r="C22" s="2" t="s">
        <v>113</v>
      </c>
      <c r="D22" s="3">
        <v>45773</v>
      </c>
      <c r="E22" s="3">
        <v>45782</v>
      </c>
      <c r="F22" s="2" t="s">
        <v>119</v>
      </c>
      <c r="G22" s="2" t="s">
        <v>58</v>
      </c>
      <c r="H22" s="3">
        <v>37455</v>
      </c>
      <c r="I22" s="2" t="s">
        <v>37</v>
      </c>
      <c r="J22" s="2" t="s">
        <v>38</v>
      </c>
      <c r="K22" s="2" t="s">
        <v>120</v>
      </c>
      <c r="L22" s="2" t="s">
        <v>115</v>
      </c>
      <c r="M22" s="2">
        <v>10</v>
      </c>
      <c r="N22" s="7">
        <v>700</v>
      </c>
      <c r="O22" s="2">
        <v>20</v>
      </c>
      <c r="P22" s="7">
        <v>5600</v>
      </c>
      <c r="Q22" s="2">
        <v>4</v>
      </c>
      <c r="R22" s="2" t="s">
        <v>60</v>
      </c>
      <c r="S22" s="2" t="s">
        <v>50</v>
      </c>
      <c r="T22" s="2" t="s">
        <v>90</v>
      </c>
      <c r="U22" s="2">
        <v>9473159572</v>
      </c>
      <c r="V22" s="2" t="s">
        <v>53</v>
      </c>
    </row>
    <row r="23" spans="1:22" x14ac:dyDescent="0.3">
      <c r="A23" s="2" t="s">
        <v>121</v>
      </c>
      <c r="B23" s="2" t="s">
        <v>23</v>
      </c>
      <c r="C23" s="2" t="s">
        <v>68</v>
      </c>
      <c r="D23" s="3">
        <v>45660</v>
      </c>
      <c r="E23" s="3">
        <v>45665</v>
      </c>
      <c r="F23" s="2" t="s">
        <v>79</v>
      </c>
      <c r="G23" s="2" t="s">
        <v>26</v>
      </c>
      <c r="H23" s="3">
        <v>38336</v>
      </c>
      <c r="I23" s="2" t="s">
        <v>48</v>
      </c>
      <c r="J23" s="2" t="s">
        <v>28</v>
      </c>
      <c r="K23" s="2" t="s">
        <v>29</v>
      </c>
      <c r="L23" s="2" t="s">
        <v>71</v>
      </c>
      <c r="M23" s="2">
        <v>1</v>
      </c>
      <c r="N23" s="7">
        <v>3500</v>
      </c>
      <c r="O23" s="2">
        <v>5</v>
      </c>
      <c r="P23" s="7">
        <v>3325</v>
      </c>
      <c r="Q23" s="2">
        <v>3</v>
      </c>
      <c r="R23" s="2" t="s">
        <v>65</v>
      </c>
      <c r="S23" s="2" t="s">
        <v>81</v>
      </c>
      <c r="T23" s="2" t="s">
        <v>43</v>
      </c>
      <c r="U23" s="2">
        <v>9660493688</v>
      </c>
      <c r="V23" s="2" t="s">
        <v>53</v>
      </c>
    </row>
    <row r="24" spans="1:22" x14ac:dyDescent="0.3">
      <c r="A24" s="2" t="s">
        <v>122</v>
      </c>
      <c r="B24" s="2" t="s">
        <v>73</v>
      </c>
      <c r="C24" s="2" t="s">
        <v>113</v>
      </c>
      <c r="D24" s="3">
        <v>45766</v>
      </c>
      <c r="E24" s="3">
        <v>45777</v>
      </c>
      <c r="F24" s="2" t="s">
        <v>74</v>
      </c>
      <c r="G24" s="2" t="s">
        <v>26</v>
      </c>
      <c r="H24" s="3">
        <v>30867</v>
      </c>
      <c r="I24" s="2" t="s">
        <v>123</v>
      </c>
      <c r="J24" s="2" t="s">
        <v>38</v>
      </c>
      <c r="K24" s="2" t="s">
        <v>39</v>
      </c>
      <c r="L24" s="2" t="s">
        <v>115</v>
      </c>
      <c r="M24" s="2">
        <v>19</v>
      </c>
      <c r="N24" s="7">
        <v>700</v>
      </c>
      <c r="O24" s="2">
        <v>15</v>
      </c>
      <c r="P24" s="7">
        <v>11305</v>
      </c>
      <c r="Q24" s="2">
        <v>3</v>
      </c>
      <c r="R24" s="2" t="s">
        <v>41</v>
      </c>
      <c r="S24" s="2" t="s">
        <v>97</v>
      </c>
      <c r="T24" s="2" t="s">
        <v>94</v>
      </c>
      <c r="U24" s="2">
        <v>9513325819</v>
      </c>
      <c r="V24" s="2" t="s">
        <v>52</v>
      </c>
    </row>
    <row r="25" spans="1:22" x14ac:dyDescent="0.3">
      <c r="A25" s="2" t="s">
        <v>124</v>
      </c>
      <c r="B25" s="2" t="s">
        <v>55</v>
      </c>
      <c r="C25" s="2" t="s">
        <v>46</v>
      </c>
      <c r="D25" s="3">
        <v>46013</v>
      </c>
      <c r="E25" s="3">
        <v>46023</v>
      </c>
      <c r="F25" s="2" t="s">
        <v>125</v>
      </c>
      <c r="G25" s="2" t="s">
        <v>58</v>
      </c>
      <c r="H25" s="3">
        <v>28546</v>
      </c>
      <c r="I25" s="2" t="s">
        <v>48</v>
      </c>
      <c r="J25" s="2" t="s">
        <v>28</v>
      </c>
      <c r="K25" s="2" t="s">
        <v>39</v>
      </c>
      <c r="L25" s="2" t="s">
        <v>49</v>
      </c>
      <c r="M25" s="2">
        <v>12</v>
      </c>
      <c r="N25" s="7">
        <v>55000</v>
      </c>
      <c r="O25" s="2">
        <v>0</v>
      </c>
      <c r="P25" s="7">
        <v>660000</v>
      </c>
      <c r="Q25" s="2">
        <v>1</v>
      </c>
      <c r="R25" s="2" t="s">
        <v>60</v>
      </c>
      <c r="S25" s="2" t="s">
        <v>42</v>
      </c>
      <c r="T25" s="2" t="s">
        <v>61</v>
      </c>
      <c r="U25" s="2">
        <v>9641063242</v>
      </c>
      <c r="V25" s="2" t="s">
        <v>52</v>
      </c>
    </row>
    <row r="26" spans="1:22" x14ac:dyDescent="0.3">
      <c r="A26" s="2" t="s">
        <v>126</v>
      </c>
      <c r="B26" s="2" t="s">
        <v>127</v>
      </c>
      <c r="C26" s="2" t="s">
        <v>128</v>
      </c>
      <c r="D26" s="3">
        <v>46121</v>
      </c>
      <c r="E26" s="3">
        <v>46132</v>
      </c>
      <c r="F26" s="2" t="s">
        <v>129</v>
      </c>
      <c r="G26" s="2" t="s">
        <v>58</v>
      </c>
      <c r="H26" s="3">
        <v>33453</v>
      </c>
      <c r="I26" s="2" t="s">
        <v>75</v>
      </c>
      <c r="J26" s="2" t="s">
        <v>76</v>
      </c>
      <c r="K26" s="2" t="s">
        <v>84</v>
      </c>
      <c r="L26" s="2" t="s">
        <v>130</v>
      </c>
      <c r="M26" s="2">
        <v>1</v>
      </c>
      <c r="N26" s="7">
        <v>20</v>
      </c>
      <c r="O26" s="2">
        <v>5</v>
      </c>
      <c r="P26" s="7">
        <v>19</v>
      </c>
      <c r="Q26" s="2">
        <v>5</v>
      </c>
      <c r="R26" s="2" t="s">
        <v>60</v>
      </c>
      <c r="S26" s="2" t="s">
        <v>32</v>
      </c>
      <c r="T26" s="2" t="s">
        <v>131</v>
      </c>
      <c r="U26" s="2">
        <v>9277372518</v>
      </c>
      <c r="V26" s="2" t="s">
        <v>53</v>
      </c>
    </row>
    <row r="27" spans="1:22" x14ac:dyDescent="0.3">
      <c r="A27" s="2" t="s">
        <v>132</v>
      </c>
      <c r="B27" s="2" t="s">
        <v>63</v>
      </c>
      <c r="C27" s="2" t="s">
        <v>128</v>
      </c>
      <c r="D27" s="3">
        <v>45832</v>
      </c>
      <c r="E27" s="3">
        <v>45840</v>
      </c>
      <c r="F27" s="2" t="s">
        <v>111</v>
      </c>
      <c r="G27" s="2" t="s">
        <v>58</v>
      </c>
      <c r="H27" s="3">
        <v>28470</v>
      </c>
      <c r="I27" s="2" t="s">
        <v>75</v>
      </c>
      <c r="J27" s="2" t="s">
        <v>76</v>
      </c>
      <c r="K27" s="2" t="s">
        <v>84</v>
      </c>
      <c r="L27" s="2" t="s">
        <v>130</v>
      </c>
      <c r="M27" s="2">
        <v>2</v>
      </c>
      <c r="N27" s="7">
        <v>20</v>
      </c>
      <c r="O27" s="2">
        <v>15</v>
      </c>
      <c r="P27" s="7">
        <v>34</v>
      </c>
      <c r="Q27" s="2">
        <v>1</v>
      </c>
      <c r="R27" s="2" t="s">
        <v>65</v>
      </c>
      <c r="S27" s="2" t="s">
        <v>32</v>
      </c>
      <c r="T27" s="2" t="s">
        <v>66</v>
      </c>
      <c r="U27" s="2">
        <v>9193154372</v>
      </c>
      <c r="V27" s="2" t="s">
        <v>52</v>
      </c>
    </row>
    <row r="28" spans="1:22" x14ac:dyDescent="0.3">
      <c r="A28" s="2" t="s">
        <v>133</v>
      </c>
      <c r="B28" s="2" t="s">
        <v>55</v>
      </c>
      <c r="C28" s="2" t="s">
        <v>68</v>
      </c>
      <c r="D28" s="3">
        <v>45799</v>
      </c>
      <c r="E28" s="3">
        <v>45802</v>
      </c>
      <c r="F28" s="2" t="s">
        <v>125</v>
      </c>
      <c r="G28" s="2" t="s">
        <v>58</v>
      </c>
      <c r="H28" s="3">
        <v>33642</v>
      </c>
      <c r="I28" s="2" t="s">
        <v>92</v>
      </c>
      <c r="J28" s="2" t="s">
        <v>76</v>
      </c>
      <c r="K28" s="2" t="s">
        <v>29</v>
      </c>
      <c r="L28" s="2" t="s">
        <v>71</v>
      </c>
      <c r="M28" s="2">
        <v>12</v>
      </c>
      <c r="N28" s="7">
        <v>3500</v>
      </c>
      <c r="O28" s="2">
        <v>15</v>
      </c>
      <c r="P28" s="7">
        <v>35700</v>
      </c>
      <c r="Q28" s="2">
        <v>4</v>
      </c>
      <c r="R28" s="2" t="s">
        <v>31</v>
      </c>
      <c r="S28" s="2" t="s">
        <v>42</v>
      </c>
      <c r="T28" s="2" t="s">
        <v>61</v>
      </c>
      <c r="U28" s="2">
        <v>9400073244</v>
      </c>
      <c r="V28" s="2" t="s">
        <v>53</v>
      </c>
    </row>
    <row r="29" spans="1:22" x14ac:dyDescent="0.3">
      <c r="A29" s="2" t="s">
        <v>134</v>
      </c>
      <c r="B29" s="2" t="s">
        <v>23</v>
      </c>
      <c r="C29" s="2" t="s">
        <v>56</v>
      </c>
      <c r="D29" s="3">
        <v>46094</v>
      </c>
      <c r="E29" s="3">
        <v>46101</v>
      </c>
      <c r="F29" s="2" t="s">
        <v>25</v>
      </c>
      <c r="G29" s="2" t="s">
        <v>26</v>
      </c>
      <c r="H29" s="3">
        <v>38143</v>
      </c>
      <c r="I29" s="2" t="s">
        <v>92</v>
      </c>
      <c r="J29" s="2" t="s">
        <v>76</v>
      </c>
      <c r="K29" s="2" t="s">
        <v>39</v>
      </c>
      <c r="L29" s="2" t="s">
        <v>59</v>
      </c>
      <c r="M29" s="2">
        <v>11</v>
      </c>
      <c r="N29" s="7">
        <v>1200</v>
      </c>
      <c r="O29" s="2">
        <v>0</v>
      </c>
      <c r="P29" s="7">
        <v>13200</v>
      </c>
      <c r="Q29" s="2">
        <v>2</v>
      </c>
      <c r="R29" s="2" t="s">
        <v>65</v>
      </c>
      <c r="S29" s="2" t="s">
        <v>97</v>
      </c>
      <c r="T29" s="2" t="s">
        <v>43</v>
      </c>
      <c r="U29" s="2">
        <v>9771556720</v>
      </c>
      <c r="V29" s="2" t="s">
        <v>34</v>
      </c>
    </row>
    <row r="30" spans="1:22" x14ac:dyDescent="0.3">
      <c r="A30" s="2" t="s">
        <v>135</v>
      </c>
      <c r="B30" s="2" t="s">
        <v>88</v>
      </c>
      <c r="C30" s="2" t="s">
        <v>106</v>
      </c>
      <c r="D30" s="3">
        <v>45908</v>
      </c>
      <c r="E30" s="3">
        <v>45920</v>
      </c>
      <c r="F30" s="2" t="s">
        <v>119</v>
      </c>
      <c r="G30" s="2" t="s">
        <v>58</v>
      </c>
      <c r="H30" s="3">
        <v>37114</v>
      </c>
      <c r="I30" s="2" t="s">
        <v>80</v>
      </c>
      <c r="J30" s="2" t="s">
        <v>76</v>
      </c>
      <c r="K30" s="2" t="s">
        <v>29</v>
      </c>
      <c r="L30" s="2" t="s">
        <v>108</v>
      </c>
      <c r="M30" s="2">
        <v>6</v>
      </c>
      <c r="N30" s="7">
        <v>8500</v>
      </c>
      <c r="O30" s="2">
        <v>65</v>
      </c>
      <c r="P30" s="7">
        <v>51000</v>
      </c>
      <c r="Q30" s="2">
        <v>1</v>
      </c>
      <c r="R30" s="2" t="s">
        <v>60</v>
      </c>
      <c r="S30" s="2" t="s">
        <v>50</v>
      </c>
      <c r="T30" s="2" t="s">
        <v>90</v>
      </c>
      <c r="U30" s="2">
        <v>9127480734</v>
      </c>
      <c r="V30" s="2" t="s">
        <v>34</v>
      </c>
    </row>
    <row r="31" spans="1:22" x14ac:dyDescent="0.3">
      <c r="A31" s="2" t="s">
        <v>136</v>
      </c>
      <c r="B31" s="2" t="s">
        <v>137</v>
      </c>
      <c r="C31" s="2" t="s">
        <v>83</v>
      </c>
      <c r="D31" s="3">
        <v>46033</v>
      </c>
      <c r="E31" s="3">
        <v>46038</v>
      </c>
      <c r="F31" s="2" t="s">
        <v>138</v>
      </c>
      <c r="G31" s="2" t="s">
        <v>26</v>
      </c>
      <c r="H31" s="3">
        <v>29680</v>
      </c>
      <c r="I31" s="2" t="s">
        <v>80</v>
      </c>
      <c r="J31" s="2" t="s">
        <v>76</v>
      </c>
      <c r="K31" s="2" t="s">
        <v>84</v>
      </c>
      <c r="L31" s="2" t="s">
        <v>85</v>
      </c>
      <c r="M31" s="2">
        <v>2</v>
      </c>
      <c r="N31" s="7">
        <v>60</v>
      </c>
      <c r="O31" s="2">
        <v>5</v>
      </c>
      <c r="P31" s="7">
        <v>114</v>
      </c>
      <c r="Q31" s="2">
        <v>3</v>
      </c>
      <c r="R31" s="2" t="s">
        <v>31</v>
      </c>
      <c r="S31" s="2" t="s">
        <v>97</v>
      </c>
      <c r="T31" s="2" t="s">
        <v>139</v>
      </c>
      <c r="U31" s="2">
        <v>9512997042</v>
      </c>
      <c r="V31" s="2" t="s">
        <v>53</v>
      </c>
    </row>
    <row r="32" spans="1:22" x14ac:dyDescent="0.3">
      <c r="A32" s="2" t="s">
        <v>140</v>
      </c>
      <c r="B32" s="2" t="s">
        <v>23</v>
      </c>
      <c r="C32" s="2" t="s">
        <v>141</v>
      </c>
      <c r="D32" s="3">
        <v>45824</v>
      </c>
      <c r="E32" s="3">
        <v>45834</v>
      </c>
      <c r="F32" s="2" t="s">
        <v>25</v>
      </c>
      <c r="G32" s="2" t="s">
        <v>26</v>
      </c>
      <c r="H32" s="3">
        <v>35248</v>
      </c>
      <c r="I32" s="2" t="s">
        <v>48</v>
      </c>
      <c r="J32" s="2" t="s">
        <v>28</v>
      </c>
      <c r="K32" s="2" t="s">
        <v>84</v>
      </c>
      <c r="L32" s="2" t="s">
        <v>142</v>
      </c>
      <c r="M32" s="2">
        <v>19</v>
      </c>
      <c r="N32" s="7">
        <v>45</v>
      </c>
      <c r="O32" s="2">
        <v>20</v>
      </c>
      <c r="P32" s="7">
        <v>684</v>
      </c>
      <c r="Q32" s="2">
        <v>4</v>
      </c>
      <c r="R32" s="2" t="s">
        <v>41</v>
      </c>
      <c r="S32" s="2" t="s">
        <v>50</v>
      </c>
      <c r="T32" s="2" t="s">
        <v>43</v>
      </c>
      <c r="U32" s="2">
        <v>9372748661</v>
      </c>
      <c r="V32" s="2" t="s">
        <v>53</v>
      </c>
    </row>
    <row r="33" spans="1:22" x14ac:dyDescent="0.3">
      <c r="A33" s="2" t="s">
        <v>143</v>
      </c>
      <c r="B33" s="2" t="s">
        <v>73</v>
      </c>
      <c r="C33" s="2" t="s">
        <v>36</v>
      </c>
      <c r="D33" s="3">
        <v>45839</v>
      </c>
      <c r="E33" s="3">
        <v>45851</v>
      </c>
      <c r="F33" s="2" t="s">
        <v>144</v>
      </c>
      <c r="G33" s="2" t="s">
        <v>26</v>
      </c>
      <c r="H33" s="3">
        <v>28079</v>
      </c>
      <c r="I33" s="2" t="s">
        <v>92</v>
      </c>
      <c r="J33" s="2" t="s">
        <v>76</v>
      </c>
      <c r="K33" s="2" t="s">
        <v>39</v>
      </c>
      <c r="L33" s="2" t="s">
        <v>40</v>
      </c>
      <c r="M33" s="2">
        <v>11</v>
      </c>
      <c r="N33" s="7">
        <v>12000</v>
      </c>
      <c r="O33" s="2">
        <v>0</v>
      </c>
      <c r="P33" s="7">
        <v>132000</v>
      </c>
      <c r="Q33" s="2">
        <v>3</v>
      </c>
      <c r="R33" s="2" t="s">
        <v>65</v>
      </c>
      <c r="S33" s="2" t="s">
        <v>32</v>
      </c>
      <c r="T33" s="2" t="s">
        <v>94</v>
      </c>
      <c r="U33" s="2">
        <v>9570437805</v>
      </c>
      <c r="V33" s="2" t="s">
        <v>52</v>
      </c>
    </row>
    <row r="34" spans="1:22" x14ac:dyDescent="0.3">
      <c r="A34" s="2" t="s">
        <v>145</v>
      </c>
      <c r="B34" s="2" t="s">
        <v>137</v>
      </c>
      <c r="C34" s="2" t="s">
        <v>24</v>
      </c>
      <c r="D34" s="3">
        <v>45723</v>
      </c>
      <c r="E34" s="3">
        <v>45731</v>
      </c>
      <c r="F34" s="2" t="s">
        <v>138</v>
      </c>
      <c r="G34" s="2" t="s">
        <v>26</v>
      </c>
      <c r="H34" s="3">
        <v>32444</v>
      </c>
      <c r="I34" s="2" t="s">
        <v>48</v>
      </c>
      <c r="J34" s="2" t="s">
        <v>28</v>
      </c>
      <c r="K34" s="2" t="s">
        <v>29</v>
      </c>
      <c r="L34" s="2" t="s">
        <v>30</v>
      </c>
      <c r="M34" s="2">
        <v>20</v>
      </c>
      <c r="N34" s="7">
        <v>2200</v>
      </c>
      <c r="O34" s="2">
        <v>5</v>
      </c>
      <c r="P34" s="7">
        <v>41800</v>
      </c>
      <c r="Q34" s="2">
        <v>1</v>
      </c>
      <c r="R34" s="2" t="s">
        <v>31</v>
      </c>
      <c r="S34" s="2" t="s">
        <v>42</v>
      </c>
      <c r="T34" s="2" t="s">
        <v>139</v>
      </c>
      <c r="U34" s="2">
        <v>9310669113</v>
      </c>
      <c r="V34" s="2" t="s">
        <v>52</v>
      </c>
    </row>
    <row r="35" spans="1:22" x14ac:dyDescent="0.3">
      <c r="A35" s="2" t="s">
        <v>146</v>
      </c>
      <c r="B35" s="2" t="s">
        <v>63</v>
      </c>
      <c r="C35" s="2" t="s">
        <v>128</v>
      </c>
      <c r="D35" s="3">
        <v>45832</v>
      </c>
      <c r="E35" s="3">
        <v>45842</v>
      </c>
      <c r="F35" s="2" t="s">
        <v>111</v>
      </c>
      <c r="G35" s="2" t="s">
        <v>58</v>
      </c>
      <c r="H35" s="3">
        <v>38161</v>
      </c>
      <c r="I35" s="2" t="s">
        <v>92</v>
      </c>
      <c r="J35" s="2" t="s">
        <v>76</v>
      </c>
      <c r="K35" s="2" t="s">
        <v>84</v>
      </c>
      <c r="L35" s="2" t="s">
        <v>130</v>
      </c>
      <c r="M35" s="2">
        <v>3</v>
      </c>
      <c r="N35" s="7">
        <v>20</v>
      </c>
      <c r="O35" s="2">
        <v>0</v>
      </c>
      <c r="P35" s="7">
        <v>60</v>
      </c>
      <c r="Q35" s="2">
        <v>2</v>
      </c>
      <c r="R35" s="2" t="s">
        <v>60</v>
      </c>
      <c r="S35" s="2" t="s">
        <v>32</v>
      </c>
      <c r="T35" s="2" t="s">
        <v>147</v>
      </c>
      <c r="U35" s="2">
        <v>9437132894</v>
      </c>
      <c r="V35" s="2" t="s">
        <v>53</v>
      </c>
    </row>
    <row r="36" spans="1:22" x14ac:dyDescent="0.3">
      <c r="A36" s="2" t="s">
        <v>148</v>
      </c>
      <c r="B36" s="2" t="s">
        <v>88</v>
      </c>
      <c r="C36" s="2" t="s">
        <v>141</v>
      </c>
      <c r="D36" s="3">
        <v>45939</v>
      </c>
      <c r="E36" s="3">
        <v>45949</v>
      </c>
      <c r="F36" s="2" t="s">
        <v>119</v>
      </c>
      <c r="G36" s="2" t="s">
        <v>58</v>
      </c>
      <c r="H36" s="3">
        <v>35177</v>
      </c>
      <c r="I36" s="2" t="s">
        <v>80</v>
      </c>
      <c r="J36" s="2" t="s">
        <v>76</v>
      </c>
      <c r="K36" s="2" t="s">
        <v>84</v>
      </c>
      <c r="L36" s="2" t="s">
        <v>142</v>
      </c>
      <c r="M36" s="2">
        <v>18</v>
      </c>
      <c r="N36" s="7">
        <v>45</v>
      </c>
      <c r="O36" s="2">
        <v>20</v>
      </c>
      <c r="P36" s="7">
        <v>648</v>
      </c>
      <c r="Q36" s="2">
        <v>4</v>
      </c>
      <c r="R36" s="2" t="s">
        <v>41</v>
      </c>
      <c r="S36" s="2" t="s">
        <v>32</v>
      </c>
      <c r="T36" s="2" t="s">
        <v>90</v>
      </c>
      <c r="U36" s="2">
        <v>9762437243</v>
      </c>
      <c r="V36" s="2" t="s">
        <v>53</v>
      </c>
    </row>
    <row r="37" spans="1:22" x14ac:dyDescent="0.3">
      <c r="A37" s="2" t="s">
        <v>149</v>
      </c>
      <c r="B37" s="2" t="s">
        <v>88</v>
      </c>
      <c r="C37" s="2" t="s">
        <v>56</v>
      </c>
      <c r="D37" s="3">
        <v>45980</v>
      </c>
      <c r="E37" s="3">
        <v>45987</v>
      </c>
      <c r="F37" s="2" t="s">
        <v>119</v>
      </c>
      <c r="G37" s="2" t="s">
        <v>58</v>
      </c>
      <c r="H37" s="3">
        <v>29043</v>
      </c>
      <c r="I37" s="2" t="s">
        <v>48</v>
      </c>
      <c r="J37" s="2" t="s">
        <v>28</v>
      </c>
      <c r="K37" s="2" t="s">
        <v>39</v>
      </c>
      <c r="L37" s="2" t="s">
        <v>59</v>
      </c>
      <c r="M37" s="2">
        <v>4</v>
      </c>
      <c r="N37" s="7">
        <v>1200</v>
      </c>
      <c r="O37" s="2">
        <v>20</v>
      </c>
      <c r="P37" s="7">
        <v>3840</v>
      </c>
      <c r="Q37" s="2">
        <v>3</v>
      </c>
      <c r="R37" s="2" t="s">
        <v>41</v>
      </c>
      <c r="S37" s="2" t="s">
        <v>50</v>
      </c>
      <c r="T37" s="2" t="s">
        <v>90</v>
      </c>
      <c r="U37" s="2">
        <v>9149046970</v>
      </c>
      <c r="V37" s="2" t="s">
        <v>34</v>
      </c>
    </row>
    <row r="38" spans="1:22" x14ac:dyDescent="0.3">
      <c r="A38" s="2" t="s">
        <v>150</v>
      </c>
      <c r="B38" s="2" t="s">
        <v>55</v>
      </c>
      <c r="C38" s="2" t="s">
        <v>46</v>
      </c>
      <c r="D38" s="3">
        <v>45966</v>
      </c>
      <c r="E38" s="3">
        <v>45975</v>
      </c>
      <c r="F38" s="2" t="s">
        <v>125</v>
      </c>
      <c r="G38" s="2" t="s">
        <v>58</v>
      </c>
      <c r="H38" s="3">
        <v>29491</v>
      </c>
      <c r="I38" s="2" t="s">
        <v>151</v>
      </c>
      <c r="J38" s="2" t="s">
        <v>152</v>
      </c>
      <c r="K38" s="2" t="s">
        <v>39</v>
      </c>
      <c r="L38" s="2" t="s">
        <v>49</v>
      </c>
      <c r="M38" s="2">
        <v>10</v>
      </c>
      <c r="N38" s="7">
        <v>55000</v>
      </c>
      <c r="O38" s="2">
        <v>0</v>
      </c>
      <c r="P38" s="7">
        <v>550000</v>
      </c>
      <c r="Q38" s="2">
        <v>1</v>
      </c>
      <c r="R38" s="2" t="s">
        <v>65</v>
      </c>
      <c r="S38" s="2" t="s">
        <v>42</v>
      </c>
      <c r="T38" s="2" t="s">
        <v>61</v>
      </c>
      <c r="U38" s="2">
        <v>9869182901</v>
      </c>
      <c r="V38" s="2" t="s">
        <v>53</v>
      </c>
    </row>
    <row r="39" spans="1:22" x14ac:dyDescent="0.3">
      <c r="A39" s="2" t="s">
        <v>153</v>
      </c>
      <c r="B39" s="2" t="s">
        <v>137</v>
      </c>
      <c r="C39" s="2" t="s">
        <v>68</v>
      </c>
      <c r="D39" s="3">
        <v>46089</v>
      </c>
      <c r="E39" s="3">
        <v>46101</v>
      </c>
      <c r="F39" s="2" t="s">
        <v>138</v>
      </c>
      <c r="G39" s="2" t="s">
        <v>26</v>
      </c>
      <c r="H39" s="3">
        <v>29393</v>
      </c>
      <c r="I39" s="2" t="s">
        <v>37</v>
      </c>
      <c r="J39" s="2" t="s">
        <v>38</v>
      </c>
      <c r="K39" s="2" t="s">
        <v>29</v>
      </c>
      <c r="L39" s="2" t="s">
        <v>71</v>
      </c>
      <c r="M39" s="2">
        <v>20</v>
      </c>
      <c r="N39" s="7">
        <v>3500</v>
      </c>
      <c r="O39" s="2">
        <v>10</v>
      </c>
      <c r="P39" s="7">
        <v>63000</v>
      </c>
      <c r="Q39" s="2">
        <v>3</v>
      </c>
      <c r="R39" s="2" t="s">
        <v>60</v>
      </c>
      <c r="S39" s="2" t="s">
        <v>42</v>
      </c>
      <c r="T39" s="2" t="s">
        <v>139</v>
      </c>
      <c r="U39" s="2">
        <v>9283578533</v>
      </c>
      <c r="V39" s="2" t="s">
        <v>53</v>
      </c>
    </row>
    <row r="40" spans="1:22" x14ac:dyDescent="0.3">
      <c r="A40" s="2" t="s">
        <v>154</v>
      </c>
      <c r="B40" s="2" t="s">
        <v>23</v>
      </c>
      <c r="C40" s="2" t="s">
        <v>128</v>
      </c>
      <c r="D40" s="3">
        <v>45701</v>
      </c>
      <c r="E40" s="3">
        <v>45707</v>
      </c>
      <c r="F40" s="2" t="s">
        <v>25</v>
      </c>
      <c r="G40" s="2" t="s">
        <v>26</v>
      </c>
      <c r="H40" s="3">
        <v>29023</v>
      </c>
      <c r="I40" s="2" t="s">
        <v>80</v>
      </c>
      <c r="J40" s="2" t="s">
        <v>76</v>
      </c>
      <c r="K40" s="2" t="s">
        <v>84</v>
      </c>
      <c r="L40" s="2" t="s">
        <v>130</v>
      </c>
      <c r="M40" s="2">
        <v>5</v>
      </c>
      <c r="N40" s="7">
        <v>1200</v>
      </c>
      <c r="O40" s="2">
        <v>0</v>
      </c>
      <c r="P40" s="7">
        <v>100</v>
      </c>
      <c r="Q40" s="2">
        <v>1</v>
      </c>
      <c r="R40" s="2" t="s">
        <v>31</v>
      </c>
      <c r="S40" s="2" t="s">
        <v>42</v>
      </c>
      <c r="T40" s="2" t="s">
        <v>43</v>
      </c>
      <c r="U40" s="2">
        <v>9963005771</v>
      </c>
      <c r="V40" s="2" t="s">
        <v>53</v>
      </c>
    </row>
    <row r="41" spans="1:22" x14ac:dyDescent="0.3">
      <c r="A41" s="2" t="s">
        <v>155</v>
      </c>
      <c r="B41" s="2" t="s">
        <v>45</v>
      </c>
      <c r="C41" s="2" t="s">
        <v>106</v>
      </c>
      <c r="D41" s="3">
        <v>45935</v>
      </c>
      <c r="E41" s="3">
        <v>45945</v>
      </c>
      <c r="F41" s="2" t="s">
        <v>102</v>
      </c>
      <c r="G41" s="2" t="s">
        <v>26</v>
      </c>
      <c r="H41" s="3">
        <v>33773</v>
      </c>
      <c r="I41" s="2" t="s">
        <v>75</v>
      </c>
      <c r="J41" s="2" t="s">
        <v>76</v>
      </c>
      <c r="K41" s="2" t="s">
        <v>29</v>
      </c>
      <c r="L41" s="2" t="s">
        <v>108</v>
      </c>
      <c r="M41" s="2">
        <v>20</v>
      </c>
      <c r="N41" s="7">
        <v>8500</v>
      </c>
      <c r="O41" s="2">
        <v>0</v>
      </c>
      <c r="P41" s="7">
        <v>170000</v>
      </c>
      <c r="Q41" s="2">
        <v>1</v>
      </c>
      <c r="R41" s="2" t="s">
        <v>65</v>
      </c>
      <c r="S41" s="2" t="s">
        <v>81</v>
      </c>
      <c r="T41" s="2" t="s">
        <v>51</v>
      </c>
      <c r="U41" s="2">
        <v>9484632635</v>
      </c>
      <c r="V41" s="2" t="s">
        <v>53</v>
      </c>
    </row>
    <row r="42" spans="1:22" x14ac:dyDescent="0.3">
      <c r="A42" s="2" t="s">
        <v>156</v>
      </c>
      <c r="B42" s="2" t="s">
        <v>63</v>
      </c>
      <c r="C42" s="2" t="s">
        <v>83</v>
      </c>
      <c r="D42" s="3">
        <v>46063</v>
      </c>
      <c r="E42" s="3">
        <v>46065</v>
      </c>
      <c r="F42" s="2" t="s">
        <v>111</v>
      </c>
      <c r="G42" s="2" t="s">
        <v>58</v>
      </c>
      <c r="H42" s="3">
        <v>34491</v>
      </c>
      <c r="I42" s="2" t="s">
        <v>48</v>
      </c>
      <c r="J42" s="2" t="s">
        <v>28</v>
      </c>
      <c r="K42" s="2" t="s">
        <v>84</v>
      </c>
      <c r="L42" s="2" t="s">
        <v>85</v>
      </c>
      <c r="M42" s="2">
        <v>8</v>
      </c>
      <c r="N42" s="7">
        <v>60</v>
      </c>
      <c r="O42" s="2">
        <v>15</v>
      </c>
      <c r="P42" s="7">
        <v>408</v>
      </c>
      <c r="Q42" s="2">
        <v>5</v>
      </c>
      <c r="R42" s="2" t="s">
        <v>65</v>
      </c>
      <c r="S42" s="2" t="s">
        <v>42</v>
      </c>
      <c r="T42" s="2" t="s">
        <v>66</v>
      </c>
      <c r="U42" s="2">
        <v>9276319484</v>
      </c>
      <c r="V42" s="2" t="s">
        <v>52</v>
      </c>
    </row>
    <row r="43" spans="1:22" x14ac:dyDescent="0.3">
      <c r="A43" s="2" t="s">
        <v>157</v>
      </c>
      <c r="B43" s="2" t="s">
        <v>45</v>
      </c>
      <c r="C43" s="2" t="s">
        <v>68</v>
      </c>
      <c r="D43" s="3">
        <v>45812</v>
      </c>
      <c r="E43" s="3">
        <v>45824</v>
      </c>
      <c r="F43" s="2" t="s">
        <v>102</v>
      </c>
      <c r="G43" s="2" t="s">
        <v>26</v>
      </c>
      <c r="H43" s="3">
        <v>32408</v>
      </c>
      <c r="I43" s="2" t="s">
        <v>80</v>
      </c>
      <c r="J43" s="2" t="s">
        <v>76</v>
      </c>
      <c r="K43" s="2" t="s">
        <v>29</v>
      </c>
      <c r="L43" s="2" t="s">
        <v>71</v>
      </c>
      <c r="M43" s="2">
        <v>8</v>
      </c>
      <c r="N43" s="7">
        <v>3500</v>
      </c>
      <c r="O43" s="2">
        <v>5</v>
      </c>
      <c r="P43" s="7">
        <v>26600</v>
      </c>
      <c r="Q43" s="2">
        <v>1</v>
      </c>
      <c r="R43" s="2" t="s">
        <v>60</v>
      </c>
      <c r="S43" s="2" t="s">
        <v>81</v>
      </c>
      <c r="T43" s="2" t="s">
        <v>51</v>
      </c>
      <c r="U43" s="2">
        <v>9619034852</v>
      </c>
      <c r="V43" s="2" t="s">
        <v>52</v>
      </c>
    </row>
    <row r="44" spans="1:22" x14ac:dyDescent="0.3">
      <c r="A44" s="2" t="s">
        <v>158</v>
      </c>
      <c r="B44" s="2" t="s">
        <v>55</v>
      </c>
      <c r="C44" s="2" t="s">
        <v>106</v>
      </c>
      <c r="D44" s="3">
        <v>46061</v>
      </c>
      <c r="E44" s="3">
        <v>46067</v>
      </c>
      <c r="F44" s="2" t="s">
        <v>125</v>
      </c>
      <c r="G44" s="2" t="s">
        <v>58</v>
      </c>
      <c r="H44" s="3">
        <v>37086</v>
      </c>
      <c r="I44" s="2" t="s">
        <v>123</v>
      </c>
      <c r="J44" s="2" t="s">
        <v>38</v>
      </c>
      <c r="K44" s="2" t="s">
        <v>29</v>
      </c>
      <c r="L44" s="2" t="s">
        <v>108</v>
      </c>
      <c r="M44" s="2">
        <v>1</v>
      </c>
      <c r="N44" s="7">
        <v>8500</v>
      </c>
      <c r="O44" s="2">
        <v>0</v>
      </c>
      <c r="P44" s="7">
        <v>8500</v>
      </c>
      <c r="Q44" s="2">
        <v>2</v>
      </c>
      <c r="R44" s="2" t="s">
        <v>60</v>
      </c>
      <c r="S44" s="2" t="s">
        <v>81</v>
      </c>
      <c r="T44" s="2" t="s">
        <v>61</v>
      </c>
      <c r="U44" s="2">
        <v>9636416962</v>
      </c>
      <c r="V44" s="2" t="s">
        <v>52</v>
      </c>
    </row>
    <row r="45" spans="1:22" x14ac:dyDescent="0.3">
      <c r="A45" s="2" t="s">
        <v>159</v>
      </c>
      <c r="B45" s="2" t="s">
        <v>160</v>
      </c>
      <c r="C45" s="2" t="s">
        <v>141</v>
      </c>
      <c r="D45" s="3">
        <v>45746</v>
      </c>
      <c r="E45" s="3">
        <v>45747</v>
      </c>
      <c r="F45" s="2" t="s">
        <v>161</v>
      </c>
      <c r="G45" s="2" t="s">
        <v>58</v>
      </c>
      <c r="H45" s="3">
        <v>33459</v>
      </c>
      <c r="I45" s="2" t="s">
        <v>80</v>
      </c>
      <c r="J45" s="2" t="s">
        <v>76</v>
      </c>
      <c r="K45" s="2" t="s">
        <v>84</v>
      </c>
      <c r="L45" s="2" t="s">
        <v>142</v>
      </c>
      <c r="M45" s="2">
        <v>8</v>
      </c>
      <c r="N45" s="7">
        <v>45</v>
      </c>
      <c r="O45" s="2">
        <v>15</v>
      </c>
      <c r="P45" s="7">
        <v>306</v>
      </c>
      <c r="Q45" s="2">
        <v>2</v>
      </c>
      <c r="R45" s="2" t="s">
        <v>60</v>
      </c>
      <c r="S45" s="2" t="s">
        <v>50</v>
      </c>
      <c r="T45" s="2" t="s">
        <v>162</v>
      </c>
      <c r="U45" s="2">
        <v>9357133880</v>
      </c>
      <c r="V45" s="2" t="s">
        <v>34</v>
      </c>
    </row>
    <row r="46" spans="1:22" x14ac:dyDescent="0.3">
      <c r="A46" s="2" t="s">
        <v>163</v>
      </c>
      <c r="B46" s="2" t="s">
        <v>137</v>
      </c>
      <c r="C46" s="2" t="s">
        <v>24</v>
      </c>
      <c r="D46" s="3">
        <v>45772</v>
      </c>
      <c r="E46" s="3">
        <v>45775</v>
      </c>
      <c r="F46" s="2" t="s">
        <v>138</v>
      </c>
      <c r="G46" s="2" t="s">
        <v>26</v>
      </c>
      <c r="H46" s="3">
        <v>32437</v>
      </c>
      <c r="I46" s="2" t="s">
        <v>80</v>
      </c>
      <c r="J46" s="2" t="s">
        <v>76</v>
      </c>
      <c r="K46" s="2" t="s">
        <v>29</v>
      </c>
      <c r="L46" s="2" t="s">
        <v>30</v>
      </c>
      <c r="M46" s="2">
        <v>16</v>
      </c>
      <c r="N46" s="7">
        <v>2200</v>
      </c>
      <c r="O46" s="2">
        <v>5</v>
      </c>
      <c r="P46" s="7">
        <v>33440</v>
      </c>
      <c r="Q46" s="2">
        <v>5</v>
      </c>
      <c r="R46" s="2" t="s">
        <v>60</v>
      </c>
      <c r="S46" s="2" t="s">
        <v>50</v>
      </c>
      <c r="T46" s="2" t="s">
        <v>139</v>
      </c>
      <c r="U46" s="2">
        <v>9575210324</v>
      </c>
      <c r="V46" s="2" t="s">
        <v>53</v>
      </c>
    </row>
    <row r="47" spans="1:22" x14ac:dyDescent="0.3">
      <c r="A47" s="2" t="s">
        <v>164</v>
      </c>
      <c r="B47" s="2" t="s">
        <v>55</v>
      </c>
      <c r="C47" s="2" t="s">
        <v>68</v>
      </c>
      <c r="D47" s="3">
        <v>45943</v>
      </c>
      <c r="E47" s="3">
        <v>45953</v>
      </c>
      <c r="F47" s="2" t="s">
        <v>125</v>
      </c>
      <c r="G47" s="2" t="s">
        <v>58</v>
      </c>
      <c r="H47" s="3">
        <v>37579</v>
      </c>
      <c r="I47" s="2" t="s">
        <v>48</v>
      </c>
      <c r="J47" s="2" t="s">
        <v>28</v>
      </c>
      <c r="K47" s="2" t="s">
        <v>29</v>
      </c>
      <c r="L47" s="2" t="s">
        <v>71</v>
      </c>
      <c r="M47" s="2">
        <v>19</v>
      </c>
      <c r="N47" s="7">
        <v>3500</v>
      </c>
      <c r="O47" s="2">
        <v>20</v>
      </c>
      <c r="P47" s="7">
        <v>53200</v>
      </c>
      <c r="Q47" s="2">
        <v>3</v>
      </c>
      <c r="R47" s="2" t="s">
        <v>31</v>
      </c>
      <c r="S47" s="2" t="s">
        <v>97</v>
      </c>
      <c r="T47" s="2" t="s">
        <v>61</v>
      </c>
      <c r="U47" s="2">
        <v>9276080204</v>
      </c>
      <c r="V47" s="2" t="s">
        <v>53</v>
      </c>
    </row>
    <row r="48" spans="1:22" x14ac:dyDescent="0.3">
      <c r="A48" s="2" t="s">
        <v>165</v>
      </c>
      <c r="B48" s="2" t="s">
        <v>137</v>
      </c>
      <c r="C48" s="2" t="s">
        <v>113</v>
      </c>
      <c r="D48" s="3">
        <v>45941</v>
      </c>
      <c r="E48" s="3">
        <v>45944</v>
      </c>
      <c r="F48" s="2" t="s">
        <v>138</v>
      </c>
      <c r="G48" s="2" t="s">
        <v>26</v>
      </c>
      <c r="H48" s="3">
        <v>36713</v>
      </c>
      <c r="I48" s="2" t="s">
        <v>80</v>
      </c>
      <c r="J48" s="2" t="s">
        <v>76</v>
      </c>
      <c r="K48" s="2" t="s">
        <v>39</v>
      </c>
      <c r="L48" s="2" t="s">
        <v>115</v>
      </c>
      <c r="M48" s="2">
        <v>15</v>
      </c>
      <c r="N48" s="7">
        <v>700</v>
      </c>
      <c r="O48" s="2">
        <v>15</v>
      </c>
      <c r="P48" s="7">
        <v>8925</v>
      </c>
      <c r="Q48" s="2">
        <v>4</v>
      </c>
      <c r="R48" s="2" t="s">
        <v>65</v>
      </c>
      <c r="S48" s="2" t="s">
        <v>81</v>
      </c>
      <c r="T48" s="2" t="s">
        <v>166</v>
      </c>
      <c r="U48" s="2">
        <v>9856624471</v>
      </c>
      <c r="V48" s="2" t="s">
        <v>34</v>
      </c>
    </row>
    <row r="49" spans="1:22" x14ac:dyDescent="0.3">
      <c r="A49" s="2" t="s">
        <v>167</v>
      </c>
      <c r="B49" s="2" t="s">
        <v>137</v>
      </c>
      <c r="C49" s="2" t="s">
        <v>113</v>
      </c>
      <c r="D49" s="3">
        <v>45988</v>
      </c>
      <c r="E49" s="3">
        <v>45994</v>
      </c>
      <c r="F49" s="2" t="s">
        <v>138</v>
      </c>
      <c r="G49" s="2" t="s">
        <v>26</v>
      </c>
      <c r="H49" s="3">
        <v>36125</v>
      </c>
      <c r="I49" s="2" t="s">
        <v>123</v>
      </c>
      <c r="J49" s="2" t="s">
        <v>38</v>
      </c>
      <c r="K49" s="2" t="s">
        <v>39</v>
      </c>
      <c r="L49" s="2" t="s">
        <v>115</v>
      </c>
      <c r="M49" s="2">
        <v>19</v>
      </c>
      <c r="N49" s="7">
        <v>700</v>
      </c>
      <c r="O49" s="2">
        <v>20</v>
      </c>
      <c r="P49" s="7">
        <v>10640</v>
      </c>
      <c r="Q49" s="2">
        <v>1</v>
      </c>
      <c r="R49" s="2" t="s">
        <v>31</v>
      </c>
      <c r="S49" s="2" t="s">
        <v>81</v>
      </c>
      <c r="T49" s="2" t="s">
        <v>139</v>
      </c>
      <c r="U49" s="2">
        <v>9238141322</v>
      </c>
      <c r="V49" s="2" t="s">
        <v>34</v>
      </c>
    </row>
    <row r="50" spans="1:22" x14ac:dyDescent="0.3">
      <c r="A50" s="2" t="s">
        <v>168</v>
      </c>
      <c r="B50" s="2" t="s">
        <v>55</v>
      </c>
      <c r="C50" s="2" t="s">
        <v>36</v>
      </c>
      <c r="D50" s="3">
        <v>46131</v>
      </c>
      <c r="E50" s="3"/>
      <c r="F50" s="2" t="s">
        <v>125</v>
      </c>
      <c r="G50" s="2" t="s">
        <v>58</v>
      </c>
      <c r="H50" s="3">
        <v>35219</v>
      </c>
      <c r="I50" s="2" t="s">
        <v>37</v>
      </c>
      <c r="J50" s="2" t="s">
        <v>38</v>
      </c>
      <c r="K50" s="2" t="s">
        <v>39</v>
      </c>
      <c r="L50" s="2" t="s">
        <v>40</v>
      </c>
      <c r="M50" s="2">
        <v>19</v>
      </c>
      <c r="N50" s="7">
        <v>12000</v>
      </c>
      <c r="O50" s="2">
        <v>0</v>
      </c>
      <c r="P50" s="7">
        <v>228000</v>
      </c>
      <c r="Q50" s="2">
        <v>1</v>
      </c>
      <c r="R50" s="2" t="s">
        <v>41</v>
      </c>
      <c r="S50" s="2" t="s">
        <v>50</v>
      </c>
      <c r="T50" s="2" t="s">
        <v>61</v>
      </c>
      <c r="U50" s="2">
        <v>9890380030</v>
      </c>
      <c r="V50" s="2" t="s">
        <v>34</v>
      </c>
    </row>
    <row r="51" spans="1:22" x14ac:dyDescent="0.3">
      <c r="A51" s="2" t="s">
        <v>169</v>
      </c>
      <c r="B51" s="2" t="s">
        <v>105</v>
      </c>
      <c r="C51" s="2" t="s">
        <v>56</v>
      </c>
      <c r="D51" s="3">
        <v>46131</v>
      </c>
      <c r="E51" s="3">
        <v>46133</v>
      </c>
      <c r="F51" s="2" t="s">
        <v>170</v>
      </c>
      <c r="G51" s="2" t="s">
        <v>26</v>
      </c>
      <c r="H51" s="3">
        <v>31851</v>
      </c>
      <c r="I51" s="2" t="s">
        <v>80</v>
      </c>
      <c r="J51" s="2" t="s">
        <v>76</v>
      </c>
      <c r="K51" s="2" t="s">
        <v>39</v>
      </c>
      <c r="L51" s="2" t="s">
        <v>59</v>
      </c>
      <c r="M51" s="2">
        <v>6</v>
      </c>
      <c r="N51" s="7">
        <v>1200</v>
      </c>
      <c r="O51" s="2">
        <v>5</v>
      </c>
      <c r="P51" s="7">
        <v>6840</v>
      </c>
      <c r="Q51" s="2">
        <v>2</v>
      </c>
      <c r="R51" s="2" t="s">
        <v>31</v>
      </c>
      <c r="S51" s="2" t="s">
        <v>32</v>
      </c>
      <c r="T51" s="2" t="s">
        <v>109</v>
      </c>
      <c r="U51" s="2">
        <v>9495893170</v>
      </c>
      <c r="V51" s="2" t="s">
        <v>52</v>
      </c>
    </row>
    <row r="52" spans="1:22" x14ac:dyDescent="0.3">
      <c r="A52" s="2" t="s">
        <v>171</v>
      </c>
      <c r="B52" s="2" t="s">
        <v>45</v>
      </c>
      <c r="C52" s="2" t="s">
        <v>24</v>
      </c>
      <c r="D52" s="3">
        <v>45744</v>
      </c>
      <c r="E52" s="3">
        <v>45754</v>
      </c>
      <c r="F52" s="2" t="s">
        <v>172</v>
      </c>
      <c r="G52" s="2" t="s">
        <v>26</v>
      </c>
      <c r="H52" s="3">
        <v>28906</v>
      </c>
      <c r="I52" s="2" t="s">
        <v>48</v>
      </c>
      <c r="J52" s="2" t="s">
        <v>28</v>
      </c>
      <c r="K52" s="2" t="s">
        <v>29</v>
      </c>
      <c r="L52" s="2" t="s">
        <v>30</v>
      </c>
      <c r="M52" s="2">
        <v>7</v>
      </c>
      <c r="N52" s="7">
        <v>2200</v>
      </c>
      <c r="O52" s="2">
        <v>15</v>
      </c>
      <c r="P52" s="7">
        <v>13090</v>
      </c>
      <c r="Q52" s="2">
        <v>1</v>
      </c>
      <c r="R52" s="2" t="s">
        <v>65</v>
      </c>
      <c r="S52" s="2" t="s">
        <v>50</v>
      </c>
      <c r="T52" s="2" t="s">
        <v>51</v>
      </c>
      <c r="U52" s="2">
        <v>9485166307</v>
      </c>
      <c r="V52" s="2" t="s">
        <v>34</v>
      </c>
    </row>
    <row r="53" spans="1:22" x14ac:dyDescent="0.3">
      <c r="A53" s="2" t="s">
        <v>173</v>
      </c>
      <c r="B53" s="2" t="s">
        <v>73</v>
      </c>
      <c r="C53" s="2" t="s">
        <v>83</v>
      </c>
      <c r="D53" s="3">
        <v>45894</v>
      </c>
      <c r="E53" s="3">
        <v>45897</v>
      </c>
      <c r="F53" s="2" t="s">
        <v>74</v>
      </c>
      <c r="G53" s="2" t="s">
        <v>26</v>
      </c>
      <c r="H53" s="3">
        <v>36747</v>
      </c>
      <c r="I53" s="2" t="s">
        <v>123</v>
      </c>
      <c r="J53" s="2" t="s">
        <v>38</v>
      </c>
      <c r="K53" s="2" t="s">
        <v>84</v>
      </c>
      <c r="L53" s="2" t="s">
        <v>85</v>
      </c>
      <c r="M53" s="2">
        <v>8</v>
      </c>
      <c r="N53" s="7">
        <v>60</v>
      </c>
      <c r="O53" s="2">
        <v>10</v>
      </c>
      <c r="P53" s="7">
        <v>432</v>
      </c>
      <c r="Q53" s="2">
        <v>5</v>
      </c>
      <c r="R53" s="2" t="s">
        <v>60</v>
      </c>
      <c r="S53" s="2" t="s">
        <v>50</v>
      </c>
      <c r="T53" s="2" t="s">
        <v>94</v>
      </c>
      <c r="U53" s="2">
        <v>9924709648</v>
      </c>
      <c r="V53" s="2" t="s">
        <v>53</v>
      </c>
    </row>
    <row r="54" spans="1:22" x14ac:dyDescent="0.3">
      <c r="A54" s="2" t="s">
        <v>174</v>
      </c>
      <c r="B54" s="2" t="s">
        <v>127</v>
      </c>
      <c r="C54" s="2" t="s">
        <v>46</v>
      </c>
      <c r="D54" s="3">
        <v>45888</v>
      </c>
      <c r="E54" s="3">
        <v>45892</v>
      </c>
      <c r="F54" s="2" t="s">
        <v>129</v>
      </c>
      <c r="G54" s="2" t="s">
        <v>58</v>
      </c>
      <c r="H54" s="3">
        <v>27776</v>
      </c>
      <c r="I54" s="2" t="s">
        <v>151</v>
      </c>
      <c r="J54" s="2" t="s">
        <v>152</v>
      </c>
      <c r="K54" s="2" t="s">
        <v>39</v>
      </c>
      <c r="L54" s="2" t="s">
        <v>49</v>
      </c>
      <c r="M54" s="2">
        <v>12</v>
      </c>
      <c r="N54" s="7">
        <v>55000</v>
      </c>
      <c r="O54" s="2">
        <v>5</v>
      </c>
      <c r="P54" s="7">
        <v>627000</v>
      </c>
      <c r="Q54" s="2">
        <v>2</v>
      </c>
      <c r="R54" s="2" t="s">
        <v>65</v>
      </c>
      <c r="S54" s="2" t="s">
        <v>42</v>
      </c>
      <c r="T54" s="2" t="s">
        <v>131</v>
      </c>
      <c r="U54" s="2">
        <v>9350554626</v>
      </c>
      <c r="V54" s="2" t="s">
        <v>52</v>
      </c>
    </row>
    <row r="55" spans="1:22" x14ac:dyDescent="0.3">
      <c r="A55" s="2" t="s">
        <v>175</v>
      </c>
      <c r="B55" s="2" t="s">
        <v>23</v>
      </c>
      <c r="C55" s="2" t="s">
        <v>113</v>
      </c>
      <c r="D55" s="3">
        <v>45865</v>
      </c>
      <c r="E55" s="3">
        <v>45874</v>
      </c>
      <c r="F55" s="2" t="s">
        <v>25</v>
      </c>
      <c r="G55" s="2" t="s">
        <v>26</v>
      </c>
      <c r="H55" s="3">
        <v>27488</v>
      </c>
      <c r="I55" s="2" t="s">
        <v>123</v>
      </c>
      <c r="J55" s="2" t="s">
        <v>38</v>
      </c>
      <c r="K55" s="2" t="s">
        <v>39</v>
      </c>
      <c r="L55" s="2" t="s">
        <v>115</v>
      </c>
      <c r="M55" s="2">
        <v>3</v>
      </c>
      <c r="N55" s="7">
        <v>700</v>
      </c>
      <c r="O55" s="2">
        <v>0</v>
      </c>
      <c r="P55" s="7">
        <v>2100</v>
      </c>
      <c r="Q55" s="2">
        <v>3</v>
      </c>
      <c r="R55" s="2" t="s">
        <v>60</v>
      </c>
      <c r="S55" s="2" t="s">
        <v>97</v>
      </c>
      <c r="T55" s="2" t="s">
        <v>43</v>
      </c>
      <c r="U55" s="2">
        <v>9743295580</v>
      </c>
      <c r="V55" s="2" t="s">
        <v>53</v>
      </c>
    </row>
    <row r="56" spans="1:22" x14ac:dyDescent="0.3">
      <c r="A56" s="2" t="s">
        <v>176</v>
      </c>
      <c r="B56" s="2" t="s">
        <v>88</v>
      </c>
      <c r="C56" s="2" t="s">
        <v>83</v>
      </c>
      <c r="D56" s="3">
        <v>45709</v>
      </c>
      <c r="E56" s="3">
        <v>45714</v>
      </c>
      <c r="F56" s="2" t="s">
        <v>177</v>
      </c>
      <c r="G56" s="2" t="s">
        <v>58</v>
      </c>
      <c r="H56" s="3">
        <v>28105</v>
      </c>
      <c r="I56" s="2" t="s">
        <v>92</v>
      </c>
      <c r="J56" s="2" t="s">
        <v>76</v>
      </c>
      <c r="K56" s="2" t="s">
        <v>84</v>
      </c>
      <c r="L56" s="2" t="s">
        <v>85</v>
      </c>
      <c r="M56" s="2">
        <v>19</v>
      </c>
      <c r="N56" s="7">
        <v>60</v>
      </c>
      <c r="O56" s="2">
        <v>15</v>
      </c>
      <c r="P56" s="7">
        <v>969</v>
      </c>
      <c r="Q56" s="2">
        <v>4</v>
      </c>
      <c r="R56" s="2" t="s">
        <v>60</v>
      </c>
      <c r="S56" s="2" t="s">
        <v>42</v>
      </c>
      <c r="T56" s="2" t="s">
        <v>90</v>
      </c>
      <c r="U56" s="2">
        <v>9822926495</v>
      </c>
      <c r="V56" s="2" t="s">
        <v>53</v>
      </c>
    </row>
    <row r="57" spans="1:22" x14ac:dyDescent="0.3">
      <c r="A57" s="2" t="s">
        <v>178</v>
      </c>
      <c r="B57" s="2" t="s">
        <v>160</v>
      </c>
      <c r="C57" s="2" t="s">
        <v>83</v>
      </c>
      <c r="D57" s="3">
        <v>45879</v>
      </c>
      <c r="E57" s="3">
        <v>45880</v>
      </c>
      <c r="F57" s="2" t="s">
        <v>179</v>
      </c>
      <c r="G57" s="2" t="s">
        <v>58</v>
      </c>
      <c r="H57" s="3">
        <v>29192</v>
      </c>
      <c r="I57" s="2" t="s">
        <v>123</v>
      </c>
      <c r="J57" s="2" t="s">
        <v>38</v>
      </c>
      <c r="K57" s="2" t="s">
        <v>84</v>
      </c>
      <c r="L57" s="2" t="s">
        <v>85</v>
      </c>
      <c r="M57" s="2">
        <v>9</v>
      </c>
      <c r="N57" s="7">
        <v>60</v>
      </c>
      <c r="O57" s="2">
        <v>20</v>
      </c>
      <c r="P57" s="7">
        <v>432</v>
      </c>
      <c r="Q57" s="2">
        <v>1</v>
      </c>
      <c r="R57" s="2" t="s">
        <v>41</v>
      </c>
      <c r="S57" s="2" t="s">
        <v>81</v>
      </c>
      <c r="T57" s="2" t="s">
        <v>162</v>
      </c>
      <c r="U57" s="2">
        <v>9518298190</v>
      </c>
      <c r="V57" s="2" t="s">
        <v>52</v>
      </c>
    </row>
    <row r="58" spans="1:22" x14ac:dyDescent="0.3">
      <c r="A58" s="2" t="s">
        <v>180</v>
      </c>
      <c r="B58" s="2" t="s">
        <v>160</v>
      </c>
      <c r="C58" s="2" t="s">
        <v>113</v>
      </c>
      <c r="D58" s="3">
        <v>46105</v>
      </c>
      <c r="E58" s="3">
        <v>46111</v>
      </c>
      <c r="F58" s="2" t="s">
        <v>179</v>
      </c>
      <c r="G58" s="2" t="s">
        <v>58</v>
      </c>
      <c r="H58" s="3">
        <v>28851</v>
      </c>
      <c r="I58" s="2" t="s">
        <v>48</v>
      </c>
      <c r="J58" s="2" t="s">
        <v>28</v>
      </c>
      <c r="K58" s="2" t="s">
        <v>39</v>
      </c>
      <c r="L58" s="2" t="s">
        <v>115</v>
      </c>
      <c r="M58" s="2">
        <v>6</v>
      </c>
      <c r="N58" s="7">
        <v>700</v>
      </c>
      <c r="O58" s="2">
        <v>0</v>
      </c>
      <c r="P58" s="7">
        <v>4200</v>
      </c>
      <c r="Q58" s="2">
        <v>4</v>
      </c>
      <c r="R58" s="2" t="s">
        <v>65</v>
      </c>
      <c r="S58" s="2" t="s">
        <v>42</v>
      </c>
      <c r="T58" s="2" t="s">
        <v>181</v>
      </c>
      <c r="U58" s="2">
        <v>9366223547</v>
      </c>
      <c r="V58" s="2" t="s">
        <v>53</v>
      </c>
    </row>
    <row r="59" spans="1:22" x14ac:dyDescent="0.3">
      <c r="A59" s="2" t="s">
        <v>182</v>
      </c>
      <c r="B59" s="2" t="s">
        <v>88</v>
      </c>
      <c r="C59" s="2" t="s">
        <v>141</v>
      </c>
      <c r="D59" s="3">
        <v>46094</v>
      </c>
      <c r="E59" s="3">
        <v>46100</v>
      </c>
      <c r="F59" s="2" t="s">
        <v>119</v>
      </c>
      <c r="G59" s="2" t="s">
        <v>58</v>
      </c>
      <c r="H59" s="3">
        <v>27499</v>
      </c>
      <c r="I59" s="2" t="s">
        <v>37</v>
      </c>
      <c r="J59" s="2" t="s">
        <v>38</v>
      </c>
      <c r="K59" s="2" t="s">
        <v>84</v>
      </c>
      <c r="L59" s="2" t="s">
        <v>142</v>
      </c>
      <c r="M59" s="2">
        <v>18</v>
      </c>
      <c r="N59" s="7">
        <v>45</v>
      </c>
      <c r="O59" s="2">
        <v>5</v>
      </c>
      <c r="P59" s="7">
        <v>769.5</v>
      </c>
      <c r="Q59" s="2">
        <v>1</v>
      </c>
      <c r="R59" s="2" t="s">
        <v>60</v>
      </c>
      <c r="S59" s="2" t="s">
        <v>50</v>
      </c>
      <c r="T59" s="2" t="s">
        <v>90</v>
      </c>
      <c r="U59" s="2">
        <v>9701988524</v>
      </c>
      <c r="V59" s="2" t="s">
        <v>52</v>
      </c>
    </row>
    <row r="60" spans="1:22" x14ac:dyDescent="0.3">
      <c r="A60" s="2" t="s">
        <v>183</v>
      </c>
      <c r="B60" s="2" t="s">
        <v>63</v>
      </c>
      <c r="C60" s="2" t="s">
        <v>128</v>
      </c>
      <c r="D60" s="3">
        <v>45823</v>
      </c>
      <c r="E60" s="3">
        <v>45834</v>
      </c>
      <c r="F60" s="2" t="s">
        <v>111</v>
      </c>
      <c r="G60" s="2" t="s">
        <v>58</v>
      </c>
      <c r="H60" s="3">
        <v>32496</v>
      </c>
      <c r="I60" s="2" t="s">
        <v>123</v>
      </c>
      <c r="J60" s="2" t="s">
        <v>38</v>
      </c>
      <c r="K60" s="2" t="s">
        <v>84</v>
      </c>
      <c r="L60" s="2" t="s">
        <v>130</v>
      </c>
      <c r="M60" s="2">
        <v>8</v>
      </c>
      <c r="N60" s="7">
        <v>20</v>
      </c>
      <c r="O60" s="2">
        <v>5</v>
      </c>
      <c r="P60" s="7">
        <v>152</v>
      </c>
      <c r="Q60" s="2">
        <v>1</v>
      </c>
      <c r="R60" s="2" t="s">
        <v>60</v>
      </c>
      <c r="S60" s="2" t="s">
        <v>32</v>
      </c>
      <c r="T60" s="2" t="s">
        <v>66</v>
      </c>
      <c r="U60" s="2">
        <v>9836327649</v>
      </c>
      <c r="V60" s="2" t="s">
        <v>184</v>
      </c>
    </row>
    <row r="61" spans="1:22" x14ac:dyDescent="0.3">
      <c r="A61" s="2" t="s">
        <v>185</v>
      </c>
      <c r="B61" s="2" t="s">
        <v>127</v>
      </c>
      <c r="C61" s="2" t="s">
        <v>113</v>
      </c>
      <c r="D61" s="3">
        <v>45721</v>
      </c>
      <c r="E61" s="3">
        <v>45722</v>
      </c>
      <c r="F61" s="2" t="s">
        <v>129</v>
      </c>
      <c r="G61" s="2" t="s">
        <v>58</v>
      </c>
      <c r="H61" s="3">
        <v>28921</v>
      </c>
      <c r="I61" s="2" t="s">
        <v>123</v>
      </c>
      <c r="J61" s="2" t="s">
        <v>38</v>
      </c>
      <c r="K61" s="2" t="s">
        <v>39</v>
      </c>
      <c r="L61" s="2" t="s">
        <v>115</v>
      </c>
      <c r="M61" s="2">
        <v>8</v>
      </c>
      <c r="N61" s="7">
        <v>700</v>
      </c>
      <c r="O61" s="2">
        <v>10</v>
      </c>
      <c r="P61" s="7">
        <v>5040</v>
      </c>
      <c r="Q61" s="2">
        <v>1</v>
      </c>
      <c r="R61" s="2" t="s">
        <v>41</v>
      </c>
      <c r="S61" s="2" t="s">
        <v>50</v>
      </c>
      <c r="T61" s="2" t="s">
        <v>186</v>
      </c>
      <c r="U61" s="2">
        <v>9261800516</v>
      </c>
      <c r="V61" s="2" t="s">
        <v>53</v>
      </c>
    </row>
    <row r="62" spans="1:22" x14ac:dyDescent="0.3">
      <c r="A62" s="2" t="s">
        <v>187</v>
      </c>
      <c r="B62" s="2" t="s">
        <v>23</v>
      </c>
      <c r="C62" s="2" t="s">
        <v>128</v>
      </c>
      <c r="D62" s="3">
        <v>46121</v>
      </c>
      <c r="E62" s="3">
        <v>46131</v>
      </c>
      <c r="F62" s="2" t="s">
        <v>25</v>
      </c>
      <c r="G62" s="2" t="s">
        <v>26</v>
      </c>
      <c r="H62" s="3">
        <v>37972</v>
      </c>
      <c r="I62" s="2" t="s">
        <v>37</v>
      </c>
      <c r="J62" s="2" t="s">
        <v>38</v>
      </c>
      <c r="K62" s="2" t="s">
        <v>84</v>
      </c>
      <c r="L62" s="2" t="s">
        <v>130</v>
      </c>
      <c r="M62" s="2">
        <v>7</v>
      </c>
      <c r="N62" s="7">
        <v>20</v>
      </c>
      <c r="O62" s="2">
        <v>15</v>
      </c>
      <c r="P62" s="7">
        <v>119</v>
      </c>
      <c r="Q62" s="2">
        <v>5</v>
      </c>
      <c r="R62" s="2" t="s">
        <v>60</v>
      </c>
      <c r="S62" s="2" t="s">
        <v>42</v>
      </c>
      <c r="T62" s="2" t="s">
        <v>43</v>
      </c>
      <c r="U62" s="2">
        <v>9950802015</v>
      </c>
      <c r="V62" s="2" t="s">
        <v>34</v>
      </c>
    </row>
    <row r="63" spans="1:22" x14ac:dyDescent="0.3">
      <c r="A63" s="2" t="s">
        <v>188</v>
      </c>
      <c r="B63" s="2" t="s">
        <v>73</v>
      </c>
      <c r="C63" s="2" t="s">
        <v>128</v>
      </c>
      <c r="D63" s="3">
        <v>45885</v>
      </c>
      <c r="E63" s="3">
        <v>45894</v>
      </c>
      <c r="F63" s="2" t="s">
        <v>74</v>
      </c>
      <c r="G63" s="2" t="s">
        <v>26</v>
      </c>
      <c r="H63" s="3">
        <v>30777</v>
      </c>
      <c r="I63" s="2" t="s">
        <v>80</v>
      </c>
      <c r="J63" s="2" t="s">
        <v>76</v>
      </c>
      <c r="K63" s="2" t="s">
        <v>84</v>
      </c>
      <c r="L63" s="2" t="s">
        <v>130</v>
      </c>
      <c r="M63" s="2">
        <v>16</v>
      </c>
      <c r="N63" s="7">
        <v>20</v>
      </c>
      <c r="O63" s="2">
        <v>0</v>
      </c>
      <c r="P63" s="7">
        <v>320</v>
      </c>
      <c r="Q63" s="2">
        <v>5</v>
      </c>
      <c r="R63" s="2" t="s">
        <v>41</v>
      </c>
      <c r="S63" s="2" t="s">
        <v>50</v>
      </c>
      <c r="T63" s="2" t="s">
        <v>94</v>
      </c>
      <c r="U63" s="2">
        <v>9595183767</v>
      </c>
      <c r="V63" s="2" t="s">
        <v>52</v>
      </c>
    </row>
    <row r="64" spans="1:22" x14ac:dyDescent="0.3">
      <c r="A64" s="2" t="s">
        <v>189</v>
      </c>
      <c r="B64" s="2" t="s">
        <v>45</v>
      </c>
      <c r="C64" s="2" t="s">
        <v>141</v>
      </c>
      <c r="D64" s="3">
        <v>46155</v>
      </c>
      <c r="E64" s="3">
        <v>46162</v>
      </c>
      <c r="F64" s="2" t="s">
        <v>102</v>
      </c>
      <c r="G64" s="2" t="s">
        <v>26</v>
      </c>
      <c r="H64" s="3">
        <v>35168</v>
      </c>
      <c r="I64" s="2" t="s">
        <v>75</v>
      </c>
      <c r="J64" s="2" t="s">
        <v>76</v>
      </c>
      <c r="K64" s="2" t="s">
        <v>84</v>
      </c>
      <c r="L64" s="2" t="s">
        <v>142</v>
      </c>
      <c r="M64" s="2">
        <v>15</v>
      </c>
      <c r="N64" s="7">
        <v>45</v>
      </c>
      <c r="O64" s="2">
        <v>0</v>
      </c>
      <c r="P64" s="7">
        <v>675</v>
      </c>
      <c r="Q64" s="2">
        <v>4</v>
      </c>
      <c r="R64" s="2" t="s">
        <v>31</v>
      </c>
      <c r="S64" s="2" t="s">
        <v>50</v>
      </c>
      <c r="T64" s="2" t="s">
        <v>51</v>
      </c>
      <c r="U64" s="2">
        <v>9560201307</v>
      </c>
      <c r="V64" s="2" t="s">
        <v>53</v>
      </c>
    </row>
    <row r="65" spans="1:22" x14ac:dyDescent="0.3">
      <c r="A65" s="2" t="s">
        <v>190</v>
      </c>
      <c r="B65" s="2" t="s">
        <v>137</v>
      </c>
      <c r="C65" s="2" t="s">
        <v>113</v>
      </c>
      <c r="D65" s="3">
        <v>45717</v>
      </c>
      <c r="E65" s="3">
        <v>45721</v>
      </c>
      <c r="F65" s="2" t="s">
        <v>138</v>
      </c>
      <c r="G65" s="2" t="s">
        <v>26</v>
      </c>
      <c r="H65" s="3">
        <v>37872</v>
      </c>
      <c r="I65" s="2" t="s">
        <v>92</v>
      </c>
      <c r="J65" s="2" t="s">
        <v>76</v>
      </c>
      <c r="K65" s="2" t="s">
        <v>39</v>
      </c>
      <c r="L65" s="2" t="s">
        <v>115</v>
      </c>
      <c r="M65" s="2">
        <v>15</v>
      </c>
      <c r="N65" s="7">
        <v>700</v>
      </c>
      <c r="O65" s="2">
        <v>10</v>
      </c>
      <c r="P65" s="7">
        <v>9450</v>
      </c>
      <c r="Q65" s="2">
        <v>3</v>
      </c>
      <c r="R65" s="2" t="s">
        <v>41</v>
      </c>
      <c r="S65" s="2" t="s">
        <v>97</v>
      </c>
      <c r="T65" s="2" t="s">
        <v>139</v>
      </c>
      <c r="U65" s="2">
        <v>9826484650</v>
      </c>
      <c r="V65" s="2" t="s">
        <v>34</v>
      </c>
    </row>
    <row r="66" spans="1:22" x14ac:dyDescent="0.3">
      <c r="A66" s="2" t="s">
        <v>191</v>
      </c>
      <c r="B66" s="2" t="s">
        <v>45</v>
      </c>
      <c r="C66" s="2" t="s">
        <v>141</v>
      </c>
      <c r="D66" s="3">
        <v>45697</v>
      </c>
      <c r="E66" s="3">
        <v>45700</v>
      </c>
      <c r="F66" s="2" t="s">
        <v>102</v>
      </c>
      <c r="G66" s="2" t="s">
        <v>26</v>
      </c>
      <c r="H66" s="3">
        <v>33871</v>
      </c>
      <c r="I66" s="2" t="s">
        <v>151</v>
      </c>
      <c r="J66" s="2" t="s">
        <v>152</v>
      </c>
      <c r="K66" s="2" t="s">
        <v>84</v>
      </c>
      <c r="L66" s="2" t="s">
        <v>142</v>
      </c>
      <c r="M66" s="2">
        <v>3</v>
      </c>
      <c r="N66" s="7">
        <v>45</v>
      </c>
      <c r="O66" s="2">
        <v>15</v>
      </c>
      <c r="P66" s="7">
        <v>114.75</v>
      </c>
      <c r="Q66" s="2">
        <v>2</v>
      </c>
      <c r="R66" s="2" t="s">
        <v>65</v>
      </c>
      <c r="S66" s="2" t="s">
        <v>81</v>
      </c>
      <c r="T66" s="2" t="s">
        <v>51</v>
      </c>
      <c r="U66" s="2">
        <v>9219978007</v>
      </c>
      <c r="V66" s="2" t="s">
        <v>52</v>
      </c>
    </row>
    <row r="67" spans="1:22" x14ac:dyDescent="0.3">
      <c r="A67" s="2" t="s">
        <v>192</v>
      </c>
      <c r="B67" s="2" t="s">
        <v>73</v>
      </c>
      <c r="C67" s="2" t="s">
        <v>24</v>
      </c>
      <c r="D67" s="3">
        <v>46031</v>
      </c>
      <c r="E67" s="3">
        <v>46032</v>
      </c>
      <c r="F67" s="2" t="s">
        <v>74</v>
      </c>
      <c r="G67" s="2" t="s">
        <v>26</v>
      </c>
      <c r="H67" s="3">
        <v>31674</v>
      </c>
      <c r="I67" s="2" t="s">
        <v>151</v>
      </c>
      <c r="J67" s="2" t="s">
        <v>152</v>
      </c>
      <c r="K67" s="2" t="s">
        <v>29</v>
      </c>
      <c r="L67" s="2" t="s">
        <v>30</v>
      </c>
      <c r="M67" s="2">
        <v>7</v>
      </c>
      <c r="N67" s="7">
        <v>2200</v>
      </c>
      <c r="O67" s="2">
        <v>15</v>
      </c>
      <c r="P67" s="7">
        <v>13090</v>
      </c>
      <c r="Q67" s="2">
        <v>5</v>
      </c>
      <c r="R67" s="2" t="s">
        <v>65</v>
      </c>
      <c r="S67" s="2" t="s">
        <v>81</v>
      </c>
      <c r="T67" s="2" t="s">
        <v>94</v>
      </c>
      <c r="U67" s="2">
        <v>9662063276</v>
      </c>
      <c r="V67" s="2" t="s">
        <v>34</v>
      </c>
    </row>
    <row r="68" spans="1:22" x14ac:dyDescent="0.3">
      <c r="A68" s="2" t="s">
        <v>193</v>
      </c>
      <c r="B68" s="2" t="s">
        <v>23</v>
      </c>
      <c r="C68" s="2" t="s">
        <v>141</v>
      </c>
      <c r="D68" s="3">
        <v>45901</v>
      </c>
      <c r="E68" s="3">
        <v>45905</v>
      </c>
      <c r="F68" s="2" t="s">
        <v>25</v>
      </c>
      <c r="G68" s="2" t="s">
        <v>26</v>
      </c>
      <c r="H68" s="3">
        <v>31195</v>
      </c>
      <c r="I68" s="2" t="s">
        <v>37</v>
      </c>
      <c r="J68" s="2" t="s">
        <v>38</v>
      </c>
      <c r="K68" s="2" t="s">
        <v>84</v>
      </c>
      <c r="L68" s="2" t="s">
        <v>142</v>
      </c>
      <c r="M68" s="2">
        <v>19</v>
      </c>
      <c r="N68" s="7">
        <v>45</v>
      </c>
      <c r="O68" s="2">
        <v>10</v>
      </c>
      <c r="P68" s="7">
        <v>769.5</v>
      </c>
      <c r="Q68" s="2">
        <v>5</v>
      </c>
      <c r="R68" s="2" t="s">
        <v>60</v>
      </c>
      <c r="S68" s="2" t="s">
        <v>81</v>
      </c>
      <c r="T68" s="2" t="s">
        <v>43</v>
      </c>
      <c r="U68" s="2">
        <v>9190393639</v>
      </c>
      <c r="V68" s="2" t="s">
        <v>53</v>
      </c>
    </row>
    <row r="69" spans="1:22" x14ac:dyDescent="0.3">
      <c r="A69" s="2" t="s">
        <v>194</v>
      </c>
      <c r="B69" s="2" t="s">
        <v>137</v>
      </c>
      <c r="C69" s="2" t="s">
        <v>68</v>
      </c>
      <c r="D69" s="3">
        <v>46062</v>
      </c>
      <c r="E69" s="3">
        <v>46067</v>
      </c>
      <c r="F69" s="2" t="s">
        <v>138</v>
      </c>
      <c r="G69" s="2" t="s">
        <v>26</v>
      </c>
      <c r="H69" s="3">
        <v>29094</v>
      </c>
      <c r="I69" s="2" t="s">
        <v>27</v>
      </c>
      <c r="J69" s="2" t="s">
        <v>28</v>
      </c>
      <c r="K69" s="2" t="s">
        <v>29</v>
      </c>
      <c r="L69" s="2" t="s">
        <v>71</v>
      </c>
      <c r="M69" s="2">
        <v>7</v>
      </c>
      <c r="N69" s="7">
        <v>3500</v>
      </c>
      <c r="O69" s="2">
        <v>15</v>
      </c>
      <c r="P69" s="7">
        <v>20825</v>
      </c>
      <c r="Q69" s="2">
        <v>1</v>
      </c>
      <c r="R69" s="2" t="s">
        <v>31</v>
      </c>
      <c r="S69" s="2" t="s">
        <v>97</v>
      </c>
      <c r="T69" s="2" t="s">
        <v>139</v>
      </c>
      <c r="U69" s="2">
        <v>9106328582</v>
      </c>
      <c r="V69" s="2" t="s">
        <v>52</v>
      </c>
    </row>
    <row r="70" spans="1:22" x14ac:dyDescent="0.3">
      <c r="A70" s="2" t="s">
        <v>195</v>
      </c>
      <c r="B70" s="2" t="s">
        <v>45</v>
      </c>
      <c r="C70" s="2" t="s">
        <v>106</v>
      </c>
      <c r="D70" s="3">
        <v>46005</v>
      </c>
      <c r="E70" s="3">
        <v>46010</v>
      </c>
      <c r="F70" s="2" t="s">
        <v>102</v>
      </c>
      <c r="G70" s="2" t="s">
        <v>26</v>
      </c>
      <c r="H70" s="3">
        <v>28116</v>
      </c>
      <c r="I70" s="2" t="s">
        <v>123</v>
      </c>
      <c r="J70" s="2" t="s">
        <v>38</v>
      </c>
      <c r="K70" s="2" t="s">
        <v>29</v>
      </c>
      <c r="L70" s="2" t="s">
        <v>108</v>
      </c>
      <c r="M70" s="2">
        <v>7</v>
      </c>
      <c r="N70" s="7">
        <v>8500</v>
      </c>
      <c r="O70" s="2">
        <v>20</v>
      </c>
      <c r="P70" s="7">
        <v>47600</v>
      </c>
      <c r="Q70" s="2">
        <v>4</v>
      </c>
      <c r="R70" s="2" t="s">
        <v>41</v>
      </c>
      <c r="S70" s="2" t="s">
        <v>81</v>
      </c>
      <c r="T70" s="2" t="s">
        <v>51</v>
      </c>
      <c r="U70" s="2">
        <v>9264401015</v>
      </c>
      <c r="V70" s="2" t="s">
        <v>34</v>
      </c>
    </row>
    <row r="71" spans="1:22" x14ac:dyDescent="0.3">
      <c r="A71" s="2" t="s">
        <v>196</v>
      </c>
      <c r="B71" s="2" t="s">
        <v>23</v>
      </c>
      <c r="C71" s="2" t="s">
        <v>46</v>
      </c>
      <c r="D71" s="3">
        <v>45754</v>
      </c>
      <c r="E71" s="3">
        <v>45757</v>
      </c>
      <c r="F71" s="2" t="s">
        <v>25</v>
      </c>
      <c r="G71" s="2" t="s">
        <v>26</v>
      </c>
      <c r="H71" s="3">
        <v>36561</v>
      </c>
      <c r="I71" s="2" t="s">
        <v>48</v>
      </c>
      <c r="J71" s="2" t="s">
        <v>28</v>
      </c>
      <c r="K71" s="2" t="s">
        <v>39</v>
      </c>
      <c r="L71" s="2" t="s">
        <v>49</v>
      </c>
      <c r="M71" s="2">
        <v>16</v>
      </c>
      <c r="N71" s="7">
        <v>55000</v>
      </c>
      <c r="O71" s="2">
        <v>10</v>
      </c>
      <c r="P71" s="7">
        <v>792000</v>
      </c>
      <c r="Q71" s="2">
        <v>1</v>
      </c>
      <c r="R71" s="2" t="s">
        <v>60</v>
      </c>
      <c r="S71" s="2" t="s">
        <v>50</v>
      </c>
      <c r="T71" s="2" t="s">
        <v>43</v>
      </c>
      <c r="U71" s="2">
        <v>9959237375</v>
      </c>
      <c r="V71" s="2" t="s">
        <v>34</v>
      </c>
    </row>
    <row r="72" spans="1:22" x14ac:dyDescent="0.3">
      <c r="A72" s="2" t="s">
        <v>197</v>
      </c>
      <c r="B72" s="2" t="s">
        <v>105</v>
      </c>
      <c r="C72" s="2" t="s">
        <v>36</v>
      </c>
      <c r="D72" s="3">
        <v>46015</v>
      </c>
      <c r="E72" s="3">
        <v>46025</v>
      </c>
      <c r="F72" s="2" t="s">
        <v>170</v>
      </c>
      <c r="G72" s="2" t="s">
        <v>26</v>
      </c>
      <c r="H72" s="3">
        <v>31832</v>
      </c>
      <c r="I72" s="2" t="s">
        <v>75</v>
      </c>
      <c r="J72" s="2" t="s">
        <v>76</v>
      </c>
      <c r="K72" s="2" t="s">
        <v>39</v>
      </c>
      <c r="L72" s="2" t="s">
        <v>40</v>
      </c>
      <c r="M72" s="2">
        <v>2</v>
      </c>
      <c r="N72" s="7">
        <v>12000</v>
      </c>
      <c r="O72" s="2">
        <v>20</v>
      </c>
      <c r="P72" s="7">
        <v>19200</v>
      </c>
      <c r="Q72" s="2">
        <v>1</v>
      </c>
      <c r="R72" s="2" t="s">
        <v>31</v>
      </c>
      <c r="S72" s="2" t="s">
        <v>97</v>
      </c>
      <c r="T72" s="2" t="s">
        <v>198</v>
      </c>
      <c r="U72" s="2">
        <v>9561836580</v>
      </c>
      <c r="V72" s="2" t="s">
        <v>52</v>
      </c>
    </row>
    <row r="73" spans="1:22" x14ac:dyDescent="0.3">
      <c r="A73" s="2" t="s">
        <v>199</v>
      </c>
      <c r="B73" s="2" t="s">
        <v>88</v>
      </c>
      <c r="C73" s="2" t="s">
        <v>141</v>
      </c>
      <c r="D73" s="3">
        <v>45899</v>
      </c>
      <c r="E73" s="3">
        <v>45905</v>
      </c>
      <c r="F73" s="2" t="s">
        <v>119</v>
      </c>
      <c r="G73" s="2" t="s">
        <v>58</v>
      </c>
      <c r="H73" s="3">
        <v>30887</v>
      </c>
      <c r="I73" s="2" t="s">
        <v>48</v>
      </c>
      <c r="J73" s="2" t="s">
        <v>28</v>
      </c>
      <c r="K73" s="2" t="s">
        <v>84</v>
      </c>
      <c r="L73" s="2" t="s">
        <v>142</v>
      </c>
      <c r="M73" s="2">
        <v>4</v>
      </c>
      <c r="N73" s="7">
        <v>45</v>
      </c>
      <c r="O73" s="2">
        <v>5</v>
      </c>
      <c r="P73" s="7">
        <v>171</v>
      </c>
      <c r="Q73" s="2">
        <v>1</v>
      </c>
      <c r="R73" s="2" t="s">
        <v>60</v>
      </c>
      <c r="S73" s="2" t="s">
        <v>42</v>
      </c>
      <c r="T73" s="2" t="s">
        <v>90</v>
      </c>
      <c r="U73" s="2">
        <v>9512666401</v>
      </c>
      <c r="V73" s="2" t="s">
        <v>52</v>
      </c>
    </row>
    <row r="74" spans="1:22" x14ac:dyDescent="0.3">
      <c r="A74" s="2" t="s">
        <v>200</v>
      </c>
      <c r="B74" s="2" t="s">
        <v>23</v>
      </c>
      <c r="C74" s="2" t="s">
        <v>56</v>
      </c>
      <c r="D74" s="3">
        <v>46004</v>
      </c>
      <c r="E74" s="3">
        <v>46014</v>
      </c>
      <c r="F74" s="2" t="s">
        <v>25</v>
      </c>
      <c r="G74" s="2" t="s">
        <v>26</v>
      </c>
      <c r="H74" s="3">
        <v>29851</v>
      </c>
      <c r="I74" s="2" t="s">
        <v>123</v>
      </c>
      <c r="J74" s="2" t="s">
        <v>38</v>
      </c>
      <c r="K74" s="2" t="s">
        <v>39</v>
      </c>
      <c r="L74" s="2" t="s">
        <v>59</v>
      </c>
      <c r="M74" s="2">
        <v>1</v>
      </c>
      <c r="N74" s="7">
        <v>1200</v>
      </c>
      <c r="O74" s="2">
        <v>5</v>
      </c>
      <c r="P74" s="7">
        <v>1140</v>
      </c>
      <c r="Q74" s="2">
        <v>3</v>
      </c>
      <c r="R74" s="2" t="s">
        <v>65</v>
      </c>
      <c r="S74" s="2" t="s">
        <v>50</v>
      </c>
      <c r="T74" s="2" t="s">
        <v>43</v>
      </c>
      <c r="U74" s="2">
        <v>9808988530</v>
      </c>
      <c r="V74" s="2" t="s">
        <v>53</v>
      </c>
    </row>
    <row r="75" spans="1:22" x14ac:dyDescent="0.3">
      <c r="A75" s="2" t="s">
        <v>201</v>
      </c>
      <c r="B75" s="2" t="s">
        <v>45</v>
      </c>
      <c r="C75" s="2" t="s">
        <v>24</v>
      </c>
      <c r="D75" s="3">
        <v>46057</v>
      </c>
      <c r="E75" s="3">
        <v>46069</v>
      </c>
      <c r="F75" s="2" t="s">
        <v>102</v>
      </c>
      <c r="G75" s="2" t="s">
        <v>26</v>
      </c>
      <c r="H75" s="3">
        <v>29392</v>
      </c>
      <c r="I75" s="2"/>
      <c r="J75" s="2" t="s">
        <v>28</v>
      </c>
      <c r="K75" s="2" t="s">
        <v>29</v>
      </c>
      <c r="L75" s="2" t="s">
        <v>30</v>
      </c>
      <c r="M75" s="2">
        <v>1</v>
      </c>
      <c r="N75" s="7">
        <v>2200</v>
      </c>
      <c r="O75" s="2">
        <v>15</v>
      </c>
      <c r="P75" s="7">
        <v>1870</v>
      </c>
      <c r="Q75" s="2">
        <v>4</v>
      </c>
      <c r="R75" s="2" t="s">
        <v>60</v>
      </c>
      <c r="S75" s="2" t="s">
        <v>50</v>
      </c>
      <c r="T75" s="2" t="s">
        <v>51</v>
      </c>
      <c r="U75" s="2">
        <v>9286410494</v>
      </c>
      <c r="V75" s="2" t="s">
        <v>34</v>
      </c>
    </row>
    <row r="76" spans="1:22" x14ac:dyDescent="0.3">
      <c r="A76" s="2" t="s">
        <v>202</v>
      </c>
      <c r="B76" s="2" t="s">
        <v>88</v>
      </c>
      <c r="C76" s="2" t="s">
        <v>56</v>
      </c>
      <c r="D76" s="3">
        <v>46048</v>
      </c>
      <c r="E76" s="3">
        <v>46050</v>
      </c>
      <c r="F76" s="2" t="s">
        <v>119</v>
      </c>
      <c r="G76" s="2" t="s">
        <v>58</v>
      </c>
      <c r="H76" s="3">
        <v>30257</v>
      </c>
      <c r="I76" s="2" t="s">
        <v>80</v>
      </c>
      <c r="J76" s="2" t="s">
        <v>76</v>
      </c>
      <c r="K76" s="2" t="s">
        <v>39</v>
      </c>
      <c r="L76" s="2" t="s">
        <v>59</v>
      </c>
      <c r="M76" s="2">
        <v>3</v>
      </c>
      <c r="N76" s="7">
        <v>1200</v>
      </c>
      <c r="O76" s="2">
        <v>10</v>
      </c>
      <c r="P76" s="7">
        <v>3240</v>
      </c>
      <c r="Q76" s="2">
        <v>5</v>
      </c>
      <c r="R76" s="2" t="s">
        <v>31</v>
      </c>
      <c r="S76" s="2" t="s">
        <v>42</v>
      </c>
      <c r="T76" s="2" t="s">
        <v>90</v>
      </c>
      <c r="U76" s="2">
        <v>9311555196</v>
      </c>
      <c r="V76" s="2" t="s">
        <v>34</v>
      </c>
    </row>
    <row r="77" spans="1:22" x14ac:dyDescent="0.3">
      <c r="A77" s="2" t="s">
        <v>203</v>
      </c>
      <c r="B77" s="2" t="s">
        <v>23</v>
      </c>
      <c r="C77" s="2" t="s">
        <v>68</v>
      </c>
      <c r="D77" s="3">
        <v>45835</v>
      </c>
      <c r="E77" s="3">
        <v>45845</v>
      </c>
      <c r="F77" s="2" t="s">
        <v>25</v>
      </c>
      <c r="G77" s="2" t="s">
        <v>26</v>
      </c>
      <c r="H77" s="3">
        <v>29230</v>
      </c>
      <c r="I77" s="2" t="s">
        <v>48</v>
      </c>
      <c r="J77" s="2" t="s">
        <v>28</v>
      </c>
      <c r="K77" s="2" t="s">
        <v>29</v>
      </c>
      <c r="L77" s="2" t="s">
        <v>71</v>
      </c>
      <c r="M77" s="2">
        <v>10</v>
      </c>
      <c r="N77" s="7">
        <v>3500</v>
      </c>
      <c r="O77" s="2">
        <v>20</v>
      </c>
      <c r="P77" s="7">
        <v>28000</v>
      </c>
      <c r="Q77" s="2">
        <v>5</v>
      </c>
      <c r="R77" s="2" t="s">
        <v>60</v>
      </c>
      <c r="S77" s="2" t="s">
        <v>32</v>
      </c>
      <c r="T77" s="2" t="s">
        <v>43</v>
      </c>
      <c r="U77" s="2">
        <v>9101810266</v>
      </c>
      <c r="V77" s="2" t="s">
        <v>34</v>
      </c>
    </row>
    <row r="78" spans="1:22" x14ac:dyDescent="0.3">
      <c r="A78" s="2" t="s">
        <v>204</v>
      </c>
      <c r="B78" s="2" t="s">
        <v>63</v>
      </c>
      <c r="C78" s="2" t="s">
        <v>113</v>
      </c>
      <c r="D78" s="3">
        <v>46098</v>
      </c>
      <c r="E78" s="3">
        <v>46100</v>
      </c>
      <c r="F78" s="2" t="s">
        <v>111</v>
      </c>
      <c r="G78" s="2" t="s">
        <v>58</v>
      </c>
      <c r="H78" s="3">
        <v>29703</v>
      </c>
      <c r="I78" s="2" t="s">
        <v>37</v>
      </c>
      <c r="J78" s="2" t="s">
        <v>38</v>
      </c>
      <c r="K78" s="2" t="s">
        <v>39</v>
      </c>
      <c r="L78" s="2" t="s">
        <v>115</v>
      </c>
      <c r="M78" s="2">
        <v>18</v>
      </c>
      <c r="N78" s="7">
        <v>700</v>
      </c>
      <c r="O78" s="2">
        <v>5</v>
      </c>
      <c r="P78" s="7">
        <v>11970</v>
      </c>
      <c r="Q78" s="2">
        <v>3</v>
      </c>
      <c r="R78" s="2" t="s">
        <v>60</v>
      </c>
      <c r="S78" s="2" t="s">
        <v>81</v>
      </c>
      <c r="T78" s="2" t="s">
        <v>66</v>
      </c>
      <c r="U78" s="2">
        <v>9464556593</v>
      </c>
      <c r="V78" s="2" t="s">
        <v>53</v>
      </c>
    </row>
    <row r="79" spans="1:22" x14ac:dyDescent="0.3">
      <c r="A79" s="2" t="s">
        <v>205</v>
      </c>
      <c r="B79" s="2" t="s">
        <v>127</v>
      </c>
      <c r="C79" s="2" t="s">
        <v>113</v>
      </c>
      <c r="D79" s="3">
        <v>45817</v>
      </c>
      <c r="E79" s="3">
        <v>45826</v>
      </c>
      <c r="F79" s="2" t="s">
        <v>129</v>
      </c>
      <c r="G79" s="2" t="s">
        <v>58</v>
      </c>
      <c r="H79" s="3">
        <v>31118</v>
      </c>
      <c r="I79" s="2" t="s">
        <v>48</v>
      </c>
      <c r="J79" s="2" t="s">
        <v>28</v>
      </c>
      <c r="K79" s="2" t="s">
        <v>39</v>
      </c>
      <c r="L79" s="2" t="s">
        <v>115</v>
      </c>
      <c r="M79" s="2">
        <v>12</v>
      </c>
      <c r="N79" s="7">
        <v>700</v>
      </c>
      <c r="O79" s="2">
        <v>15</v>
      </c>
      <c r="P79" s="7">
        <v>7140</v>
      </c>
      <c r="Q79" s="2">
        <v>2</v>
      </c>
      <c r="R79" s="2" t="s">
        <v>65</v>
      </c>
      <c r="S79" s="2" t="s">
        <v>42</v>
      </c>
      <c r="T79" s="2" t="s">
        <v>131</v>
      </c>
      <c r="U79" s="2">
        <v>9338278358</v>
      </c>
      <c r="V79" s="2" t="s">
        <v>34</v>
      </c>
    </row>
    <row r="80" spans="1:22" x14ac:dyDescent="0.3">
      <c r="A80" s="2" t="s">
        <v>206</v>
      </c>
      <c r="B80" s="2" t="s">
        <v>55</v>
      </c>
      <c r="C80" s="2" t="s">
        <v>56</v>
      </c>
      <c r="D80" s="3">
        <v>45976</v>
      </c>
      <c r="E80" s="3">
        <v>45977</v>
      </c>
      <c r="F80" s="2" t="s">
        <v>125</v>
      </c>
      <c r="G80" s="2" t="s">
        <v>58</v>
      </c>
      <c r="H80" s="3">
        <v>36234</v>
      </c>
      <c r="I80" s="2" t="s">
        <v>75</v>
      </c>
      <c r="J80" s="2" t="s">
        <v>76</v>
      </c>
      <c r="K80" s="2" t="s">
        <v>39</v>
      </c>
      <c r="L80" s="2" t="s">
        <v>59</v>
      </c>
      <c r="M80" s="2">
        <v>8</v>
      </c>
      <c r="N80" s="7">
        <v>1200</v>
      </c>
      <c r="O80" s="2">
        <v>0</v>
      </c>
      <c r="P80" s="7">
        <v>9600</v>
      </c>
      <c r="Q80" s="2">
        <v>4</v>
      </c>
      <c r="R80" s="2" t="s">
        <v>60</v>
      </c>
      <c r="S80" s="2" t="s">
        <v>42</v>
      </c>
      <c r="T80" s="2" t="s">
        <v>61</v>
      </c>
      <c r="U80" s="2">
        <v>9621410770</v>
      </c>
      <c r="V80" s="2" t="s">
        <v>52</v>
      </c>
    </row>
    <row r="81" spans="1:22" x14ac:dyDescent="0.3">
      <c r="A81" s="2" t="s">
        <v>207</v>
      </c>
      <c r="B81" s="2" t="s">
        <v>88</v>
      </c>
      <c r="C81" s="2" t="s">
        <v>83</v>
      </c>
      <c r="D81" s="3">
        <v>45967</v>
      </c>
      <c r="E81" s="3">
        <v>45971</v>
      </c>
      <c r="F81" s="2" t="s">
        <v>119</v>
      </c>
      <c r="G81" s="2" t="s">
        <v>58</v>
      </c>
      <c r="H81" s="3">
        <v>30504</v>
      </c>
      <c r="I81" s="2" t="s">
        <v>80</v>
      </c>
      <c r="J81" s="2" t="s">
        <v>76</v>
      </c>
      <c r="K81" s="2" t="s">
        <v>84</v>
      </c>
      <c r="L81" s="2" t="s">
        <v>85</v>
      </c>
      <c r="M81" s="2">
        <v>2</v>
      </c>
      <c r="N81" s="7">
        <v>60</v>
      </c>
      <c r="O81" s="2">
        <v>0</v>
      </c>
      <c r="P81" s="7">
        <v>120</v>
      </c>
      <c r="Q81" s="2">
        <v>2</v>
      </c>
      <c r="R81" s="2" t="s">
        <v>65</v>
      </c>
      <c r="S81" s="2" t="s">
        <v>42</v>
      </c>
      <c r="T81" s="2" t="s">
        <v>90</v>
      </c>
      <c r="U81" s="2">
        <v>9981333189</v>
      </c>
      <c r="V81" s="2" t="s">
        <v>34</v>
      </c>
    </row>
    <row r="82" spans="1:22" x14ac:dyDescent="0.3">
      <c r="A82" s="2" t="s">
        <v>208</v>
      </c>
      <c r="B82" s="2" t="s">
        <v>160</v>
      </c>
      <c r="C82" s="2" t="s">
        <v>141</v>
      </c>
      <c r="D82" s="3">
        <v>45658</v>
      </c>
      <c r="E82" s="3">
        <v>45664</v>
      </c>
      <c r="F82" s="2" t="s">
        <v>179</v>
      </c>
      <c r="G82" s="2" t="s">
        <v>58</v>
      </c>
      <c r="H82" s="3">
        <v>32573</v>
      </c>
      <c r="I82" s="2" t="s">
        <v>80</v>
      </c>
      <c r="J82" s="2" t="s">
        <v>76</v>
      </c>
      <c r="K82" s="2" t="s">
        <v>84</v>
      </c>
      <c r="L82" s="2" t="s">
        <v>142</v>
      </c>
      <c r="M82" s="2">
        <v>10</v>
      </c>
      <c r="N82" s="7">
        <v>45</v>
      </c>
      <c r="O82" s="2">
        <v>15</v>
      </c>
      <c r="P82" s="7">
        <v>382.5</v>
      </c>
      <c r="Q82" s="2">
        <v>3</v>
      </c>
      <c r="R82" s="2" t="s">
        <v>41</v>
      </c>
      <c r="S82" s="2" t="s">
        <v>32</v>
      </c>
      <c r="T82" s="2" t="s">
        <v>162</v>
      </c>
      <c r="U82" s="2">
        <v>9723450355</v>
      </c>
      <c r="V82" s="2" t="s">
        <v>53</v>
      </c>
    </row>
    <row r="83" spans="1:22" x14ac:dyDescent="0.3">
      <c r="A83" s="2" t="s">
        <v>209</v>
      </c>
      <c r="B83" s="2" t="s">
        <v>127</v>
      </c>
      <c r="C83" s="2" t="s">
        <v>68</v>
      </c>
      <c r="D83" s="3">
        <v>46137</v>
      </c>
      <c r="E83" s="3">
        <v>46145</v>
      </c>
      <c r="F83" s="2" t="s">
        <v>129</v>
      </c>
      <c r="G83" s="2" t="s">
        <v>58</v>
      </c>
      <c r="H83" s="3">
        <v>30122</v>
      </c>
      <c r="I83" s="2" t="s">
        <v>151</v>
      </c>
      <c r="J83" s="2" t="s">
        <v>152</v>
      </c>
      <c r="K83" s="2" t="s">
        <v>29</v>
      </c>
      <c r="L83" s="2" t="s">
        <v>71</v>
      </c>
      <c r="M83" s="2">
        <v>12</v>
      </c>
      <c r="N83" s="7">
        <v>3500</v>
      </c>
      <c r="O83" s="2">
        <v>5</v>
      </c>
      <c r="P83" s="7">
        <v>39900</v>
      </c>
      <c r="Q83" s="2">
        <v>3</v>
      </c>
      <c r="R83" s="2" t="s">
        <v>41</v>
      </c>
      <c r="S83" s="2" t="s">
        <v>50</v>
      </c>
      <c r="T83" s="2" t="s">
        <v>131</v>
      </c>
      <c r="U83" s="2">
        <v>9886243907</v>
      </c>
      <c r="V83" s="2" t="s">
        <v>52</v>
      </c>
    </row>
    <row r="84" spans="1:22" x14ac:dyDescent="0.3">
      <c r="A84" s="2" t="s">
        <v>210</v>
      </c>
      <c r="B84" s="2" t="s">
        <v>88</v>
      </c>
      <c r="C84" s="2" t="s">
        <v>83</v>
      </c>
      <c r="D84" s="3">
        <v>45919</v>
      </c>
      <c r="E84" s="3">
        <v>45927</v>
      </c>
      <c r="F84" s="2" t="s">
        <v>119</v>
      </c>
      <c r="G84" s="2" t="s">
        <v>58</v>
      </c>
      <c r="H84" s="3">
        <v>37065</v>
      </c>
      <c r="I84" s="2" t="s">
        <v>75</v>
      </c>
      <c r="J84" s="2" t="s">
        <v>76</v>
      </c>
      <c r="K84" s="2" t="s">
        <v>84</v>
      </c>
      <c r="L84" s="2" t="s">
        <v>85</v>
      </c>
      <c r="M84" s="2">
        <v>2</v>
      </c>
      <c r="N84" s="7">
        <v>60</v>
      </c>
      <c r="O84" s="2">
        <v>15</v>
      </c>
      <c r="P84" s="7">
        <v>102</v>
      </c>
      <c r="Q84" s="2">
        <v>1</v>
      </c>
      <c r="R84" s="2" t="s">
        <v>65</v>
      </c>
      <c r="S84" s="2" t="s">
        <v>81</v>
      </c>
      <c r="T84" s="2" t="s">
        <v>90</v>
      </c>
      <c r="U84" s="2">
        <v>9473931904</v>
      </c>
      <c r="V84" s="2" t="s">
        <v>34</v>
      </c>
    </row>
    <row r="85" spans="1:22" x14ac:dyDescent="0.3">
      <c r="A85" s="2" t="s">
        <v>211</v>
      </c>
      <c r="B85" s="2" t="s">
        <v>88</v>
      </c>
      <c r="C85" s="2" t="s">
        <v>56</v>
      </c>
      <c r="D85" s="3">
        <v>45734</v>
      </c>
      <c r="E85" s="3">
        <v>45737</v>
      </c>
      <c r="F85" s="2" t="s">
        <v>119</v>
      </c>
      <c r="G85" s="2" t="s">
        <v>58</v>
      </c>
      <c r="H85" s="3">
        <v>30516</v>
      </c>
      <c r="I85" s="2" t="s">
        <v>27</v>
      </c>
      <c r="J85" s="2" t="s">
        <v>28</v>
      </c>
      <c r="K85" s="2" t="s">
        <v>39</v>
      </c>
      <c r="L85" s="2" t="s">
        <v>59</v>
      </c>
      <c r="M85" s="2">
        <v>18</v>
      </c>
      <c r="N85" s="7">
        <v>1200</v>
      </c>
      <c r="O85" s="2">
        <v>15</v>
      </c>
      <c r="P85" s="7">
        <v>18360</v>
      </c>
      <c r="Q85" s="2">
        <v>3</v>
      </c>
      <c r="R85" s="2" t="s">
        <v>60</v>
      </c>
      <c r="S85" s="2" t="s">
        <v>81</v>
      </c>
      <c r="T85" s="2" t="s">
        <v>90</v>
      </c>
      <c r="U85" s="2">
        <v>9287159610</v>
      </c>
      <c r="V85" s="2" t="s">
        <v>52</v>
      </c>
    </row>
    <row r="86" spans="1:22" x14ac:dyDescent="0.3">
      <c r="A86" s="2" t="s">
        <v>212</v>
      </c>
      <c r="B86" s="2" t="s">
        <v>23</v>
      </c>
      <c r="C86" s="2" t="s">
        <v>36</v>
      </c>
      <c r="D86" s="3">
        <v>45960</v>
      </c>
      <c r="E86" s="3">
        <v>45961</v>
      </c>
      <c r="F86" s="2" t="s">
        <v>25</v>
      </c>
      <c r="G86" s="2" t="s">
        <v>26</v>
      </c>
      <c r="H86" s="3">
        <v>34052</v>
      </c>
      <c r="I86" s="2" t="s">
        <v>75</v>
      </c>
      <c r="J86" s="2" t="s">
        <v>76</v>
      </c>
      <c r="K86" s="2" t="s">
        <v>39</v>
      </c>
      <c r="L86" s="2" t="s">
        <v>40</v>
      </c>
      <c r="M86" s="2">
        <v>18</v>
      </c>
      <c r="N86" s="7">
        <v>12000</v>
      </c>
      <c r="O86" s="2">
        <v>15</v>
      </c>
      <c r="P86" s="7">
        <v>183600</v>
      </c>
      <c r="Q86" s="2">
        <v>2</v>
      </c>
      <c r="R86" s="2" t="s">
        <v>31</v>
      </c>
      <c r="S86" s="2" t="s">
        <v>42</v>
      </c>
      <c r="T86" s="2" t="s">
        <v>43</v>
      </c>
      <c r="U86" s="2">
        <v>9876513858</v>
      </c>
      <c r="V86" s="2" t="s">
        <v>34</v>
      </c>
    </row>
    <row r="87" spans="1:22" x14ac:dyDescent="0.3">
      <c r="A87" s="2" t="s">
        <v>213</v>
      </c>
      <c r="B87" s="2" t="s">
        <v>63</v>
      </c>
      <c r="C87" s="2" t="s">
        <v>128</v>
      </c>
      <c r="D87" s="3">
        <v>45961</v>
      </c>
      <c r="E87" s="3">
        <v>45972</v>
      </c>
      <c r="F87" s="2" t="s">
        <v>111</v>
      </c>
      <c r="G87" s="2" t="s">
        <v>58</v>
      </c>
      <c r="H87" s="3">
        <v>34829</v>
      </c>
      <c r="I87" s="2" t="s">
        <v>92</v>
      </c>
      <c r="J87" s="2" t="s">
        <v>76</v>
      </c>
      <c r="K87" s="2" t="s">
        <v>84</v>
      </c>
      <c r="L87" s="2" t="s">
        <v>130</v>
      </c>
      <c r="M87" s="2">
        <v>7</v>
      </c>
      <c r="N87" s="7">
        <v>20</v>
      </c>
      <c r="O87" s="2">
        <v>0</v>
      </c>
      <c r="P87" s="7">
        <v>140</v>
      </c>
      <c r="Q87" s="2">
        <v>2</v>
      </c>
      <c r="R87" s="2" t="s">
        <v>60</v>
      </c>
      <c r="S87" s="2" t="s">
        <v>32</v>
      </c>
      <c r="T87" s="2" t="s">
        <v>66</v>
      </c>
      <c r="U87" s="2">
        <v>9237400853</v>
      </c>
      <c r="V87" s="2" t="s">
        <v>53</v>
      </c>
    </row>
    <row r="88" spans="1:22" x14ac:dyDescent="0.3">
      <c r="A88" s="2" t="s">
        <v>214</v>
      </c>
      <c r="B88" s="2" t="s">
        <v>137</v>
      </c>
      <c r="C88" s="2" t="s">
        <v>68</v>
      </c>
      <c r="D88" s="3">
        <v>45757</v>
      </c>
      <c r="E88" s="3">
        <v>45765</v>
      </c>
      <c r="F88" s="2" t="s">
        <v>138</v>
      </c>
      <c r="G88" s="2" t="s">
        <v>26</v>
      </c>
      <c r="H88" s="3">
        <v>36937</v>
      </c>
      <c r="I88" s="2" t="s">
        <v>80</v>
      </c>
      <c r="J88" s="2" t="s">
        <v>76</v>
      </c>
      <c r="K88" s="2" t="s">
        <v>29</v>
      </c>
      <c r="L88" s="2" t="s">
        <v>71</v>
      </c>
      <c r="M88" s="2">
        <v>20</v>
      </c>
      <c r="N88" s="7">
        <v>3500</v>
      </c>
      <c r="O88" s="2">
        <v>20</v>
      </c>
      <c r="P88" s="7">
        <v>56000</v>
      </c>
      <c r="Q88" s="2">
        <v>4</v>
      </c>
      <c r="R88" s="2" t="s">
        <v>60</v>
      </c>
      <c r="S88" s="2" t="s">
        <v>81</v>
      </c>
      <c r="T88" s="2" t="s">
        <v>139</v>
      </c>
      <c r="U88" s="2">
        <v>9599597595</v>
      </c>
      <c r="V88" s="2" t="s">
        <v>52</v>
      </c>
    </row>
    <row r="89" spans="1:22" x14ac:dyDescent="0.3">
      <c r="A89" s="2" t="s">
        <v>215</v>
      </c>
      <c r="B89" s="2" t="s">
        <v>73</v>
      </c>
      <c r="C89" s="2" t="s">
        <v>106</v>
      </c>
      <c r="D89" s="3">
        <v>46097</v>
      </c>
      <c r="E89" s="3">
        <v>46107</v>
      </c>
      <c r="F89" s="2" t="s">
        <v>74</v>
      </c>
      <c r="G89" s="2" t="s">
        <v>26</v>
      </c>
      <c r="H89" s="3">
        <v>36386</v>
      </c>
      <c r="I89" s="2" t="s">
        <v>92</v>
      </c>
      <c r="J89" s="2" t="s">
        <v>76</v>
      </c>
      <c r="K89" s="2" t="s">
        <v>29</v>
      </c>
      <c r="L89" s="2" t="s">
        <v>108</v>
      </c>
      <c r="M89" s="2">
        <v>8</v>
      </c>
      <c r="N89" s="7">
        <v>8500</v>
      </c>
      <c r="O89" s="2">
        <v>20</v>
      </c>
      <c r="P89" s="7">
        <v>54400</v>
      </c>
      <c r="Q89" s="2">
        <v>3</v>
      </c>
      <c r="R89" s="2" t="s">
        <v>60</v>
      </c>
      <c r="S89" s="2" t="s">
        <v>81</v>
      </c>
      <c r="T89" s="2" t="s">
        <v>94</v>
      </c>
      <c r="U89" s="2">
        <v>9230007509</v>
      </c>
      <c r="V89" s="2" t="s">
        <v>52</v>
      </c>
    </row>
    <row r="90" spans="1:22" x14ac:dyDescent="0.3">
      <c r="A90" s="2" t="s">
        <v>216</v>
      </c>
      <c r="B90" s="2" t="s">
        <v>160</v>
      </c>
      <c r="C90" s="2" t="s">
        <v>36</v>
      </c>
      <c r="D90" s="3">
        <v>45915</v>
      </c>
      <c r="E90" s="3">
        <v>45924</v>
      </c>
      <c r="F90" s="2" t="s">
        <v>179</v>
      </c>
      <c r="G90" s="2" t="s">
        <v>58</v>
      </c>
      <c r="H90" s="3">
        <v>37335</v>
      </c>
      <c r="I90" s="2" t="s">
        <v>92</v>
      </c>
      <c r="J90" s="2" t="s">
        <v>217</v>
      </c>
      <c r="K90" s="2" t="s">
        <v>39</v>
      </c>
      <c r="L90" s="2" t="s">
        <v>40</v>
      </c>
      <c r="M90" s="2">
        <v>6</v>
      </c>
      <c r="N90" s="7">
        <v>12000</v>
      </c>
      <c r="O90" s="2">
        <v>5</v>
      </c>
      <c r="P90" s="7">
        <v>68400</v>
      </c>
      <c r="Q90" s="2">
        <v>4</v>
      </c>
      <c r="R90" s="2" t="s">
        <v>41</v>
      </c>
      <c r="S90" s="2" t="s">
        <v>32</v>
      </c>
      <c r="T90" s="2" t="s">
        <v>162</v>
      </c>
      <c r="U90" s="2">
        <v>9823428025</v>
      </c>
      <c r="V90" s="2" t="s">
        <v>34</v>
      </c>
    </row>
    <row r="91" spans="1:22" x14ac:dyDescent="0.3">
      <c r="A91" s="2" t="s">
        <v>218</v>
      </c>
      <c r="B91" s="2" t="s">
        <v>23</v>
      </c>
      <c r="C91" s="2" t="s">
        <v>106</v>
      </c>
      <c r="D91" s="3">
        <v>46092</v>
      </c>
      <c r="E91" s="3">
        <v>46100</v>
      </c>
      <c r="F91" s="2" t="s">
        <v>25</v>
      </c>
      <c r="G91" s="2" t="s">
        <v>26</v>
      </c>
      <c r="H91" s="3">
        <v>33768</v>
      </c>
      <c r="I91" s="2" t="s">
        <v>80</v>
      </c>
      <c r="J91" s="2" t="s">
        <v>76</v>
      </c>
      <c r="K91" s="2" t="s">
        <v>29</v>
      </c>
      <c r="L91" s="2" t="s">
        <v>108</v>
      </c>
      <c r="M91" s="2">
        <v>15</v>
      </c>
      <c r="N91" s="7">
        <v>8500</v>
      </c>
      <c r="O91" s="2">
        <v>0</v>
      </c>
      <c r="P91" s="7">
        <v>127500</v>
      </c>
      <c r="Q91" s="2">
        <v>4</v>
      </c>
      <c r="R91" s="2" t="s">
        <v>41</v>
      </c>
      <c r="S91" s="2" t="s">
        <v>32</v>
      </c>
      <c r="T91" s="2" t="s">
        <v>43</v>
      </c>
      <c r="U91" s="2">
        <v>9505048912</v>
      </c>
      <c r="V91" s="2" t="s">
        <v>53</v>
      </c>
    </row>
    <row r="92" spans="1:22" x14ac:dyDescent="0.3">
      <c r="A92" s="2" t="s">
        <v>219</v>
      </c>
      <c r="B92" s="2" t="s">
        <v>45</v>
      </c>
      <c r="C92" s="2" t="s">
        <v>56</v>
      </c>
      <c r="D92" s="3">
        <v>45889</v>
      </c>
      <c r="E92" s="3">
        <v>45892</v>
      </c>
      <c r="F92" s="2" t="s">
        <v>102</v>
      </c>
      <c r="G92" s="2" t="s">
        <v>26</v>
      </c>
      <c r="H92" s="3">
        <v>35234</v>
      </c>
      <c r="I92" s="2" t="s">
        <v>123</v>
      </c>
      <c r="J92" s="2" t="s">
        <v>38</v>
      </c>
      <c r="K92" s="2" t="s">
        <v>39</v>
      </c>
      <c r="L92" s="2" t="s">
        <v>59</v>
      </c>
      <c r="M92" s="2">
        <v>5</v>
      </c>
      <c r="N92" s="7">
        <v>1200</v>
      </c>
      <c r="O92" s="2">
        <v>15</v>
      </c>
      <c r="P92" s="7">
        <v>5100</v>
      </c>
      <c r="Q92" s="2">
        <v>1</v>
      </c>
      <c r="R92" s="2" t="s">
        <v>41</v>
      </c>
      <c r="S92" s="2" t="s">
        <v>32</v>
      </c>
      <c r="T92" s="2" t="s">
        <v>51</v>
      </c>
      <c r="U92" s="2">
        <v>9508068393</v>
      </c>
      <c r="V92" s="2" t="s">
        <v>53</v>
      </c>
    </row>
    <row r="93" spans="1:22" x14ac:dyDescent="0.3">
      <c r="A93" s="2" t="s">
        <v>220</v>
      </c>
      <c r="B93" s="2" t="s">
        <v>45</v>
      </c>
      <c r="C93" s="2" t="s">
        <v>128</v>
      </c>
      <c r="D93" s="3">
        <v>45882</v>
      </c>
      <c r="E93" s="3">
        <v>45883</v>
      </c>
      <c r="F93" s="2" t="s">
        <v>102</v>
      </c>
      <c r="G93" s="2" t="s">
        <v>26</v>
      </c>
      <c r="H93" s="3">
        <v>30263</v>
      </c>
      <c r="I93" s="2" t="s">
        <v>27</v>
      </c>
      <c r="J93" s="2" t="s">
        <v>28</v>
      </c>
      <c r="K93" s="2" t="s">
        <v>84</v>
      </c>
      <c r="L93" s="2" t="s">
        <v>130</v>
      </c>
      <c r="M93" s="2">
        <v>4</v>
      </c>
      <c r="N93" s="7">
        <v>20</v>
      </c>
      <c r="O93" s="2">
        <v>0</v>
      </c>
      <c r="P93" s="7">
        <v>80</v>
      </c>
      <c r="Q93" s="2">
        <v>4</v>
      </c>
      <c r="R93" s="2" t="s">
        <v>41</v>
      </c>
      <c r="S93" s="2" t="s">
        <v>42</v>
      </c>
      <c r="T93" s="2" t="s">
        <v>51</v>
      </c>
      <c r="U93" s="2">
        <v>9785807771</v>
      </c>
      <c r="V93" s="2" t="s">
        <v>34</v>
      </c>
    </row>
    <row r="94" spans="1:22" x14ac:dyDescent="0.3">
      <c r="A94" s="2" t="s">
        <v>221</v>
      </c>
      <c r="B94" s="2" t="s">
        <v>23</v>
      </c>
      <c r="C94" s="2" t="s">
        <v>128</v>
      </c>
      <c r="D94" s="3">
        <v>45732</v>
      </c>
      <c r="E94" s="3">
        <v>45736</v>
      </c>
      <c r="F94" s="2" t="s">
        <v>25</v>
      </c>
      <c r="G94" s="2" t="s">
        <v>26</v>
      </c>
      <c r="H94" s="3">
        <v>30858</v>
      </c>
      <c r="I94" s="2" t="s">
        <v>48</v>
      </c>
      <c r="J94" s="2" t="s">
        <v>28</v>
      </c>
      <c r="K94" s="2" t="s">
        <v>84</v>
      </c>
      <c r="L94" s="2" t="s">
        <v>130</v>
      </c>
      <c r="M94" s="2">
        <v>10</v>
      </c>
      <c r="N94" s="7">
        <v>20</v>
      </c>
      <c r="O94" s="2">
        <v>0</v>
      </c>
      <c r="P94" s="7">
        <v>200</v>
      </c>
      <c r="Q94" s="2">
        <v>3</v>
      </c>
      <c r="R94" s="2" t="s">
        <v>31</v>
      </c>
      <c r="S94" s="2" t="s">
        <v>97</v>
      </c>
      <c r="T94" s="2" t="s">
        <v>43</v>
      </c>
      <c r="U94" s="2">
        <v>9215250979</v>
      </c>
      <c r="V94" s="2" t="s">
        <v>52</v>
      </c>
    </row>
    <row r="95" spans="1:22" x14ac:dyDescent="0.3">
      <c r="A95" s="2" t="s">
        <v>222</v>
      </c>
      <c r="B95" s="2" t="s">
        <v>105</v>
      </c>
      <c r="C95" s="2" t="s">
        <v>24</v>
      </c>
      <c r="D95" s="3">
        <v>45904</v>
      </c>
      <c r="E95" s="3">
        <v>45910</v>
      </c>
      <c r="F95" s="2" t="s">
        <v>170</v>
      </c>
      <c r="G95" s="2" t="s">
        <v>26</v>
      </c>
      <c r="H95" s="3">
        <v>34506</v>
      </c>
      <c r="I95" s="2" t="s">
        <v>37</v>
      </c>
      <c r="J95" s="2" t="s">
        <v>38</v>
      </c>
      <c r="K95" s="2" t="s">
        <v>29</v>
      </c>
      <c r="L95" s="2" t="s">
        <v>30</v>
      </c>
      <c r="M95" s="2">
        <v>18</v>
      </c>
      <c r="N95" s="7">
        <v>2200</v>
      </c>
      <c r="O95" s="2">
        <v>10</v>
      </c>
      <c r="P95" s="7">
        <v>35640</v>
      </c>
      <c r="Q95" s="2">
        <v>3</v>
      </c>
      <c r="R95" s="2" t="s">
        <v>31</v>
      </c>
      <c r="S95" s="2" t="s">
        <v>32</v>
      </c>
      <c r="T95" s="2" t="s">
        <v>109</v>
      </c>
      <c r="U95" s="2">
        <v>9845884906</v>
      </c>
      <c r="V95" s="2" t="s">
        <v>53</v>
      </c>
    </row>
    <row r="96" spans="1:22" x14ac:dyDescent="0.3">
      <c r="A96" s="2" t="s">
        <v>223</v>
      </c>
      <c r="B96" s="2" t="s">
        <v>160</v>
      </c>
      <c r="C96" s="2" t="s">
        <v>68</v>
      </c>
      <c r="D96" s="3">
        <v>45759</v>
      </c>
      <c r="E96" s="3">
        <v>45762</v>
      </c>
      <c r="F96" s="2" t="s">
        <v>179</v>
      </c>
      <c r="G96" s="2" t="s">
        <v>58</v>
      </c>
      <c r="H96" s="3">
        <v>33163</v>
      </c>
      <c r="I96" s="2" t="s">
        <v>37</v>
      </c>
      <c r="J96" s="2" t="s">
        <v>38</v>
      </c>
      <c r="K96" s="2" t="s">
        <v>29</v>
      </c>
      <c r="L96" s="2" t="s">
        <v>71</v>
      </c>
      <c r="M96" s="2">
        <v>7</v>
      </c>
      <c r="N96" s="7">
        <v>3500</v>
      </c>
      <c r="O96" s="2">
        <v>15</v>
      </c>
      <c r="P96" s="7">
        <v>20825</v>
      </c>
      <c r="Q96" s="2">
        <v>3</v>
      </c>
      <c r="R96" s="2" t="s">
        <v>41</v>
      </c>
      <c r="S96" s="2" t="s">
        <v>42</v>
      </c>
      <c r="T96" s="2" t="s">
        <v>162</v>
      </c>
      <c r="U96" s="2">
        <v>9393097397</v>
      </c>
      <c r="V96" s="2" t="s">
        <v>34</v>
      </c>
    </row>
    <row r="97" spans="1:22" x14ac:dyDescent="0.3">
      <c r="A97" s="2" t="s">
        <v>224</v>
      </c>
      <c r="B97" s="2" t="s">
        <v>73</v>
      </c>
      <c r="C97" s="2" t="s">
        <v>106</v>
      </c>
      <c r="D97" s="3">
        <v>46146</v>
      </c>
      <c r="E97" s="3">
        <v>46149</v>
      </c>
      <c r="F97" s="2" t="s">
        <v>74</v>
      </c>
      <c r="G97" s="2" t="s">
        <v>26</v>
      </c>
      <c r="H97" s="3">
        <v>31805</v>
      </c>
      <c r="I97" s="2" t="s">
        <v>151</v>
      </c>
      <c r="J97" s="2" t="s">
        <v>152</v>
      </c>
      <c r="K97" s="2" t="s">
        <v>29</v>
      </c>
      <c r="L97" s="2" t="s">
        <v>108</v>
      </c>
      <c r="M97" s="2">
        <v>19</v>
      </c>
      <c r="N97" s="7">
        <v>8500</v>
      </c>
      <c r="O97" s="2">
        <v>15</v>
      </c>
      <c r="P97" s="7">
        <v>137275</v>
      </c>
      <c r="Q97" s="2">
        <v>4</v>
      </c>
      <c r="R97" s="2" t="s">
        <v>60</v>
      </c>
      <c r="S97" s="2" t="s">
        <v>97</v>
      </c>
      <c r="T97" s="2" t="s">
        <v>94</v>
      </c>
      <c r="U97" s="2">
        <v>9958032109</v>
      </c>
      <c r="V97" s="2" t="s">
        <v>52</v>
      </c>
    </row>
    <row r="98" spans="1:22" x14ac:dyDescent="0.3">
      <c r="A98" s="2" t="s">
        <v>225</v>
      </c>
      <c r="B98" s="2" t="s">
        <v>137</v>
      </c>
      <c r="C98" s="2" t="s">
        <v>36</v>
      </c>
      <c r="D98" s="3">
        <v>46040</v>
      </c>
      <c r="E98" s="3">
        <v>46049</v>
      </c>
      <c r="F98" s="2" t="s">
        <v>138</v>
      </c>
      <c r="G98" s="2" t="s">
        <v>26</v>
      </c>
      <c r="H98" s="3">
        <v>30580</v>
      </c>
      <c r="I98" s="2" t="s">
        <v>92</v>
      </c>
      <c r="J98" s="2" t="s">
        <v>76</v>
      </c>
      <c r="K98" s="2" t="s">
        <v>39</v>
      </c>
      <c r="L98" s="2" t="s">
        <v>40</v>
      </c>
      <c r="M98" s="2">
        <v>13</v>
      </c>
      <c r="N98" s="7">
        <v>12000</v>
      </c>
      <c r="O98" s="2">
        <v>15</v>
      </c>
      <c r="P98" s="7">
        <v>132600</v>
      </c>
      <c r="Q98" s="2">
        <v>4</v>
      </c>
      <c r="R98" s="2" t="s">
        <v>31</v>
      </c>
      <c r="S98" s="2" t="s">
        <v>42</v>
      </c>
      <c r="T98" s="2" t="s">
        <v>139</v>
      </c>
      <c r="U98" s="2">
        <v>9755082957</v>
      </c>
      <c r="V98" s="2" t="s">
        <v>34</v>
      </c>
    </row>
    <row r="99" spans="1:22" x14ac:dyDescent="0.3">
      <c r="A99" s="2" t="s">
        <v>226</v>
      </c>
      <c r="B99" s="2" t="s">
        <v>160</v>
      </c>
      <c r="C99" s="2" t="s">
        <v>128</v>
      </c>
      <c r="D99" s="3">
        <v>46095</v>
      </c>
      <c r="E99" s="3">
        <v>46105</v>
      </c>
      <c r="F99" s="2" t="s">
        <v>179</v>
      </c>
      <c r="G99" s="2" t="s">
        <v>58</v>
      </c>
      <c r="H99" s="3">
        <v>32602</v>
      </c>
      <c r="I99" s="2" t="s">
        <v>80</v>
      </c>
      <c r="J99" s="2" t="s">
        <v>76</v>
      </c>
      <c r="K99" s="2" t="s">
        <v>84</v>
      </c>
      <c r="L99" s="2" t="s">
        <v>130</v>
      </c>
      <c r="M99" s="2">
        <v>7</v>
      </c>
      <c r="N99" s="7">
        <v>20</v>
      </c>
      <c r="O99" s="2">
        <v>0</v>
      </c>
      <c r="P99" s="7">
        <v>140</v>
      </c>
      <c r="Q99" s="2">
        <v>1</v>
      </c>
      <c r="R99" s="2" t="s">
        <v>60</v>
      </c>
      <c r="S99" s="2" t="s">
        <v>97</v>
      </c>
      <c r="T99" s="2" t="s">
        <v>162</v>
      </c>
      <c r="U99" s="2">
        <v>9872235856</v>
      </c>
      <c r="V99" s="2" t="s">
        <v>53</v>
      </c>
    </row>
    <row r="100" spans="1:22" x14ac:dyDescent="0.3">
      <c r="A100" s="2" t="s">
        <v>227</v>
      </c>
      <c r="B100" s="2" t="s">
        <v>105</v>
      </c>
      <c r="C100" s="2" t="s">
        <v>113</v>
      </c>
      <c r="D100" s="3">
        <v>45786</v>
      </c>
      <c r="E100" s="3">
        <v>45788</v>
      </c>
      <c r="F100" s="2" t="s">
        <v>170</v>
      </c>
      <c r="G100" s="2" t="s">
        <v>26</v>
      </c>
      <c r="H100" s="3">
        <v>32045</v>
      </c>
      <c r="I100" s="2" t="s">
        <v>37</v>
      </c>
      <c r="J100" s="2" t="s">
        <v>38</v>
      </c>
      <c r="K100" s="2" t="s">
        <v>39</v>
      </c>
      <c r="L100" s="2" t="s">
        <v>115</v>
      </c>
      <c r="M100" s="2">
        <v>5</v>
      </c>
      <c r="N100" s="7">
        <v>700</v>
      </c>
      <c r="O100" s="2">
        <v>15</v>
      </c>
      <c r="P100" s="7">
        <v>999999</v>
      </c>
      <c r="Q100" s="2">
        <v>4</v>
      </c>
      <c r="R100" s="2" t="s">
        <v>60</v>
      </c>
      <c r="S100" s="2" t="s">
        <v>32</v>
      </c>
      <c r="T100" s="2" t="s">
        <v>109</v>
      </c>
      <c r="U100" s="2">
        <v>9335138816</v>
      </c>
      <c r="V100" s="2" t="s">
        <v>52</v>
      </c>
    </row>
    <row r="101" spans="1:22" x14ac:dyDescent="0.3">
      <c r="A101" s="2" t="s">
        <v>228</v>
      </c>
      <c r="B101" s="2" t="s">
        <v>63</v>
      </c>
      <c r="C101" s="2" t="s">
        <v>141</v>
      </c>
      <c r="D101" s="3">
        <v>46149</v>
      </c>
      <c r="E101" s="3">
        <v>46152</v>
      </c>
      <c r="F101" s="2" t="s">
        <v>111</v>
      </c>
      <c r="G101" s="2" t="s">
        <v>58</v>
      </c>
      <c r="H101" s="3">
        <v>30170</v>
      </c>
      <c r="I101" s="2" t="s">
        <v>48</v>
      </c>
      <c r="J101" s="2" t="s">
        <v>28</v>
      </c>
      <c r="K101" s="2" t="s">
        <v>84</v>
      </c>
      <c r="L101" s="2" t="s">
        <v>142</v>
      </c>
      <c r="M101" s="2">
        <v>9</v>
      </c>
      <c r="N101" s="7">
        <v>45</v>
      </c>
      <c r="O101" s="2">
        <v>5</v>
      </c>
      <c r="P101" s="7">
        <v>384.75</v>
      </c>
      <c r="Q101" s="2">
        <v>3</v>
      </c>
      <c r="R101" s="2" t="s">
        <v>31</v>
      </c>
      <c r="S101" s="2" t="s">
        <v>32</v>
      </c>
      <c r="T101" s="2" t="s">
        <v>66</v>
      </c>
      <c r="U101" s="2">
        <v>9750365609</v>
      </c>
      <c r="V101" s="2" t="s">
        <v>34</v>
      </c>
    </row>
    <row r="102" spans="1:22" x14ac:dyDescent="0.3">
      <c r="A102" s="2" t="s">
        <v>229</v>
      </c>
      <c r="B102" s="2" t="s">
        <v>88</v>
      </c>
      <c r="C102" s="2" t="s">
        <v>83</v>
      </c>
      <c r="D102" s="3">
        <v>45768</v>
      </c>
      <c r="E102" s="3">
        <v>45776</v>
      </c>
      <c r="F102" s="2" t="s">
        <v>119</v>
      </c>
      <c r="G102" s="2" t="s">
        <v>58</v>
      </c>
      <c r="H102" s="3">
        <v>31610</v>
      </c>
      <c r="I102" s="2" t="s">
        <v>151</v>
      </c>
      <c r="J102" s="2" t="s">
        <v>152</v>
      </c>
      <c r="K102" s="2" t="s">
        <v>84</v>
      </c>
      <c r="L102" s="2" t="s">
        <v>85</v>
      </c>
      <c r="M102" s="2">
        <v>19</v>
      </c>
      <c r="N102" s="7">
        <v>60</v>
      </c>
      <c r="O102" s="2">
        <v>10</v>
      </c>
      <c r="P102" s="7">
        <v>1026</v>
      </c>
      <c r="Q102" s="2">
        <v>5</v>
      </c>
      <c r="R102" s="2" t="s">
        <v>41</v>
      </c>
      <c r="S102" s="2" t="s">
        <v>81</v>
      </c>
      <c r="T102" s="2" t="s">
        <v>90</v>
      </c>
      <c r="U102" s="2">
        <v>9736812737</v>
      </c>
      <c r="V102" s="2" t="s">
        <v>34</v>
      </c>
    </row>
    <row r="103" spans="1:22" x14ac:dyDescent="0.3">
      <c r="A103" s="2" t="s">
        <v>230</v>
      </c>
      <c r="B103" s="2" t="s">
        <v>160</v>
      </c>
      <c r="C103" s="2" t="s">
        <v>113</v>
      </c>
      <c r="D103" s="3">
        <v>46002</v>
      </c>
      <c r="E103" s="3">
        <v>46011</v>
      </c>
      <c r="F103" s="2" t="s">
        <v>179</v>
      </c>
      <c r="G103" s="2" t="s">
        <v>58</v>
      </c>
      <c r="H103" s="3">
        <v>31873</v>
      </c>
      <c r="I103" s="2" t="s">
        <v>92</v>
      </c>
      <c r="J103" s="2" t="s">
        <v>76</v>
      </c>
      <c r="K103" s="2" t="s">
        <v>39</v>
      </c>
      <c r="L103" s="2" t="s">
        <v>115</v>
      </c>
      <c r="M103" s="2">
        <v>4</v>
      </c>
      <c r="N103" s="7">
        <v>700</v>
      </c>
      <c r="O103" s="2">
        <v>5</v>
      </c>
      <c r="P103" s="7">
        <v>2660</v>
      </c>
      <c r="Q103" s="2">
        <v>3</v>
      </c>
      <c r="R103" s="2" t="s">
        <v>41</v>
      </c>
      <c r="S103" s="2" t="s">
        <v>50</v>
      </c>
      <c r="T103" s="2" t="s">
        <v>162</v>
      </c>
      <c r="U103" s="2">
        <v>9271420931</v>
      </c>
      <c r="V103" s="2" t="s">
        <v>34</v>
      </c>
    </row>
    <row r="104" spans="1:22" x14ac:dyDescent="0.3">
      <c r="A104" s="2" t="s">
        <v>231</v>
      </c>
      <c r="B104" s="2" t="s">
        <v>160</v>
      </c>
      <c r="C104" s="2" t="s">
        <v>68</v>
      </c>
      <c r="D104" s="3">
        <v>46149</v>
      </c>
      <c r="E104" s="3">
        <v>46157</v>
      </c>
      <c r="F104" s="2" t="s">
        <v>179</v>
      </c>
      <c r="G104" s="2" t="s">
        <v>58</v>
      </c>
      <c r="H104" s="3">
        <v>38042</v>
      </c>
      <c r="I104" s="2" t="s">
        <v>80</v>
      </c>
      <c r="J104" s="2" t="s">
        <v>76</v>
      </c>
      <c r="K104" s="2" t="s">
        <v>29</v>
      </c>
      <c r="L104" s="2" t="s">
        <v>71</v>
      </c>
      <c r="M104" s="2">
        <v>16</v>
      </c>
      <c r="N104" s="7">
        <v>3500</v>
      </c>
      <c r="O104" s="2">
        <v>0</v>
      </c>
      <c r="P104" s="7">
        <v>56000</v>
      </c>
      <c r="Q104" s="2">
        <v>2</v>
      </c>
      <c r="R104" s="2" t="s">
        <v>60</v>
      </c>
      <c r="S104" s="2" t="s">
        <v>42</v>
      </c>
      <c r="T104" s="2" t="s">
        <v>162</v>
      </c>
      <c r="U104" s="2">
        <v>9781411370</v>
      </c>
      <c r="V104" s="2" t="s">
        <v>34</v>
      </c>
    </row>
    <row r="105" spans="1:22" x14ac:dyDescent="0.3">
      <c r="A105" s="2" t="s">
        <v>232</v>
      </c>
      <c r="B105" s="2" t="s">
        <v>137</v>
      </c>
      <c r="C105" s="2" t="s">
        <v>141</v>
      </c>
      <c r="D105" s="3">
        <v>45670</v>
      </c>
      <c r="E105" s="3">
        <v>45677</v>
      </c>
      <c r="F105" s="2" t="s">
        <v>138</v>
      </c>
      <c r="G105" s="2" t="s">
        <v>26</v>
      </c>
      <c r="H105" s="3">
        <v>37005</v>
      </c>
      <c r="I105" s="2" t="s">
        <v>48</v>
      </c>
      <c r="J105" s="2" t="s">
        <v>28</v>
      </c>
      <c r="K105" s="2" t="s">
        <v>84</v>
      </c>
      <c r="L105" s="2" t="s">
        <v>142</v>
      </c>
      <c r="M105" s="2">
        <v>5</v>
      </c>
      <c r="N105" s="7">
        <v>45</v>
      </c>
      <c r="O105" s="2">
        <v>20</v>
      </c>
      <c r="P105" s="7">
        <v>180</v>
      </c>
      <c r="Q105" s="2">
        <v>3</v>
      </c>
      <c r="R105" s="2" t="s">
        <v>60</v>
      </c>
      <c r="S105" s="2" t="s">
        <v>32</v>
      </c>
      <c r="T105" s="2" t="s">
        <v>139</v>
      </c>
      <c r="U105" s="2">
        <v>9584152818</v>
      </c>
      <c r="V105" s="2" t="s">
        <v>34</v>
      </c>
    </row>
    <row r="106" spans="1:22" x14ac:dyDescent="0.3">
      <c r="A106" s="2" t="s">
        <v>233</v>
      </c>
      <c r="B106" s="2" t="s">
        <v>63</v>
      </c>
      <c r="C106" s="2" t="s">
        <v>128</v>
      </c>
      <c r="D106" s="3">
        <v>45733</v>
      </c>
      <c r="E106" s="3">
        <v>45734</v>
      </c>
      <c r="F106" s="2" t="s">
        <v>111</v>
      </c>
      <c r="G106" s="2" t="s">
        <v>58</v>
      </c>
      <c r="H106" s="3">
        <v>35247</v>
      </c>
      <c r="I106" s="2" t="s">
        <v>75</v>
      </c>
      <c r="J106" s="2" t="s">
        <v>76</v>
      </c>
      <c r="K106" s="2" t="s">
        <v>84</v>
      </c>
      <c r="L106" s="2" t="s">
        <v>130</v>
      </c>
      <c r="M106" s="2">
        <v>9</v>
      </c>
      <c r="N106" s="7">
        <v>20</v>
      </c>
      <c r="O106" s="2">
        <v>10</v>
      </c>
      <c r="P106" s="7">
        <v>162</v>
      </c>
      <c r="Q106" s="2">
        <v>4</v>
      </c>
      <c r="R106" s="2" t="s">
        <v>60</v>
      </c>
      <c r="S106" s="2" t="s">
        <v>32</v>
      </c>
      <c r="T106" s="2" t="s">
        <v>66</v>
      </c>
      <c r="U106" s="2">
        <v>9507986836</v>
      </c>
      <c r="V106" s="2" t="s">
        <v>52</v>
      </c>
    </row>
    <row r="107" spans="1:22" x14ac:dyDescent="0.3">
      <c r="A107" s="2" t="s">
        <v>234</v>
      </c>
      <c r="B107" s="2" t="s">
        <v>45</v>
      </c>
      <c r="C107" s="2" t="s">
        <v>56</v>
      </c>
      <c r="D107" s="3">
        <v>45713</v>
      </c>
      <c r="E107" s="3">
        <v>45717</v>
      </c>
      <c r="F107" s="2" t="s">
        <v>102</v>
      </c>
      <c r="G107" s="2" t="s">
        <v>26</v>
      </c>
      <c r="H107" s="3">
        <v>28892</v>
      </c>
      <c r="I107" s="2" t="s">
        <v>37</v>
      </c>
      <c r="J107" s="2" t="s">
        <v>38</v>
      </c>
      <c r="K107" s="2" t="s">
        <v>39</v>
      </c>
      <c r="L107" s="2" t="s">
        <v>59</v>
      </c>
      <c r="M107" s="2">
        <v>9</v>
      </c>
      <c r="N107" s="7">
        <v>1200</v>
      </c>
      <c r="O107" s="2">
        <v>5</v>
      </c>
      <c r="P107" s="7">
        <v>10260</v>
      </c>
      <c r="Q107" s="2">
        <v>3</v>
      </c>
      <c r="R107" s="2" t="s">
        <v>65</v>
      </c>
      <c r="S107" s="2" t="s">
        <v>32</v>
      </c>
      <c r="T107" s="2" t="s">
        <v>51</v>
      </c>
      <c r="U107" s="2">
        <v>9518249687</v>
      </c>
      <c r="V107" s="2" t="s">
        <v>52</v>
      </c>
    </row>
    <row r="108" spans="1:22" x14ac:dyDescent="0.3">
      <c r="A108" s="2" t="s">
        <v>235</v>
      </c>
      <c r="B108" s="2" t="s">
        <v>73</v>
      </c>
      <c r="C108" s="2" t="s">
        <v>68</v>
      </c>
      <c r="D108" s="3">
        <v>45714</v>
      </c>
      <c r="E108" s="3">
        <v>45715</v>
      </c>
      <c r="F108" s="2" t="s">
        <v>74</v>
      </c>
      <c r="G108" s="2" t="s">
        <v>26</v>
      </c>
      <c r="H108" s="3">
        <v>31393</v>
      </c>
      <c r="I108" s="2" t="s">
        <v>37</v>
      </c>
      <c r="J108" s="2" t="s">
        <v>38</v>
      </c>
      <c r="K108" s="2" t="s">
        <v>29</v>
      </c>
      <c r="L108" s="2" t="s">
        <v>71</v>
      </c>
      <c r="M108" s="2">
        <v>3</v>
      </c>
      <c r="N108" s="7">
        <v>3500</v>
      </c>
      <c r="O108" s="2">
        <v>10</v>
      </c>
      <c r="P108" s="7">
        <v>9450</v>
      </c>
      <c r="Q108" s="2">
        <v>2</v>
      </c>
      <c r="R108" s="2" t="s">
        <v>60</v>
      </c>
      <c r="S108" s="2" t="s">
        <v>97</v>
      </c>
      <c r="T108" s="2" t="s">
        <v>94</v>
      </c>
      <c r="U108" s="2">
        <v>9179328207</v>
      </c>
      <c r="V108" s="2" t="s">
        <v>53</v>
      </c>
    </row>
    <row r="109" spans="1:22" x14ac:dyDescent="0.3">
      <c r="A109" s="2" t="s">
        <v>236</v>
      </c>
      <c r="B109" s="2" t="s">
        <v>127</v>
      </c>
      <c r="C109" s="2" t="s">
        <v>56</v>
      </c>
      <c r="D109" s="3">
        <v>46094</v>
      </c>
      <c r="E109" s="3">
        <v>46099</v>
      </c>
      <c r="F109" s="2" t="s">
        <v>129</v>
      </c>
      <c r="G109" s="2" t="s">
        <v>58</v>
      </c>
      <c r="H109" s="3">
        <v>33631</v>
      </c>
      <c r="I109" s="2" t="s">
        <v>75</v>
      </c>
      <c r="J109" s="2" t="s">
        <v>76</v>
      </c>
      <c r="K109" s="2" t="s">
        <v>39</v>
      </c>
      <c r="L109" s="2" t="s">
        <v>59</v>
      </c>
      <c r="M109" s="2">
        <v>6</v>
      </c>
      <c r="N109" s="7">
        <v>1200</v>
      </c>
      <c r="O109" s="2">
        <v>15</v>
      </c>
      <c r="P109" s="7">
        <v>6120</v>
      </c>
      <c r="Q109" s="2">
        <v>4</v>
      </c>
      <c r="R109" s="2" t="s">
        <v>65</v>
      </c>
      <c r="S109" s="2" t="s">
        <v>32</v>
      </c>
      <c r="T109" s="2" t="s">
        <v>131</v>
      </c>
      <c r="U109" s="2">
        <v>9778490728</v>
      </c>
      <c r="V109" s="2" t="s">
        <v>53</v>
      </c>
    </row>
    <row r="110" spans="1:22" x14ac:dyDescent="0.3">
      <c r="A110" s="2" t="s">
        <v>237</v>
      </c>
      <c r="B110" s="2" t="s">
        <v>63</v>
      </c>
      <c r="C110" s="2" t="s">
        <v>56</v>
      </c>
      <c r="D110" s="3">
        <v>45848</v>
      </c>
      <c r="E110" s="3">
        <v>45850</v>
      </c>
      <c r="F110" s="2" t="s">
        <v>111</v>
      </c>
      <c r="G110" s="2" t="s">
        <v>58</v>
      </c>
      <c r="H110" s="3">
        <v>34155</v>
      </c>
      <c r="I110" s="2" t="s">
        <v>123</v>
      </c>
      <c r="J110" s="2" t="s">
        <v>38</v>
      </c>
      <c r="K110" s="2" t="s">
        <v>39</v>
      </c>
      <c r="L110" s="2" t="s">
        <v>59</v>
      </c>
      <c r="M110" s="2">
        <v>17</v>
      </c>
      <c r="N110" s="7">
        <v>1200</v>
      </c>
      <c r="O110" s="2">
        <v>15</v>
      </c>
      <c r="P110" s="7">
        <v>17340</v>
      </c>
      <c r="Q110" s="2">
        <v>1</v>
      </c>
      <c r="R110" s="2" t="s">
        <v>31</v>
      </c>
      <c r="S110" s="2" t="s">
        <v>50</v>
      </c>
      <c r="T110" s="2" t="s">
        <v>66</v>
      </c>
      <c r="U110" s="2">
        <v>9223058722</v>
      </c>
      <c r="V110" s="2" t="s">
        <v>34</v>
      </c>
    </row>
    <row r="111" spans="1:22" x14ac:dyDescent="0.3">
      <c r="A111" s="2" t="s">
        <v>238</v>
      </c>
      <c r="B111" s="2" t="s">
        <v>127</v>
      </c>
      <c r="C111" s="2" t="s">
        <v>106</v>
      </c>
      <c r="D111" s="3">
        <v>45979</v>
      </c>
      <c r="E111" s="3">
        <v>45987</v>
      </c>
      <c r="F111" s="2" t="s">
        <v>129</v>
      </c>
      <c r="G111" s="2" t="s">
        <v>58</v>
      </c>
      <c r="H111" s="3">
        <v>28381</v>
      </c>
      <c r="I111" s="2" t="s">
        <v>48</v>
      </c>
      <c r="J111" s="2" t="s">
        <v>28</v>
      </c>
      <c r="K111" s="2" t="s">
        <v>29</v>
      </c>
      <c r="L111" s="2" t="s">
        <v>108</v>
      </c>
      <c r="M111" s="2">
        <v>15</v>
      </c>
      <c r="N111" s="7">
        <v>8500</v>
      </c>
      <c r="O111" s="2">
        <v>0</v>
      </c>
      <c r="P111" s="7">
        <v>127500</v>
      </c>
      <c r="Q111" s="2">
        <v>3</v>
      </c>
      <c r="R111" s="2" t="s">
        <v>31</v>
      </c>
      <c r="S111" s="2" t="s">
        <v>81</v>
      </c>
      <c r="T111" s="2" t="s">
        <v>131</v>
      </c>
      <c r="U111" s="2">
        <v>9999889465</v>
      </c>
      <c r="V111" s="2" t="s">
        <v>52</v>
      </c>
    </row>
    <row r="112" spans="1:22" x14ac:dyDescent="0.3">
      <c r="A112" s="2" t="s">
        <v>239</v>
      </c>
      <c r="B112" s="2" t="s">
        <v>88</v>
      </c>
      <c r="C112" s="2" t="s">
        <v>56</v>
      </c>
      <c r="D112" s="3">
        <v>45760</v>
      </c>
      <c r="E112" s="3">
        <v>45766</v>
      </c>
      <c r="F112" s="2" t="s">
        <v>119</v>
      </c>
      <c r="G112" s="2" t="s">
        <v>58</v>
      </c>
      <c r="H112" s="3">
        <v>31331</v>
      </c>
      <c r="I112" s="2" t="s">
        <v>27</v>
      </c>
      <c r="J112" s="2" t="s">
        <v>28</v>
      </c>
      <c r="K112" s="2" t="s">
        <v>39</v>
      </c>
      <c r="L112" s="2" t="s">
        <v>59</v>
      </c>
      <c r="M112" s="2">
        <v>1</v>
      </c>
      <c r="N112" s="7">
        <v>1200</v>
      </c>
      <c r="O112" s="2">
        <v>20</v>
      </c>
      <c r="P112" s="7">
        <v>960</v>
      </c>
      <c r="Q112" s="2">
        <v>1</v>
      </c>
      <c r="R112" s="2" t="s">
        <v>65</v>
      </c>
      <c r="S112" s="2" t="s">
        <v>81</v>
      </c>
      <c r="T112" s="2" t="s">
        <v>90</v>
      </c>
      <c r="U112" s="2">
        <v>9489687402</v>
      </c>
      <c r="V112" s="2" t="s">
        <v>52</v>
      </c>
    </row>
    <row r="113" spans="1:22" x14ac:dyDescent="0.3">
      <c r="A113" s="2" t="s">
        <v>240</v>
      </c>
      <c r="B113" s="2" t="s">
        <v>88</v>
      </c>
      <c r="C113" s="2" t="s">
        <v>106</v>
      </c>
      <c r="D113" s="3">
        <v>45756</v>
      </c>
      <c r="E113" s="3">
        <v>45765</v>
      </c>
      <c r="F113" s="2" t="s">
        <v>119</v>
      </c>
      <c r="G113" s="2" t="s">
        <v>58</v>
      </c>
      <c r="H113" s="3">
        <v>37166</v>
      </c>
      <c r="I113" s="2" t="s">
        <v>151</v>
      </c>
      <c r="J113" s="2" t="s">
        <v>152</v>
      </c>
      <c r="K113" s="2" t="s">
        <v>29</v>
      </c>
      <c r="L113" s="2" t="s">
        <v>108</v>
      </c>
      <c r="M113" s="2">
        <v>5</v>
      </c>
      <c r="N113" s="7">
        <v>8500</v>
      </c>
      <c r="O113" s="2">
        <v>10</v>
      </c>
      <c r="P113" s="7">
        <v>38250</v>
      </c>
      <c r="Q113" s="2">
        <v>1</v>
      </c>
      <c r="R113" s="2" t="s">
        <v>60</v>
      </c>
      <c r="S113" s="2" t="s">
        <v>50</v>
      </c>
      <c r="T113" s="2" t="s">
        <v>90</v>
      </c>
      <c r="U113" s="2">
        <v>9236963301</v>
      </c>
      <c r="V113" s="2" t="s">
        <v>34</v>
      </c>
    </row>
    <row r="114" spans="1:22" x14ac:dyDescent="0.3">
      <c r="A114" s="2" t="s">
        <v>241</v>
      </c>
      <c r="B114" s="2" t="s">
        <v>45</v>
      </c>
      <c r="C114" s="2" t="s">
        <v>141</v>
      </c>
      <c r="D114" s="3">
        <v>46115</v>
      </c>
      <c r="E114" s="3">
        <v>46122</v>
      </c>
      <c r="F114" s="2" t="s">
        <v>102</v>
      </c>
      <c r="G114" s="2" t="s">
        <v>26</v>
      </c>
      <c r="H114" s="3">
        <v>31510</v>
      </c>
      <c r="I114" s="2" t="s">
        <v>27</v>
      </c>
      <c r="J114" s="2" t="s">
        <v>28</v>
      </c>
      <c r="K114" s="2" t="s">
        <v>84</v>
      </c>
      <c r="L114" s="2" t="s">
        <v>142</v>
      </c>
      <c r="M114" s="2">
        <v>12</v>
      </c>
      <c r="N114" s="7">
        <v>45</v>
      </c>
      <c r="O114" s="2">
        <v>5</v>
      </c>
      <c r="P114" s="7">
        <v>513</v>
      </c>
      <c r="Q114" s="2">
        <v>2</v>
      </c>
      <c r="R114" s="2" t="s">
        <v>41</v>
      </c>
      <c r="S114" s="2" t="s">
        <v>32</v>
      </c>
      <c r="T114" s="2" t="s">
        <v>51</v>
      </c>
      <c r="U114" s="2">
        <v>9653594592</v>
      </c>
      <c r="V114" s="2" t="s">
        <v>53</v>
      </c>
    </row>
    <row r="115" spans="1:22" x14ac:dyDescent="0.3">
      <c r="A115" s="2" t="s">
        <v>242</v>
      </c>
      <c r="B115" s="2" t="s">
        <v>127</v>
      </c>
      <c r="C115" s="2" t="s">
        <v>83</v>
      </c>
      <c r="D115" s="3">
        <v>45953</v>
      </c>
      <c r="E115" s="3">
        <v>45958</v>
      </c>
      <c r="F115" s="2" t="s">
        <v>129</v>
      </c>
      <c r="G115" s="2" t="s">
        <v>58</v>
      </c>
      <c r="H115" s="3">
        <v>33075</v>
      </c>
      <c r="I115" s="2" t="s">
        <v>80</v>
      </c>
      <c r="J115" s="2" t="s">
        <v>76</v>
      </c>
      <c r="K115" s="2" t="s">
        <v>84</v>
      </c>
      <c r="L115" s="2" t="s">
        <v>85</v>
      </c>
      <c r="M115" s="2">
        <v>5</v>
      </c>
      <c r="N115" s="7">
        <v>60</v>
      </c>
      <c r="O115" s="2">
        <v>5</v>
      </c>
      <c r="P115" s="7">
        <v>285</v>
      </c>
      <c r="Q115" s="2">
        <v>2</v>
      </c>
      <c r="R115" s="2" t="s">
        <v>31</v>
      </c>
      <c r="S115" s="2" t="s">
        <v>50</v>
      </c>
      <c r="T115" s="2" t="s">
        <v>131</v>
      </c>
      <c r="U115" s="2">
        <v>9781970426</v>
      </c>
      <c r="V115" s="2" t="s">
        <v>34</v>
      </c>
    </row>
    <row r="116" spans="1:22" x14ac:dyDescent="0.3">
      <c r="A116" s="2" t="s">
        <v>243</v>
      </c>
      <c r="B116" s="2" t="s">
        <v>45</v>
      </c>
      <c r="C116" s="2" t="s">
        <v>113</v>
      </c>
      <c r="D116" s="3">
        <v>45750</v>
      </c>
      <c r="E116" s="3">
        <v>45761</v>
      </c>
      <c r="F116" s="2" t="s">
        <v>102</v>
      </c>
      <c r="G116" s="2" t="s">
        <v>26</v>
      </c>
      <c r="H116" s="3">
        <v>34435</v>
      </c>
      <c r="I116" s="2" t="s">
        <v>151</v>
      </c>
      <c r="J116" s="2" t="s">
        <v>152</v>
      </c>
      <c r="K116" s="2" t="s">
        <v>39</v>
      </c>
      <c r="L116" s="2" t="s">
        <v>115</v>
      </c>
      <c r="M116" s="2">
        <v>3</v>
      </c>
      <c r="N116" s="7">
        <v>700</v>
      </c>
      <c r="O116" s="2">
        <v>0</v>
      </c>
      <c r="P116" s="7">
        <v>2100</v>
      </c>
      <c r="Q116" s="2">
        <v>4</v>
      </c>
      <c r="R116" s="2" t="s">
        <v>60</v>
      </c>
      <c r="S116" s="2" t="s">
        <v>50</v>
      </c>
      <c r="T116" s="2" t="s">
        <v>51</v>
      </c>
      <c r="U116" s="2">
        <v>9862165194</v>
      </c>
      <c r="V116" s="2" t="s">
        <v>34</v>
      </c>
    </row>
    <row r="117" spans="1:22" x14ac:dyDescent="0.3">
      <c r="A117" s="2" t="s">
        <v>244</v>
      </c>
      <c r="B117" s="2" t="s">
        <v>105</v>
      </c>
      <c r="C117" s="2" t="s">
        <v>128</v>
      </c>
      <c r="D117" s="3">
        <v>45772</v>
      </c>
      <c r="E117" s="3">
        <v>45776</v>
      </c>
      <c r="F117" s="2" t="s">
        <v>170</v>
      </c>
      <c r="G117" s="2" t="s">
        <v>26</v>
      </c>
      <c r="H117" s="3">
        <v>33728</v>
      </c>
      <c r="I117" s="2" t="s">
        <v>37</v>
      </c>
      <c r="J117" s="2" t="s">
        <v>38</v>
      </c>
      <c r="K117" s="2" t="s">
        <v>84</v>
      </c>
      <c r="L117" s="2" t="s">
        <v>130</v>
      </c>
      <c r="M117" s="2">
        <v>6</v>
      </c>
      <c r="N117" s="7">
        <v>20</v>
      </c>
      <c r="O117" s="2">
        <v>15</v>
      </c>
      <c r="P117" s="7">
        <v>102</v>
      </c>
      <c r="Q117" s="2">
        <v>5</v>
      </c>
      <c r="R117" s="2" t="s">
        <v>60</v>
      </c>
      <c r="S117" s="2" t="s">
        <v>97</v>
      </c>
      <c r="T117" s="2" t="s">
        <v>109</v>
      </c>
      <c r="U117" s="2">
        <v>9661280388</v>
      </c>
      <c r="V117" s="2" t="s">
        <v>34</v>
      </c>
    </row>
    <row r="118" spans="1:22" x14ac:dyDescent="0.3">
      <c r="A118" s="2" t="s">
        <v>245</v>
      </c>
      <c r="B118" s="2" t="s">
        <v>73</v>
      </c>
      <c r="C118" s="2" t="s">
        <v>113</v>
      </c>
      <c r="D118" s="3">
        <v>45893</v>
      </c>
      <c r="E118" s="3">
        <v>45900</v>
      </c>
      <c r="F118" s="2" t="s">
        <v>74</v>
      </c>
      <c r="G118" s="2" t="s">
        <v>26</v>
      </c>
      <c r="H118" s="3">
        <v>29354</v>
      </c>
      <c r="I118" s="2" t="s">
        <v>48</v>
      </c>
      <c r="J118" s="2" t="s">
        <v>28</v>
      </c>
      <c r="K118" s="2" t="s">
        <v>39</v>
      </c>
      <c r="L118" s="2" t="s">
        <v>115</v>
      </c>
      <c r="M118" s="2">
        <v>2</v>
      </c>
      <c r="N118" s="7">
        <v>700</v>
      </c>
      <c r="O118" s="2">
        <v>15</v>
      </c>
      <c r="P118" s="7">
        <v>1190</v>
      </c>
      <c r="Q118" s="2">
        <v>4</v>
      </c>
      <c r="R118" s="2" t="s">
        <v>31</v>
      </c>
      <c r="S118" s="2" t="s">
        <v>97</v>
      </c>
      <c r="T118" s="2" t="s">
        <v>94</v>
      </c>
      <c r="U118" s="2">
        <v>9896985355</v>
      </c>
      <c r="V118" s="2" t="s">
        <v>52</v>
      </c>
    </row>
    <row r="119" spans="1:22" x14ac:dyDescent="0.3">
      <c r="A119" s="2" t="s">
        <v>246</v>
      </c>
      <c r="B119" s="2" t="s">
        <v>160</v>
      </c>
      <c r="C119" s="2" t="s">
        <v>141</v>
      </c>
      <c r="D119" s="3">
        <v>45808</v>
      </c>
      <c r="E119" s="3">
        <v>45819</v>
      </c>
      <c r="F119" s="2" t="s">
        <v>179</v>
      </c>
      <c r="G119" s="2" t="s">
        <v>58</v>
      </c>
      <c r="H119" s="3">
        <v>34949</v>
      </c>
      <c r="I119" s="2" t="s">
        <v>80</v>
      </c>
      <c r="J119" s="2" t="s">
        <v>76</v>
      </c>
      <c r="K119" s="2" t="s">
        <v>84</v>
      </c>
      <c r="L119" s="2" t="s">
        <v>142</v>
      </c>
      <c r="M119" s="2">
        <v>16</v>
      </c>
      <c r="N119" s="7">
        <v>45</v>
      </c>
      <c r="O119" s="2">
        <v>0</v>
      </c>
      <c r="P119" s="7">
        <v>720</v>
      </c>
      <c r="Q119" s="2">
        <v>1</v>
      </c>
      <c r="R119" s="2" t="s">
        <v>41</v>
      </c>
      <c r="S119" s="2" t="s">
        <v>50</v>
      </c>
      <c r="T119" s="2" t="s">
        <v>162</v>
      </c>
      <c r="U119" s="2">
        <v>9807154421</v>
      </c>
      <c r="V119" s="2" t="s">
        <v>34</v>
      </c>
    </row>
    <row r="120" spans="1:22" x14ac:dyDescent="0.3">
      <c r="A120" s="2" t="s">
        <v>247</v>
      </c>
      <c r="B120" s="2" t="s">
        <v>55</v>
      </c>
      <c r="C120" s="2" t="s">
        <v>56</v>
      </c>
      <c r="D120" s="3">
        <v>45807</v>
      </c>
      <c r="E120" s="3">
        <v>45810</v>
      </c>
      <c r="F120" s="2" t="s">
        <v>125</v>
      </c>
      <c r="G120" s="2" t="s">
        <v>58</v>
      </c>
      <c r="H120" s="3">
        <v>32210</v>
      </c>
      <c r="I120" s="2" t="s">
        <v>92</v>
      </c>
      <c r="J120" s="2" t="s">
        <v>76</v>
      </c>
      <c r="K120" s="2" t="s">
        <v>39</v>
      </c>
      <c r="L120" s="2" t="s">
        <v>59</v>
      </c>
      <c r="M120" s="2" t="s">
        <v>248</v>
      </c>
      <c r="N120" s="7">
        <v>1200</v>
      </c>
      <c r="O120" s="2">
        <v>15</v>
      </c>
      <c r="P120" s="7">
        <v>7140</v>
      </c>
      <c r="Q120" s="2">
        <v>4</v>
      </c>
      <c r="R120" s="2" t="s">
        <v>65</v>
      </c>
      <c r="S120" s="2" t="s">
        <v>97</v>
      </c>
      <c r="T120" s="2" t="s">
        <v>61</v>
      </c>
      <c r="U120" s="2">
        <v>9919834000</v>
      </c>
      <c r="V120" s="2" t="s">
        <v>52</v>
      </c>
    </row>
    <row r="121" spans="1:22" x14ac:dyDescent="0.3">
      <c r="A121" s="2" t="s">
        <v>249</v>
      </c>
      <c r="B121" s="2" t="s">
        <v>73</v>
      </c>
      <c r="C121" s="2" t="s">
        <v>36</v>
      </c>
      <c r="D121" s="3">
        <v>45888</v>
      </c>
      <c r="E121" s="3">
        <v>45899</v>
      </c>
      <c r="F121" s="2" t="s">
        <v>74</v>
      </c>
      <c r="G121" s="2" t="s">
        <v>26</v>
      </c>
      <c r="H121" s="3">
        <v>32696</v>
      </c>
      <c r="I121" s="2" t="s">
        <v>123</v>
      </c>
      <c r="J121" s="2" t="s">
        <v>38</v>
      </c>
      <c r="K121" s="2" t="s">
        <v>39</v>
      </c>
      <c r="L121" s="2" t="s">
        <v>40</v>
      </c>
      <c r="M121" s="2">
        <v>14</v>
      </c>
      <c r="N121" s="7">
        <v>12000</v>
      </c>
      <c r="O121" s="2">
        <v>15</v>
      </c>
      <c r="P121" s="7">
        <v>142800</v>
      </c>
      <c r="Q121" s="2">
        <v>2</v>
      </c>
      <c r="R121" s="2" t="s">
        <v>41</v>
      </c>
      <c r="S121" s="2" t="s">
        <v>50</v>
      </c>
      <c r="T121" s="2" t="s">
        <v>94</v>
      </c>
      <c r="U121" s="2">
        <v>9739798818</v>
      </c>
      <c r="V121" s="2" t="s">
        <v>52</v>
      </c>
    </row>
    <row r="122" spans="1:22" x14ac:dyDescent="0.3">
      <c r="A122" s="2" t="s">
        <v>250</v>
      </c>
      <c r="B122" s="2" t="s">
        <v>88</v>
      </c>
      <c r="C122" s="2" t="s">
        <v>106</v>
      </c>
      <c r="D122" s="3">
        <v>46005</v>
      </c>
      <c r="E122" s="3">
        <v>46007</v>
      </c>
      <c r="F122" s="2" t="s">
        <v>119</v>
      </c>
      <c r="G122" s="2" t="s">
        <v>58</v>
      </c>
      <c r="H122" s="3">
        <v>34284</v>
      </c>
      <c r="I122" s="2" t="s">
        <v>80</v>
      </c>
      <c r="J122" s="2" t="s">
        <v>76</v>
      </c>
      <c r="K122" s="2" t="s">
        <v>29</v>
      </c>
      <c r="L122" s="2" t="s">
        <v>108</v>
      </c>
      <c r="M122" s="2">
        <v>8</v>
      </c>
      <c r="N122" s="7">
        <v>8500</v>
      </c>
      <c r="O122" s="2">
        <v>20</v>
      </c>
      <c r="P122" s="7">
        <v>54400</v>
      </c>
      <c r="Q122" s="2">
        <v>3</v>
      </c>
      <c r="R122" s="2" t="s">
        <v>60</v>
      </c>
      <c r="S122" s="2" t="s">
        <v>42</v>
      </c>
      <c r="T122" s="2" t="s">
        <v>90</v>
      </c>
      <c r="U122" s="2">
        <v>9208625306</v>
      </c>
      <c r="V122" s="2" t="s">
        <v>34</v>
      </c>
    </row>
    <row r="123" spans="1:22" x14ac:dyDescent="0.3">
      <c r="A123" s="2" t="s">
        <v>251</v>
      </c>
      <c r="B123" s="2" t="s">
        <v>63</v>
      </c>
      <c r="C123" s="2" t="s">
        <v>141</v>
      </c>
      <c r="D123" s="3">
        <v>46053</v>
      </c>
      <c r="E123" s="3">
        <v>46063</v>
      </c>
      <c r="F123" s="2" t="s">
        <v>111</v>
      </c>
      <c r="G123" s="2" t="s">
        <v>58</v>
      </c>
      <c r="H123" s="3">
        <v>36557</v>
      </c>
      <c r="I123" s="2" t="s">
        <v>48</v>
      </c>
      <c r="J123" s="2" t="s">
        <v>28</v>
      </c>
      <c r="K123" s="2" t="s">
        <v>84</v>
      </c>
      <c r="L123" s="2" t="s">
        <v>142</v>
      </c>
      <c r="M123" s="2">
        <v>3</v>
      </c>
      <c r="N123" s="7">
        <v>45</v>
      </c>
      <c r="O123" s="2">
        <v>0</v>
      </c>
      <c r="P123" s="7">
        <v>135</v>
      </c>
      <c r="Q123" s="2">
        <v>4</v>
      </c>
      <c r="R123" s="2" t="s">
        <v>65</v>
      </c>
      <c r="S123" s="2" t="s">
        <v>50</v>
      </c>
      <c r="T123" s="2" t="s">
        <v>66</v>
      </c>
      <c r="U123" s="2">
        <v>9970178536</v>
      </c>
      <c r="V123" s="2" t="s">
        <v>53</v>
      </c>
    </row>
    <row r="124" spans="1:22" x14ac:dyDescent="0.3">
      <c r="A124" s="2" t="s">
        <v>252</v>
      </c>
      <c r="B124" s="2" t="s">
        <v>160</v>
      </c>
      <c r="C124" s="2" t="s">
        <v>113</v>
      </c>
      <c r="D124" s="3">
        <v>46025</v>
      </c>
      <c r="E124" s="3">
        <v>46026</v>
      </c>
      <c r="F124" s="2" t="s">
        <v>179</v>
      </c>
      <c r="G124" s="2" t="s">
        <v>58</v>
      </c>
      <c r="H124" s="3">
        <v>31585</v>
      </c>
      <c r="I124" s="2" t="s">
        <v>123</v>
      </c>
      <c r="J124" s="2" t="s">
        <v>38</v>
      </c>
      <c r="K124" s="2" t="s">
        <v>39</v>
      </c>
      <c r="L124" s="2" t="s">
        <v>115</v>
      </c>
      <c r="M124" s="2">
        <v>13</v>
      </c>
      <c r="N124" s="7">
        <v>700</v>
      </c>
      <c r="O124" s="2">
        <v>5</v>
      </c>
      <c r="P124" s="7">
        <v>8645</v>
      </c>
      <c r="Q124" s="2">
        <v>3</v>
      </c>
      <c r="R124" s="2" t="s">
        <v>60</v>
      </c>
      <c r="S124" s="2" t="s">
        <v>81</v>
      </c>
      <c r="T124" s="2" t="s">
        <v>162</v>
      </c>
      <c r="U124" s="2">
        <v>9633745195</v>
      </c>
      <c r="V124" s="2" t="s">
        <v>52</v>
      </c>
    </row>
    <row r="125" spans="1:22" x14ac:dyDescent="0.3">
      <c r="A125" s="2" t="s">
        <v>253</v>
      </c>
      <c r="B125" s="2" t="s">
        <v>105</v>
      </c>
      <c r="C125" s="2" t="s">
        <v>56</v>
      </c>
      <c r="D125" s="3">
        <v>45950</v>
      </c>
      <c r="E125" s="3">
        <v>45956</v>
      </c>
      <c r="F125" s="2" t="s">
        <v>170</v>
      </c>
      <c r="G125" s="2" t="s">
        <v>26</v>
      </c>
      <c r="H125" s="3">
        <v>31459</v>
      </c>
      <c r="I125" s="2" t="s">
        <v>75</v>
      </c>
      <c r="J125" s="2" t="s">
        <v>76</v>
      </c>
      <c r="K125" s="2" t="s">
        <v>39</v>
      </c>
      <c r="L125" s="2" t="s">
        <v>59</v>
      </c>
      <c r="M125" s="2">
        <v>14</v>
      </c>
      <c r="N125" s="7">
        <v>1200</v>
      </c>
      <c r="O125" s="2">
        <v>20</v>
      </c>
      <c r="P125" s="7">
        <v>13440</v>
      </c>
      <c r="Q125" s="2">
        <v>5</v>
      </c>
      <c r="R125" s="2" t="s">
        <v>41</v>
      </c>
      <c r="S125" s="2" t="s">
        <v>50</v>
      </c>
      <c r="T125" s="2" t="s">
        <v>109</v>
      </c>
      <c r="U125" s="2">
        <v>9922102053</v>
      </c>
      <c r="V125" s="2" t="s">
        <v>34</v>
      </c>
    </row>
    <row r="126" spans="1:22" x14ac:dyDescent="0.3">
      <c r="A126" s="2" t="s">
        <v>254</v>
      </c>
      <c r="B126" s="2" t="s">
        <v>73</v>
      </c>
      <c r="C126" s="2" t="s">
        <v>141</v>
      </c>
      <c r="D126" s="3">
        <v>45788</v>
      </c>
      <c r="E126" s="3">
        <v>45798</v>
      </c>
      <c r="F126" s="2" t="s">
        <v>74</v>
      </c>
      <c r="G126" s="2" t="s">
        <v>26</v>
      </c>
      <c r="H126" s="3">
        <v>33499</v>
      </c>
      <c r="I126" s="2" t="s">
        <v>37</v>
      </c>
      <c r="J126" s="2" t="s">
        <v>38</v>
      </c>
      <c r="K126" s="2" t="s">
        <v>84</v>
      </c>
      <c r="L126" s="2" t="s">
        <v>142</v>
      </c>
      <c r="M126" s="2">
        <v>2</v>
      </c>
      <c r="N126" s="7">
        <v>45</v>
      </c>
      <c r="O126" s="2">
        <v>5</v>
      </c>
      <c r="P126" s="7">
        <v>85.5</v>
      </c>
      <c r="Q126" s="2">
        <v>3</v>
      </c>
      <c r="R126" s="2" t="s">
        <v>65</v>
      </c>
      <c r="S126" s="2" t="s">
        <v>32</v>
      </c>
      <c r="T126" s="2" t="s">
        <v>94</v>
      </c>
      <c r="U126" s="2">
        <v>9135963930</v>
      </c>
      <c r="V126" s="2" t="s">
        <v>53</v>
      </c>
    </row>
    <row r="127" spans="1:22" x14ac:dyDescent="0.3">
      <c r="A127" s="2" t="s">
        <v>255</v>
      </c>
      <c r="B127" s="2" t="s">
        <v>105</v>
      </c>
      <c r="C127" s="2" t="s">
        <v>56</v>
      </c>
      <c r="D127" s="3">
        <v>46024</v>
      </c>
      <c r="E127" s="3">
        <v>46028</v>
      </c>
      <c r="F127" s="2" t="s">
        <v>170</v>
      </c>
      <c r="G127" s="2" t="s">
        <v>26</v>
      </c>
      <c r="H127" s="3">
        <v>29590</v>
      </c>
      <c r="I127" s="2" t="s">
        <v>48</v>
      </c>
      <c r="J127" s="2" t="s">
        <v>28</v>
      </c>
      <c r="K127" s="2" t="s">
        <v>39</v>
      </c>
      <c r="L127" s="2" t="s">
        <v>59</v>
      </c>
      <c r="M127" s="2">
        <v>2</v>
      </c>
      <c r="N127" s="7">
        <v>1200</v>
      </c>
      <c r="O127" s="2">
        <v>20</v>
      </c>
      <c r="P127" s="7">
        <v>1920</v>
      </c>
      <c r="Q127" s="2">
        <v>3</v>
      </c>
      <c r="R127" s="2" t="s">
        <v>60</v>
      </c>
      <c r="S127" s="2" t="s">
        <v>81</v>
      </c>
      <c r="T127" s="2" t="s">
        <v>109</v>
      </c>
      <c r="U127" s="2">
        <v>9429405275</v>
      </c>
      <c r="V127" s="2" t="s">
        <v>34</v>
      </c>
    </row>
    <row r="128" spans="1:22" x14ac:dyDescent="0.3">
      <c r="A128" s="2" t="s">
        <v>256</v>
      </c>
      <c r="B128" s="2" t="s">
        <v>88</v>
      </c>
      <c r="C128" s="2" t="s">
        <v>46</v>
      </c>
      <c r="D128" s="3">
        <v>46132</v>
      </c>
      <c r="E128" s="3">
        <v>46138</v>
      </c>
      <c r="F128" s="2" t="s">
        <v>119</v>
      </c>
      <c r="G128" s="2" t="s">
        <v>58</v>
      </c>
      <c r="H128" s="3">
        <v>38272</v>
      </c>
      <c r="I128" s="2" t="s">
        <v>48</v>
      </c>
      <c r="J128" s="2" t="s">
        <v>28</v>
      </c>
      <c r="K128" s="2" t="s">
        <v>39</v>
      </c>
      <c r="L128" s="2" t="s">
        <v>49</v>
      </c>
      <c r="M128" s="2">
        <v>10</v>
      </c>
      <c r="N128" s="7">
        <v>55000</v>
      </c>
      <c r="O128" s="2">
        <v>5</v>
      </c>
      <c r="P128" s="7">
        <v>522500</v>
      </c>
      <c r="Q128" s="2">
        <v>5</v>
      </c>
      <c r="R128" s="2" t="s">
        <v>65</v>
      </c>
      <c r="S128" s="2" t="s">
        <v>50</v>
      </c>
      <c r="T128" s="2" t="s">
        <v>90</v>
      </c>
      <c r="U128" s="2">
        <v>9521757571</v>
      </c>
      <c r="V128" s="2" t="s">
        <v>52</v>
      </c>
    </row>
    <row r="129" spans="1:22" x14ac:dyDescent="0.3">
      <c r="A129" s="2" t="s">
        <v>257</v>
      </c>
      <c r="B129" s="2" t="s">
        <v>137</v>
      </c>
      <c r="C129" s="2" t="s">
        <v>68</v>
      </c>
      <c r="D129" s="3">
        <v>45873</v>
      </c>
      <c r="E129" s="3">
        <v>45874</v>
      </c>
      <c r="F129" s="2" t="s">
        <v>138</v>
      </c>
      <c r="G129" s="2" t="s">
        <v>26</v>
      </c>
      <c r="H129" s="3">
        <v>30766</v>
      </c>
      <c r="I129" s="2" t="s">
        <v>123</v>
      </c>
      <c r="J129" s="2" t="s">
        <v>38</v>
      </c>
      <c r="K129" s="2" t="s">
        <v>29</v>
      </c>
      <c r="L129" s="2" t="s">
        <v>71</v>
      </c>
      <c r="M129" s="2">
        <v>15</v>
      </c>
      <c r="N129" s="7">
        <v>3500</v>
      </c>
      <c r="O129" s="2">
        <v>10</v>
      </c>
      <c r="P129" s="7">
        <v>47250</v>
      </c>
      <c r="Q129" s="2">
        <v>3</v>
      </c>
      <c r="R129" s="2" t="s">
        <v>41</v>
      </c>
      <c r="S129" s="2" t="s">
        <v>81</v>
      </c>
      <c r="T129" s="2" t="s">
        <v>139</v>
      </c>
      <c r="U129" s="2">
        <v>9467375455</v>
      </c>
      <c r="V129" s="2" t="s">
        <v>34</v>
      </c>
    </row>
    <row r="130" spans="1:22" x14ac:dyDescent="0.3">
      <c r="A130" s="2" t="s">
        <v>258</v>
      </c>
      <c r="B130" s="2" t="s">
        <v>73</v>
      </c>
      <c r="C130" s="2" t="s">
        <v>24</v>
      </c>
      <c r="D130" s="3">
        <v>45882</v>
      </c>
      <c r="E130" s="3">
        <v>45887</v>
      </c>
      <c r="F130" s="2" t="s">
        <v>74</v>
      </c>
      <c r="G130" s="2" t="s">
        <v>26</v>
      </c>
      <c r="H130" s="3">
        <v>30203</v>
      </c>
      <c r="I130" s="2" t="s">
        <v>48</v>
      </c>
      <c r="J130" s="2" t="s">
        <v>28</v>
      </c>
      <c r="K130" s="2" t="s">
        <v>29</v>
      </c>
      <c r="L130" s="2" t="s">
        <v>30</v>
      </c>
      <c r="M130" s="2">
        <v>10</v>
      </c>
      <c r="N130" s="7">
        <v>2200</v>
      </c>
      <c r="O130" s="2">
        <v>15</v>
      </c>
      <c r="P130" s="7">
        <v>18700</v>
      </c>
      <c r="Q130" s="2">
        <v>4</v>
      </c>
      <c r="R130" s="2" t="s">
        <v>60</v>
      </c>
      <c r="S130" s="2" t="s">
        <v>42</v>
      </c>
      <c r="T130" s="2" t="s">
        <v>94</v>
      </c>
      <c r="U130" s="2">
        <v>9838809695</v>
      </c>
      <c r="V130" s="2" t="s">
        <v>52</v>
      </c>
    </row>
    <row r="131" spans="1:22" x14ac:dyDescent="0.3">
      <c r="A131" s="2" t="s">
        <v>259</v>
      </c>
      <c r="B131" s="2" t="s">
        <v>137</v>
      </c>
      <c r="C131" s="2" t="s">
        <v>68</v>
      </c>
      <c r="D131" s="3">
        <v>45824</v>
      </c>
      <c r="E131" s="3">
        <v>45832</v>
      </c>
      <c r="F131" s="2" t="s">
        <v>138</v>
      </c>
      <c r="G131" s="2" t="s">
        <v>26</v>
      </c>
      <c r="H131" s="3">
        <v>34015</v>
      </c>
      <c r="I131" s="2" t="s">
        <v>80</v>
      </c>
      <c r="J131" s="2" t="s">
        <v>76</v>
      </c>
      <c r="K131" s="2" t="s">
        <v>29</v>
      </c>
      <c r="L131" s="2" t="s">
        <v>71</v>
      </c>
      <c r="M131" s="2">
        <v>11</v>
      </c>
      <c r="N131" s="7">
        <v>3500</v>
      </c>
      <c r="O131" s="2">
        <v>5</v>
      </c>
      <c r="P131" s="7">
        <v>36575</v>
      </c>
      <c r="Q131" s="2">
        <v>5</v>
      </c>
      <c r="R131" s="2" t="s">
        <v>31</v>
      </c>
      <c r="S131" s="2" t="s">
        <v>32</v>
      </c>
      <c r="T131" s="2" t="s">
        <v>139</v>
      </c>
      <c r="U131" s="2">
        <v>9296609782</v>
      </c>
      <c r="V131" s="2" t="s">
        <v>53</v>
      </c>
    </row>
    <row r="132" spans="1:22" x14ac:dyDescent="0.3">
      <c r="A132" s="2" t="s">
        <v>260</v>
      </c>
      <c r="B132" s="2" t="s">
        <v>105</v>
      </c>
      <c r="C132" s="2" t="s">
        <v>56</v>
      </c>
      <c r="D132" s="3">
        <v>46139</v>
      </c>
      <c r="E132" s="3">
        <v>46142</v>
      </c>
      <c r="F132" s="2" t="s">
        <v>170</v>
      </c>
      <c r="G132" s="2" t="s">
        <v>26</v>
      </c>
      <c r="H132" s="3">
        <v>37719</v>
      </c>
      <c r="I132" s="2" t="s">
        <v>48</v>
      </c>
      <c r="J132" s="2" t="s">
        <v>28</v>
      </c>
      <c r="K132" s="2" t="s">
        <v>39</v>
      </c>
      <c r="L132" s="2" t="s">
        <v>59</v>
      </c>
      <c r="M132" s="2">
        <v>14</v>
      </c>
      <c r="N132" s="7">
        <v>1200</v>
      </c>
      <c r="O132" s="2">
        <v>0</v>
      </c>
      <c r="P132" s="7">
        <v>16800</v>
      </c>
      <c r="Q132" s="2">
        <v>5</v>
      </c>
      <c r="R132" s="2" t="s">
        <v>31</v>
      </c>
      <c r="S132" s="2" t="s">
        <v>42</v>
      </c>
      <c r="T132" s="2" t="s">
        <v>109</v>
      </c>
      <c r="U132" s="2">
        <v>9848259992</v>
      </c>
      <c r="V132" s="2" t="s">
        <v>53</v>
      </c>
    </row>
    <row r="133" spans="1:22" x14ac:dyDescent="0.3">
      <c r="A133" s="2" t="s">
        <v>261</v>
      </c>
      <c r="B133" s="2" t="s">
        <v>73</v>
      </c>
      <c r="C133" s="2" t="s">
        <v>128</v>
      </c>
      <c r="D133" s="3">
        <v>46070</v>
      </c>
      <c r="E133" s="3">
        <v>46075</v>
      </c>
      <c r="F133" s="2" t="s">
        <v>74</v>
      </c>
      <c r="G133" s="2" t="s">
        <v>26</v>
      </c>
      <c r="H133" s="3">
        <v>32801</v>
      </c>
      <c r="I133" s="2" t="s">
        <v>37</v>
      </c>
      <c r="J133" s="2" t="s">
        <v>38</v>
      </c>
      <c r="K133" s="2" t="s">
        <v>84</v>
      </c>
      <c r="L133" s="2" t="s">
        <v>130</v>
      </c>
      <c r="M133" s="2">
        <v>11</v>
      </c>
      <c r="N133" s="7">
        <v>20</v>
      </c>
      <c r="O133" s="2">
        <v>20</v>
      </c>
      <c r="P133" s="7">
        <v>176</v>
      </c>
      <c r="Q133" s="2">
        <v>4</v>
      </c>
      <c r="R133" s="2" t="s">
        <v>41</v>
      </c>
      <c r="S133" s="2" t="s">
        <v>32</v>
      </c>
      <c r="T133" s="2" t="s">
        <v>94</v>
      </c>
      <c r="U133" s="2">
        <v>9254082295</v>
      </c>
      <c r="V133" s="2" t="s">
        <v>34</v>
      </c>
    </row>
    <row r="134" spans="1:22" x14ac:dyDescent="0.3">
      <c r="A134" s="2" t="s">
        <v>262</v>
      </c>
      <c r="B134" s="2" t="s">
        <v>55</v>
      </c>
      <c r="C134" s="2" t="s">
        <v>36</v>
      </c>
      <c r="D134" s="3">
        <v>46116</v>
      </c>
      <c r="E134" s="3">
        <v>46122</v>
      </c>
      <c r="F134" s="2" t="s">
        <v>125</v>
      </c>
      <c r="G134" s="2" t="s">
        <v>58</v>
      </c>
      <c r="H134" s="3">
        <v>34957</v>
      </c>
      <c r="I134" s="2" t="s">
        <v>80</v>
      </c>
      <c r="J134" s="2" t="s">
        <v>76</v>
      </c>
      <c r="K134" s="2" t="s">
        <v>39</v>
      </c>
      <c r="L134" s="2" t="s">
        <v>40</v>
      </c>
      <c r="M134" s="2">
        <v>6</v>
      </c>
      <c r="N134" s="7">
        <v>12000</v>
      </c>
      <c r="O134" s="2">
        <v>10</v>
      </c>
      <c r="P134" s="7">
        <v>64800</v>
      </c>
      <c r="Q134" s="2">
        <v>5</v>
      </c>
      <c r="R134" s="2" t="s">
        <v>65</v>
      </c>
      <c r="S134" s="2" t="s">
        <v>97</v>
      </c>
      <c r="T134" s="2" t="s">
        <v>61</v>
      </c>
      <c r="U134" s="2">
        <v>9687923860</v>
      </c>
      <c r="V134" s="2" t="s">
        <v>34</v>
      </c>
    </row>
    <row r="135" spans="1:22" x14ac:dyDescent="0.3">
      <c r="A135" s="2" t="s">
        <v>263</v>
      </c>
      <c r="B135" s="2" t="s">
        <v>55</v>
      </c>
      <c r="C135" s="2" t="s">
        <v>24</v>
      </c>
      <c r="D135" s="3">
        <v>45756</v>
      </c>
      <c r="E135" s="3">
        <v>45765</v>
      </c>
      <c r="F135" s="2" t="s">
        <v>125</v>
      </c>
      <c r="G135" s="2" t="s">
        <v>58</v>
      </c>
      <c r="H135" s="3">
        <v>34431</v>
      </c>
      <c r="I135" s="2" t="s">
        <v>27</v>
      </c>
      <c r="J135" s="2" t="s">
        <v>28</v>
      </c>
      <c r="K135" s="2" t="s">
        <v>29</v>
      </c>
      <c r="L135" s="2" t="s">
        <v>30</v>
      </c>
      <c r="M135" s="2">
        <v>6</v>
      </c>
      <c r="N135" s="7">
        <v>2200</v>
      </c>
      <c r="O135" s="2">
        <v>5</v>
      </c>
      <c r="P135" s="7">
        <v>12540</v>
      </c>
      <c r="Q135" s="2">
        <v>4</v>
      </c>
      <c r="R135" s="2" t="s">
        <v>31</v>
      </c>
      <c r="S135" s="2" t="s">
        <v>42</v>
      </c>
      <c r="T135" s="2" t="s">
        <v>61</v>
      </c>
      <c r="U135" s="2">
        <v>9426459149</v>
      </c>
      <c r="V135" s="2" t="s">
        <v>34</v>
      </c>
    </row>
    <row r="136" spans="1:22" x14ac:dyDescent="0.3">
      <c r="A136" s="2" t="s">
        <v>264</v>
      </c>
      <c r="B136" s="2" t="s">
        <v>45</v>
      </c>
      <c r="C136" s="2" t="s">
        <v>68</v>
      </c>
      <c r="D136" s="3">
        <v>45823</v>
      </c>
      <c r="E136" s="3">
        <v>45835</v>
      </c>
      <c r="F136" s="2" t="s">
        <v>102</v>
      </c>
      <c r="G136" s="2" t="s">
        <v>26</v>
      </c>
      <c r="H136" s="3">
        <v>37896</v>
      </c>
      <c r="I136" s="2" t="s">
        <v>37</v>
      </c>
      <c r="J136" s="2" t="s">
        <v>38</v>
      </c>
      <c r="K136" s="2" t="s">
        <v>29</v>
      </c>
      <c r="L136" s="2" t="s">
        <v>71</v>
      </c>
      <c r="M136" s="2">
        <v>3</v>
      </c>
      <c r="N136" s="7">
        <v>3500</v>
      </c>
      <c r="O136" s="2">
        <v>5</v>
      </c>
      <c r="P136" s="7">
        <v>9975</v>
      </c>
      <c r="Q136" s="2">
        <v>4</v>
      </c>
      <c r="R136" s="2" t="s">
        <v>41</v>
      </c>
      <c r="S136" s="2" t="s">
        <v>42</v>
      </c>
      <c r="T136" s="2" t="s">
        <v>51</v>
      </c>
      <c r="U136" s="2">
        <v>9155925975</v>
      </c>
      <c r="V136" s="2" t="s">
        <v>52</v>
      </c>
    </row>
    <row r="137" spans="1:22" x14ac:dyDescent="0.3">
      <c r="A137" s="2" t="s">
        <v>265</v>
      </c>
      <c r="B137" s="2" t="s">
        <v>55</v>
      </c>
      <c r="C137" s="2" t="s">
        <v>106</v>
      </c>
      <c r="D137" s="3">
        <v>45816</v>
      </c>
      <c r="E137" s="3">
        <v>45818</v>
      </c>
      <c r="F137" s="2" t="s">
        <v>125</v>
      </c>
      <c r="G137" s="2" t="s">
        <v>58</v>
      </c>
      <c r="H137" s="3">
        <v>35625</v>
      </c>
      <c r="I137" s="2" t="s">
        <v>27</v>
      </c>
      <c r="J137" s="2" t="s">
        <v>28</v>
      </c>
      <c r="K137" s="2" t="s">
        <v>29</v>
      </c>
      <c r="L137" s="2" t="s">
        <v>108</v>
      </c>
      <c r="M137" s="2">
        <v>5</v>
      </c>
      <c r="N137" s="7">
        <v>8500</v>
      </c>
      <c r="O137" s="2">
        <v>20</v>
      </c>
      <c r="P137" s="7">
        <v>34000</v>
      </c>
      <c r="Q137" s="2">
        <v>5</v>
      </c>
      <c r="R137" s="2" t="s">
        <v>31</v>
      </c>
      <c r="S137" s="2" t="s">
        <v>50</v>
      </c>
      <c r="T137" s="2" t="s">
        <v>61</v>
      </c>
      <c r="U137" s="2">
        <v>9945247701</v>
      </c>
      <c r="V137" s="2" t="s">
        <v>52</v>
      </c>
    </row>
    <row r="138" spans="1:22" x14ac:dyDescent="0.3">
      <c r="A138" s="2" t="s">
        <v>266</v>
      </c>
      <c r="B138" s="2" t="s">
        <v>23</v>
      </c>
      <c r="C138" s="2" t="s">
        <v>68</v>
      </c>
      <c r="D138" s="3">
        <v>45863</v>
      </c>
      <c r="E138" s="3">
        <v>45870</v>
      </c>
      <c r="F138" s="2" t="s">
        <v>25</v>
      </c>
      <c r="G138" s="2" t="s">
        <v>26</v>
      </c>
      <c r="H138" s="3">
        <v>29076</v>
      </c>
      <c r="I138" s="2" t="s">
        <v>48</v>
      </c>
      <c r="J138" s="2" t="s">
        <v>28</v>
      </c>
      <c r="K138" s="2" t="s">
        <v>29</v>
      </c>
      <c r="L138" s="2" t="s">
        <v>71</v>
      </c>
      <c r="M138" s="2">
        <v>14</v>
      </c>
      <c r="N138" s="7">
        <v>3500</v>
      </c>
      <c r="O138" s="2">
        <v>10</v>
      </c>
      <c r="P138" s="7">
        <v>44100</v>
      </c>
      <c r="Q138" s="2">
        <v>4</v>
      </c>
      <c r="R138" s="2" t="s">
        <v>65</v>
      </c>
      <c r="S138" s="2" t="s">
        <v>32</v>
      </c>
      <c r="T138" s="2" t="s">
        <v>43</v>
      </c>
      <c r="U138" s="2">
        <v>9597378398</v>
      </c>
      <c r="V138" s="2" t="s">
        <v>53</v>
      </c>
    </row>
    <row r="139" spans="1:22" x14ac:dyDescent="0.3">
      <c r="A139" s="2" t="s">
        <v>267</v>
      </c>
      <c r="B139" s="2" t="s">
        <v>160</v>
      </c>
      <c r="C139" s="2" t="s">
        <v>141</v>
      </c>
      <c r="D139" s="3">
        <v>45673</v>
      </c>
      <c r="E139" s="3">
        <v>45678</v>
      </c>
      <c r="F139" s="2" t="s">
        <v>179</v>
      </c>
      <c r="G139" s="2" t="s">
        <v>58</v>
      </c>
      <c r="H139" s="3">
        <v>37549</v>
      </c>
      <c r="I139" s="2" t="s">
        <v>92</v>
      </c>
      <c r="J139" s="2" t="s">
        <v>76</v>
      </c>
      <c r="K139" s="2" t="s">
        <v>84</v>
      </c>
      <c r="L139" s="2" t="s">
        <v>142</v>
      </c>
      <c r="M139" s="2">
        <v>8</v>
      </c>
      <c r="N139" s="7">
        <v>45</v>
      </c>
      <c r="O139" s="2">
        <v>0</v>
      </c>
      <c r="P139" s="7">
        <v>360</v>
      </c>
      <c r="Q139" s="2">
        <v>1</v>
      </c>
      <c r="R139" s="2" t="s">
        <v>60</v>
      </c>
      <c r="S139" s="2" t="s">
        <v>97</v>
      </c>
      <c r="T139" s="2" t="s">
        <v>162</v>
      </c>
      <c r="U139" s="2">
        <v>9343963736</v>
      </c>
      <c r="V139" s="2" t="s">
        <v>53</v>
      </c>
    </row>
    <row r="140" spans="1:22" x14ac:dyDescent="0.3">
      <c r="A140" s="2" t="s">
        <v>268</v>
      </c>
      <c r="B140" s="2" t="s">
        <v>127</v>
      </c>
      <c r="C140" s="2" t="s">
        <v>141</v>
      </c>
      <c r="D140" s="3">
        <v>45692</v>
      </c>
      <c r="E140" s="3">
        <v>45693</v>
      </c>
      <c r="F140" s="2" t="s">
        <v>129</v>
      </c>
      <c r="G140" s="2" t="s">
        <v>58</v>
      </c>
      <c r="H140" s="3">
        <v>31252</v>
      </c>
      <c r="I140" s="2" t="s">
        <v>37</v>
      </c>
      <c r="J140" s="2" t="s">
        <v>38</v>
      </c>
      <c r="K140" s="2" t="s">
        <v>84</v>
      </c>
      <c r="L140" s="2" t="s">
        <v>142</v>
      </c>
      <c r="M140" s="2">
        <v>11</v>
      </c>
      <c r="N140" s="7">
        <v>45</v>
      </c>
      <c r="O140" s="2">
        <v>5</v>
      </c>
      <c r="P140" s="7">
        <v>470.25</v>
      </c>
      <c r="Q140" s="2">
        <v>3</v>
      </c>
      <c r="R140" s="2" t="s">
        <v>60</v>
      </c>
      <c r="S140" s="2" t="s">
        <v>42</v>
      </c>
      <c r="T140" s="2" t="s">
        <v>131</v>
      </c>
      <c r="U140" s="2">
        <v>9548742147</v>
      </c>
      <c r="V140" s="2" t="s">
        <v>34</v>
      </c>
    </row>
    <row r="141" spans="1:22" x14ac:dyDescent="0.3">
      <c r="A141" s="2" t="s">
        <v>269</v>
      </c>
      <c r="B141" s="2" t="s">
        <v>63</v>
      </c>
      <c r="C141" s="2" t="s">
        <v>46</v>
      </c>
      <c r="D141" s="3">
        <v>45679</v>
      </c>
      <c r="E141" s="3">
        <v>45687</v>
      </c>
      <c r="F141" s="2" t="s">
        <v>111</v>
      </c>
      <c r="G141" s="2" t="s">
        <v>58</v>
      </c>
      <c r="H141" s="3">
        <v>32378</v>
      </c>
      <c r="I141" s="2" t="s">
        <v>92</v>
      </c>
      <c r="J141" s="2" t="s">
        <v>76</v>
      </c>
      <c r="K141" s="2" t="s">
        <v>39</v>
      </c>
      <c r="L141" s="2" t="s">
        <v>49</v>
      </c>
      <c r="M141" s="2">
        <v>19</v>
      </c>
      <c r="N141" s="7">
        <v>55000</v>
      </c>
      <c r="O141" s="2">
        <v>0</v>
      </c>
      <c r="P141" s="7">
        <v>1045000</v>
      </c>
      <c r="Q141" s="2">
        <v>2</v>
      </c>
      <c r="R141" s="2" t="s">
        <v>60</v>
      </c>
      <c r="S141" s="2" t="s">
        <v>32</v>
      </c>
      <c r="T141" s="2" t="s">
        <v>66</v>
      </c>
      <c r="U141" s="2">
        <v>9912945471</v>
      </c>
      <c r="V141" s="2" t="s">
        <v>53</v>
      </c>
    </row>
    <row r="142" spans="1:22" x14ac:dyDescent="0.3">
      <c r="A142" s="2" t="s">
        <v>270</v>
      </c>
      <c r="B142" s="2" t="s">
        <v>45</v>
      </c>
      <c r="C142" s="2" t="s">
        <v>68</v>
      </c>
      <c r="D142" s="3">
        <v>45758</v>
      </c>
      <c r="E142" s="3">
        <v>45765</v>
      </c>
      <c r="F142" s="2" t="s">
        <v>102</v>
      </c>
      <c r="G142" s="2" t="s">
        <v>26</v>
      </c>
      <c r="H142" s="3">
        <v>28864</v>
      </c>
      <c r="I142" s="2" t="s">
        <v>80</v>
      </c>
      <c r="J142" s="2" t="s">
        <v>76</v>
      </c>
      <c r="K142" s="2" t="s">
        <v>29</v>
      </c>
      <c r="L142" s="2" t="s">
        <v>71</v>
      </c>
      <c r="M142" s="2">
        <v>20</v>
      </c>
      <c r="N142" s="7">
        <v>3500</v>
      </c>
      <c r="O142" s="2">
        <v>20</v>
      </c>
      <c r="P142" s="7">
        <v>56000</v>
      </c>
      <c r="Q142" s="2">
        <v>4</v>
      </c>
      <c r="R142" s="2" t="s">
        <v>41</v>
      </c>
      <c r="S142" s="2" t="s">
        <v>42</v>
      </c>
      <c r="T142" s="2" t="s">
        <v>51</v>
      </c>
      <c r="U142" s="2">
        <v>9912630684</v>
      </c>
      <c r="V142" s="2" t="s">
        <v>34</v>
      </c>
    </row>
    <row r="143" spans="1:22" x14ac:dyDescent="0.3">
      <c r="A143" s="2" t="s">
        <v>271</v>
      </c>
      <c r="B143" s="2" t="s">
        <v>63</v>
      </c>
      <c r="C143" s="2" t="s">
        <v>24</v>
      </c>
      <c r="D143" s="3">
        <v>45842</v>
      </c>
      <c r="E143" s="3">
        <v>45852</v>
      </c>
      <c r="F143" s="2" t="s">
        <v>111</v>
      </c>
      <c r="G143" s="2" t="s">
        <v>58</v>
      </c>
      <c r="H143" s="3">
        <v>31649</v>
      </c>
      <c r="I143" s="2" t="s">
        <v>80</v>
      </c>
      <c r="J143" s="2" t="s">
        <v>76</v>
      </c>
      <c r="K143" s="2" t="s">
        <v>29</v>
      </c>
      <c r="L143" s="2" t="s">
        <v>30</v>
      </c>
      <c r="M143" s="2">
        <v>17</v>
      </c>
      <c r="N143" s="7">
        <v>2200</v>
      </c>
      <c r="O143" s="2">
        <v>0</v>
      </c>
      <c r="P143" s="7">
        <v>37400</v>
      </c>
      <c r="Q143" s="2">
        <v>5</v>
      </c>
      <c r="R143" s="2" t="s">
        <v>41</v>
      </c>
      <c r="S143" s="2" t="s">
        <v>32</v>
      </c>
      <c r="T143" s="2" t="s">
        <v>66</v>
      </c>
      <c r="U143" s="2">
        <v>9114017237</v>
      </c>
      <c r="V143" s="2" t="s">
        <v>52</v>
      </c>
    </row>
    <row r="144" spans="1:22" x14ac:dyDescent="0.3">
      <c r="A144" s="2" t="s">
        <v>272</v>
      </c>
      <c r="B144" s="2" t="s">
        <v>63</v>
      </c>
      <c r="C144" s="2" t="s">
        <v>56</v>
      </c>
      <c r="D144" s="3">
        <v>45679</v>
      </c>
      <c r="E144" s="3">
        <v>45686</v>
      </c>
      <c r="F144" s="2" t="s">
        <v>111</v>
      </c>
      <c r="G144" s="2" t="s">
        <v>58</v>
      </c>
      <c r="H144" s="3">
        <v>28216</v>
      </c>
      <c r="I144" s="2" t="s">
        <v>80</v>
      </c>
      <c r="J144" s="2" t="s">
        <v>76</v>
      </c>
      <c r="K144" s="2" t="s">
        <v>39</v>
      </c>
      <c r="L144" s="2" t="s">
        <v>59</v>
      </c>
      <c r="M144" s="2">
        <v>10</v>
      </c>
      <c r="N144" s="7">
        <v>1200</v>
      </c>
      <c r="O144" s="2">
        <v>5</v>
      </c>
      <c r="P144" s="7">
        <v>11400</v>
      </c>
      <c r="Q144" s="2">
        <v>2</v>
      </c>
      <c r="R144" s="2" t="s">
        <v>31</v>
      </c>
      <c r="S144" s="2" t="s">
        <v>42</v>
      </c>
      <c r="T144" s="2" t="s">
        <v>66</v>
      </c>
      <c r="U144" s="2">
        <v>9872471236</v>
      </c>
      <c r="V144" s="2" t="s">
        <v>53</v>
      </c>
    </row>
    <row r="145" spans="1:22" x14ac:dyDescent="0.3">
      <c r="A145" s="2" t="s">
        <v>273</v>
      </c>
      <c r="B145" s="2" t="s">
        <v>127</v>
      </c>
      <c r="C145" s="2" t="s">
        <v>83</v>
      </c>
      <c r="D145" s="3">
        <v>46008</v>
      </c>
      <c r="E145" s="3">
        <v>46009</v>
      </c>
      <c r="F145" s="2" t="s">
        <v>129</v>
      </c>
      <c r="G145" s="2" t="s">
        <v>58</v>
      </c>
      <c r="H145" s="3">
        <v>30532</v>
      </c>
      <c r="I145" s="2" t="s">
        <v>27</v>
      </c>
      <c r="J145" s="2" t="s">
        <v>28</v>
      </c>
      <c r="K145" s="2" t="s">
        <v>84</v>
      </c>
      <c r="L145" s="2" t="s">
        <v>85</v>
      </c>
      <c r="M145" s="2">
        <v>3</v>
      </c>
      <c r="N145" s="7">
        <v>60</v>
      </c>
      <c r="O145" s="2">
        <v>0</v>
      </c>
      <c r="P145" s="7">
        <v>180</v>
      </c>
      <c r="Q145" s="2">
        <v>4</v>
      </c>
      <c r="R145" s="2" t="s">
        <v>41</v>
      </c>
      <c r="S145" s="2" t="s">
        <v>97</v>
      </c>
      <c r="T145" s="2" t="s">
        <v>131</v>
      </c>
      <c r="U145" s="2">
        <v>9461383824</v>
      </c>
      <c r="V145" s="2" t="s">
        <v>34</v>
      </c>
    </row>
    <row r="146" spans="1:22" x14ac:dyDescent="0.3">
      <c r="A146" s="2" t="s">
        <v>274</v>
      </c>
      <c r="B146" s="2" t="s">
        <v>45</v>
      </c>
      <c r="C146" s="2" t="s">
        <v>24</v>
      </c>
      <c r="D146" s="3">
        <v>45940</v>
      </c>
      <c r="E146" s="3">
        <v>45951</v>
      </c>
      <c r="F146" s="2" t="s">
        <v>102</v>
      </c>
      <c r="G146" s="2" t="s">
        <v>26</v>
      </c>
      <c r="H146" s="3">
        <v>28587</v>
      </c>
      <c r="I146" s="2" t="s">
        <v>75</v>
      </c>
      <c r="J146" s="2" t="s">
        <v>76</v>
      </c>
      <c r="K146" s="2" t="s">
        <v>29</v>
      </c>
      <c r="L146" s="2" t="s">
        <v>30</v>
      </c>
      <c r="M146" s="2">
        <v>18</v>
      </c>
      <c r="N146" s="7">
        <v>2200</v>
      </c>
      <c r="O146" s="2">
        <v>10</v>
      </c>
      <c r="P146" s="7">
        <v>35640</v>
      </c>
      <c r="Q146" s="2">
        <v>1</v>
      </c>
      <c r="R146" s="2" t="s">
        <v>60</v>
      </c>
      <c r="S146" s="2" t="s">
        <v>97</v>
      </c>
      <c r="T146" s="2" t="s">
        <v>51</v>
      </c>
      <c r="U146" s="2">
        <v>9243407457</v>
      </c>
      <c r="V146" s="2" t="s">
        <v>53</v>
      </c>
    </row>
    <row r="147" spans="1:22" x14ac:dyDescent="0.3">
      <c r="A147" s="2" t="s">
        <v>275</v>
      </c>
      <c r="B147" s="2" t="s">
        <v>55</v>
      </c>
      <c r="C147" s="2" t="s">
        <v>83</v>
      </c>
      <c r="D147" s="3">
        <v>46088</v>
      </c>
      <c r="E147" s="3">
        <v>46091</v>
      </c>
      <c r="F147" s="2" t="s">
        <v>125</v>
      </c>
      <c r="G147" s="2" t="s">
        <v>58</v>
      </c>
      <c r="H147" s="3">
        <v>30379</v>
      </c>
      <c r="I147" s="2" t="s">
        <v>37</v>
      </c>
      <c r="J147" s="2" t="s">
        <v>38</v>
      </c>
      <c r="K147" s="2" t="s">
        <v>84</v>
      </c>
      <c r="L147" s="2" t="s">
        <v>85</v>
      </c>
      <c r="M147" s="2">
        <v>18</v>
      </c>
      <c r="N147" s="7">
        <v>60</v>
      </c>
      <c r="O147" s="2">
        <v>5</v>
      </c>
      <c r="P147" s="7">
        <v>1026</v>
      </c>
      <c r="Q147" s="2">
        <v>3</v>
      </c>
      <c r="R147" s="2" t="s">
        <v>60</v>
      </c>
      <c r="S147" s="2" t="s">
        <v>42</v>
      </c>
      <c r="T147" s="2" t="s">
        <v>61</v>
      </c>
      <c r="U147" s="2">
        <v>9418672379</v>
      </c>
      <c r="V147" s="2" t="s">
        <v>52</v>
      </c>
    </row>
    <row r="148" spans="1:22" x14ac:dyDescent="0.3">
      <c r="A148" s="2" t="s">
        <v>276</v>
      </c>
      <c r="B148" s="2" t="s">
        <v>88</v>
      </c>
      <c r="C148" s="2" t="s">
        <v>46</v>
      </c>
      <c r="D148" s="3">
        <v>45885</v>
      </c>
      <c r="E148" s="3">
        <v>45892</v>
      </c>
      <c r="F148" s="2" t="s">
        <v>119</v>
      </c>
      <c r="G148" s="2" t="s">
        <v>58</v>
      </c>
      <c r="H148" s="3">
        <v>32077</v>
      </c>
      <c r="I148" s="2" t="s">
        <v>80</v>
      </c>
      <c r="J148" s="2" t="s">
        <v>76</v>
      </c>
      <c r="K148" s="2" t="s">
        <v>39</v>
      </c>
      <c r="L148" s="2" t="s">
        <v>49</v>
      </c>
      <c r="M148" s="2">
        <v>11</v>
      </c>
      <c r="N148" s="7">
        <v>55000</v>
      </c>
      <c r="O148" s="2">
        <v>15</v>
      </c>
      <c r="P148" s="7">
        <v>514250</v>
      </c>
      <c r="Q148" s="2">
        <v>4</v>
      </c>
      <c r="R148" s="2" t="s">
        <v>65</v>
      </c>
      <c r="S148" s="2" t="s">
        <v>81</v>
      </c>
      <c r="T148" s="2" t="s">
        <v>90</v>
      </c>
      <c r="U148" s="2">
        <v>9222733065</v>
      </c>
      <c r="V148" s="2" t="s">
        <v>53</v>
      </c>
    </row>
    <row r="149" spans="1:22" x14ac:dyDescent="0.3">
      <c r="A149" s="2" t="s">
        <v>277</v>
      </c>
      <c r="B149" s="2" t="s">
        <v>137</v>
      </c>
      <c r="C149" s="2" t="s">
        <v>106</v>
      </c>
      <c r="D149" s="3">
        <v>46014</v>
      </c>
      <c r="E149" s="3">
        <v>46025</v>
      </c>
      <c r="F149" s="2" t="s">
        <v>138</v>
      </c>
      <c r="G149" s="2" t="s">
        <v>26</v>
      </c>
      <c r="H149" s="3">
        <v>37730</v>
      </c>
      <c r="I149" s="2" t="s">
        <v>151</v>
      </c>
      <c r="J149" s="2" t="s">
        <v>152</v>
      </c>
      <c r="K149" s="2" t="s">
        <v>29</v>
      </c>
      <c r="L149" s="2" t="s">
        <v>108</v>
      </c>
      <c r="M149" s="2">
        <v>5</v>
      </c>
      <c r="N149" s="7">
        <v>8500</v>
      </c>
      <c r="O149" s="2">
        <v>5</v>
      </c>
      <c r="P149" s="7">
        <v>40375</v>
      </c>
      <c r="Q149" s="2">
        <v>4</v>
      </c>
      <c r="R149" s="2" t="s">
        <v>31</v>
      </c>
      <c r="S149" s="2" t="s">
        <v>97</v>
      </c>
      <c r="T149" s="2" t="s">
        <v>139</v>
      </c>
      <c r="U149" s="2">
        <v>9684246902</v>
      </c>
      <c r="V149" s="2" t="s">
        <v>34</v>
      </c>
    </row>
    <row r="150" spans="1:22" x14ac:dyDescent="0.3">
      <c r="A150" s="2" t="s">
        <v>117</v>
      </c>
      <c r="B150" s="2" t="s">
        <v>73</v>
      </c>
      <c r="C150" s="2" t="s">
        <v>113</v>
      </c>
      <c r="D150" s="3">
        <v>45908</v>
      </c>
      <c r="E150" s="3">
        <v>45919</v>
      </c>
      <c r="F150" s="2" t="s">
        <v>74</v>
      </c>
      <c r="G150" s="2" t="s">
        <v>26</v>
      </c>
      <c r="H150" s="3">
        <v>37301</v>
      </c>
      <c r="I150" s="2" t="s">
        <v>123</v>
      </c>
      <c r="J150" s="2" t="s">
        <v>38</v>
      </c>
      <c r="K150" s="2" t="s">
        <v>39</v>
      </c>
      <c r="L150" s="2" t="s">
        <v>115</v>
      </c>
      <c r="M150" s="2">
        <v>16</v>
      </c>
      <c r="N150" s="7">
        <v>700</v>
      </c>
      <c r="O150" s="2">
        <v>15</v>
      </c>
      <c r="P150" s="7">
        <v>9520</v>
      </c>
      <c r="Q150" s="2">
        <v>4</v>
      </c>
      <c r="R150" s="2" t="s">
        <v>60</v>
      </c>
      <c r="S150" s="2" t="s">
        <v>50</v>
      </c>
      <c r="T150" s="2" t="s">
        <v>94</v>
      </c>
      <c r="U150" s="2">
        <v>9989580228</v>
      </c>
      <c r="V150" s="2" t="s">
        <v>34</v>
      </c>
    </row>
    <row r="151" spans="1:22" x14ac:dyDescent="0.3">
      <c r="A151" s="2" t="s">
        <v>278</v>
      </c>
      <c r="B151" s="2" t="s">
        <v>88</v>
      </c>
      <c r="C151" s="2" t="s">
        <v>113</v>
      </c>
      <c r="D151" s="3">
        <v>45845</v>
      </c>
      <c r="E151" s="3">
        <v>45851</v>
      </c>
      <c r="F151" s="2" t="s">
        <v>119</v>
      </c>
      <c r="G151" s="2" t="s">
        <v>58</v>
      </c>
      <c r="H151" s="3">
        <v>27580</v>
      </c>
      <c r="I151" s="2" t="s">
        <v>80</v>
      </c>
      <c r="J151" s="2" t="s">
        <v>76</v>
      </c>
      <c r="K151" s="2" t="s">
        <v>39</v>
      </c>
      <c r="L151" s="2" t="s">
        <v>115</v>
      </c>
      <c r="M151" s="2">
        <v>6</v>
      </c>
      <c r="N151" s="7">
        <v>700</v>
      </c>
      <c r="O151" s="2">
        <v>10</v>
      </c>
      <c r="P151" s="7">
        <v>3780</v>
      </c>
      <c r="Q151" s="2">
        <v>4</v>
      </c>
      <c r="R151" s="2" t="s">
        <v>31</v>
      </c>
      <c r="S151" s="2" t="s">
        <v>42</v>
      </c>
      <c r="T151" s="2" t="s">
        <v>90</v>
      </c>
      <c r="U151" s="2">
        <v>9110269572</v>
      </c>
      <c r="V151" s="2" t="s">
        <v>53</v>
      </c>
    </row>
    <row r="152" spans="1:22" x14ac:dyDescent="0.3">
      <c r="A152" s="2" t="s">
        <v>279</v>
      </c>
      <c r="B152" s="2" t="s">
        <v>45</v>
      </c>
      <c r="C152" s="2" t="s">
        <v>68</v>
      </c>
      <c r="D152" s="3">
        <v>46145</v>
      </c>
      <c r="E152" s="3">
        <v>46157</v>
      </c>
      <c r="F152" s="2" t="s">
        <v>102</v>
      </c>
      <c r="G152" s="2" t="s">
        <v>26</v>
      </c>
      <c r="H152" s="3">
        <v>33668</v>
      </c>
      <c r="I152" s="2" t="s">
        <v>37</v>
      </c>
      <c r="J152" s="2" t="s">
        <v>38</v>
      </c>
      <c r="K152" s="2" t="s">
        <v>29</v>
      </c>
      <c r="L152" s="2" t="s">
        <v>71</v>
      </c>
      <c r="M152" s="2">
        <v>20</v>
      </c>
      <c r="N152" s="7">
        <v>3500</v>
      </c>
      <c r="O152" s="2">
        <v>10</v>
      </c>
      <c r="P152" s="7">
        <v>63000</v>
      </c>
      <c r="Q152" s="2">
        <v>4</v>
      </c>
      <c r="R152" s="2" t="s">
        <v>65</v>
      </c>
      <c r="S152" s="2" t="s">
        <v>42</v>
      </c>
      <c r="T152" s="2" t="s">
        <v>51</v>
      </c>
      <c r="U152" s="2">
        <v>9745972422</v>
      </c>
      <c r="V152" s="2" t="s">
        <v>52</v>
      </c>
    </row>
    <row r="153" spans="1:22" x14ac:dyDescent="0.3">
      <c r="A153" s="2" t="s">
        <v>280</v>
      </c>
      <c r="B153" s="2" t="s">
        <v>23</v>
      </c>
      <c r="C153" s="2" t="s">
        <v>128</v>
      </c>
      <c r="D153" s="3">
        <v>45990</v>
      </c>
      <c r="E153" s="3">
        <v>45998</v>
      </c>
      <c r="F153" s="2" t="s">
        <v>25</v>
      </c>
      <c r="G153" s="2" t="s">
        <v>26</v>
      </c>
      <c r="H153" s="3">
        <v>35949</v>
      </c>
      <c r="I153" s="2" t="s">
        <v>48</v>
      </c>
      <c r="J153" s="2" t="s">
        <v>28</v>
      </c>
      <c r="K153" s="2" t="s">
        <v>84</v>
      </c>
      <c r="L153" s="2" t="s">
        <v>130</v>
      </c>
      <c r="M153" s="2">
        <v>2</v>
      </c>
      <c r="N153" s="7">
        <v>20</v>
      </c>
      <c r="O153" s="2">
        <v>10</v>
      </c>
      <c r="P153" s="7">
        <v>36</v>
      </c>
      <c r="Q153" s="2">
        <v>1</v>
      </c>
      <c r="R153" s="2" t="s">
        <v>41</v>
      </c>
      <c r="S153" s="2" t="s">
        <v>81</v>
      </c>
      <c r="T153" s="2" t="s">
        <v>43</v>
      </c>
      <c r="U153" s="2">
        <v>9123712257</v>
      </c>
      <c r="V153" s="2" t="s">
        <v>52</v>
      </c>
    </row>
    <row r="154" spans="1:22" x14ac:dyDescent="0.3">
      <c r="A154" s="2" t="s">
        <v>281</v>
      </c>
      <c r="B154" s="2" t="s">
        <v>73</v>
      </c>
      <c r="C154" s="2" t="s">
        <v>24</v>
      </c>
      <c r="D154" s="3">
        <v>45852</v>
      </c>
      <c r="E154" s="3">
        <v>45857</v>
      </c>
      <c r="F154" s="2" t="s">
        <v>74</v>
      </c>
      <c r="G154" s="2" t="s">
        <v>26</v>
      </c>
      <c r="H154" s="3">
        <v>35336</v>
      </c>
      <c r="I154" s="2" t="s">
        <v>80</v>
      </c>
      <c r="J154" s="2" t="s">
        <v>76</v>
      </c>
      <c r="K154" s="2" t="s">
        <v>29</v>
      </c>
      <c r="L154" s="2" t="s">
        <v>30</v>
      </c>
      <c r="M154" s="2">
        <v>16</v>
      </c>
      <c r="N154" s="7">
        <v>2200</v>
      </c>
      <c r="O154" s="2">
        <v>20</v>
      </c>
      <c r="P154" s="7">
        <v>28160</v>
      </c>
      <c r="Q154" s="2">
        <v>2</v>
      </c>
      <c r="R154" s="2" t="s">
        <v>65</v>
      </c>
      <c r="S154" s="2" t="s">
        <v>97</v>
      </c>
      <c r="T154" s="2" t="s">
        <v>94</v>
      </c>
      <c r="U154" s="2">
        <v>9665525431</v>
      </c>
      <c r="V154" s="2" t="s">
        <v>52</v>
      </c>
    </row>
    <row r="155" spans="1:22" x14ac:dyDescent="0.3">
      <c r="A155" s="2" t="s">
        <v>282</v>
      </c>
      <c r="B155" s="2" t="s">
        <v>127</v>
      </c>
      <c r="C155" s="2" t="s">
        <v>36</v>
      </c>
      <c r="D155" s="3">
        <v>45729</v>
      </c>
      <c r="E155" s="3">
        <v>45739</v>
      </c>
      <c r="F155" s="2" t="s">
        <v>129</v>
      </c>
      <c r="G155" s="2" t="s">
        <v>58</v>
      </c>
      <c r="H155" s="3">
        <v>35048</v>
      </c>
      <c r="I155" s="2" t="s">
        <v>80</v>
      </c>
      <c r="J155" s="2" t="s">
        <v>76</v>
      </c>
      <c r="K155" s="2" t="s">
        <v>39</v>
      </c>
      <c r="L155" s="2" t="s">
        <v>40</v>
      </c>
      <c r="M155" s="2">
        <v>15</v>
      </c>
      <c r="N155" s="7">
        <v>12000</v>
      </c>
      <c r="O155" s="2">
        <v>0</v>
      </c>
      <c r="P155" s="7">
        <v>180000</v>
      </c>
      <c r="Q155" s="2">
        <v>1</v>
      </c>
      <c r="R155" s="2" t="s">
        <v>60</v>
      </c>
      <c r="S155" s="2" t="s">
        <v>50</v>
      </c>
      <c r="T155" s="2" t="s">
        <v>131</v>
      </c>
      <c r="U155" s="2">
        <v>9682415134</v>
      </c>
      <c r="V155" s="2" t="s">
        <v>52</v>
      </c>
    </row>
    <row r="156" spans="1:22" x14ac:dyDescent="0.3">
      <c r="A156" s="2" t="s">
        <v>283</v>
      </c>
      <c r="B156" s="2" t="s">
        <v>23</v>
      </c>
      <c r="C156" s="2" t="s">
        <v>83</v>
      </c>
      <c r="D156" s="3">
        <v>45860</v>
      </c>
      <c r="E156" s="3">
        <v>45861</v>
      </c>
      <c r="F156" s="2" t="s">
        <v>25</v>
      </c>
      <c r="G156" s="2" t="s">
        <v>26</v>
      </c>
      <c r="H156" s="3">
        <v>27965</v>
      </c>
      <c r="I156" s="2" t="s">
        <v>37</v>
      </c>
      <c r="J156" s="2" t="s">
        <v>38</v>
      </c>
      <c r="K156" s="2" t="s">
        <v>84</v>
      </c>
      <c r="L156" s="2" t="s">
        <v>85</v>
      </c>
      <c r="M156" s="2">
        <v>14</v>
      </c>
      <c r="N156" s="7">
        <v>60</v>
      </c>
      <c r="O156" s="2">
        <v>15</v>
      </c>
      <c r="P156" s="7">
        <v>714</v>
      </c>
      <c r="Q156" s="2">
        <v>4</v>
      </c>
      <c r="R156" s="2" t="s">
        <v>65</v>
      </c>
      <c r="S156" s="2" t="s">
        <v>42</v>
      </c>
      <c r="T156" s="2" t="s">
        <v>43</v>
      </c>
      <c r="U156" s="2">
        <v>9808223872</v>
      </c>
      <c r="V156" s="2" t="s">
        <v>34</v>
      </c>
    </row>
    <row r="157" spans="1:22" x14ac:dyDescent="0.3">
      <c r="A157" s="2" t="s">
        <v>284</v>
      </c>
      <c r="B157" s="2" t="s">
        <v>45</v>
      </c>
      <c r="C157" s="2" t="s">
        <v>56</v>
      </c>
      <c r="D157" s="3">
        <v>45859</v>
      </c>
      <c r="E157" s="3">
        <v>45862</v>
      </c>
      <c r="F157" s="2" t="s">
        <v>102</v>
      </c>
      <c r="G157" s="2" t="s">
        <v>26</v>
      </c>
      <c r="H157" s="3">
        <v>30855</v>
      </c>
      <c r="I157" s="2" t="s">
        <v>27</v>
      </c>
      <c r="J157" s="2" t="s">
        <v>28</v>
      </c>
      <c r="K157" s="2" t="s">
        <v>39</v>
      </c>
      <c r="L157" s="2" t="s">
        <v>59</v>
      </c>
      <c r="M157" s="2">
        <v>9</v>
      </c>
      <c r="N157" s="7">
        <v>1200</v>
      </c>
      <c r="O157" s="2">
        <v>5</v>
      </c>
      <c r="P157" s="7">
        <v>10260</v>
      </c>
      <c r="Q157" s="2">
        <v>5</v>
      </c>
      <c r="R157" s="2" t="s">
        <v>41</v>
      </c>
      <c r="S157" s="2" t="s">
        <v>50</v>
      </c>
      <c r="T157" s="2" t="s">
        <v>51</v>
      </c>
      <c r="U157" s="2">
        <v>9193549730</v>
      </c>
      <c r="V157" s="2" t="s">
        <v>52</v>
      </c>
    </row>
    <row r="158" spans="1:22" x14ac:dyDescent="0.3">
      <c r="A158" s="2" t="s">
        <v>285</v>
      </c>
      <c r="B158" s="2" t="s">
        <v>127</v>
      </c>
      <c r="C158" s="2" t="s">
        <v>56</v>
      </c>
      <c r="D158" s="3">
        <v>45857</v>
      </c>
      <c r="E158" s="3">
        <v>45867</v>
      </c>
      <c r="F158" s="2" t="s">
        <v>129</v>
      </c>
      <c r="G158" s="2" t="s">
        <v>58</v>
      </c>
      <c r="H158" s="3">
        <v>36013</v>
      </c>
      <c r="I158" s="2" t="s">
        <v>151</v>
      </c>
      <c r="J158" s="2" t="s">
        <v>152</v>
      </c>
      <c r="K158" s="2" t="s">
        <v>39</v>
      </c>
      <c r="L158" s="2" t="s">
        <v>59</v>
      </c>
      <c r="M158" s="2">
        <v>3</v>
      </c>
      <c r="N158" s="7">
        <v>1200</v>
      </c>
      <c r="O158" s="2">
        <v>10</v>
      </c>
      <c r="P158" s="7">
        <v>3240</v>
      </c>
      <c r="Q158" s="2">
        <v>2</v>
      </c>
      <c r="R158" s="2" t="s">
        <v>60</v>
      </c>
      <c r="S158" s="2" t="s">
        <v>97</v>
      </c>
      <c r="T158" s="2" t="s">
        <v>131</v>
      </c>
      <c r="U158" s="2">
        <v>9520617130</v>
      </c>
      <c r="V158" s="2" t="s">
        <v>53</v>
      </c>
    </row>
    <row r="159" spans="1:22" x14ac:dyDescent="0.3">
      <c r="A159" s="2" t="s">
        <v>286</v>
      </c>
      <c r="B159" s="2" t="s">
        <v>160</v>
      </c>
      <c r="C159" s="2" t="s">
        <v>83</v>
      </c>
      <c r="D159" s="3">
        <v>45757</v>
      </c>
      <c r="E159" s="3">
        <v>45759</v>
      </c>
      <c r="F159" s="2" t="s">
        <v>179</v>
      </c>
      <c r="G159" s="2" t="s">
        <v>58</v>
      </c>
      <c r="H159" s="3">
        <v>37060</v>
      </c>
      <c r="I159" s="2" t="s">
        <v>27</v>
      </c>
      <c r="J159" s="2" t="s">
        <v>28</v>
      </c>
      <c r="K159" s="2" t="s">
        <v>84</v>
      </c>
      <c r="L159" s="2" t="s">
        <v>85</v>
      </c>
      <c r="M159" s="2">
        <v>2</v>
      </c>
      <c r="N159" s="7">
        <v>60</v>
      </c>
      <c r="O159" s="2">
        <v>10</v>
      </c>
      <c r="P159" s="7">
        <v>108</v>
      </c>
      <c r="Q159" s="2">
        <v>2</v>
      </c>
      <c r="R159" s="2" t="s">
        <v>65</v>
      </c>
      <c r="S159" s="2" t="s">
        <v>50</v>
      </c>
      <c r="T159" s="2" t="s">
        <v>162</v>
      </c>
      <c r="U159" s="2">
        <v>9264578122</v>
      </c>
      <c r="V159" s="2" t="s">
        <v>34</v>
      </c>
    </row>
    <row r="160" spans="1:22" x14ac:dyDescent="0.3">
      <c r="A160" s="2" t="s">
        <v>287</v>
      </c>
      <c r="B160" s="2" t="s">
        <v>55</v>
      </c>
      <c r="C160" s="2" t="s">
        <v>68</v>
      </c>
      <c r="D160" s="3">
        <v>46155</v>
      </c>
      <c r="E160" s="3">
        <v>46165</v>
      </c>
      <c r="F160" s="2" t="s">
        <v>125</v>
      </c>
      <c r="G160" s="2" t="s">
        <v>58</v>
      </c>
      <c r="H160" s="3">
        <v>36414</v>
      </c>
      <c r="I160" s="2" t="s">
        <v>37</v>
      </c>
      <c r="J160" s="2" t="s">
        <v>38</v>
      </c>
      <c r="K160" s="2" t="s">
        <v>29</v>
      </c>
      <c r="L160" s="2" t="s">
        <v>71</v>
      </c>
      <c r="M160" s="2">
        <v>9</v>
      </c>
      <c r="N160" s="7">
        <v>3500</v>
      </c>
      <c r="O160" s="2">
        <v>20</v>
      </c>
      <c r="P160" s="7">
        <v>25200</v>
      </c>
      <c r="Q160" s="2">
        <v>1</v>
      </c>
      <c r="R160" s="2" t="s">
        <v>41</v>
      </c>
      <c r="S160" s="2" t="s">
        <v>32</v>
      </c>
      <c r="T160" s="2" t="s">
        <v>61</v>
      </c>
      <c r="U160" s="2">
        <v>9275071213</v>
      </c>
      <c r="V160" s="2" t="s">
        <v>34</v>
      </c>
    </row>
    <row r="161" spans="1:22" x14ac:dyDescent="0.3">
      <c r="A161" s="2" t="s">
        <v>288</v>
      </c>
      <c r="B161" s="2" t="s">
        <v>127</v>
      </c>
      <c r="C161" s="2" t="s">
        <v>46</v>
      </c>
      <c r="D161" s="3">
        <v>46094</v>
      </c>
      <c r="E161" s="3">
        <v>46097</v>
      </c>
      <c r="F161" s="2" t="s">
        <v>129</v>
      </c>
      <c r="G161" s="2" t="s">
        <v>58</v>
      </c>
      <c r="H161" s="3">
        <v>35040</v>
      </c>
      <c r="I161" s="2" t="s">
        <v>123</v>
      </c>
      <c r="J161" s="2" t="s">
        <v>38</v>
      </c>
      <c r="K161" s="2" t="s">
        <v>39</v>
      </c>
      <c r="L161" s="2" t="s">
        <v>49</v>
      </c>
      <c r="M161" s="2">
        <v>4</v>
      </c>
      <c r="N161" s="7">
        <v>55000</v>
      </c>
      <c r="O161" s="2">
        <v>5</v>
      </c>
      <c r="P161" s="7">
        <v>209000</v>
      </c>
      <c r="Q161" s="2">
        <v>2</v>
      </c>
      <c r="R161" s="2" t="s">
        <v>31</v>
      </c>
      <c r="S161" s="2" t="s">
        <v>97</v>
      </c>
      <c r="T161" s="2" t="s">
        <v>131</v>
      </c>
      <c r="U161" s="2">
        <v>9715222543</v>
      </c>
      <c r="V161" s="2" t="s">
        <v>52</v>
      </c>
    </row>
    <row r="162" spans="1:22" x14ac:dyDescent="0.3">
      <c r="A162" s="2" t="s">
        <v>289</v>
      </c>
      <c r="B162" s="2" t="s">
        <v>160</v>
      </c>
      <c r="C162" s="2" t="s">
        <v>113</v>
      </c>
      <c r="D162" s="3">
        <v>45835</v>
      </c>
      <c r="E162" s="3">
        <v>45839</v>
      </c>
      <c r="F162" s="2" t="s">
        <v>290</v>
      </c>
      <c r="G162" s="2" t="s">
        <v>58</v>
      </c>
      <c r="H162" s="3">
        <v>36363</v>
      </c>
      <c r="I162" s="2" t="s">
        <v>37</v>
      </c>
      <c r="J162" s="2" t="s">
        <v>38</v>
      </c>
      <c r="K162" s="2" t="s">
        <v>39</v>
      </c>
      <c r="L162" s="2" t="s">
        <v>115</v>
      </c>
      <c r="M162" s="2">
        <v>11</v>
      </c>
      <c r="N162" s="7">
        <v>700</v>
      </c>
      <c r="O162" s="2">
        <v>20</v>
      </c>
      <c r="P162" s="7">
        <v>6160</v>
      </c>
      <c r="Q162" s="2">
        <v>4</v>
      </c>
      <c r="R162" s="2" t="s">
        <v>31</v>
      </c>
      <c r="S162" s="2" t="s">
        <v>97</v>
      </c>
      <c r="T162" s="2" t="s">
        <v>162</v>
      </c>
      <c r="U162" s="2">
        <v>9942010833</v>
      </c>
      <c r="V162" s="2" t="s">
        <v>53</v>
      </c>
    </row>
    <row r="163" spans="1:22" x14ac:dyDescent="0.3">
      <c r="A163" s="2" t="s">
        <v>291</v>
      </c>
      <c r="B163" s="2" t="s">
        <v>105</v>
      </c>
      <c r="C163" s="2" t="s">
        <v>56</v>
      </c>
      <c r="D163" s="3">
        <v>45980</v>
      </c>
      <c r="E163" s="3">
        <v>45990</v>
      </c>
      <c r="F163" s="2" t="s">
        <v>170</v>
      </c>
      <c r="G163" s="2" t="s">
        <v>26</v>
      </c>
      <c r="H163" s="3">
        <v>36844</v>
      </c>
      <c r="I163" s="2" t="s">
        <v>151</v>
      </c>
      <c r="J163" s="2" t="s">
        <v>152</v>
      </c>
      <c r="K163" s="2" t="s">
        <v>39</v>
      </c>
      <c r="L163" s="2" t="s">
        <v>59</v>
      </c>
      <c r="M163" s="2">
        <v>16</v>
      </c>
      <c r="N163" s="7">
        <v>1200</v>
      </c>
      <c r="O163" s="2">
        <v>5</v>
      </c>
      <c r="P163" s="7">
        <v>18240</v>
      </c>
      <c r="Q163" s="2">
        <v>1</v>
      </c>
      <c r="R163" s="2" t="s">
        <v>60</v>
      </c>
      <c r="S163" s="2" t="s">
        <v>32</v>
      </c>
      <c r="T163" s="2" t="s">
        <v>109</v>
      </c>
      <c r="U163" s="2">
        <v>9347718932</v>
      </c>
      <c r="V163" s="2" t="s">
        <v>52</v>
      </c>
    </row>
    <row r="164" spans="1:22" x14ac:dyDescent="0.3">
      <c r="A164" s="2" t="s">
        <v>292</v>
      </c>
      <c r="B164" s="2" t="s">
        <v>105</v>
      </c>
      <c r="C164" s="2" t="s">
        <v>56</v>
      </c>
      <c r="D164" s="3">
        <v>45915</v>
      </c>
      <c r="E164" s="3">
        <v>45917</v>
      </c>
      <c r="F164" s="2" t="s">
        <v>170</v>
      </c>
      <c r="G164" s="2" t="s">
        <v>26</v>
      </c>
      <c r="H164" s="3">
        <v>37461</v>
      </c>
      <c r="I164" s="2" t="s">
        <v>80</v>
      </c>
      <c r="J164" s="2" t="s">
        <v>76</v>
      </c>
      <c r="K164" s="2" t="s">
        <v>39</v>
      </c>
      <c r="L164" s="2" t="s">
        <v>59</v>
      </c>
      <c r="M164" s="2">
        <v>1</v>
      </c>
      <c r="N164" s="7">
        <v>1200</v>
      </c>
      <c r="O164" s="2">
        <v>5</v>
      </c>
      <c r="P164" s="7">
        <v>1140</v>
      </c>
      <c r="Q164" s="2">
        <v>4</v>
      </c>
      <c r="R164" s="2" t="s">
        <v>60</v>
      </c>
      <c r="S164" s="2" t="s">
        <v>32</v>
      </c>
      <c r="T164" s="2" t="s">
        <v>109</v>
      </c>
      <c r="U164" s="2">
        <v>9274808844</v>
      </c>
      <c r="V164" s="2" t="s">
        <v>34</v>
      </c>
    </row>
    <row r="165" spans="1:22" x14ac:dyDescent="0.3">
      <c r="A165" s="2" t="s">
        <v>293</v>
      </c>
      <c r="B165" s="2" t="s">
        <v>160</v>
      </c>
      <c r="C165" s="2" t="s">
        <v>83</v>
      </c>
      <c r="D165" s="3">
        <v>45965</v>
      </c>
      <c r="E165" s="3">
        <v>45974</v>
      </c>
      <c r="F165" s="2" t="s">
        <v>290</v>
      </c>
      <c r="G165" s="2" t="s">
        <v>58</v>
      </c>
      <c r="H165" s="3">
        <v>37312</v>
      </c>
      <c r="I165" s="2" t="s">
        <v>123</v>
      </c>
      <c r="J165" s="2" t="s">
        <v>38</v>
      </c>
      <c r="K165" s="2" t="s">
        <v>84</v>
      </c>
      <c r="L165" s="2" t="s">
        <v>85</v>
      </c>
      <c r="M165" s="2">
        <v>7</v>
      </c>
      <c r="N165" s="7">
        <v>60</v>
      </c>
      <c r="O165" s="2">
        <v>0</v>
      </c>
      <c r="P165" s="7">
        <v>420</v>
      </c>
      <c r="Q165" s="2">
        <v>2</v>
      </c>
      <c r="R165" s="2" t="s">
        <v>65</v>
      </c>
      <c r="S165" s="2" t="s">
        <v>97</v>
      </c>
      <c r="T165" s="2" t="s">
        <v>162</v>
      </c>
      <c r="U165" s="2">
        <v>9798996063</v>
      </c>
      <c r="V165" s="2" t="s">
        <v>34</v>
      </c>
    </row>
    <row r="166" spans="1:22" x14ac:dyDescent="0.3">
      <c r="A166" s="2" t="s">
        <v>294</v>
      </c>
      <c r="B166" s="2" t="s">
        <v>105</v>
      </c>
      <c r="C166" s="2" t="s">
        <v>24</v>
      </c>
      <c r="D166" s="3">
        <v>45660</v>
      </c>
      <c r="E166" s="3">
        <v>45664</v>
      </c>
      <c r="F166" s="2" t="s">
        <v>170</v>
      </c>
      <c r="G166" s="2" t="s">
        <v>26</v>
      </c>
      <c r="H166" s="3">
        <v>29418</v>
      </c>
      <c r="I166" s="2" t="s">
        <v>80</v>
      </c>
      <c r="J166" s="2" t="s">
        <v>76</v>
      </c>
      <c r="K166" s="2" t="s">
        <v>29</v>
      </c>
      <c r="L166" s="2" t="s">
        <v>30</v>
      </c>
      <c r="M166" s="2">
        <v>14</v>
      </c>
      <c r="N166" s="7">
        <v>2200</v>
      </c>
      <c r="O166" s="2">
        <v>0</v>
      </c>
      <c r="P166" s="7">
        <v>30800</v>
      </c>
      <c r="Q166" s="2">
        <v>2</v>
      </c>
      <c r="R166" s="2" t="s">
        <v>65</v>
      </c>
      <c r="S166" s="2" t="s">
        <v>32</v>
      </c>
      <c r="T166" s="2" t="s">
        <v>109</v>
      </c>
      <c r="U166" s="2">
        <v>9145200936</v>
      </c>
      <c r="V166" s="2" t="s">
        <v>53</v>
      </c>
    </row>
    <row r="167" spans="1:22" x14ac:dyDescent="0.3">
      <c r="A167" s="2" t="s">
        <v>295</v>
      </c>
      <c r="B167" s="2" t="s">
        <v>105</v>
      </c>
      <c r="C167" s="2" t="s">
        <v>68</v>
      </c>
      <c r="D167" s="3">
        <v>45827</v>
      </c>
      <c r="E167" s="3">
        <v>45835</v>
      </c>
      <c r="F167" s="2" t="s">
        <v>170</v>
      </c>
      <c r="G167" s="2" t="s">
        <v>26</v>
      </c>
      <c r="H167" s="3">
        <v>35210</v>
      </c>
      <c r="I167" s="2" t="s">
        <v>92</v>
      </c>
      <c r="J167" s="2" t="s">
        <v>76</v>
      </c>
      <c r="K167" s="2" t="s">
        <v>29</v>
      </c>
      <c r="L167" s="2" t="s">
        <v>71</v>
      </c>
      <c r="M167" s="2">
        <v>15</v>
      </c>
      <c r="N167" s="7">
        <v>3500</v>
      </c>
      <c r="O167" s="2">
        <v>15</v>
      </c>
      <c r="P167" s="7">
        <v>44625</v>
      </c>
      <c r="Q167" s="2">
        <v>2</v>
      </c>
      <c r="R167" s="2" t="s">
        <v>65</v>
      </c>
      <c r="S167" s="2" t="s">
        <v>50</v>
      </c>
      <c r="T167" s="2" t="s">
        <v>109</v>
      </c>
      <c r="U167" s="2">
        <v>9697654418</v>
      </c>
      <c r="V167" s="2" t="s">
        <v>52</v>
      </c>
    </row>
    <row r="168" spans="1:22" x14ac:dyDescent="0.3">
      <c r="A168" s="2" t="s">
        <v>296</v>
      </c>
      <c r="B168" s="2" t="s">
        <v>88</v>
      </c>
      <c r="C168" s="2" t="s">
        <v>68</v>
      </c>
      <c r="D168" s="3">
        <v>45742</v>
      </c>
      <c r="E168" s="3">
        <v>45753</v>
      </c>
      <c r="F168" s="2" t="s">
        <v>119</v>
      </c>
      <c r="G168" s="2" t="s">
        <v>58</v>
      </c>
      <c r="H168" s="3">
        <v>31543</v>
      </c>
      <c r="I168" s="2" t="s">
        <v>151</v>
      </c>
      <c r="J168" s="2" t="s">
        <v>152</v>
      </c>
      <c r="K168" s="2" t="s">
        <v>29</v>
      </c>
      <c r="L168" s="2" t="s">
        <v>71</v>
      </c>
      <c r="M168" s="2">
        <v>19</v>
      </c>
      <c r="N168" s="7">
        <v>3500</v>
      </c>
      <c r="O168" s="2">
        <v>5</v>
      </c>
      <c r="P168" s="7">
        <v>63175</v>
      </c>
      <c r="Q168" s="2">
        <v>2</v>
      </c>
      <c r="R168" s="2" t="s">
        <v>31</v>
      </c>
      <c r="S168" s="2" t="s">
        <v>81</v>
      </c>
      <c r="T168" s="2" t="s">
        <v>90</v>
      </c>
      <c r="U168" s="2">
        <v>9457923119</v>
      </c>
      <c r="V168" s="2" t="s">
        <v>53</v>
      </c>
    </row>
    <row r="169" spans="1:22" x14ac:dyDescent="0.3">
      <c r="A169" s="2" t="s">
        <v>297</v>
      </c>
      <c r="B169" s="2" t="s">
        <v>160</v>
      </c>
      <c r="C169" s="2" t="s">
        <v>46</v>
      </c>
      <c r="D169" s="3">
        <v>45844</v>
      </c>
      <c r="E169" s="3">
        <v>45848</v>
      </c>
      <c r="F169" s="2" t="s">
        <v>179</v>
      </c>
      <c r="G169" s="2" t="s">
        <v>58</v>
      </c>
      <c r="H169" s="3">
        <v>32653</v>
      </c>
      <c r="I169" s="2" t="s">
        <v>48</v>
      </c>
      <c r="J169" s="2" t="s">
        <v>28</v>
      </c>
      <c r="K169" s="2" t="s">
        <v>39</v>
      </c>
      <c r="L169" s="2" t="s">
        <v>49</v>
      </c>
      <c r="M169" s="2">
        <v>12</v>
      </c>
      <c r="N169" s="7">
        <v>55000</v>
      </c>
      <c r="O169" s="2">
        <v>5</v>
      </c>
      <c r="P169" s="7">
        <v>627000</v>
      </c>
      <c r="Q169" s="2">
        <v>4</v>
      </c>
      <c r="R169" s="2" t="s">
        <v>60</v>
      </c>
      <c r="S169" s="2" t="s">
        <v>50</v>
      </c>
      <c r="T169" s="2" t="s">
        <v>162</v>
      </c>
      <c r="U169" s="2">
        <v>9236111271</v>
      </c>
      <c r="V169" s="2" t="s">
        <v>53</v>
      </c>
    </row>
    <row r="170" spans="1:22" x14ac:dyDescent="0.3">
      <c r="A170" s="2" t="s">
        <v>298</v>
      </c>
      <c r="B170" s="2" t="s">
        <v>45</v>
      </c>
      <c r="C170" s="2" t="s">
        <v>56</v>
      </c>
      <c r="D170" s="3">
        <v>46040</v>
      </c>
      <c r="E170" s="3">
        <v>46048</v>
      </c>
      <c r="F170" s="2" t="s">
        <v>102</v>
      </c>
      <c r="G170" s="2" t="s">
        <v>26</v>
      </c>
      <c r="H170" s="3">
        <v>32745</v>
      </c>
      <c r="I170" s="2" t="s">
        <v>75</v>
      </c>
      <c r="J170" s="2" t="s">
        <v>76</v>
      </c>
      <c r="K170" s="2" t="s">
        <v>39</v>
      </c>
      <c r="L170" s="2" t="s">
        <v>59</v>
      </c>
      <c r="M170" s="2">
        <v>6</v>
      </c>
      <c r="N170" s="7">
        <v>1200</v>
      </c>
      <c r="O170" s="2">
        <v>10</v>
      </c>
      <c r="P170" s="7">
        <v>6480</v>
      </c>
      <c r="Q170" s="2">
        <v>5</v>
      </c>
      <c r="R170" s="2" t="s">
        <v>41</v>
      </c>
      <c r="S170" s="2" t="s">
        <v>81</v>
      </c>
      <c r="T170" s="2" t="s">
        <v>51</v>
      </c>
      <c r="U170" s="2">
        <v>9402569141</v>
      </c>
      <c r="V170" s="2" t="s">
        <v>53</v>
      </c>
    </row>
    <row r="171" spans="1:22" x14ac:dyDescent="0.3">
      <c r="A171" s="2" t="s">
        <v>299</v>
      </c>
      <c r="B171" s="2" t="s">
        <v>137</v>
      </c>
      <c r="C171" s="2" t="s">
        <v>106</v>
      </c>
      <c r="D171" s="3">
        <v>45919</v>
      </c>
      <c r="E171" s="3">
        <v>45920</v>
      </c>
      <c r="F171" s="2" t="s">
        <v>138</v>
      </c>
      <c r="G171" s="2" t="s">
        <v>26</v>
      </c>
      <c r="H171" s="3">
        <v>35570</v>
      </c>
      <c r="I171" s="2" t="s">
        <v>27</v>
      </c>
      <c r="J171" s="2" t="s">
        <v>28</v>
      </c>
      <c r="K171" s="2" t="s">
        <v>29</v>
      </c>
      <c r="L171" s="2" t="s">
        <v>108</v>
      </c>
      <c r="M171" s="2">
        <v>1</v>
      </c>
      <c r="N171" s="7">
        <v>8500</v>
      </c>
      <c r="O171" s="2">
        <v>0</v>
      </c>
      <c r="P171" s="7">
        <v>8500</v>
      </c>
      <c r="Q171" s="2">
        <v>1</v>
      </c>
      <c r="R171" s="2" t="s">
        <v>65</v>
      </c>
      <c r="S171" s="2" t="s">
        <v>97</v>
      </c>
      <c r="T171" s="2" t="s">
        <v>139</v>
      </c>
      <c r="U171" s="2">
        <v>9138184056</v>
      </c>
      <c r="V171" s="2" t="s">
        <v>53</v>
      </c>
    </row>
    <row r="172" spans="1:22" x14ac:dyDescent="0.3">
      <c r="A172" s="2" t="s">
        <v>300</v>
      </c>
      <c r="B172" s="2" t="s">
        <v>88</v>
      </c>
      <c r="C172" s="2" t="s">
        <v>46</v>
      </c>
      <c r="D172" s="3">
        <v>46113</v>
      </c>
      <c r="E172" s="3">
        <v>46119</v>
      </c>
      <c r="F172" s="2" t="s">
        <v>119</v>
      </c>
      <c r="G172" s="2" t="s">
        <v>58</v>
      </c>
      <c r="H172" s="3">
        <v>31900</v>
      </c>
      <c r="I172" s="2" t="s">
        <v>92</v>
      </c>
      <c r="J172" s="2" t="s">
        <v>76</v>
      </c>
      <c r="K172" s="2" t="s">
        <v>39</v>
      </c>
      <c r="L172" s="2" t="s">
        <v>49</v>
      </c>
      <c r="M172" s="2">
        <v>20</v>
      </c>
      <c r="N172" s="7">
        <v>55000</v>
      </c>
      <c r="O172" s="2">
        <v>10</v>
      </c>
      <c r="P172" s="7">
        <v>990000</v>
      </c>
      <c r="Q172" s="2">
        <v>5</v>
      </c>
      <c r="R172" s="2" t="s">
        <v>41</v>
      </c>
      <c r="S172" s="2" t="s">
        <v>97</v>
      </c>
      <c r="T172" s="2" t="s">
        <v>90</v>
      </c>
      <c r="U172" s="2">
        <v>9609598700</v>
      </c>
      <c r="V172" s="2" t="s">
        <v>34</v>
      </c>
    </row>
    <row r="173" spans="1:22" x14ac:dyDescent="0.3">
      <c r="A173" s="2" t="s">
        <v>301</v>
      </c>
      <c r="B173" s="2" t="s">
        <v>127</v>
      </c>
      <c r="C173" s="2" t="s">
        <v>56</v>
      </c>
      <c r="D173" s="3">
        <v>45958</v>
      </c>
      <c r="E173" s="3">
        <v>45959</v>
      </c>
      <c r="F173" s="2" t="s">
        <v>129</v>
      </c>
      <c r="G173" s="2" t="s">
        <v>58</v>
      </c>
      <c r="H173" s="3">
        <v>37592</v>
      </c>
      <c r="I173" s="2" t="s">
        <v>92</v>
      </c>
      <c r="J173" s="2" t="s">
        <v>76</v>
      </c>
      <c r="K173" s="2" t="s">
        <v>39</v>
      </c>
      <c r="L173" s="2" t="s">
        <v>59</v>
      </c>
      <c r="M173" s="2">
        <v>8</v>
      </c>
      <c r="N173" s="7">
        <v>1200</v>
      </c>
      <c r="O173" s="2">
        <v>15</v>
      </c>
      <c r="P173" s="7">
        <v>8160</v>
      </c>
      <c r="Q173" s="2">
        <v>2</v>
      </c>
      <c r="R173" s="2" t="s">
        <v>65</v>
      </c>
      <c r="S173" s="2" t="s">
        <v>81</v>
      </c>
      <c r="T173" s="2" t="s">
        <v>131</v>
      </c>
      <c r="U173" s="2">
        <v>9385894399</v>
      </c>
      <c r="V173" s="2" t="s">
        <v>53</v>
      </c>
    </row>
    <row r="174" spans="1:22" x14ac:dyDescent="0.3">
      <c r="A174" s="2" t="s">
        <v>302</v>
      </c>
      <c r="B174" s="2" t="s">
        <v>23</v>
      </c>
      <c r="C174" s="2" t="s">
        <v>68</v>
      </c>
      <c r="D174" s="3">
        <v>45694</v>
      </c>
      <c r="E174" s="3">
        <v>45705</v>
      </c>
      <c r="F174" s="2" t="s">
        <v>25</v>
      </c>
      <c r="G174" s="2" t="s">
        <v>26</v>
      </c>
      <c r="H174" s="3">
        <v>31557</v>
      </c>
      <c r="I174" s="2" t="s">
        <v>123</v>
      </c>
      <c r="J174" s="2" t="s">
        <v>38</v>
      </c>
      <c r="K174" s="2" t="s">
        <v>29</v>
      </c>
      <c r="L174" s="2" t="s">
        <v>71</v>
      </c>
      <c r="M174" s="2">
        <v>19</v>
      </c>
      <c r="N174" s="7">
        <v>3500</v>
      </c>
      <c r="O174" s="2">
        <v>5</v>
      </c>
      <c r="P174" s="7">
        <v>63175</v>
      </c>
      <c r="Q174" s="2">
        <v>4</v>
      </c>
      <c r="R174" s="2" t="s">
        <v>65</v>
      </c>
      <c r="S174" s="2" t="s">
        <v>42</v>
      </c>
      <c r="T174" s="2" t="s">
        <v>43</v>
      </c>
      <c r="U174" s="2">
        <v>9329448011</v>
      </c>
      <c r="V174" s="2" t="s">
        <v>52</v>
      </c>
    </row>
    <row r="175" spans="1:22" x14ac:dyDescent="0.3">
      <c r="A175" s="2" t="s">
        <v>303</v>
      </c>
      <c r="B175" s="2" t="s">
        <v>127</v>
      </c>
      <c r="C175" s="2" t="s">
        <v>141</v>
      </c>
      <c r="D175" s="3">
        <v>45774</v>
      </c>
      <c r="E175" s="3">
        <v>45776</v>
      </c>
      <c r="F175" s="2" t="s">
        <v>304</v>
      </c>
      <c r="G175" s="2" t="s">
        <v>58</v>
      </c>
      <c r="H175" s="3">
        <v>31465</v>
      </c>
      <c r="I175" s="2" t="s">
        <v>123</v>
      </c>
      <c r="J175" s="2" t="s">
        <v>38</v>
      </c>
      <c r="K175" s="2" t="s">
        <v>84</v>
      </c>
      <c r="L175" s="2" t="s">
        <v>142</v>
      </c>
      <c r="M175" s="2">
        <v>6</v>
      </c>
      <c r="N175" s="7">
        <v>45</v>
      </c>
      <c r="O175" s="2">
        <v>20</v>
      </c>
      <c r="P175" s="7">
        <v>216</v>
      </c>
      <c r="Q175" s="2">
        <v>1</v>
      </c>
      <c r="R175" s="2" t="s">
        <v>60</v>
      </c>
      <c r="S175" s="2" t="s">
        <v>42</v>
      </c>
      <c r="T175" s="2" t="s">
        <v>305</v>
      </c>
      <c r="U175" s="2">
        <v>9889544104</v>
      </c>
      <c r="V175" s="2" t="s">
        <v>52</v>
      </c>
    </row>
    <row r="176" spans="1:22" x14ac:dyDescent="0.3">
      <c r="A176" s="2" t="s">
        <v>306</v>
      </c>
      <c r="B176" s="2" t="s">
        <v>137</v>
      </c>
      <c r="C176" s="2" t="s">
        <v>141</v>
      </c>
      <c r="D176" s="3">
        <v>45730</v>
      </c>
      <c r="E176" s="3">
        <v>45741</v>
      </c>
      <c r="F176" s="2" t="s">
        <v>138</v>
      </c>
      <c r="G176" s="2" t="s">
        <v>26</v>
      </c>
      <c r="H176" s="3">
        <v>32240</v>
      </c>
      <c r="I176" s="2" t="s">
        <v>80</v>
      </c>
      <c r="J176" s="2" t="s">
        <v>76</v>
      </c>
      <c r="K176" s="2" t="s">
        <v>84</v>
      </c>
      <c r="L176" s="2" t="s">
        <v>142</v>
      </c>
      <c r="M176" s="2">
        <v>17</v>
      </c>
      <c r="N176" s="7">
        <v>45</v>
      </c>
      <c r="O176" s="2">
        <v>15</v>
      </c>
      <c r="P176" s="7">
        <v>650.25</v>
      </c>
      <c r="Q176" s="2">
        <v>5</v>
      </c>
      <c r="R176" s="2" t="s">
        <v>31</v>
      </c>
      <c r="S176" s="2" t="s">
        <v>81</v>
      </c>
      <c r="T176" s="2" t="s">
        <v>139</v>
      </c>
      <c r="U176" s="2">
        <v>9101861045</v>
      </c>
      <c r="V176" s="2" t="s">
        <v>52</v>
      </c>
    </row>
    <row r="177" spans="1:22" x14ac:dyDescent="0.3">
      <c r="A177" s="2" t="s">
        <v>307</v>
      </c>
      <c r="B177" s="2" t="s">
        <v>23</v>
      </c>
      <c r="C177" s="2" t="s">
        <v>128</v>
      </c>
      <c r="D177" s="3">
        <v>45842</v>
      </c>
      <c r="E177" s="3">
        <v>45854</v>
      </c>
      <c r="F177" s="2" t="s">
        <v>25</v>
      </c>
      <c r="G177" s="2" t="s">
        <v>26</v>
      </c>
      <c r="H177" s="3">
        <v>34147</v>
      </c>
      <c r="I177" s="2" t="s">
        <v>80</v>
      </c>
      <c r="J177" s="2" t="s">
        <v>76</v>
      </c>
      <c r="K177" s="2" t="s">
        <v>84</v>
      </c>
      <c r="L177" s="2" t="s">
        <v>130</v>
      </c>
      <c r="M177" s="2">
        <v>19</v>
      </c>
      <c r="N177" s="7">
        <v>20</v>
      </c>
      <c r="O177" s="2">
        <v>5</v>
      </c>
      <c r="P177" s="7">
        <v>361</v>
      </c>
      <c r="Q177" s="2">
        <v>4</v>
      </c>
      <c r="R177" s="2" t="s">
        <v>31</v>
      </c>
      <c r="S177" s="2" t="s">
        <v>32</v>
      </c>
      <c r="T177" s="2" t="s">
        <v>43</v>
      </c>
      <c r="U177" s="2">
        <v>9364712105</v>
      </c>
      <c r="V177" s="2" t="s">
        <v>52</v>
      </c>
    </row>
    <row r="178" spans="1:22" x14ac:dyDescent="0.3">
      <c r="A178" s="2" t="s">
        <v>308</v>
      </c>
      <c r="B178" s="2" t="s">
        <v>137</v>
      </c>
      <c r="C178" s="2" t="s">
        <v>128</v>
      </c>
      <c r="D178" s="3">
        <v>45993</v>
      </c>
      <c r="E178" s="3">
        <v>45994</v>
      </c>
      <c r="F178" s="2" t="s">
        <v>309</v>
      </c>
      <c r="G178" s="2" t="s">
        <v>26</v>
      </c>
      <c r="H178" s="3">
        <v>38156</v>
      </c>
      <c r="I178" s="2" t="s">
        <v>92</v>
      </c>
      <c r="J178" s="2" t="s">
        <v>76</v>
      </c>
      <c r="K178" s="2" t="s">
        <v>84</v>
      </c>
      <c r="L178" s="2" t="s">
        <v>130</v>
      </c>
      <c r="M178" s="2">
        <v>11</v>
      </c>
      <c r="N178" s="7">
        <v>20</v>
      </c>
      <c r="O178" s="2">
        <v>0</v>
      </c>
      <c r="P178" s="7">
        <v>220</v>
      </c>
      <c r="Q178" s="2">
        <v>3</v>
      </c>
      <c r="R178" s="2" t="s">
        <v>41</v>
      </c>
      <c r="S178" s="2" t="s">
        <v>42</v>
      </c>
      <c r="T178" s="2" t="s">
        <v>139</v>
      </c>
      <c r="U178" s="2">
        <v>9950206376</v>
      </c>
      <c r="V178" s="2" t="s">
        <v>34</v>
      </c>
    </row>
    <row r="179" spans="1:22" x14ac:dyDescent="0.3">
      <c r="A179" s="2" t="s">
        <v>310</v>
      </c>
      <c r="B179" s="2" t="s">
        <v>105</v>
      </c>
      <c r="C179" s="2" t="s">
        <v>83</v>
      </c>
      <c r="D179" s="3">
        <v>46067</v>
      </c>
      <c r="E179" s="3">
        <v>46074</v>
      </c>
      <c r="F179" s="2" t="s">
        <v>170</v>
      </c>
      <c r="G179" s="2" t="s">
        <v>26</v>
      </c>
      <c r="H179" s="3">
        <v>34221</v>
      </c>
      <c r="I179" s="2" t="s">
        <v>37</v>
      </c>
      <c r="J179" s="2" t="s">
        <v>38</v>
      </c>
      <c r="K179" s="2" t="s">
        <v>84</v>
      </c>
      <c r="L179" s="2" t="s">
        <v>85</v>
      </c>
      <c r="M179" s="2">
        <v>12</v>
      </c>
      <c r="N179" s="7">
        <v>60</v>
      </c>
      <c r="O179" s="2">
        <v>0</v>
      </c>
      <c r="P179" s="7">
        <v>720</v>
      </c>
      <c r="Q179" s="2">
        <v>2</v>
      </c>
      <c r="R179" s="2" t="s">
        <v>41</v>
      </c>
      <c r="S179" s="2" t="s">
        <v>42</v>
      </c>
      <c r="T179" s="2" t="s">
        <v>109</v>
      </c>
      <c r="U179" s="2">
        <v>9235822094</v>
      </c>
      <c r="V179" s="2" t="s">
        <v>34</v>
      </c>
    </row>
    <row r="180" spans="1:22" x14ac:dyDescent="0.3">
      <c r="A180" s="2" t="s">
        <v>311</v>
      </c>
      <c r="B180" s="2" t="s">
        <v>127</v>
      </c>
      <c r="C180" s="2" t="s">
        <v>141</v>
      </c>
      <c r="D180" s="3">
        <v>45970</v>
      </c>
      <c r="E180" s="3">
        <v>45974</v>
      </c>
      <c r="F180" s="2" t="s">
        <v>312</v>
      </c>
      <c r="G180" s="2" t="s">
        <v>58</v>
      </c>
      <c r="H180" s="3">
        <v>37147</v>
      </c>
      <c r="I180" s="2" t="s">
        <v>151</v>
      </c>
      <c r="J180" s="2" t="s">
        <v>152</v>
      </c>
      <c r="K180" s="2" t="s">
        <v>84</v>
      </c>
      <c r="L180" s="2" t="s">
        <v>142</v>
      </c>
      <c r="M180" s="2">
        <v>14</v>
      </c>
      <c r="N180" s="7">
        <v>45</v>
      </c>
      <c r="O180" s="2">
        <v>15</v>
      </c>
      <c r="P180" s="7">
        <v>535.5</v>
      </c>
      <c r="Q180" s="2">
        <v>5</v>
      </c>
      <c r="R180" s="2" t="s">
        <v>65</v>
      </c>
      <c r="S180" s="2" t="s">
        <v>81</v>
      </c>
      <c r="T180" s="2" t="s">
        <v>131</v>
      </c>
      <c r="U180" s="2">
        <v>9311021344</v>
      </c>
      <c r="V180" s="2" t="s">
        <v>52</v>
      </c>
    </row>
    <row r="181" spans="1:22" x14ac:dyDescent="0.3">
      <c r="A181" s="2" t="s">
        <v>313</v>
      </c>
      <c r="B181" s="2" t="s">
        <v>23</v>
      </c>
      <c r="C181" s="2" t="s">
        <v>113</v>
      </c>
      <c r="D181" s="3">
        <v>45695</v>
      </c>
      <c r="E181" s="3">
        <v>45707</v>
      </c>
      <c r="F181" s="2" t="s">
        <v>25</v>
      </c>
      <c r="G181" s="2" t="s">
        <v>26</v>
      </c>
      <c r="H181" s="3">
        <v>29905</v>
      </c>
      <c r="I181" s="2" t="s">
        <v>27</v>
      </c>
      <c r="J181" s="2" t="s">
        <v>28</v>
      </c>
      <c r="K181" s="2" t="s">
        <v>39</v>
      </c>
      <c r="L181" s="2" t="s">
        <v>115</v>
      </c>
      <c r="M181" s="2">
        <v>15</v>
      </c>
      <c r="N181" s="7">
        <v>700</v>
      </c>
      <c r="O181" s="2">
        <v>10</v>
      </c>
      <c r="P181" s="7">
        <v>9450</v>
      </c>
      <c r="Q181" s="2">
        <v>3</v>
      </c>
      <c r="R181" s="2" t="s">
        <v>41</v>
      </c>
      <c r="S181" s="2" t="s">
        <v>42</v>
      </c>
      <c r="T181" s="2" t="s">
        <v>43</v>
      </c>
      <c r="U181" s="2">
        <v>9891358505</v>
      </c>
      <c r="V181" s="2" t="s">
        <v>52</v>
      </c>
    </row>
    <row r="182" spans="1:22" x14ac:dyDescent="0.3">
      <c r="A182" s="2" t="s">
        <v>314</v>
      </c>
      <c r="B182" s="2" t="s">
        <v>73</v>
      </c>
      <c r="C182" s="2" t="s">
        <v>106</v>
      </c>
      <c r="D182" s="3">
        <v>45803</v>
      </c>
      <c r="E182" s="3">
        <v>45807</v>
      </c>
      <c r="F182" s="2" t="s">
        <v>74</v>
      </c>
      <c r="G182" s="2" t="s">
        <v>26</v>
      </c>
      <c r="H182" s="3">
        <v>29476</v>
      </c>
      <c r="I182" s="2" t="s">
        <v>92</v>
      </c>
      <c r="J182" s="2" t="s">
        <v>76</v>
      </c>
      <c r="K182" s="2" t="s">
        <v>29</v>
      </c>
      <c r="L182" s="2" t="s">
        <v>108</v>
      </c>
      <c r="M182" s="2">
        <v>19</v>
      </c>
      <c r="N182" s="7">
        <v>8500</v>
      </c>
      <c r="O182" s="2">
        <v>15</v>
      </c>
      <c r="P182" s="7">
        <v>137275</v>
      </c>
      <c r="Q182" s="2">
        <v>2</v>
      </c>
      <c r="R182" s="2" t="s">
        <v>31</v>
      </c>
      <c r="S182" s="2" t="s">
        <v>32</v>
      </c>
      <c r="T182" s="2" t="s">
        <v>94</v>
      </c>
      <c r="U182" s="2">
        <v>9910085332</v>
      </c>
      <c r="V182" s="2" t="s">
        <v>53</v>
      </c>
    </row>
    <row r="183" spans="1:22" x14ac:dyDescent="0.3">
      <c r="A183" s="2" t="s">
        <v>315</v>
      </c>
      <c r="B183" s="2" t="s">
        <v>137</v>
      </c>
      <c r="C183" s="2" t="s">
        <v>83</v>
      </c>
      <c r="D183" s="3">
        <v>45934</v>
      </c>
      <c r="E183" s="3">
        <v>45936</v>
      </c>
      <c r="F183" s="2" t="s">
        <v>138</v>
      </c>
      <c r="G183" s="2" t="s">
        <v>26</v>
      </c>
      <c r="H183" s="3">
        <v>32240</v>
      </c>
      <c r="I183" s="2" t="s">
        <v>123</v>
      </c>
      <c r="J183" s="2" t="s">
        <v>38</v>
      </c>
      <c r="K183" s="2" t="s">
        <v>84</v>
      </c>
      <c r="L183" s="2" t="s">
        <v>85</v>
      </c>
      <c r="M183" s="2">
        <v>19</v>
      </c>
      <c r="N183" s="7">
        <v>60</v>
      </c>
      <c r="O183" s="2">
        <v>20</v>
      </c>
      <c r="P183" s="7">
        <v>912</v>
      </c>
      <c r="Q183" s="2">
        <v>4</v>
      </c>
      <c r="R183" s="2" t="s">
        <v>60</v>
      </c>
      <c r="S183" s="2" t="s">
        <v>42</v>
      </c>
      <c r="T183" s="2" t="s">
        <v>139</v>
      </c>
      <c r="U183" s="2">
        <v>9756908023</v>
      </c>
      <c r="V183" s="2" t="s">
        <v>52</v>
      </c>
    </row>
    <row r="184" spans="1:22" x14ac:dyDescent="0.3">
      <c r="A184" s="2" t="s">
        <v>316</v>
      </c>
      <c r="B184" s="2" t="s">
        <v>73</v>
      </c>
      <c r="C184" s="2" t="s">
        <v>141</v>
      </c>
      <c r="D184" s="3">
        <v>45792</v>
      </c>
      <c r="E184" s="3">
        <v>45803</v>
      </c>
      <c r="F184" s="2" t="s">
        <v>74</v>
      </c>
      <c r="G184" s="2" t="s">
        <v>26</v>
      </c>
      <c r="H184" s="3">
        <v>32192</v>
      </c>
      <c r="I184" s="2" t="s">
        <v>48</v>
      </c>
      <c r="J184" s="2" t="s">
        <v>28</v>
      </c>
      <c r="K184" s="2" t="s">
        <v>84</v>
      </c>
      <c r="L184" s="2" t="s">
        <v>142</v>
      </c>
      <c r="M184" s="2">
        <v>10</v>
      </c>
      <c r="N184" s="7">
        <v>45</v>
      </c>
      <c r="O184" s="2">
        <v>15</v>
      </c>
      <c r="P184" s="7">
        <v>382.5</v>
      </c>
      <c r="Q184" s="2">
        <v>4</v>
      </c>
      <c r="R184" s="2" t="s">
        <v>31</v>
      </c>
      <c r="S184" s="2" t="s">
        <v>97</v>
      </c>
      <c r="T184" s="2" t="s">
        <v>94</v>
      </c>
      <c r="U184" s="2">
        <v>9645913247</v>
      </c>
      <c r="V184" s="2" t="s">
        <v>34</v>
      </c>
    </row>
    <row r="185" spans="1:22" x14ac:dyDescent="0.3">
      <c r="A185" s="2" t="s">
        <v>317</v>
      </c>
      <c r="B185" s="2" t="s">
        <v>55</v>
      </c>
      <c r="C185" s="2" t="s">
        <v>24</v>
      </c>
      <c r="D185" s="3">
        <v>45822</v>
      </c>
      <c r="E185" s="3">
        <v>45831</v>
      </c>
      <c r="F185" s="2" t="s">
        <v>125</v>
      </c>
      <c r="G185" s="2" t="s">
        <v>58</v>
      </c>
      <c r="H185" s="3">
        <v>29923</v>
      </c>
      <c r="I185" s="2" t="s">
        <v>37</v>
      </c>
      <c r="J185" s="2" t="s">
        <v>38</v>
      </c>
      <c r="K185" s="2" t="s">
        <v>29</v>
      </c>
      <c r="L185" s="2" t="s">
        <v>30</v>
      </c>
      <c r="M185" s="2">
        <v>7</v>
      </c>
      <c r="N185" s="7">
        <v>2200</v>
      </c>
      <c r="O185" s="2">
        <v>20</v>
      </c>
      <c r="P185" s="7">
        <v>12320</v>
      </c>
      <c r="Q185" s="2">
        <v>5</v>
      </c>
      <c r="R185" s="2" t="s">
        <v>65</v>
      </c>
      <c r="S185" s="2" t="s">
        <v>42</v>
      </c>
      <c r="T185" s="2" t="s">
        <v>61</v>
      </c>
      <c r="U185" s="2">
        <v>9806914795</v>
      </c>
      <c r="V185" s="2" t="s">
        <v>52</v>
      </c>
    </row>
    <row r="186" spans="1:22" x14ac:dyDescent="0.3">
      <c r="A186" s="2" t="s">
        <v>318</v>
      </c>
      <c r="B186" s="2" t="s">
        <v>73</v>
      </c>
      <c r="C186" s="2" t="s">
        <v>106</v>
      </c>
      <c r="D186" s="3">
        <v>45769</v>
      </c>
      <c r="E186" s="3">
        <v>45781</v>
      </c>
      <c r="F186" s="2" t="s">
        <v>74</v>
      </c>
      <c r="G186" s="2" t="s">
        <v>26</v>
      </c>
      <c r="H186" s="3">
        <v>30723</v>
      </c>
      <c r="I186" s="2" t="s">
        <v>151</v>
      </c>
      <c r="J186" s="2" t="s">
        <v>152</v>
      </c>
      <c r="K186" s="2" t="s">
        <v>29</v>
      </c>
      <c r="L186" s="2" t="s">
        <v>108</v>
      </c>
      <c r="M186" s="2">
        <v>20</v>
      </c>
      <c r="N186" s="7">
        <v>8500</v>
      </c>
      <c r="O186" s="2">
        <v>20</v>
      </c>
      <c r="P186" s="7">
        <v>136000</v>
      </c>
      <c r="Q186" s="2">
        <v>4</v>
      </c>
      <c r="R186" s="2" t="s">
        <v>41</v>
      </c>
      <c r="S186" s="2" t="s">
        <v>32</v>
      </c>
      <c r="T186" s="2" t="s">
        <v>94</v>
      </c>
      <c r="U186" s="2">
        <v>9276222829</v>
      </c>
      <c r="V186" s="2" t="s">
        <v>34</v>
      </c>
    </row>
    <row r="187" spans="1:22" x14ac:dyDescent="0.3">
      <c r="A187" s="2" t="s">
        <v>319</v>
      </c>
      <c r="B187" s="2" t="s">
        <v>137</v>
      </c>
      <c r="C187" s="2" t="s">
        <v>24</v>
      </c>
      <c r="D187" s="3">
        <v>45679</v>
      </c>
      <c r="E187" s="3">
        <v>45681</v>
      </c>
      <c r="F187" s="2" t="s">
        <v>138</v>
      </c>
      <c r="G187" s="2" t="s">
        <v>26</v>
      </c>
      <c r="H187" s="3">
        <v>33579</v>
      </c>
      <c r="I187" s="2" t="s">
        <v>27</v>
      </c>
      <c r="J187" s="2" t="s">
        <v>28</v>
      </c>
      <c r="K187" s="2" t="s">
        <v>29</v>
      </c>
      <c r="L187" s="2" t="s">
        <v>30</v>
      </c>
      <c r="M187" s="2">
        <v>10</v>
      </c>
      <c r="N187" s="7">
        <v>2200</v>
      </c>
      <c r="O187" s="2">
        <v>5</v>
      </c>
      <c r="P187" s="7">
        <v>20900</v>
      </c>
      <c r="Q187" s="2">
        <v>2</v>
      </c>
      <c r="R187" s="2" t="s">
        <v>41</v>
      </c>
      <c r="S187" s="2" t="s">
        <v>42</v>
      </c>
      <c r="T187" s="2" t="s">
        <v>139</v>
      </c>
      <c r="U187" s="2">
        <v>9533835528</v>
      </c>
      <c r="V187" s="2" t="s">
        <v>34</v>
      </c>
    </row>
    <row r="188" spans="1:22" x14ac:dyDescent="0.3">
      <c r="A188" s="2" t="s">
        <v>320</v>
      </c>
      <c r="B188" s="2" t="s">
        <v>88</v>
      </c>
      <c r="C188" s="2" t="s">
        <v>83</v>
      </c>
      <c r="D188" s="3">
        <v>46007</v>
      </c>
      <c r="E188" s="3">
        <v>46017</v>
      </c>
      <c r="F188" s="2" t="s">
        <v>119</v>
      </c>
      <c r="G188" s="2" t="s">
        <v>58</v>
      </c>
      <c r="H188" s="3">
        <v>27811</v>
      </c>
      <c r="I188" s="2" t="s">
        <v>80</v>
      </c>
      <c r="J188" s="2" t="s">
        <v>76</v>
      </c>
      <c r="K188" s="2" t="s">
        <v>84</v>
      </c>
      <c r="L188" s="2" t="s">
        <v>85</v>
      </c>
      <c r="M188" s="2">
        <v>15</v>
      </c>
      <c r="N188" s="7">
        <v>60</v>
      </c>
      <c r="O188" s="2">
        <v>20</v>
      </c>
      <c r="P188" s="7">
        <v>720</v>
      </c>
      <c r="Q188" s="2">
        <v>1</v>
      </c>
      <c r="R188" s="2" t="s">
        <v>60</v>
      </c>
      <c r="S188" s="2" t="s">
        <v>32</v>
      </c>
      <c r="T188" s="2" t="s">
        <v>90</v>
      </c>
      <c r="U188" s="2">
        <v>9654885820</v>
      </c>
      <c r="V188" s="2" t="s">
        <v>34</v>
      </c>
    </row>
    <row r="189" spans="1:22" x14ac:dyDescent="0.3">
      <c r="A189" s="2" t="s">
        <v>321</v>
      </c>
      <c r="B189" s="2" t="s">
        <v>127</v>
      </c>
      <c r="C189" s="2" t="s">
        <v>68</v>
      </c>
      <c r="D189" s="3">
        <v>45832</v>
      </c>
      <c r="E189" s="3">
        <v>45836</v>
      </c>
      <c r="F189" s="2" t="s">
        <v>129</v>
      </c>
      <c r="G189" s="2" t="s">
        <v>58</v>
      </c>
      <c r="H189" s="3">
        <v>27634</v>
      </c>
      <c r="I189" s="2" t="s">
        <v>27</v>
      </c>
      <c r="J189" s="2" t="s">
        <v>28</v>
      </c>
      <c r="K189" s="2" t="s">
        <v>29</v>
      </c>
      <c r="L189" s="2" t="s">
        <v>71</v>
      </c>
      <c r="M189" s="2">
        <v>18</v>
      </c>
      <c r="N189" s="7">
        <v>3500</v>
      </c>
      <c r="O189" s="2">
        <v>5</v>
      </c>
      <c r="P189" s="7">
        <v>59850</v>
      </c>
      <c r="Q189" s="2">
        <v>1</v>
      </c>
      <c r="R189" s="2" t="s">
        <v>60</v>
      </c>
      <c r="S189" s="2" t="s">
        <v>42</v>
      </c>
      <c r="T189" s="2" t="s">
        <v>131</v>
      </c>
      <c r="U189" s="2">
        <v>9456029544</v>
      </c>
      <c r="V189" s="2" t="s">
        <v>53</v>
      </c>
    </row>
    <row r="190" spans="1:22" x14ac:dyDescent="0.3">
      <c r="A190" s="2" t="s">
        <v>322</v>
      </c>
      <c r="B190" s="2" t="s">
        <v>160</v>
      </c>
      <c r="C190" s="2" t="s">
        <v>36</v>
      </c>
      <c r="D190" s="3">
        <v>46154</v>
      </c>
      <c r="E190" s="3">
        <v>46164</v>
      </c>
      <c r="F190" s="2" t="s">
        <v>179</v>
      </c>
      <c r="G190" s="2" t="s">
        <v>58</v>
      </c>
      <c r="H190" s="3">
        <v>32116</v>
      </c>
      <c r="I190" s="2" t="s">
        <v>80</v>
      </c>
      <c r="J190" s="2" t="s">
        <v>76</v>
      </c>
      <c r="K190" s="2" t="s">
        <v>39</v>
      </c>
      <c r="L190" s="2" t="s">
        <v>40</v>
      </c>
      <c r="M190" s="2">
        <v>6</v>
      </c>
      <c r="N190" s="7">
        <v>12000</v>
      </c>
      <c r="O190" s="2">
        <v>5</v>
      </c>
      <c r="P190" s="7">
        <v>68400</v>
      </c>
      <c r="Q190" s="2">
        <v>1</v>
      </c>
      <c r="R190" s="2" t="s">
        <v>41</v>
      </c>
      <c r="S190" s="2" t="s">
        <v>42</v>
      </c>
      <c r="T190" s="2" t="s">
        <v>162</v>
      </c>
      <c r="U190" s="2">
        <v>9914571493</v>
      </c>
      <c r="V190" s="2" t="s">
        <v>53</v>
      </c>
    </row>
    <row r="191" spans="1:22" x14ac:dyDescent="0.3">
      <c r="A191" s="2" t="s">
        <v>323</v>
      </c>
      <c r="B191" s="2" t="s">
        <v>160</v>
      </c>
      <c r="C191" s="2" t="s">
        <v>128</v>
      </c>
      <c r="D191" s="3">
        <v>46067</v>
      </c>
      <c r="E191" s="3">
        <v>46069</v>
      </c>
      <c r="F191" s="2" t="s">
        <v>179</v>
      </c>
      <c r="G191" s="2" t="s">
        <v>58</v>
      </c>
      <c r="H191" s="3">
        <v>38225</v>
      </c>
      <c r="I191" s="2" t="s">
        <v>48</v>
      </c>
      <c r="J191" s="2" t="s">
        <v>28</v>
      </c>
      <c r="K191" s="2" t="s">
        <v>84</v>
      </c>
      <c r="L191" s="2" t="s">
        <v>130</v>
      </c>
      <c r="M191" s="2">
        <v>19</v>
      </c>
      <c r="N191" s="7">
        <v>20</v>
      </c>
      <c r="O191" s="2">
        <v>10</v>
      </c>
      <c r="P191" s="7">
        <v>342</v>
      </c>
      <c r="Q191" s="2">
        <v>2</v>
      </c>
      <c r="R191" s="2" t="s">
        <v>41</v>
      </c>
      <c r="S191" s="2" t="s">
        <v>32</v>
      </c>
      <c r="T191" s="2" t="s">
        <v>162</v>
      </c>
      <c r="U191" s="2">
        <v>9270726986</v>
      </c>
      <c r="V191" s="2" t="s">
        <v>52</v>
      </c>
    </row>
    <row r="192" spans="1:22" x14ac:dyDescent="0.3">
      <c r="A192" s="2" t="s">
        <v>324</v>
      </c>
      <c r="B192" s="2" t="s">
        <v>127</v>
      </c>
      <c r="C192" s="2" t="s">
        <v>24</v>
      </c>
      <c r="D192" s="3">
        <v>46155</v>
      </c>
      <c r="E192" s="3">
        <v>46162</v>
      </c>
      <c r="F192" s="2" t="s">
        <v>129</v>
      </c>
      <c r="G192" s="2" t="s">
        <v>58</v>
      </c>
      <c r="H192" s="3">
        <v>34350</v>
      </c>
      <c r="I192" s="2" t="s">
        <v>80</v>
      </c>
      <c r="J192" s="2" t="s">
        <v>76</v>
      </c>
      <c r="K192" s="2" t="s">
        <v>29</v>
      </c>
      <c r="L192" s="2" t="s">
        <v>30</v>
      </c>
      <c r="M192" s="2">
        <v>7</v>
      </c>
      <c r="N192" s="7">
        <v>2200</v>
      </c>
      <c r="O192" s="2">
        <v>0</v>
      </c>
      <c r="P192" s="7">
        <v>15400</v>
      </c>
      <c r="Q192" s="2">
        <v>1</v>
      </c>
      <c r="R192" s="2" t="s">
        <v>60</v>
      </c>
      <c r="S192" s="2" t="s">
        <v>81</v>
      </c>
      <c r="T192" s="2" t="s">
        <v>131</v>
      </c>
      <c r="U192" s="2">
        <v>9570080664</v>
      </c>
      <c r="V192" s="2" t="s">
        <v>53</v>
      </c>
    </row>
    <row r="193" spans="1:22" x14ac:dyDescent="0.3">
      <c r="A193" s="2" t="s">
        <v>325</v>
      </c>
      <c r="B193" s="2" t="s">
        <v>160</v>
      </c>
      <c r="C193" s="2" t="s">
        <v>36</v>
      </c>
      <c r="D193" s="3">
        <v>45977</v>
      </c>
      <c r="E193" s="3">
        <v>45981</v>
      </c>
      <c r="F193" s="2" t="s">
        <v>179</v>
      </c>
      <c r="G193" s="2" t="s">
        <v>58</v>
      </c>
      <c r="H193" s="3">
        <v>37922</v>
      </c>
      <c r="I193" s="2" t="s">
        <v>123</v>
      </c>
      <c r="J193" s="2" t="s">
        <v>38</v>
      </c>
      <c r="K193" s="2" t="s">
        <v>39</v>
      </c>
      <c r="L193" s="2" t="s">
        <v>40</v>
      </c>
      <c r="M193" s="2">
        <v>3</v>
      </c>
      <c r="N193" s="7">
        <v>12000</v>
      </c>
      <c r="O193" s="2">
        <v>5</v>
      </c>
      <c r="P193" s="7">
        <v>34200</v>
      </c>
      <c r="Q193" s="2">
        <v>3</v>
      </c>
      <c r="R193" s="2" t="s">
        <v>60</v>
      </c>
      <c r="S193" s="2" t="s">
        <v>50</v>
      </c>
      <c r="T193" s="2" t="s">
        <v>162</v>
      </c>
      <c r="U193" s="2">
        <v>9109009524</v>
      </c>
      <c r="V193" s="2" t="s">
        <v>53</v>
      </c>
    </row>
    <row r="194" spans="1:22" x14ac:dyDescent="0.3">
      <c r="A194" s="2" t="s">
        <v>326</v>
      </c>
      <c r="B194" s="2" t="s">
        <v>105</v>
      </c>
      <c r="C194" s="2" t="s">
        <v>24</v>
      </c>
      <c r="D194" s="3">
        <v>45953</v>
      </c>
      <c r="E194" s="3">
        <v>45965</v>
      </c>
      <c r="F194" s="2" t="s">
        <v>170</v>
      </c>
      <c r="G194" s="2" t="s">
        <v>26</v>
      </c>
      <c r="H194" s="3">
        <v>36662</v>
      </c>
      <c r="I194" s="2" t="s">
        <v>123</v>
      </c>
      <c r="J194" s="2" t="s">
        <v>38</v>
      </c>
      <c r="K194" s="2" t="s">
        <v>29</v>
      </c>
      <c r="L194" s="2" t="s">
        <v>30</v>
      </c>
      <c r="M194" s="2">
        <v>16</v>
      </c>
      <c r="N194" s="7">
        <v>2200</v>
      </c>
      <c r="O194" s="2">
        <v>0</v>
      </c>
      <c r="P194" s="7">
        <v>35200</v>
      </c>
      <c r="Q194" s="2">
        <v>5</v>
      </c>
      <c r="R194" s="2" t="s">
        <v>60</v>
      </c>
      <c r="S194" s="2" t="s">
        <v>32</v>
      </c>
      <c r="T194" s="2" t="s">
        <v>109</v>
      </c>
      <c r="U194" s="2">
        <v>9701276770</v>
      </c>
      <c r="V194" s="2" t="s">
        <v>52</v>
      </c>
    </row>
    <row r="195" spans="1:22" x14ac:dyDescent="0.3">
      <c r="A195" s="2" t="s">
        <v>327</v>
      </c>
      <c r="B195" s="2" t="s">
        <v>137</v>
      </c>
      <c r="C195" s="2" t="s">
        <v>24</v>
      </c>
      <c r="D195" s="3">
        <v>45704</v>
      </c>
      <c r="E195" s="3">
        <v>45706</v>
      </c>
      <c r="F195" s="2" t="s">
        <v>138</v>
      </c>
      <c r="G195" s="2" t="s">
        <v>26</v>
      </c>
      <c r="H195" s="3">
        <v>32693</v>
      </c>
      <c r="I195" s="2" t="s">
        <v>37</v>
      </c>
      <c r="J195" s="2" t="s">
        <v>38</v>
      </c>
      <c r="K195" s="2" t="s">
        <v>29</v>
      </c>
      <c r="L195" s="2" t="s">
        <v>30</v>
      </c>
      <c r="M195" s="2">
        <v>8</v>
      </c>
      <c r="N195" s="7">
        <v>2200</v>
      </c>
      <c r="O195" s="2">
        <v>5</v>
      </c>
      <c r="P195" s="7">
        <v>16720</v>
      </c>
      <c r="Q195" s="2">
        <v>2</v>
      </c>
      <c r="R195" s="2" t="s">
        <v>65</v>
      </c>
      <c r="S195" s="2" t="s">
        <v>97</v>
      </c>
      <c r="T195" s="2" t="s">
        <v>139</v>
      </c>
      <c r="U195" s="2">
        <v>9298278507</v>
      </c>
      <c r="V195" s="2" t="s">
        <v>34</v>
      </c>
    </row>
    <row r="196" spans="1:22" x14ac:dyDescent="0.3">
      <c r="A196" s="2" t="s">
        <v>328</v>
      </c>
      <c r="B196" s="2" t="s">
        <v>137</v>
      </c>
      <c r="C196" s="2" t="s">
        <v>24</v>
      </c>
      <c r="D196" s="3">
        <v>46002</v>
      </c>
      <c r="E196" s="3">
        <v>46005</v>
      </c>
      <c r="F196" s="2" t="s">
        <v>138</v>
      </c>
      <c r="G196" s="2" t="s">
        <v>26</v>
      </c>
      <c r="H196" s="3">
        <v>35863</v>
      </c>
      <c r="I196" s="2" t="s">
        <v>92</v>
      </c>
      <c r="J196" s="2" t="s">
        <v>76</v>
      </c>
      <c r="K196" s="2" t="s">
        <v>29</v>
      </c>
      <c r="L196" s="2" t="s">
        <v>30</v>
      </c>
      <c r="M196" s="2">
        <v>10</v>
      </c>
      <c r="N196" s="7">
        <v>2200</v>
      </c>
      <c r="O196" s="2">
        <v>10</v>
      </c>
      <c r="P196" s="7">
        <v>19800</v>
      </c>
      <c r="Q196" s="2">
        <v>5</v>
      </c>
      <c r="R196" s="2" t="s">
        <v>41</v>
      </c>
      <c r="S196" s="2" t="s">
        <v>81</v>
      </c>
      <c r="T196" s="2" t="s">
        <v>139</v>
      </c>
      <c r="U196" s="2">
        <v>9895908093</v>
      </c>
      <c r="V196" s="2" t="s">
        <v>52</v>
      </c>
    </row>
    <row r="197" spans="1:22" x14ac:dyDescent="0.3">
      <c r="A197" s="2" t="s">
        <v>329</v>
      </c>
      <c r="B197" s="2" t="s">
        <v>63</v>
      </c>
      <c r="C197" s="2" t="s">
        <v>128</v>
      </c>
      <c r="D197" s="3">
        <v>45775</v>
      </c>
      <c r="E197" s="3">
        <v>45786</v>
      </c>
      <c r="F197" s="2" t="s">
        <v>111</v>
      </c>
      <c r="G197" s="2" t="s">
        <v>58</v>
      </c>
      <c r="H197" s="3">
        <v>32284</v>
      </c>
      <c r="I197" s="2" t="s">
        <v>37</v>
      </c>
      <c r="J197" s="2" t="s">
        <v>38</v>
      </c>
      <c r="K197" s="2" t="s">
        <v>84</v>
      </c>
      <c r="L197" s="2" t="s">
        <v>130</v>
      </c>
      <c r="M197" s="2">
        <v>7</v>
      </c>
      <c r="N197" s="7">
        <v>20</v>
      </c>
      <c r="O197" s="2">
        <v>10</v>
      </c>
      <c r="P197" s="7">
        <v>126</v>
      </c>
      <c r="Q197" s="2">
        <v>4</v>
      </c>
      <c r="R197" s="2" t="s">
        <v>60</v>
      </c>
      <c r="S197" s="2" t="s">
        <v>50</v>
      </c>
      <c r="T197" s="2" t="s">
        <v>66</v>
      </c>
      <c r="U197" s="2">
        <v>9734108795</v>
      </c>
      <c r="V197" s="2" t="s">
        <v>34</v>
      </c>
    </row>
    <row r="198" spans="1:22" x14ac:dyDescent="0.3">
      <c r="A198" s="2" t="s">
        <v>330</v>
      </c>
      <c r="B198" s="2" t="s">
        <v>127</v>
      </c>
      <c r="C198" s="2" t="s">
        <v>106</v>
      </c>
      <c r="D198" s="3">
        <v>46033</v>
      </c>
      <c r="E198" s="3">
        <v>46036</v>
      </c>
      <c r="F198" s="2" t="s">
        <v>129</v>
      </c>
      <c r="G198" s="2" t="s">
        <v>58</v>
      </c>
      <c r="H198" s="3">
        <v>34533</v>
      </c>
      <c r="I198" s="2" t="s">
        <v>27</v>
      </c>
      <c r="J198" s="2" t="s">
        <v>28</v>
      </c>
      <c r="K198" s="2" t="s">
        <v>29</v>
      </c>
      <c r="L198" s="2" t="s">
        <v>108</v>
      </c>
      <c r="M198" s="2">
        <v>19</v>
      </c>
      <c r="N198" s="7">
        <v>8500</v>
      </c>
      <c r="O198" s="2">
        <v>20</v>
      </c>
      <c r="P198" s="7">
        <v>129200</v>
      </c>
      <c r="Q198" s="2">
        <v>3</v>
      </c>
      <c r="R198" s="2" t="s">
        <v>41</v>
      </c>
      <c r="S198" s="2" t="s">
        <v>50</v>
      </c>
      <c r="T198" s="2" t="s">
        <v>131</v>
      </c>
      <c r="U198" s="2">
        <v>9799597413</v>
      </c>
      <c r="V198" s="2" t="s">
        <v>52</v>
      </c>
    </row>
    <row r="199" spans="1:22" x14ac:dyDescent="0.3">
      <c r="A199" s="2" t="s">
        <v>331</v>
      </c>
      <c r="B199" s="2" t="s">
        <v>73</v>
      </c>
      <c r="C199" s="2" t="s">
        <v>83</v>
      </c>
      <c r="D199" s="3">
        <v>45717</v>
      </c>
      <c r="E199" s="3">
        <v>45722</v>
      </c>
      <c r="F199" s="2" t="s">
        <v>74</v>
      </c>
      <c r="G199" s="2" t="s">
        <v>26</v>
      </c>
      <c r="H199" s="3">
        <v>28444</v>
      </c>
      <c r="I199" s="2" t="s">
        <v>80</v>
      </c>
      <c r="J199" s="2" t="s">
        <v>76</v>
      </c>
      <c r="K199" s="2" t="s">
        <v>84</v>
      </c>
      <c r="L199" s="2" t="s">
        <v>85</v>
      </c>
      <c r="M199" s="2">
        <v>16</v>
      </c>
      <c r="N199" s="7">
        <v>60</v>
      </c>
      <c r="O199" s="2">
        <v>0</v>
      </c>
      <c r="P199" s="7">
        <v>960</v>
      </c>
      <c r="Q199" s="2">
        <v>2</v>
      </c>
      <c r="R199" s="2" t="s">
        <v>41</v>
      </c>
      <c r="S199" s="2" t="s">
        <v>81</v>
      </c>
      <c r="T199" s="2" t="s">
        <v>94</v>
      </c>
      <c r="U199" s="2">
        <v>9688987266</v>
      </c>
      <c r="V199" s="2" t="s">
        <v>34</v>
      </c>
    </row>
    <row r="200" spans="1:22" x14ac:dyDescent="0.3">
      <c r="A200" s="2" t="s">
        <v>332</v>
      </c>
      <c r="B200" s="2" t="s">
        <v>127</v>
      </c>
      <c r="C200" s="2" t="s">
        <v>68</v>
      </c>
      <c r="D200" s="3">
        <v>46127</v>
      </c>
      <c r="E200" s="3">
        <v>46139</v>
      </c>
      <c r="F200" s="2" t="s">
        <v>129</v>
      </c>
      <c r="G200" s="2" t="s">
        <v>58</v>
      </c>
      <c r="H200" s="3">
        <v>30216</v>
      </c>
      <c r="I200" s="2" t="s">
        <v>48</v>
      </c>
      <c r="J200" s="2" t="s">
        <v>28</v>
      </c>
      <c r="K200" s="2" t="s">
        <v>333</v>
      </c>
      <c r="L200" s="2" t="s">
        <v>71</v>
      </c>
      <c r="M200" s="2">
        <v>18</v>
      </c>
      <c r="N200" s="7">
        <v>3500</v>
      </c>
      <c r="O200" s="2">
        <v>5</v>
      </c>
      <c r="P200" s="7">
        <v>59850</v>
      </c>
      <c r="Q200" s="2">
        <v>1</v>
      </c>
      <c r="R200" s="2" t="s">
        <v>65</v>
      </c>
      <c r="S200" s="2" t="s">
        <v>81</v>
      </c>
      <c r="T200" s="2" t="s">
        <v>131</v>
      </c>
      <c r="U200" s="2">
        <v>9867169037</v>
      </c>
      <c r="V200" s="2" t="s">
        <v>52</v>
      </c>
    </row>
    <row r="201" spans="1:22" x14ac:dyDescent="0.3">
      <c r="A201" s="2" t="s">
        <v>334</v>
      </c>
      <c r="B201" s="2" t="s">
        <v>73</v>
      </c>
      <c r="C201" s="2" t="s">
        <v>46</v>
      </c>
      <c r="D201" s="3">
        <v>45708</v>
      </c>
      <c r="E201" s="3">
        <v>45717</v>
      </c>
      <c r="F201" s="2" t="s">
        <v>74</v>
      </c>
      <c r="G201" s="2" t="s">
        <v>26</v>
      </c>
      <c r="H201" s="3">
        <v>34591</v>
      </c>
      <c r="I201" s="2" t="s">
        <v>123</v>
      </c>
      <c r="J201" s="2" t="s">
        <v>38</v>
      </c>
      <c r="K201" s="2" t="s">
        <v>39</v>
      </c>
      <c r="L201" s="2" t="s">
        <v>49</v>
      </c>
      <c r="M201" s="2">
        <v>16</v>
      </c>
      <c r="N201" s="7">
        <v>55000</v>
      </c>
      <c r="O201" s="2">
        <v>0</v>
      </c>
      <c r="P201" s="7">
        <v>880000</v>
      </c>
      <c r="Q201" s="2">
        <v>1</v>
      </c>
      <c r="R201" s="2" t="s">
        <v>60</v>
      </c>
      <c r="S201" s="2" t="s">
        <v>50</v>
      </c>
      <c r="T201" s="2" t="s">
        <v>94</v>
      </c>
      <c r="U201" s="2">
        <v>9485547425</v>
      </c>
      <c r="V201" s="2" t="s">
        <v>53</v>
      </c>
    </row>
    <row r="202" spans="1:22" x14ac:dyDescent="0.3">
      <c r="A202" s="2" t="s">
        <v>335</v>
      </c>
      <c r="B202" s="2" t="s">
        <v>127</v>
      </c>
      <c r="C202" s="2" t="s">
        <v>56</v>
      </c>
      <c r="D202" s="3">
        <v>45694</v>
      </c>
      <c r="E202" s="3">
        <v>45697</v>
      </c>
      <c r="F202" s="2" t="s">
        <v>129</v>
      </c>
      <c r="G202" s="2" t="s">
        <v>58</v>
      </c>
      <c r="H202" s="3">
        <v>35035</v>
      </c>
      <c r="I202" s="2" t="s">
        <v>92</v>
      </c>
      <c r="J202" s="2" t="s">
        <v>76</v>
      </c>
      <c r="K202" s="2" t="s">
        <v>39</v>
      </c>
      <c r="L202" s="2" t="s">
        <v>59</v>
      </c>
      <c r="M202" s="2">
        <v>18</v>
      </c>
      <c r="N202" s="7">
        <v>1200</v>
      </c>
      <c r="O202" s="2">
        <v>15</v>
      </c>
      <c r="P202" s="7">
        <v>18360</v>
      </c>
      <c r="Q202" s="2">
        <v>2</v>
      </c>
      <c r="R202" s="2" t="s">
        <v>41</v>
      </c>
      <c r="S202" s="2" t="s">
        <v>32</v>
      </c>
      <c r="T202" s="2" t="s">
        <v>131</v>
      </c>
      <c r="U202" s="2">
        <v>9889733076</v>
      </c>
      <c r="V202" s="2" t="s">
        <v>53</v>
      </c>
    </row>
    <row r="203" spans="1:22" x14ac:dyDescent="0.3">
      <c r="A203" s="2" t="s">
        <v>336</v>
      </c>
      <c r="B203" s="2" t="s">
        <v>55</v>
      </c>
      <c r="C203" s="2" t="s">
        <v>141</v>
      </c>
      <c r="D203" s="3">
        <v>45801</v>
      </c>
      <c r="E203" s="3">
        <v>45804</v>
      </c>
      <c r="F203" s="2" t="s">
        <v>125</v>
      </c>
      <c r="G203" s="2" t="s">
        <v>58</v>
      </c>
      <c r="H203" s="3">
        <v>31238</v>
      </c>
      <c r="I203" s="2" t="s">
        <v>27</v>
      </c>
      <c r="J203" s="2" t="s">
        <v>28</v>
      </c>
      <c r="K203" s="2" t="s">
        <v>84</v>
      </c>
      <c r="L203" s="2" t="s">
        <v>142</v>
      </c>
      <c r="M203" s="2">
        <v>2</v>
      </c>
      <c r="N203" s="7">
        <v>45</v>
      </c>
      <c r="O203" s="2">
        <v>15</v>
      </c>
      <c r="P203" s="7">
        <v>76.5</v>
      </c>
      <c r="Q203" s="2">
        <v>5</v>
      </c>
      <c r="R203" s="2" t="s">
        <v>31</v>
      </c>
      <c r="S203" s="2" t="s">
        <v>50</v>
      </c>
      <c r="T203" s="2" t="s">
        <v>61</v>
      </c>
      <c r="U203" s="2">
        <v>9145434449</v>
      </c>
      <c r="V203" s="2" t="s">
        <v>53</v>
      </c>
    </row>
    <row r="204" spans="1:22" x14ac:dyDescent="0.3">
      <c r="A204" s="2" t="s">
        <v>337</v>
      </c>
      <c r="B204" s="2" t="s">
        <v>45</v>
      </c>
      <c r="C204" s="2" t="s">
        <v>106</v>
      </c>
      <c r="D204" s="3">
        <v>46028</v>
      </c>
      <c r="E204" s="3">
        <v>46034</v>
      </c>
      <c r="F204" s="2" t="s">
        <v>102</v>
      </c>
      <c r="G204" s="2" t="s">
        <v>26</v>
      </c>
      <c r="H204" s="3">
        <v>36975</v>
      </c>
      <c r="I204" s="2" t="s">
        <v>48</v>
      </c>
      <c r="J204" s="2" t="s">
        <v>28</v>
      </c>
      <c r="K204" s="2" t="s">
        <v>29</v>
      </c>
      <c r="L204" s="2" t="s">
        <v>108</v>
      </c>
      <c r="M204" s="2">
        <v>20</v>
      </c>
      <c r="N204" s="7">
        <v>8500</v>
      </c>
      <c r="O204" s="2">
        <v>0</v>
      </c>
      <c r="P204" s="7">
        <v>170000</v>
      </c>
      <c r="Q204" s="2">
        <v>4</v>
      </c>
      <c r="R204" s="2" t="s">
        <v>41</v>
      </c>
      <c r="S204" s="2" t="s">
        <v>50</v>
      </c>
      <c r="T204" s="2" t="s">
        <v>51</v>
      </c>
      <c r="U204" s="2">
        <v>9598942148</v>
      </c>
      <c r="V204" s="2" t="s">
        <v>53</v>
      </c>
    </row>
    <row r="205" spans="1:22" x14ac:dyDescent="0.3">
      <c r="A205" s="2" t="s">
        <v>338</v>
      </c>
      <c r="B205" s="2" t="s">
        <v>88</v>
      </c>
      <c r="C205" s="2" t="s">
        <v>68</v>
      </c>
      <c r="D205" s="3">
        <v>46089</v>
      </c>
      <c r="E205" s="3">
        <v>46090</v>
      </c>
      <c r="F205" s="2" t="s">
        <v>119</v>
      </c>
      <c r="G205" s="2" t="s">
        <v>58</v>
      </c>
      <c r="H205" s="3">
        <v>29703</v>
      </c>
      <c r="I205" s="2" t="s">
        <v>123</v>
      </c>
      <c r="J205" s="2" t="s">
        <v>38</v>
      </c>
      <c r="K205" s="2" t="s">
        <v>29</v>
      </c>
      <c r="L205" s="2" t="s">
        <v>71</v>
      </c>
      <c r="M205" s="2">
        <v>6</v>
      </c>
      <c r="N205" s="7">
        <v>3500</v>
      </c>
      <c r="O205" s="2">
        <v>5</v>
      </c>
      <c r="P205" s="7">
        <v>19950</v>
      </c>
      <c r="Q205" s="2">
        <v>1</v>
      </c>
      <c r="R205" s="2" t="s">
        <v>31</v>
      </c>
      <c r="S205" s="2" t="s">
        <v>97</v>
      </c>
      <c r="T205" s="2" t="s">
        <v>90</v>
      </c>
      <c r="U205" s="2">
        <v>9599252705</v>
      </c>
      <c r="V205" s="2" t="s">
        <v>34</v>
      </c>
    </row>
    <row r="206" spans="1:22" x14ac:dyDescent="0.3">
      <c r="A206" s="2" t="s">
        <v>339</v>
      </c>
      <c r="B206" s="2" t="s">
        <v>105</v>
      </c>
      <c r="C206" s="2" t="s">
        <v>141</v>
      </c>
      <c r="D206" s="3">
        <v>45935</v>
      </c>
      <c r="E206" s="3">
        <v>45939</v>
      </c>
      <c r="F206" s="2" t="s">
        <v>170</v>
      </c>
      <c r="G206" s="2" t="s">
        <v>26</v>
      </c>
      <c r="H206" s="3">
        <v>37635</v>
      </c>
      <c r="I206" s="2" t="s">
        <v>80</v>
      </c>
      <c r="J206" s="2" t="s">
        <v>76</v>
      </c>
      <c r="K206" s="2" t="s">
        <v>84</v>
      </c>
      <c r="L206" s="2" t="s">
        <v>142</v>
      </c>
      <c r="M206" s="2">
        <v>8</v>
      </c>
      <c r="N206" s="7">
        <v>45</v>
      </c>
      <c r="O206" s="2">
        <v>5</v>
      </c>
      <c r="P206" s="7">
        <v>342</v>
      </c>
      <c r="Q206" s="2">
        <v>2</v>
      </c>
      <c r="R206" s="2" t="s">
        <v>31</v>
      </c>
      <c r="S206" s="2" t="s">
        <v>42</v>
      </c>
      <c r="T206" s="2" t="s">
        <v>109</v>
      </c>
      <c r="U206" s="2">
        <v>9626843681</v>
      </c>
      <c r="V206" s="2" t="s">
        <v>52</v>
      </c>
    </row>
    <row r="207" spans="1:22" x14ac:dyDescent="0.3">
      <c r="A207" s="2" t="s">
        <v>340</v>
      </c>
      <c r="B207" s="2" t="s">
        <v>160</v>
      </c>
      <c r="C207" s="2" t="s">
        <v>24</v>
      </c>
      <c r="D207" s="3">
        <v>45722</v>
      </c>
      <c r="E207" s="3">
        <v>45728</v>
      </c>
      <c r="F207" s="2" t="s">
        <v>179</v>
      </c>
      <c r="G207" s="2" t="s">
        <v>58</v>
      </c>
      <c r="H207" s="3">
        <v>29496</v>
      </c>
      <c r="I207" s="2" t="s">
        <v>75</v>
      </c>
      <c r="J207" s="2" t="s">
        <v>76</v>
      </c>
      <c r="K207" s="2" t="s">
        <v>29</v>
      </c>
      <c r="L207" s="2" t="s">
        <v>30</v>
      </c>
      <c r="M207" s="2">
        <v>18</v>
      </c>
      <c r="N207" s="7">
        <v>2200</v>
      </c>
      <c r="O207" s="2">
        <v>15</v>
      </c>
      <c r="P207" s="7">
        <v>33660</v>
      </c>
      <c r="Q207" s="2">
        <v>4</v>
      </c>
      <c r="R207" s="2" t="s">
        <v>60</v>
      </c>
      <c r="S207" s="2" t="s">
        <v>50</v>
      </c>
      <c r="T207" s="2" t="s">
        <v>162</v>
      </c>
      <c r="U207" s="2">
        <v>9934933215</v>
      </c>
      <c r="V207" s="2" t="s">
        <v>52</v>
      </c>
    </row>
    <row r="208" spans="1:22" x14ac:dyDescent="0.3">
      <c r="A208" s="2" t="s">
        <v>341</v>
      </c>
      <c r="B208" s="2" t="s">
        <v>127</v>
      </c>
      <c r="C208" s="2" t="s">
        <v>113</v>
      </c>
      <c r="D208" s="3">
        <v>46118</v>
      </c>
      <c r="E208" s="3">
        <v>46127</v>
      </c>
      <c r="F208" s="2" t="s">
        <v>129</v>
      </c>
      <c r="G208" s="2" t="s">
        <v>58</v>
      </c>
      <c r="H208" s="3">
        <v>33170</v>
      </c>
      <c r="I208" s="2" t="s">
        <v>27</v>
      </c>
      <c r="J208" s="2" t="s">
        <v>28</v>
      </c>
      <c r="K208" s="2" t="s">
        <v>39</v>
      </c>
      <c r="L208" s="2" t="s">
        <v>115</v>
      </c>
      <c r="M208" s="2">
        <v>18</v>
      </c>
      <c r="N208" s="7">
        <v>700</v>
      </c>
      <c r="O208" s="2">
        <v>15</v>
      </c>
      <c r="P208" s="7">
        <v>10710</v>
      </c>
      <c r="Q208" s="2">
        <v>3</v>
      </c>
      <c r="R208" s="2" t="s">
        <v>60</v>
      </c>
      <c r="S208" s="2" t="s">
        <v>97</v>
      </c>
      <c r="T208" s="2" t="s">
        <v>131</v>
      </c>
      <c r="U208" s="2">
        <v>9508025585</v>
      </c>
      <c r="V208" s="2" t="s">
        <v>53</v>
      </c>
    </row>
    <row r="209" spans="1:22" x14ac:dyDescent="0.3">
      <c r="A209" s="2" t="s">
        <v>342</v>
      </c>
      <c r="B209" s="2" t="s">
        <v>160</v>
      </c>
      <c r="C209" s="2" t="s">
        <v>46</v>
      </c>
      <c r="D209" s="3">
        <v>46039</v>
      </c>
      <c r="E209" s="3">
        <v>46042</v>
      </c>
      <c r="F209" s="2" t="s">
        <v>179</v>
      </c>
      <c r="G209" s="2" t="s">
        <v>58</v>
      </c>
      <c r="H209" s="3">
        <v>28392</v>
      </c>
      <c r="I209" s="2" t="s">
        <v>80</v>
      </c>
      <c r="J209" s="2" t="s">
        <v>76</v>
      </c>
      <c r="K209" s="2" t="s">
        <v>39</v>
      </c>
      <c r="L209" s="2" t="s">
        <v>49</v>
      </c>
      <c r="M209" s="2">
        <v>12</v>
      </c>
      <c r="N209" s="7">
        <v>55000</v>
      </c>
      <c r="O209" s="2">
        <v>0</v>
      </c>
      <c r="P209" s="7">
        <v>660000</v>
      </c>
      <c r="Q209" s="2">
        <v>2</v>
      </c>
      <c r="R209" s="2" t="s">
        <v>65</v>
      </c>
      <c r="S209" s="2" t="s">
        <v>42</v>
      </c>
      <c r="T209" s="2" t="s">
        <v>162</v>
      </c>
      <c r="U209" s="2">
        <v>9364681052</v>
      </c>
      <c r="V209" s="2" t="s">
        <v>53</v>
      </c>
    </row>
    <row r="210" spans="1:22" x14ac:dyDescent="0.3">
      <c r="A210" s="2" t="s">
        <v>343</v>
      </c>
      <c r="B210" s="2" t="s">
        <v>23</v>
      </c>
      <c r="C210" s="2" t="s">
        <v>36</v>
      </c>
      <c r="D210" s="3">
        <v>45976</v>
      </c>
      <c r="E210" s="3">
        <v>45985</v>
      </c>
      <c r="F210" s="2" t="s">
        <v>25</v>
      </c>
      <c r="G210" s="2" t="s">
        <v>26</v>
      </c>
      <c r="H210" s="3">
        <v>35340</v>
      </c>
      <c r="I210" s="2" t="s">
        <v>75</v>
      </c>
      <c r="J210" s="2" t="s">
        <v>76</v>
      </c>
      <c r="K210" s="2" t="s">
        <v>39</v>
      </c>
      <c r="L210" s="2" t="s">
        <v>40</v>
      </c>
      <c r="M210" s="2">
        <v>7</v>
      </c>
      <c r="N210" s="7">
        <v>12000</v>
      </c>
      <c r="O210" s="2">
        <v>5</v>
      </c>
      <c r="P210" s="7">
        <v>79800</v>
      </c>
      <c r="Q210" s="2">
        <v>3</v>
      </c>
      <c r="R210" s="2" t="s">
        <v>60</v>
      </c>
      <c r="S210" s="2" t="s">
        <v>97</v>
      </c>
      <c r="T210" s="2" t="s">
        <v>43</v>
      </c>
      <c r="U210" s="2">
        <v>9117102884</v>
      </c>
      <c r="V210" s="2" t="s">
        <v>52</v>
      </c>
    </row>
    <row r="211" spans="1:22" x14ac:dyDescent="0.3">
      <c r="A211" s="2" t="s">
        <v>344</v>
      </c>
      <c r="B211" s="2" t="s">
        <v>137</v>
      </c>
      <c r="C211" s="2" t="s">
        <v>36</v>
      </c>
      <c r="D211" s="3">
        <v>45921</v>
      </c>
      <c r="E211" s="3">
        <v>45923</v>
      </c>
      <c r="F211" s="2" t="s">
        <v>138</v>
      </c>
      <c r="G211" s="2" t="s">
        <v>26</v>
      </c>
      <c r="H211" s="3">
        <v>27897</v>
      </c>
      <c r="I211" s="2" t="s">
        <v>75</v>
      </c>
      <c r="J211" s="2" t="s">
        <v>76</v>
      </c>
      <c r="K211" s="2" t="s">
        <v>39</v>
      </c>
      <c r="L211" s="2" t="s">
        <v>40</v>
      </c>
      <c r="M211" s="2">
        <v>8</v>
      </c>
      <c r="N211" s="7">
        <v>12000</v>
      </c>
      <c r="O211" s="2">
        <v>15</v>
      </c>
      <c r="P211" s="7">
        <v>81600</v>
      </c>
      <c r="Q211" s="2">
        <v>4</v>
      </c>
      <c r="R211" s="2" t="s">
        <v>60</v>
      </c>
      <c r="S211" s="2" t="s">
        <v>42</v>
      </c>
      <c r="T211" s="2" t="s">
        <v>139</v>
      </c>
      <c r="U211" s="2">
        <v>9819453185</v>
      </c>
      <c r="V211" s="2" t="s">
        <v>34</v>
      </c>
    </row>
    <row r="212" spans="1:22" x14ac:dyDescent="0.3">
      <c r="A212" s="2" t="s">
        <v>345</v>
      </c>
      <c r="B212" s="2" t="s">
        <v>160</v>
      </c>
      <c r="C212" s="2" t="s">
        <v>68</v>
      </c>
      <c r="D212" s="3">
        <v>46009</v>
      </c>
      <c r="E212" s="3">
        <v>46018</v>
      </c>
      <c r="F212" s="2" t="s">
        <v>179</v>
      </c>
      <c r="G212" s="2" t="s">
        <v>58</v>
      </c>
      <c r="H212" s="3">
        <v>32120</v>
      </c>
      <c r="I212" s="2" t="s">
        <v>75</v>
      </c>
      <c r="J212" s="2" t="s">
        <v>76</v>
      </c>
      <c r="K212" s="2" t="s">
        <v>29</v>
      </c>
      <c r="L212" s="2" t="s">
        <v>71</v>
      </c>
      <c r="M212" s="2">
        <v>19</v>
      </c>
      <c r="N212" s="7">
        <v>3500</v>
      </c>
      <c r="O212" s="2">
        <v>5</v>
      </c>
      <c r="P212" s="7">
        <v>63175</v>
      </c>
      <c r="Q212" s="2">
        <v>3</v>
      </c>
      <c r="R212" s="2" t="s">
        <v>60</v>
      </c>
      <c r="S212" s="2" t="s">
        <v>50</v>
      </c>
      <c r="T212" s="2" t="s">
        <v>162</v>
      </c>
      <c r="U212" s="2">
        <v>9511806701</v>
      </c>
      <c r="V212" s="2" t="s">
        <v>52</v>
      </c>
    </row>
    <row r="213" spans="1:22" x14ac:dyDescent="0.3">
      <c r="A213" s="2" t="s">
        <v>346</v>
      </c>
      <c r="B213" s="2" t="s">
        <v>137</v>
      </c>
      <c r="C213" s="2" t="s">
        <v>141</v>
      </c>
      <c r="D213" s="3">
        <v>45694</v>
      </c>
      <c r="E213" s="3">
        <v>45704</v>
      </c>
      <c r="F213" s="2" t="s">
        <v>138</v>
      </c>
      <c r="G213" s="2" t="s">
        <v>26</v>
      </c>
      <c r="H213" s="3">
        <v>33070</v>
      </c>
      <c r="I213" s="2" t="s">
        <v>92</v>
      </c>
      <c r="J213" s="2" t="s">
        <v>76</v>
      </c>
      <c r="K213" s="2" t="s">
        <v>84</v>
      </c>
      <c r="L213" s="2" t="s">
        <v>142</v>
      </c>
      <c r="M213" s="2">
        <v>7</v>
      </c>
      <c r="N213" s="7">
        <v>45</v>
      </c>
      <c r="O213" s="2">
        <v>5</v>
      </c>
      <c r="P213" s="7">
        <v>299.25</v>
      </c>
      <c r="Q213" s="2">
        <v>3</v>
      </c>
      <c r="R213" s="2" t="s">
        <v>60</v>
      </c>
      <c r="S213" s="2" t="s">
        <v>32</v>
      </c>
      <c r="T213" s="2" t="s">
        <v>139</v>
      </c>
      <c r="U213" s="2">
        <v>9875249891</v>
      </c>
      <c r="V213" s="2" t="s">
        <v>53</v>
      </c>
    </row>
    <row r="214" spans="1:22" x14ac:dyDescent="0.3">
      <c r="A214" s="2" t="s">
        <v>347</v>
      </c>
      <c r="B214" s="2" t="s">
        <v>23</v>
      </c>
      <c r="C214" s="2" t="s">
        <v>83</v>
      </c>
      <c r="D214" s="3">
        <v>45810</v>
      </c>
      <c r="E214" s="3">
        <v>45816</v>
      </c>
      <c r="F214" s="2" t="s">
        <v>25</v>
      </c>
      <c r="G214" s="2" t="s">
        <v>26</v>
      </c>
      <c r="H214" s="3">
        <v>33459</v>
      </c>
      <c r="I214" s="2" t="s">
        <v>27</v>
      </c>
      <c r="J214" s="2" t="s">
        <v>28</v>
      </c>
      <c r="K214" s="2" t="s">
        <v>84</v>
      </c>
      <c r="L214" s="2" t="s">
        <v>85</v>
      </c>
      <c r="M214" s="2">
        <v>3</v>
      </c>
      <c r="N214" s="7">
        <v>60</v>
      </c>
      <c r="O214" s="2">
        <v>15</v>
      </c>
      <c r="P214" s="7">
        <v>153</v>
      </c>
      <c r="Q214" s="2">
        <v>3</v>
      </c>
      <c r="R214" s="2" t="s">
        <v>41</v>
      </c>
      <c r="S214" s="2" t="s">
        <v>42</v>
      </c>
      <c r="T214" s="2" t="s">
        <v>43</v>
      </c>
      <c r="U214" s="2">
        <v>9438232503</v>
      </c>
      <c r="V214" s="2" t="s">
        <v>53</v>
      </c>
    </row>
    <row r="215" spans="1:22" x14ac:dyDescent="0.3">
      <c r="A215" s="2" t="s">
        <v>348</v>
      </c>
      <c r="B215" s="2" t="s">
        <v>45</v>
      </c>
      <c r="C215" s="2" t="s">
        <v>141</v>
      </c>
      <c r="D215" s="3">
        <v>46134</v>
      </c>
      <c r="E215" s="3">
        <v>46146</v>
      </c>
      <c r="F215" s="2" t="s">
        <v>102</v>
      </c>
      <c r="G215" s="2" t="s">
        <v>26</v>
      </c>
      <c r="H215" s="3">
        <v>28485</v>
      </c>
      <c r="I215" s="2" t="s">
        <v>80</v>
      </c>
      <c r="J215" s="2" t="s">
        <v>76</v>
      </c>
      <c r="K215" s="2" t="s">
        <v>84</v>
      </c>
      <c r="L215" s="2" t="s">
        <v>142</v>
      </c>
      <c r="M215" s="2">
        <v>19</v>
      </c>
      <c r="N215" s="7">
        <v>45</v>
      </c>
      <c r="O215" s="2">
        <v>0</v>
      </c>
      <c r="P215" s="7">
        <v>855</v>
      </c>
      <c r="Q215" s="2">
        <v>2</v>
      </c>
      <c r="R215" s="2" t="s">
        <v>31</v>
      </c>
      <c r="S215" s="2" t="s">
        <v>50</v>
      </c>
      <c r="T215" s="2" t="s">
        <v>51</v>
      </c>
      <c r="U215" s="2">
        <v>9449953754</v>
      </c>
      <c r="V215" s="2" t="s">
        <v>34</v>
      </c>
    </row>
    <row r="216" spans="1:22" x14ac:dyDescent="0.3">
      <c r="A216" s="2" t="s">
        <v>349</v>
      </c>
      <c r="B216" s="2" t="s">
        <v>73</v>
      </c>
      <c r="C216" s="2" t="s">
        <v>36</v>
      </c>
      <c r="D216" s="3">
        <v>46087</v>
      </c>
      <c r="E216" s="3">
        <v>46097</v>
      </c>
      <c r="F216" s="2" t="s">
        <v>74</v>
      </c>
      <c r="G216" s="2" t="s">
        <v>26</v>
      </c>
      <c r="H216" s="3">
        <v>34854</v>
      </c>
      <c r="I216" s="2" t="s">
        <v>48</v>
      </c>
      <c r="J216" s="2" t="s">
        <v>28</v>
      </c>
      <c r="K216" s="2" t="s">
        <v>39</v>
      </c>
      <c r="L216" s="2" t="s">
        <v>40</v>
      </c>
      <c r="M216" s="2">
        <v>10</v>
      </c>
      <c r="N216" s="7">
        <v>12000</v>
      </c>
      <c r="O216" s="2">
        <v>5</v>
      </c>
      <c r="P216" s="7">
        <v>114000</v>
      </c>
      <c r="Q216" s="2">
        <v>1</v>
      </c>
      <c r="R216" s="2" t="s">
        <v>60</v>
      </c>
      <c r="S216" s="2" t="s">
        <v>81</v>
      </c>
      <c r="T216" s="2" t="s">
        <v>94</v>
      </c>
      <c r="U216" s="2">
        <v>9833801891</v>
      </c>
      <c r="V216" s="2" t="s">
        <v>53</v>
      </c>
    </row>
    <row r="217" spans="1:22" x14ac:dyDescent="0.3">
      <c r="A217" s="2" t="s">
        <v>350</v>
      </c>
      <c r="B217" s="2" t="s">
        <v>23</v>
      </c>
      <c r="C217" s="2" t="s">
        <v>56</v>
      </c>
      <c r="D217" s="3">
        <v>45716</v>
      </c>
      <c r="E217" s="3">
        <v>45728</v>
      </c>
      <c r="F217" s="2" t="s">
        <v>25</v>
      </c>
      <c r="G217" s="2" t="s">
        <v>26</v>
      </c>
      <c r="H217" s="3">
        <v>30636</v>
      </c>
      <c r="I217" s="2" t="s">
        <v>151</v>
      </c>
      <c r="J217" s="2" t="s">
        <v>152</v>
      </c>
      <c r="K217" s="2" t="s">
        <v>39</v>
      </c>
      <c r="L217" s="2" t="s">
        <v>59</v>
      </c>
      <c r="M217" s="2">
        <v>4</v>
      </c>
      <c r="N217" s="7">
        <v>1200</v>
      </c>
      <c r="O217" s="2">
        <v>0</v>
      </c>
      <c r="P217" s="7">
        <v>4800</v>
      </c>
      <c r="Q217" s="2">
        <v>4</v>
      </c>
      <c r="R217" s="2" t="s">
        <v>31</v>
      </c>
      <c r="S217" s="2" t="s">
        <v>50</v>
      </c>
      <c r="T217" s="2" t="s">
        <v>43</v>
      </c>
      <c r="U217" s="2">
        <v>9183949273</v>
      </c>
      <c r="V217" s="2" t="s">
        <v>34</v>
      </c>
    </row>
    <row r="218" spans="1:22" x14ac:dyDescent="0.3">
      <c r="A218" s="2" t="s">
        <v>351</v>
      </c>
      <c r="B218" s="2" t="s">
        <v>127</v>
      </c>
      <c r="C218" s="2" t="s">
        <v>106</v>
      </c>
      <c r="D218" s="3">
        <v>45961</v>
      </c>
      <c r="E218" s="3">
        <v>45968</v>
      </c>
      <c r="F218" s="2" t="s">
        <v>129</v>
      </c>
      <c r="G218" s="2" t="s">
        <v>58</v>
      </c>
      <c r="H218" s="3">
        <v>31330</v>
      </c>
      <c r="I218" s="2" t="s">
        <v>48</v>
      </c>
      <c r="J218" s="2" t="s">
        <v>28</v>
      </c>
      <c r="K218" s="2" t="s">
        <v>29</v>
      </c>
      <c r="L218" s="2" t="s">
        <v>108</v>
      </c>
      <c r="M218" s="2">
        <v>2</v>
      </c>
      <c r="N218" s="7">
        <v>8500</v>
      </c>
      <c r="O218" s="2">
        <v>20</v>
      </c>
      <c r="P218" s="7">
        <v>13600</v>
      </c>
      <c r="Q218" s="2">
        <v>3</v>
      </c>
      <c r="R218" s="2" t="s">
        <v>60</v>
      </c>
      <c r="S218" s="2" t="s">
        <v>97</v>
      </c>
      <c r="T218" s="2" t="s">
        <v>131</v>
      </c>
      <c r="U218" s="2">
        <v>9168257367</v>
      </c>
      <c r="V218" s="2" t="s">
        <v>34</v>
      </c>
    </row>
    <row r="219" spans="1:22" x14ac:dyDescent="0.3">
      <c r="A219" s="2" t="s">
        <v>352</v>
      </c>
      <c r="B219" s="2" t="s">
        <v>63</v>
      </c>
      <c r="C219" s="2" t="s">
        <v>113</v>
      </c>
      <c r="D219" s="3">
        <v>46052</v>
      </c>
      <c r="E219" s="3">
        <v>46061</v>
      </c>
      <c r="F219" s="2" t="s">
        <v>111</v>
      </c>
      <c r="G219" s="2" t="s">
        <v>58</v>
      </c>
      <c r="H219" s="3">
        <v>37263</v>
      </c>
      <c r="I219" s="2" t="s">
        <v>151</v>
      </c>
      <c r="J219" s="2" t="s">
        <v>152</v>
      </c>
      <c r="K219" s="2" t="s">
        <v>39</v>
      </c>
      <c r="L219" s="2" t="s">
        <v>115</v>
      </c>
      <c r="M219" s="2">
        <v>7</v>
      </c>
      <c r="N219" s="7">
        <v>700</v>
      </c>
      <c r="O219" s="2">
        <v>20</v>
      </c>
      <c r="P219" s="7">
        <v>3920</v>
      </c>
      <c r="Q219" s="2">
        <v>2</v>
      </c>
      <c r="R219" s="2" t="s">
        <v>60</v>
      </c>
      <c r="S219" s="2" t="s">
        <v>97</v>
      </c>
      <c r="T219" s="2" t="s">
        <v>66</v>
      </c>
      <c r="U219" s="2">
        <v>9580903210</v>
      </c>
      <c r="V219" s="2" t="s">
        <v>52</v>
      </c>
    </row>
    <row r="220" spans="1:22" x14ac:dyDescent="0.3">
      <c r="A220" s="2" t="s">
        <v>353</v>
      </c>
      <c r="B220" s="2" t="s">
        <v>45</v>
      </c>
      <c r="C220" s="2" t="s">
        <v>128</v>
      </c>
      <c r="D220" s="3">
        <v>46141</v>
      </c>
      <c r="E220" s="3">
        <v>46145</v>
      </c>
      <c r="F220" s="2" t="s">
        <v>102</v>
      </c>
      <c r="G220" s="2" t="s">
        <v>26</v>
      </c>
      <c r="H220" s="3">
        <v>36359</v>
      </c>
      <c r="I220" s="2" t="s">
        <v>80</v>
      </c>
      <c r="J220" s="2" t="s">
        <v>76</v>
      </c>
      <c r="K220" s="2" t="s">
        <v>84</v>
      </c>
      <c r="L220" s="2" t="s">
        <v>130</v>
      </c>
      <c r="M220" s="2">
        <v>9</v>
      </c>
      <c r="N220" s="7">
        <v>20</v>
      </c>
      <c r="O220" s="2">
        <v>15</v>
      </c>
      <c r="P220" s="7">
        <v>153</v>
      </c>
      <c r="Q220" s="2">
        <v>3</v>
      </c>
      <c r="R220" s="2" t="s">
        <v>41</v>
      </c>
      <c r="S220" s="2" t="s">
        <v>81</v>
      </c>
      <c r="T220" s="2" t="s">
        <v>51</v>
      </c>
      <c r="U220" s="2">
        <v>9602152945</v>
      </c>
      <c r="V220" s="2" t="s">
        <v>34</v>
      </c>
    </row>
    <row r="221" spans="1:22" x14ac:dyDescent="0.3">
      <c r="A221" s="2" t="s">
        <v>354</v>
      </c>
      <c r="B221" s="2" t="s">
        <v>73</v>
      </c>
      <c r="C221" s="2" t="s">
        <v>106</v>
      </c>
      <c r="D221" s="3">
        <v>45795</v>
      </c>
      <c r="E221" s="3">
        <v>45797</v>
      </c>
      <c r="F221" s="2" t="s">
        <v>74</v>
      </c>
      <c r="G221" s="2" t="s">
        <v>26</v>
      </c>
      <c r="H221" s="3">
        <v>33118</v>
      </c>
      <c r="I221" s="2" t="s">
        <v>151</v>
      </c>
      <c r="J221" s="2" t="s">
        <v>152</v>
      </c>
      <c r="K221" s="2" t="s">
        <v>29</v>
      </c>
      <c r="L221" s="2" t="s">
        <v>108</v>
      </c>
      <c r="M221" s="2">
        <v>16</v>
      </c>
      <c r="N221" s="7">
        <v>8500</v>
      </c>
      <c r="O221" s="2">
        <v>0</v>
      </c>
      <c r="P221" s="7">
        <v>136000</v>
      </c>
      <c r="Q221" s="2">
        <v>4</v>
      </c>
      <c r="R221" s="2" t="s">
        <v>41</v>
      </c>
      <c r="S221" s="2" t="s">
        <v>32</v>
      </c>
      <c r="T221" s="2" t="s">
        <v>94</v>
      </c>
      <c r="U221" s="2">
        <v>9646917552</v>
      </c>
      <c r="V221" s="2" t="s">
        <v>34</v>
      </c>
    </row>
    <row r="222" spans="1:22" x14ac:dyDescent="0.3">
      <c r="A222" s="2" t="s">
        <v>355</v>
      </c>
      <c r="B222" s="2" t="s">
        <v>137</v>
      </c>
      <c r="C222" s="2" t="s">
        <v>68</v>
      </c>
      <c r="D222" s="3">
        <v>46107</v>
      </c>
      <c r="E222" s="3">
        <v>46109</v>
      </c>
      <c r="F222" s="2" t="s">
        <v>138</v>
      </c>
      <c r="G222" s="2" t="s">
        <v>26</v>
      </c>
      <c r="H222" s="3">
        <v>33818</v>
      </c>
      <c r="I222" s="2" t="s">
        <v>37</v>
      </c>
      <c r="J222" s="2" t="s">
        <v>38</v>
      </c>
      <c r="K222" s="2" t="s">
        <v>29</v>
      </c>
      <c r="L222" s="2" t="s">
        <v>71</v>
      </c>
      <c r="M222" s="2">
        <v>10</v>
      </c>
      <c r="N222" s="7">
        <v>3500</v>
      </c>
      <c r="O222" s="2">
        <v>5</v>
      </c>
      <c r="P222" s="7">
        <v>33250</v>
      </c>
      <c r="Q222" s="2">
        <v>3</v>
      </c>
      <c r="R222" s="2" t="s">
        <v>41</v>
      </c>
      <c r="S222" s="2" t="s">
        <v>81</v>
      </c>
      <c r="T222" s="2" t="s">
        <v>139</v>
      </c>
      <c r="U222" s="2">
        <v>9127548552</v>
      </c>
      <c r="V222" s="2" t="s">
        <v>34</v>
      </c>
    </row>
    <row r="223" spans="1:22" x14ac:dyDescent="0.3">
      <c r="A223" s="2" t="s">
        <v>356</v>
      </c>
      <c r="B223" s="2" t="s">
        <v>45</v>
      </c>
      <c r="C223" s="2" t="s">
        <v>36</v>
      </c>
      <c r="D223" s="3">
        <v>46041</v>
      </c>
      <c r="E223" s="3">
        <v>46049</v>
      </c>
      <c r="F223" s="2" t="s">
        <v>102</v>
      </c>
      <c r="G223" s="2" t="s">
        <v>26</v>
      </c>
      <c r="H223" s="3">
        <v>29260</v>
      </c>
      <c r="I223" s="2" t="s">
        <v>151</v>
      </c>
      <c r="J223" s="2" t="s">
        <v>152</v>
      </c>
      <c r="K223" s="2" t="s">
        <v>39</v>
      </c>
      <c r="L223" s="2" t="s">
        <v>40</v>
      </c>
      <c r="M223" s="2">
        <v>1</v>
      </c>
      <c r="N223" s="7">
        <v>12000</v>
      </c>
      <c r="O223" s="2">
        <v>0</v>
      </c>
      <c r="P223" s="7">
        <v>12000</v>
      </c>
      <c r="Q223" s="2">
        <v>5</v>
      </c>
      <c r="R223" s="2" t="s">
        <v>65</v>
      </c>
      <c r="S223" s="2" t="s">
        <v>81</v>
      </c>
      <c r="T223" s="2" t="s">
        <v>51</v>
      </c>
      <c r="U223" s="2">
        <v>9712805603</v>
      </c>
      <c r="V223" s="2" t="s">
        <v>52</v>
      </c>
    </row>
    <row r="224" spans="1:22" x14ac:dyDescent="0.3">
      <c r="A224" s="2" t="s">
        <v>357</v>
      </c>
      <c r="B224" s="2" t="s">
        <v>160</v>
      </c>
      <c r="C224" s="2" t="s">
        <v>141</v>
      </c>
      <c r="D224" s="3">
        <v>46144</v>
      </c>
      <c r="E224" s="3">
        <v>46152</v>
      </c>
      <c r="F224" s="2" t="s">
        <v>179</v>
      </c>
      <c r="G224" s="2" t="s">
        <v>58</v>
      </c>
      <c r="H224" s="3">
        <v>32557</v>
      </c>
      <c r="I224" s="2" t="s">
        <v>151</v>
      </c>
      <c r="J224" s="2" t="s">
        <v>152</v>
      </c>
      <c r="K224" s="2" t="s">
        <v>84</v>
      </c>
      <c r="L224" s="2" t="s">
        <v>142</v>
      </c>
      <c r="M224" s="2">
        <v>19</v>
      </c>
      <c r="N224" s="7">
        <v>45</v>
      </c>
      <c r="O224" s="2">
        <v>15</v>
      </c>
      <c r="P224" s="7">
        <v>726.75</v>
      </c>
      <c r="Q224" s="2">
        <v>2</v>
      </c>
      <c r="R224" s="2" t="s">
        <v>65</v>
      </c>
      <c r="S224" s="2" t="s">
        <v>97</v>
      </c>
      <c r="T224" s="2" t="s">
        <v>162</v>
      </c>
      <c r="U224" s="2">
        <v>9798313682</v>
      </c>
      <c r="V224" s="2" t="s">
        <v>52</v>
      </c>
    </row>
    <row r="225" spans="1:22" x14ac:dyDescent="0.3">
      <c r="A225" s="2" t="s">
        <v>358</v>
      </c>
      <c r="B225" s="2" t="s">
        <v>23</v>
      </c>
      <c r="C225" s="2" t="s">
        <v>46</v>
      </c>
      <c r="D225" s="3">
        <v>45961</v>
      </c>
      <c r="E225" s="3">
        <v>45963</v>
      </c>
      <c r="F225" s="2" t="s">
        <v>25</v>
      </c>
      <c r="G225" s="2" t="s">
        <v>26</v>
      </c>
      <c r="H225" s="3">
        <v>34222</v>
      </c>
      <c r="I225" s="2" t="s">
        <v>37</v>
      </c>
      <c r="J225" s="2" t="s">
        <v>38</v>
      </c>
      <c r="K225" s="2" t="s">
        <v>39</v>
      </c>
      <c r="L225" s="2" t="s">
        <v>49</v>
      </c>
      <c r="M225" s="2">
        <v>13</v>
      </c>
      <c r="N225" s="7">
        <v>55000</v>
      </c>
      <c r="O225" s="2">
        <v>5</v>
      </c>
      <c r="P225" s="7">
        <v>679250</v>
      </c>
      <c r="Q225" s="2">
        <v>4</v>
      </c>
      <c r="R225" s="2" t="s">
        <v>60</v>
      </c>
      <c r="S225" s="2" t="s">
        <v>42</v>
      </c>
      <c r="T225" s="2" t="s">
        <v>43</v>
      </c>
      <c r="U225" s="2">
        <v>9642822397</v>
      </c>
      <c r="V225" s="2" t="s">
        <v>53</v>
      </c>
    </row>
    <row r="226" spans="1:22" x14ac:dyDescent="0.3">
      <c r="A226" s="2" t="s">
        <v>359</v>
      </c>
      <c r="B226" s="2" t="s">
        <v>63</v>
      </c>
      <c r="C226" s="2" t="s">
        <v>141</v>
      </c>
      <c r="D226" s="3">
        <v>45858</v>
      </c>
      <c r="E226" s="3">
        <v>45864</v>
      </c>
      <c r="F226" s="2" t="s">
        <v>111</v>
      </c>
      <c r="G226" s="2" t="s">
        <v>58</v>
      </c>
      <c r="H226" s="3">
        <v>29907</v>
      </c>
      <c r="I226" s="2" t="s">
        <v>75</v>
      </c>
      <c r="J226" s="2" t="s">
        <v>76</v>
      </c>
      <c r="K226" s="2" t="s">
        <v>84</v>
      </c>
      <c r="L226" s="2" t="s">
        <v>142</v>
      </c>
      <c r="M226" s="2">
        <v>2</v>
      </c>
      <c r="N226" s="7">
        <v>45</v>
      </c>
      <c r="O226" s="2">
        <v>15</v>
      </c>
      <c r="P226" s="7">
        <v>76.5</v>
      </c>
      <c r="Q226" s="2">
        <v>1</v>
      </c>
      <c r="R226" s="2" t="s">
        <v>41</v>
      </c>
      <c r="S226" s="2" t="s">
        <v>81</v>
      </c>
      <c r="T226" s="2" t="s">
        <v>66</v>
      </c>
      <c r="U226" s="2">
        <v>9490067655</v>
      </c>
      <c r="V226" s="2" t="s">
        <v>34</v>
      </c>
    </row>
    <row r="227" spans="1:22" x14ac:dyDescent="0.3">
      <c r="A227" s="2" t="s">
        <v>360</v>
      </c>
      <c r="B227" s="2" t="s">
        <v>73</v>
      </c>
      <c r="C227" s="2" t="s">
        <v>128</v>
      </c>
      <c r="D227" s="3">
        <v>45707</v>
      </c>
      <c r="E227" s="3">
        <v>45712</v>
      </c>
      <c r="F227" s="2" t="s">
        <v>74</v>
      </c>
      <c r="G227" s="2" t="s">
        <v>26</v>
      </c>
      <c r="H227" s="3">
        <v>37857</v>
      </c>
      <c r="I227" s="2" t="s">
        <v>27</v>
      </c>
      <c r="J227" s="2" t="s">
        <v>28</v>
      </c>
      <c r="K227" s="2" t="s">
        <v>84</v>
      </c>
      <c r="L227" s="2" t="s">
        <v>130</v>
      </c>
      <c r="M227" s="2">
        <v>8</v>
      </c>
      <c r="N227" s="7">
        <v>20</v>
      </c>
      <c r="O227" s="2">
        <v>15</v>
      </c>
      <c r="P227" s="7">
        <v>136</v>
      </c>
      <c r="Q227" s="2">
        <v>1</v>
      </c>
      <c r="R227" s="2" t="s">
        <v>60</v>
      </c>
      <c r="S227" s="2" t="s">
        <v>32</v>
      </c>
      <c r="T227" s="2" t="s">
        <v>94</v>
      </c>
      <c r="U227" s="2">
        <v>9389792144</v>
      </c>
      <c r="V227" s="2" t="s">
        <v>52</v>
      </c>
    </row>
    <row r="228" spans="1:22" x14ac:dyDescent="0.3">
      <c r="A228" s="2" t="s">
        <v>361</v>
      </c>
      <c r="B228" s="2" t="s">
        <v>105</v>
      </c>
      <c r="C228" s="2" t="s">
        <v>36</v>
      </c>
      <c r="D228" s="3">
        <v>45767</v>
      </c>
      <c r="E228" s="3">
        <v>45778</v>
      </c>
      <c r="F228" s="2" t="s">
        <v>170</v>
      </c>
      <c r="G228" s="2" t="s">
        <v>26</v>
      </c>
      <c r="H228" s="3">
        <v>31247</v>
      </c>
      <c r="I228" s="2" t="s">
        <v>27</v>
      </c>
      <c r="J228" s="2" t="s">
        <v>28</v>
      </c>
      <c r="K228" s="2" t="s">
        <v>39</v>
      </c>
      <c r="L228" s="2" t="s">
        <v>40</v>
      </c>
      <c r="M228" s="2">
        <v>9</v>
      </c>
      <c r="N228" s="7">
        <v>12000</v>
      </c>
      <c r="O228" s="2">
        <v>5</v>
      </c>
      <c r="P228" s="7">
        <v>102600</v>
      </c>
      <c r="Q228" s="2">
        <v>2</v>
      </c>
      <c r="R228" s="2" t="s">
        <v>60</v>
      </c>
      <c r="S228" s="2" t="s">
        <v>32</v>
      </c>
      <c r="T228" s="2" t="s">
        <v>109</v>
      </c>
      <c r="U228" s="2">
        <v>9736113863</v>
      </c>
      <c r="V228" s="2" t="s">
        <v>53</v>
      </c>
    </row>
    <row r="229" spans="1:22" x14ac:dyDescent="0.3">
      <c r="A229" s="2" t="s">
        <v>362</v>
      </c>
      <c r="B229" s="2" t="s">
        <v>55</v>
      </c>
      <c r="C229" s="2" t="s">
        <v>68</v>
      </c>
      <c r="D229" s="3">
        <v>45813</v>
      </c>
      <c r="E229" s="3">
        <v>45821</v>
      </c>
      <c r="F229" s="2" t="s">
        <v>125</v>
      </c>
      <c r="G229" s="2" t="s">
        <v>58</v>
      </c>
      <c r="H229" s="3">
        <v>34464</v>
      </c>
      <c r="I229" s="2" t="s">
        <v>151</v>
      </c>
      <c r="J229" s="2" t="s">
        <v>152</v>
      </c>
      <c r="K229" s="2" t="s">
        <v>29</v>
      </c>
      <c r="L229" s="2" t="s">
        <v>71</v>
      </c>
      <c r="M229" s="2">
        <v>3</v>
      </c>
      <c r="N229" s="7">
        <v>3500</v>
      </c>
      <c r="O229" s="2">
        <v>15</v>
      </c>
      <c r="P229" s="7">
        <v>8925</v>
      </c>
      <c r="Q229" s="2">
        <v>1</v>
      </c>
      <c r="R229" s="2" t="s">
        <v>31</v>
      </c>
      <c r="S229" s="2" t="s">
        <v>42</v>
      </c>
      <c r="T229" s="2" t="s">
        <v>61</v>
      </c>
      <c r="U229" s="2">
        <v>9324634732</v>
      </c>
      <c r="V229" s="2" t="s">
        <v>53</v>
      </c>
    </row>
    <row r="230" spans="1:22" x14ac:dyDescent="0.3">
      <c r="A230" s="2" t="s">
        <v>363</v>
      </c>
      <c r="B230" s="2" t="s">
        <v>73</v>
      </c>
      <c r="C230" s="2" t="s">
        <v>113</v>
      </c>
      <c r="D230" s="3">
        <v>45797</v>
      </c>
      <c r="E230" s="3">
        <v>45800</v>
      </c>
      <c r="F230" s="2" t="s">
        <v>74</v>
      </c>
      <c r="G230" s="2" t="s">
        <v>26</v>
      </c>
      <c r="H230" s="3">
        <v>34051</v>
      </c>
      <c r="I230" s="2" t="s">
        <v>27</v>
      </c>
      <c r="J230" s="2" t="s">
        <v>28</v>
      </c>
      <c r="K230" s="2" t="s">
        <v>39</v>
      </c>
      <c r="L230" s="2" t="s">
        <v>115</v>
      </c>
      <c r="M230" s="2">
        <v>18</v>
      </c>
      <c r="N230" s="7">
        <v>700</v>
      </c>
      <c r="O230" s="2">
        <v>20</v>
      </c>
      <c r="P230" s="7">
        <v>10080</v>
      </c>
      <c r="Q230" s="2">
        <v>1</v>
      </c>
      <c r="R230" s="2" t="s">
        <v>60</v>
      </c>
      <c r="S230" s="2" t="s">
        <v>97</v>
      </c>
      <c r="T230" s="2" t="s">
        <v>94</v>
      </c>
      <c r="U230" s="2">
        <v>9529968110</v>
      </c>
      <c r="V230" s="2" t="s">
        <v>34</v>
      </c>
    </row>
    <row r="231" spans="1:22" x14ac:dyDescent="0.3">
      <c r="A231" s="2" t="s">
        <v>364</v>
      </c>
      <c r="B231" s="2" t="s">
        <v>55</v>
      </c>
      <c r="C231" s="2" t="s">
        <v>68</v>
      </c>
      <c r="D231" s="3">
        <v>46046</v>
      </c>
      <c r="E231" s="3">
        <v>46053</v>
      </c>
      <c r="F231" s="2" t="s">
        <v>125</v>
      </c>
      <c r="G231" s="2" t="s">
        <v>58</v>
      </c>
      <c r="H231" s="3">
        <v>29019</v>
      </c>
      <c r="I231" s="2" t="s">
        <v>80</v>
      </c>
      <c r="J231" s="2" t="s">
        <v>76</v>
      </c>
      <c r="K231" s="2" t="s">
        <v>29</v>
      </c>
      <c r="L231" s="2" t="s">
        <v>71</v>
      </c>
      <c r="M231" s="2">
        <v>14</v>
      </c>
      <c r="N231" s="7">
        <v>3500</v>
      </c>
      <c r="O231" s="2">
        <v>5</v>
      </c>
      <c r="P231" s="7">
        <v>46550</v>
      </c>
      <c r="Q231" s="2">
        <v>1</v>
      </c>
      <c r="R231" s="2" t="s">
        <v>31</v>
      </c>
      <c r="S231" s="2" t="s">
        <v>50</v>
      </c>
      <c r="T231" s="2" t="s">
        <v>61</v>
      </c>
      <c r="U231" s="2">
        <v>9102417647</v>
      </c>
      <c r="V231" s="2" t="s">
        <v>34</v>
      </c>
    </row>
    <row r="232" spans="1:22" x14ac:dyDescent="0.3">
      <c r="A232" s="2" t="s">
        <v>365</v>
      </c>
      <c r="B232" s="2" t="s">
        <v>73</v>
      </c>
      <c r="C232" s="2" t="s">
        <v>113</v>
      </c>
      <c r="D232" s="3">
        <v>45810</v>
      </c>
      <c r="E232" s="3">
        <v>45812</v>
      </c>
      <c r="F232" s="2" t="s">
        <v>74</v>
      </c>
      <c r="G232" s="2" t="s">
        <v>26</v>
      </c>
      <c r="H232" s="3">
        <v>33262</v>
      </c>
      <c r="I232" s="2" t="s">
        <v>151</v>
      </c>
      <c r="J232" s="2" t="s">
        <v>152</v>
      </c>
      <c r="K232" s="2" t="s">
        <v>39</v>
      </c>
      <c r="L232" s="2" t="s">
        <v>115</v>
      </c>
      <c r="M232" s="2">
        <v>6</v>
      </c>
      <c r="N232" s="7">
        <v>700</v>
      </c>
      <c r="O232" s="2">
        <v>5</v>
      </c>
      <c r="P232" s="7">
        <v>3990</v>
      </c>
      <c r="Q232" s="2">
        <v>5</v>
      </c>
      <c r="R232" s="2" t="s">
        <v>31</v>
      </c>
      <c r="S232" s="2" t="s">
        <v>32</v>
      </c>
      <c r="T232" s="2" t="s">
        <v>94</v>
      </c>
      <c r="U232" s="2">
        <v>9630302865</v>
      </c>
      <c r="V232" s="2" t="s">
        <v>34</v>
      </c>
    </row>
    <row r="233" spans="1:22" x14ac:dyDescent="0.3">
      <c r="A233" s="2" t="s">
        <v>366</v>
      </c>
      <c r="B233" s="2" t="s">
        <v>73</v>
      </c>
      <c r="C233" s="2" t="s">
        <v>68</v>
      </c>
      <c r="D233" s="3">
        <v>45819</v>
      </c>
      <c r="E233" s="3">
        <v>45827</v>
      </c>
      <c r="F233" s="2" t="s">
        <v>74</v>
      </c>
      <c r="G233" s="2" t="s">
        <v>26</v>
      </c>
      <c r="H233" s="3">
        <v>38039</v>
      </c>
      <c r="I233" s="2" t="s">
        <v>75</v>
      </c>
      <c r="J233" s="2" t="s">
        <v>76</v>
      </c>
      <c r="K233" s="2" t="s">
        <v>29</v>
      </c>
      <c r="L233" s="2" t="s">
        <v>71</v>
      </c>
      <c r="M233" s="2">
        <v>17</v>
      </c>
      <c r="N233" s="7">
        <v>3500</v>
      </c>
      <c r="O233" s="2">
        <v>15</v>
      </c>
      <c r="P233" s="7">
        <v>50575</v>
      </c>
      <c r="Q233" s="2">
        <v>3</v>
      </c>
      <c r="R233" s="2" t="s">
        <v>41</v>
      </c>
      <c r="S233" s="2" t="s">
        <v>42</v>
      </c>
      <c r="T233" s="2" t="s">
        <v>94</v>
      </c>
      <c r="U233" s="2">
        <v>9465353780</v>
      </c>
      <c r="V233" s="2" t="s">
        <v>52</v>
      </c>
    </row>
    <row r="234" spans="1:22" x14ac:dyDescent="0.3">
      <c r="A234" s="2" t="s">
        <v>367</v>
      </c>
      <c r="B234" s="2" t="s">
        <v>137</v>
      </c>
      <c r="C234" s="2" t="s">
        <v>128</v>
      </c>
      <c r="D234" s="3">
        <v>46038</v>
      </c>
      <c r="E234" s="3">
        <v>46046</v>
      </c>
      <c r="F234" s="2" t="s">
        <v>138</v>
      </c>
      <c r="G234" s="2" t="s">
        <v>26</v>
      </c>
      <c r="H234" s="3">
        <v>28240</v>
      </c>
      <c r="I234" s="2" t="s">
        <v>151</v>
      </c>
      <c r="J234" s="2" t="s">
        <v>152</v>
      </c>
      <c r="K234" s="2" t="s">
        <v>84</v>
      </c>
      <c r="L234" s="2" t="s">
        <v>130</v>
      </c>
      <c r="M234" s="2">
        <v>7</v>
      </c>
      <c r="N234" s="7">
        <v>20</v>
      </c>
      <c r="O234" s="2">
        <v>5</v>
      </c>
      <c r="P234" s="7">
        <v>133</v>
      </c>
      <c r="Q234" s="2">
        <v>2</v>
      </c>
      <c r="R234" s="2" t="s">
        <v>65</v>
      </c>
      <c r="S234" s="2" t="s">
        <v>97</v>
      </c>
      <c r="T234" s="2" t="s">
        <v>139</v>
      </c>
      <c r="U234" s="2">
        <v>9837426414</v>
      </c>
      <c r="V234" s="2" t="s">
        <v>34</v>
      </c>
    </row>
    <row r="235" spans="1:22" x14ac:dyDescent="0.3">
      <c r="A235" s="2" t="s">
        <v>368</v>
      </c>
      <c r="B235" s="2" t="s">
        <v>23</v>
      </c>
      <c r="C235" s="2" t="s">
        <v>24</v>
      </c>
      <c r="D235" s="3">
        <v>46073</v>
      </c>
      <c r="E235" s="3">
        <v>46085</v>
      </c>
      <c r="F235" s="2" t="s">
        <v>25</v>
      </c>
      <c r="G235" s="2" t="s">
        <v>26</v>
      </c>
      <c r="H235" s="3">
        <v>34537</v>
      </c>
      <c r="I235" s="2" t="s">
        <v>48</v>
      </c>
      <c r="J235" s="2" t="s">
        <v>28</v>
      </c>
      <c r="K235" s="2" t="s">
        <v>29</v>
      </c>
      <c r="L235" s="2" t="s">
        <v>30</v>
      </c>
      <c r="M235" s="2">
        <v>15</v>
      </c>
      <c r="N235" s="7">
        <v>2200</v>
      </c>
      <c r="O235" s="2">
        <v>20</v>
      </c>
      <c r="P235" s="7">
        <v>26400</v>
      </c>
      <c r="Q235" s="2">
        <v>2</v>
      </c>
      <c r="R235" s="2" t="s">
        <v>31</v>
      </c>
      <c r="S235" s="2" t="s">
        <v>50</v>
      </c>
      <c r="T235" s="2" t="s">
        <v>43</v>
      </c>
      <c r="U235" s="2">
        <v>9249918272</v>
      </c>
      <c r="V235" s="2" t="s">
        <v>34</v>
      </c>
    </row>
    <row r="236" spans="1:22" x14ac:dyDescent="0.3">
      <c r="A236" s="2" t="s">
        <v>369</v>
      </c>
      <c r="B236" s="2" t="s">
        <v>55</v>
      </c>
      <c r="C236" s="2" t="s">
        <v>128</v>
      </c>
      <c r="D236" s="3">
        <v>46070</v>
      </c>
      <c r="E236" s="3">
        <v>46078</v>
      </c>
      <c r="F236" s="2" t="s">
        <v>125</v>
      </c>
      <c r="G236" s="2" t="s">
        <v>58</v>
      </c>
      <c r="H236" s="3">
        <v>29170</v>
      </c>
      <c r="I236" s="2" t="s">
        <v>75</v>
      </c>
      <c r="J236" s="2" t="s">
        <v>76</v>
      </c>
      <c r="K236" s="2" t="s">
        <v>84</v>
      </c>
      <c r="L236" s="2" t="s">
        <v>130</v>
      </c>
      <c r="M236" s="2">
        <v>5</v>
      </c>
      <c r="N236" s="7">
        <v>20</v>
      </c>
      <c r="O236" s="2">
        <v>0</v>
      </c>
      <c r="P236" s="7">
        <v>100</v>
      </c>
      <c r="Q236" s="2">
        <v>3</v>
      </c>
      <c r="R236" s="2" t="s">
        <v>31</v>
      </c>
      <c r="S236" s="2" t="s">
        <v>97</v>
      </c>
      <c r="T236" s="2" t="s">
        <v>61</v>
      </c>
      <c r="U236" s="2">
        <v>9265580582</v>
      </c>
      <c r="V236" s="2" t="s">
        <v>34</v>
      </c>
    </row>
    <row r="237" spans="1:22" x14ac:dyDescent="0.3">
      <c r="A237" s="2" t="s">
        <v>370</v>
      </c>
      <c r="B237" s="2" t="s">
        <v>88</v>
      </c>
      <c r="C237" s="2" t="s">
        <v>36</v>
      </c>
      <c r="D237" s="3">
        <v>45847</v>
      </c>
      <c r="E237" s="3">
        <v>45852</v>
      </c>
      <c r="F237" s="2" t="s">
        <v>119</v>
      </c>
      <c r="G237" s="2" t="s">
        <v>58</v>
      </c>
      <c r="H237" s="3">
        <v>34846</v>
      </c>
      <c r="I237" s="2" t="s">
        <v>37</v>
      </c>
      <c r="J237" s="2" t="s">
        <v>38</v>
      </c>
      <c r="K237" s="2" t="s">
        <v>39</v>
      </c>
      <c r="L237" s="2" t="s">
        <v>40</v>
      </c>
      <c r="M237" s="2">
        <v>8</v>
      </c>
      <c r="N237" s="7">
        <v>12000</v>
      </c>
      <c r="O237" s="2">
        <v>20</v>
      </c>
      <c r="P237" s="7">
        <v>76800</v>
      </c>
      <c r="Q237" s="2">
        <v>3</v>
      </c>
      <c r="R237" s="2" t="s">
        <v>60</v>
      </c>
      <c r="S237" s="2" t="s">
        <v>50</v>
      </c>
      <c r="T237" s="2" t="s">
        <v>90</v>
      </c>
      <c r="U237" s="2">
        <v>9751049833</v>
      </c>
      <c r="V237" s="2" t="s">
        <v>52</v>
      </c>
    </row>
    <row r="238" spans="1:22" x14ac:dyDescent="0.3">
      <c r="A238" s="2" t="s">
        <v>371</v>
      </c>
      <c r="B238" s="2" t="s">
        <v>88</v>
      </c>
      <c r="C238" s="2" t="s">
        <v>68</v>
      </c>
      <c r="D238" s="3">
        <v>45696</v>
      </c>
      <c r="E238" s="3">
        <v>45704</v>
      </c>
      <c r="F238" s="2" t="s">
        <v>119</v>
      </c>
      <c r="G238" s="2" t="s">
        <v>58</v>
      </c>
      <c r="H238" s="3">
        <v>35964</v>
      </c>
      <c r="I238" s="2" t="s">
        <v>75</v>
      </c>
      <c r="J238" s="2" t="s">
        <v>76</v>
      </c>
      <c r="K238" s="2" t="s">
        <v>29</v>
      </c>
      <c r="L238" s="2" t="s">
        <v>71</v>
      </c>
      <c r="M238" s="2">
        <v>4</v>
      </c>
      <c r="N238" s="7">
        <v>3500</v>
      </c>
      <c r="O238" s="2">
        <v>20</v>
      </c>
      <c r="P238" s="7">
        <v>11200</v>
      </c>
      <c r="Q238" s="2">
        <v>1</v>
      </c>
      <c r="R238" s="2" t="s">
        <v>60</v>
      </c>
      <c r="S238" s="2" t="s">
        <v>81</v>
      </c>
      <c r="T238" s="2" t="s">
        <v>90</v>
      </c>
      <c r="U238" s="2">
        <v>9741671507</v>
      </c>
      <c r="V238" s="2" t="s">
        <v>34</v>
      </c>
    </row>
    <row r="239" spans="1:22" x14ac:dyDescent="0.3">
      <c r="A239" s="2" t="s">
        <v>372</v>
      </c>
      <c r="B239" s="2" t="s">
        <v>127</v>
      </c>
      <c r="C239" s="2" t="s">
        <v>141</v>
      </c>
      <c r="D239" s="3">
        <v>45713</v>
      </c>
      <c r="E239" s="3">
        <v>45720</v>
      </c>
      <c r="F239" s="2" t="s">
        <v>129</v>
      </c>
      <c r="G239" s="2" t="s">
        <v>58</v>
      </c>
      <c r="H239" s="3">
        <v>30337</v>
      </c>
      <c r="I239" s="2" t="s">
        <v>27</v>
      </c>
      <c r="J239" s="2" t="s">
        <v>28</v>
      </c>
      <c r="K239" s="2" t="s">
        <v>84</v>
      </c>
      <c r="L239" s="2" t="s">
        <v>142</v>
      </c>
      <c r="M239" s="2">
        <v>19</v>
      </c>
      <c r="N239" s="7">
        <v>45</v>
      </c>
      <c r="O239" s="2">
        <v>10</v>
      </c>
      <c r="P239" s="7">
        <v>769.5</v>
      </c>
      <c r="Q239" s="2">
        <v>1</v>
      </c>
      <c r="R239" s="2" t="s">
        <v>31</v>
      </c>
      <c r="S239" s="2" t="s">
        <v>81</v>
      </c>
      <c r="T239" s="2" t="s">
        <v>131</v>
      </c>
      <c r="U239" s="2">
        <v>9367541035</v>
      </c>
      <c r="V239" s="2" t="s">
        <v>34</v>
      </c>
    </row>
    <row r="240" spans="1:22" x14ac:dyDescent="0.3">
      <c r="A240" s="2" t="s">
        <v>373</v>
      </c>
      <c r="B240" s="2" t="s">
        <v>45</v>
      </c>
      <c r="C240" s="2" t="s">
        <v>141</v>
      </c>
      <c r="D240" s="3">
        <v>46049</v>
      </c>
      <c r="E240" s="3">
        <v>46059</v>
      </c>
      <c r="F240" s="2" t="s">
        <v>102</v>
      </c>
      <c r="G240" s="2" t="s">
        <v>26</v>
      </c>
      <c r="H240" s="3">
        <v>28552</v>
      </c>
      <c r="I240" s="2" t="s">
        <v>80</v>
      </c>
      <c r="J240" s="2" t="s">
        <v>76</v>
      </c>
      <c r="K240" s="2" t="s">
        <v>84</v>
      </c>
      <c r="L240" s="2" t="s">
        <v>142</v>
      </c>
      <c r="M240" s="2">
        <v>10</v>
      </c>
      <c r="N240" s="7">
        <v>45</v>
      </c>
      <c r="O240" s="2">
        <v>0</v>
      </c>
      <c r="P240" s="7">
        <v>450</v>
      </c>
      <c r="Q240" s="2">
        <v>4</v>
      </c>
      <c r="R240" s="2" t="s">
        <v>65</v>
      </c>
      <c r="S240" s="2" t="s">
        <v>50</v>
      </c>
      <c r="T240" s="2" t="s">
        <v>51</v>
      </c>
      <c r="U240" s="2">
        <v>9323696971</v>
      </c>
      <c r="V240" s="2" t="s">
        <v>34</v>
      </c>
    </row>
    <row r="241" spans="1:22" x14ac:dyDescent="0.3">
      <c r="A241" s="2" t="s">
        <v>374</v>
      </c>
      <c r="B241" s="2" t="s">
        <v>45</v>
      </c>
      <c r="C241" s="2" t="s">
        <v>141</v>
      </c>
      <c r="D241" s="3">
        <v>46030</v>
      </c>
      <c r="E241" s="3">
        <v>46039</v>
      </c>
      <c r="F241" s="2" t="s">
        <v>102</v>
      </c>
      <c r="G241" s="2" t="s">
        <v>26</v>
      </c>
      <c r="H241" s="3">
        <v>35605</v>
      </c>
      <c r="I241" s="2" t="s">
        <v>27</v>
      </c>
      <c r="J241" s="2" t="s">
        <v>28</v>
      </c>
      <c r="K241" s="2" t="s">
        <v>84</v>
      </c>
      <c r="L241" s="2" t="s">
        <v>142</v>
      </c>
      <c r="M241" s="2">
        <v>16</v>
      </c>
      <c r="N241" s="7">
        <v>45</v>
      </c>
      <c r="O241" s="2">
        <v>15</v>
      </c>
      <c r="P241" s="7">
        <v>612</v>
      </c>
      <c r="Q241" s="2">
        <v>3</v>
      </c>
      <c r="R241" s="2" t="s">
        <v>31</v>
      </c>
      <c r="S241" s="2" t="s">
        <v>81</v>
      </c>
      <c r="T241" s="2" t="s">
        <v>51</v>
      </c>
      <c r="U241" s="2">
        <v>9786384529</v>
      </c>
      <c r="V241" s="2" t="s">
        <v>53</v>
      </c>
    </row>
    <row r="242" spans="1:22" x14ac:dyDescent="0.3">
      <c r="A242" s="2" t="s">
        <v>375</v>
      </c>
      <c r="B242" s="2" t="s">
        <v>105</v>
      </c>
      <c r="C242" s="2" t="s">
        <v>106</v>
      </c>
      <c r="D242" s="3">
        <v>45741</v>
      </c>
      <c r="E242" s="3">
        <v>45743</v>
      </c>
      <c r="F242" s="2" t="s">
        <v>170</v>
      </c>
      <c r="G242" s="2" t="s">
        <v>26</v>
      </c>
      <c r="H242" s="3">
        <v>27997</v>
      </c>
      <c r="I242" s="2" t="s">
        <v>80</v>
      </c>
      <c r="J242" s="2" t="s">
        <v>76</v>
      </c>
      <c r="K242" s="2" t="s">
        <v>29</v>
      </c>
      <c r="L242" s="2" t="s">
        <v>108</v>
      </c>
      <c r="M242" s="2">
        <v>16</v>
      </c>
      <c r="N242" s="7">
        <v>8500</v>
      </c>
      <c r="O242" s="2">
        <v>15</v>
      </c>
      <c r="P242" s="7">
        <v>115600</v>
      </c>
      <c r="Q242" s="2">
        <v>4</v>
      </c>
      <c r="R242" s="2" t="s">
        <v>41</v>
      </c>
      <c r="S242" s="2" t="s">
        <v>32</v>
      </c>
      <c r="T242" s="2" t="s">
        <v>109</v>
      </c>
      <c r="U242" s="2">
        <v>9444900541</v>
      </c>
      <c r="V242" s="2" t="s">
        <v>53</v>
      </c>
    </row>
    <row r="243" spans="1:22" x14ac:dyDescent="0.3">
      <c r="A243" s="2" t="s">
        <v>376</v>
      </c>
      <c r="B243" s="2" t="s">
        <v>105</v>
      </c>
      <c r="C243" s="2" t="s">
        <v>128</v>
      </c>
      <c r="D243" s="3">
        <v>45901</v>
      </c>
      <c r="E243" s="3">
        <v>45912</v>
      </c>
      <c r="F243" s="2" t="s">
        <v>170</v>
      </c>
      <c r="G243" s="2" t="s">
        <v>26</v>
      </c>
      <c r="H243" s="3">
        <v>35159</v>
      </c>
      <c r="I243" s="2" t="s">
        <v>151</v>
      </c>
      <c r="J243" s="2" t="s">
        <v>152</v>
      </c>
      <c r="K243" s="2" t="s">
        <v>84</v>
      </c>
      <c r="L243" s="2" t="s">
        <v>130</v>
      </c>
      <c r="M243" s="2">
        <v>15</v>
      </c>
      <c r="N243" s="7">
        <v>20</v>
      </c>
      <c r="O243" s="2">
        <v>20</v>
      </c>
      <c r="P243" s="7">
        <v>240</v>
      </c>
      <c r="Q243" s="2">
        <v>3</v>
      </c>
      <c r="R243" s="2" t="s">
        <v>41</v>
      </c>
      <c r="S243" s="2" t="s">
        <v>42</v>
      </c>
      <c r="T243" s="2" t="s">
        <v>109</v>
      </c>
      <c r="U243" s="2">
        <v>9108024911</v>
      </c>
      <c r="V243" s="2" t="s">
        <v>53</v>
      </c>
    </row>
    <row r="244" spans="1:22" x14ac:dyDescent="0.3">
      <c r="A244" s="2" t="s">
        <v>377</v>
      </c>
      <c r="B244" s="2" t="s">
        <v>63</v>
      </c>
      <c r="C244" s="2" t="s">
        <v>83</v>
      </c>
      <c r="D244" s="3">
        <v>46031</v>
      </c>
      <c r="E244" s="3">
        <v>46035</v>
      </c>
      <c r="F244" s="2" t="s">
        <v>111</v>
      </c>
      <c r="G244" s="2" t="s">
        <v>58</v>
      </c>
      <c r="H244" s="3">
        <v>37173</v>
      </c>
      <c r="I244" s="2" t="s">
        <v>48</v>
      </c>
      <c r="J244" s="2" t="s">
        <v>28</v>
      </c>
      <c r="K244" s="2" t="s">
        <v>84</v>
      </c>
      <c r="L244" s="2" t="s">
        <v>85</v>
      </c>
      <c r="M244" s="2">
        <v>14</v>
      </c>
      <c r="N244" s="7">
        <v>60</v>
      </c>
      <c r="O244" s="2">
        <v>5</v>
      </c>
      <c r="P244" s="7">
        <v>798</v>
      </c>
      <c r="Q244" s="2">
        <v>4</v>
      </c>
      <c r="R244" s="2" t="s">
        <v>31</v>
      </c>
      <c r="S244" s="2" t="s">
        <v>42</v>
      </c>
      <c r="T244" s="2" t="s">
        <v>66</v>
      </c>
      <c r="U244" s="2">
        <v>9897181325</v>
      </c>
      <c r="V244" s="2" t="s">
        <v>34</v>
      </c>
    </row>
    <row r="245" spans="1:22" x14ac:dyDescent="0.3">
      <c r="A245" s="2" t="s">
        <v>378</v>
      </c>
      <c r="B245" s="2" t="s">
        <v>45</v>
      </c>
      <c r="C245" s="2" t="s">
        <v>56</v>
      </c>
      <c r="D245" s="3">
        <v>46158</v>
      </c>
      <c r="E245" s="3">
        <v>46161</v>
      </c>
      <c r="F245" s="2" t="s">
        <v>102</v>
      </c>
      <c r="G245" s="2" t="s">
        <v>26</v>
      </c>
      <c r="H245" s="3">
        <v>34800</v>
      </c>
      <c r="I245" s="2" t="s">
        <v>75</v>
      </c>
      <c r="J245" s="2" t="s">
        <v>76</v>
      </c>
      <c r="K245" s="2" t="s">
        <v>39</v>
      </c>
      <c r="L245" s="2" t="s">
        <v>59</v>
      </c>
      <c r="M245" s="2">
        <v>19</v>
      </c>
      <c r="N245" s="7">
        <v>1200</v>
      </c>
      <c r="O245" s="2">
        <v>20</v>
      </c>
      <c r="P245" s="7">
        <v>18240</v>
      </c>
      <c r="Q245" s="2">
        <v>2</v>
      </c>
      <c r="R245" s="2" t="s">
        <v>31</v>
      </c>
      <c r="S245" s="2" t="s">
        <v>81</v>
      </c>
      <c r="T245" s="2" t="s">
        <v>51</v>
      </c>
      <c r="U245" s="2">
        <v>9554719621</v>
      </c>
      <c r="V245" s="2" t="s">
        <v>53</v>
      </c>
    </row>
    <row r="246" spans="1:22" x14ac:dyDescent="0.3">
      <c r="A246" s="2" t="s">
        <v>379</v>
      </c>
      <c r="B246" s="2" t="s">
        <v>23</v>
      </c>
      <c r="C246" s="2" t="s">
        <v>141</v>
      </c>
      <c r="D246" s="3">
        <v>45943</v>
      </c>
      <c r="E246" s="3">
        <v>45944</v>
      </c>
      <c r="F246" s="2" t="s">
        <v>25</v>
      </c>
      <c r="G246" s="2" t="s">
        <v>26</v>
      </c>
      <c r="H246" s="3">
        <v>36650</v>
      </c>
      <c r="I246" s="2" t="s">
        <v>48</v>
      </c>
      <c r="J246" s="2" t="s">
        <v>28</v>
      </c>
      <c r="K246" s="2" t="s">
        <v>84</v>
      </c>
      <c r="L246" s="2" t="s">
        <v>142</v>
      </c>
      <c r="M246" s="2">
        <v>5</v>
      </c>
      <c r="N246" s="7">
        <v>45</v>
      </c>
      <c r="O246" s="2">
        <v>15</v>
      </c>
      <c r="P246" s="7">
        <v>191.25</v>
      </c>
      <c r="Q246" s="2">
        <v>2</v>
      </c>
      <c r="R246" s="2" t="s">
        <v>31</v>
      </c>
      <c r="S246" s="2" t="s">
        <v>50</v>
      </c>
      <c r="T246" s="2" t="s">
        <v>43</v>
      </c>
      <c r="U246" s="2">
        <v>9815899217</v>
      </c>
      <c r="V246" s="2" t="s">
        <v>53</v>
      </c>
    </row>
    <row r="247" spans="1:22" x14ac:dyDescent="0.3">
      <c r="A247" s="2" t="s">
        <v>380</v>
      </c>
      <c r="B247" s="2" t="s">
        <v>160</v>
      </c>
      <c r="C247" s="2" t="s">
        <v>113</v>
      </c>
      <c r="D247" s="3">
        <v>45802</v>
      </c>
      <c r="E247" s="3">
        <v>45809</v>
      </c>
      <c r="F247" s="2" t="s">
        <v>179</v>
      </c>
      <c r="G247" s="2" t="s">
        <v>58</v>
      </c>
      <c r="H247" s="3">
        <v>37316</v>
      </c>
      <c r="I247" s="2" t="s">
        <v>27</v>
      </c>
      <c r="J247" s="2" t="s">
        <v>28</v>
      </c>
      <c r="K247" s="2" t="s">
        <v>39</v>
      </c>
      <c r="L247" s="2" t="s">
        <v>115</v>
      </c>
      <c r="M247" s="2">
        <v>19</v>
      </c>
      <c r="N247" s="7">
        <v>700</v>
      </c>
      <c r="O247" s="2">
        <v>5</v>
      </c>
      <c r="P247" s="7">
        <v>12635</v>
      </c>
      <c r="Q247" s="2">
        <v>5</v>
      </c>
      <c r="R247" s="2" t="s">
        <v>65</v>
      </c>
      <c r="S247" s="2" t="s">
        <v>97</v>
      </c>
      <c r="T247" s="2" t="s">
        <v>162</v>
      </c>
      <c r="U247" s="2">
        <v>9308497039</v>
      </c>
      <c r="V247" s="2" t="s">
        <v>34</v>
      </c>
    </row>
    <row r="248" spans="1:22" x14ac:dyDescent="0.3">
      <c r="A248" s="2" t="s">
        <v>381</v>
      </c>
      <c r="B248" s="2" t="s">
        <v>88</v>
      </c>
      <c r="C248" s="2" t="s">
        <v>83</v>
      </c>
      <c r="D248" s="3">
        <v>46025</v>
      </c>
      <c r="E248" s="3">
        <v>46026</v>
      </c>
      <c r="F248" s="2" t="s">
        <v>119</v>
      </c>
      <c r="G248" s="2" t="s">
        <v>58</v>
      </c>
      <c r="H248" s="3">
        <v>27541</v>
      </c>
      <c r="I248" s="2" t="s">
        <v>151</v>
      </c>
      <c r="J248" s="2" t="s">
        <v>152</v>
      </c>
      <c r="K248" s="2" t="s">
        <v>84</v>
      </c>
      <c r="L248" s="2" t="s">
        <v>85</v>
      </c>
      <c r="M248" s="2">
        <v>7</v>
      </c>
      <c r="N248" s="7">
        <v>60</v>
      </c>
      <c r="O248" s="2">
        <v>0</v>
      </c>
      <c r="P248" s="7">
        <v>420</v>
      </c>
      <c r="Q248" s="2">
        <v>4</v>
      </c>
      <c r="R248" s="2" t="s">
        <v>31</v>
      </c>
      <c r="S248" s="2" t="s">
        <v>81</v>
      </c>
      <c r="T248" s="2" t="s">
        <v>90</v>
      </c>
      <c r="U248" s="2">
        <v>9882054354</v>
      </c>
      <c r="V248" s="2" t="s">
        <v>52</v>
      </c>
    </row>
    <row r="249" spans="1:22" x14ac:dyDescent="0.3">
      <c r="A249" s="2" t="s">
        <v>382</v>
      </c>
      <c r="B249" s="2" t="s">
        <v>55</v>
      </c>
      <c r="C249" s="2" t="s">
        <v>24</v>
      </c>
      <c r="D249" s="3">
        <v>46013</v>
      </c>
      <c r="E249" s="3">
        <v>46024</v>
      </c>
      <c r="F249" s="2" t="s">
        <v>125</v>
      </c>
      <c r="G249" s="2" t="s">
        <v>58</v>
      </c>
      <c r="H249" s="3">
        <v>32479</v>
      </c>
      <c r="I249" s="2" t="s">
        <v>75</v>
      </c>
      <c r="J249" s="2" t="s">
        <v>76</v>
      </c>
      <c r="K249" s="2" t="s">
        <v>29</v>
      </c>
      <c r="L249" s="2" t="s">
        <v>30</v>
      </c>
      <c r="M249" s="2">
        <v>13</v>
      </c>
      <c r="N249" s="7">
        <v>2200</v>
      </c>
      <c r="O249" s="2">
        <v>10</v>
      </c>
      <c r="P249" s="7">
        <v>25740</v>
      </c>
      <c r="Q249" s="2">
        <v>1</v>
      </c>
      <c r="R249" s="2" t="s">
        <v>60</v>
      </c>
      <c r="S249" s="2" t="s">
        <v>97</v>
      </c>
      <c r="T249" s="2" t="s">
        <v>61</v>
      </c>
      <c r="U249" s="2">
        <v>9193016830</v>
      </c>
      <c r="V249" s="2" t="s">
        <v>34</v>
      </c>
    </row>
    <row r="250" spans="1:22" x14ac:dyDescent="0.3">
      <c r="A250" s="2" t="s">
        <v>383</v>
      </c>
      <c r="B250" s="2" t="s">
        <v>55</v>
      </c>
      <c r="C250" s="2" t="s">
        <v>24</v>
      </c>
      <c r="D250" s="3">
        <v>46019</v>
      </c>
      <c r="E250" s="3">
        <v>46027</v>
      </c>
      <c r="F250" s="2" t="s">
        <v>125</v>
      </c>
      <c r="G250" s="2" t="s">
        <v>58</v>
      </c>
      <c r="H250" s="3">
        <v>31022</v>
      </c>
      <c r="I250" s="2" t="s">
        <v>48</v>
      </c>
      <c r="J250" s="2" t="s">
        <v>28</v>
      </c>
      <c r="K250" s="2" t="s">
        <v>29</v>
      </c>
      <c r="L250" s="2" t="s">
        <v>30</v>
      </c>
      <c r="M250" s="2">
        <v>9</v>
      </c>
      <c r="N250" s="7">
        <v>2200</v>
      </c>
      <c r="O250" s="2">
        <v>10</v>
      </c>
      <c r="P250" s="7">
        <v>17820</v>
      </c>
      <c r="Q250" s="2">
        <v>2</v>
      </c>
      <c r="R250" s="2" t="s">
        <v>384</v>
      </c>
      <c r="S250" s="2" t="s">
        <v>50</v>
      </c>
      <c r="T250" s="2" t="s">
        <v>61</v>
      </c>
      <c r="U250" s="2">
        <v>9921470418</v>
      </c>
      <c r="V250" s="2" t="s">
        <v>53</v>
      </c>
    </row>
    <row r="251" spans="1:22" x14ac:dyDescent="0.3">
      <c r="A251" s="2" t="s">
        <v>385</v>
      </c>
      <c r="B251" s="2" t="s">
        <v>160</v>
      </c>
      <c r="C251" s="2" t="s">
        <v>106</v>
      </c>
      <c r="D251" s="3">
        <v>45792</v>
      </c>
      <c r="E251" s="3">
        <v>45794</v>
      </c>
      <c r="F251" s="2" t="s">
        <v>179</v>
      </c>
      <c r="G251" s="2" t="s">
        <v>58</v>
      </c>
      <c r="H251" s="3">
        <v>32994</v>
      </c>
      <c r="I251" s="2" t="s">
        <v>48</v>
      </c>
      <c r="J251" s="2" t="s">
        <v>28</v>
      </c>
      <c r="K251" s="2" t="s">
        <v>29</v>
      </c>
      <c r="L251" s="2" t="s">
        <v>108</v>
      </c>
      <c r="M251" s="2">
        <v>6</v>
      </c>
      <c r="N251" s="7">
        <v>8500</v>
      </c>
      <c r="O251" s="2">
        <v>15</v>
      </c>
      <c r="P251" s="7">
        <v>43350</v>
      </c>
      <c r="Q251" s="2">
        <v>2</v>
      </c>
      <c r="R251" s="2" t="s">
        <v>31</v>
      </c>
      <c r="S251" s="2" t="s">
        <v>97</v>
      </c>
      <c r="T251" s="2" t="s">
        <v>162</v>
      </c>
      <c r="U251" s="2">
        <v>9686979026</v>
      </c>
      <c r="V251" s="2" t="s">
        <v>53</v>
      </c>
    </row>
    <row r="252" spans="1:22" x14ac:dyDescent="0.3">
      <c r="A252" s="2" t="s">
        <v>386</v>
      </c>
      <c r="B252" s="2" t="s">
        <v>127</v>
      </c>
      <c r="C252" s="2" t="s">
        <v>24</v>
      </c>
      <c r="D252" s="3">
        <v>46070</v>
      </c>
      <c r="E252" s="3">
        <v>46078</v>
      </c>
      <c r="F252" s="2" t="s">
        <v>129</v>
      </c>
      <c r="G252" s="2" t="s">
        <v>58</v>
      </c>
      <c r="H252" s="3">
        <v>32182</v>
      </c>
      <c r="I252" s="2" t="s">
        <v>37</v>
      </c>
      <c r="J252" s="2" t="s">
        <v>38</v>
      </c>
      <c r="K252" s="2" t="s">
        <v>29</v>
      </c>
      <c r="L252" s="2" t="s">
        <v>30</v>
      </c>
      <c r="M252" s="2">
        <v>9</v>
      </c>
      <c r="N252" s="7">
        <v>2200</v>
      </c>
      <c r="O252" s="2">
        <v>10</v>
      </c>
      <c r="P252" s="7">
        <v>17820</v>
      </c>
      <c r="Q252" s="2">
        <v>3</v>
      </c>
      <c r="R252" s="2" t="s">
        <v>60</v>
      </c>
      <c r="S252" s="2" t="s">
        <v>32</v>
      </c>
      <c r="T252" s="2" t="s">
        <v>131</v>
      </c>
      <c r="U252" s="2">
        <v>9569007422</v>
      </c>
      <c r="V252" s="2" t="s">
        <v>52</v>
      </c>
    </row>
    <row r="253" spans="1:22" x14ac:dyDescent="0.3">
      <c r="A253" s="2" t="s">
        <v>387</v>
      </c>
      <c r="B253" s="2" t="s">
        <v>23</v>
      </c>
      <c r="C253" s="2" t="s">
        <v>106</v>
      </c>
      <c r="D253" s="3">
        <v>45739</v>
      </c>
      <c r="E253" s="3">
        <v>45742</v>
      </c>
      <c r="F253" s="2" t="s">
        <v>25</v>
      </c>
      <c r="G253" s="2" t="s">
        <v>26</v>
      </c>
      <c r="H253" s="3">
        <v>30038</v>
      </c>
      <c r="I253" s="2" t="s">
        <v>151</v>
      </c>
      <c r="J253" s="2" t="s">
        <v>152</v>
      </c>
      <c r="K253" s="2" t="s">
        <v>29</v>
      </c>
      <c r="L253" s="2" t="s">
        <v>108</v>
      </c>
      <c r="M253" s="2">
        <v>16</v>
      </c>
      <c r="N253" s="7">
        <v>8500</v>
      </c>
      <c r="O253" s="2">
        <v>0</v>
      </c>
      <c r="P253" s="7">
        <v>136000</v>
      </c>
      <c r="Q253" s="2">
        <v>5</v>
      </c>
      <c r="R253" s="2" t="s">
        <v>65</v>
      </c>
      <c r="S253" s="2" t="s">
        <v>81</v>
      </c>
      <c r="T253" s="2" t="s">
        <v>43</v>
      </c>
      <c r="U253" s="2">
        <v>9180820441</v>
      </c>
      <c r="V253" s="2" t="s">
        <v>53</v>
      </c>
    </row>
    <row r="254" spans="1:22" x14ac:dyDescent="0.3">
      <c r="A254" s="2" t="s">
        <v>388</v>
      </c>
      <c r="B254" s="2" t="s">
        <v>160</v>
      </c>
      <c r="C254" s="2" t="s">
        <v>56</v>
      </c>
      <c r="D254" s="3">
        <v>46006</v>
      </c>
      <c r="E254" s="3">
        <v>46007</v>
      </c>
      <c r="F254" s="2" t="s">
        <v>179</v>
      </c>
      <c r="G254" s="2" t="s">
        <v>58</v>
      </c>
      <c r="H254" s="3">
        <v>28122</v>
      </c>
      <c r="I254" s="2" t="s">
        <v>37</v>
      </c>
      <c r="J254" s="2" t="s">
        <v>38</v>
      </c>
      <c r="K254" s="2" t="s">
        <v>39</v>
      </c>
      <c r="L254" s="2" t="s">
        <v>59</v>
      </c>
      <c r="M254" s="2">
        <v>10</v>
      </c>
      <c r="N254" s="7">
        <v>1200</v>
      </c>
      <c r="O254" s="2">
        <v>15</v>
      </c>
      <c r="P254" s="7">
        <v>10200</v>
      </c>
      <c r="Q254" s="2">
        <v>5</v>
      </c>
      <c r="R254" s="2" t="s">
        <v>31</v>
      </c>
      <c r="S254" s="2" t="s">
        <v>42</v>
      </c>
      <c r="T254" s="2" t="s">
        <v>162</v>
      </c>
      <c r="U254" s="2">
        <v>9769075826</v>
      </c>
      <c r="V254" s="2" t="s">
        <v>34</v>
      </c>
    </row>
    <row r="255" spans="1:22" x14ac:dyDescent="0.3">
      <c r="A255" s="2" t="s">
        <v>389</v>
      </c>
      <c r="B255" s="2" t="s">
        <v>88</v>
      </c>
      <c r="C255" s="2" t="s">
        <v>36</v>
      </c>
      <c r="D255" s="3">
        <v>45721</v>
      </c>
      <c r="E255" s="3">
        <v>45731</v>
      </c>
      <c r="F255" s="2" t="s">
        <v>119</v>
      </c>
      <c r="G255" s="2" t="s">
        <v>58</v>
      </c>
      <c r="H255" s="3">
        <v>37836</v>
      </c>
      <c r="I255" s="2" t="s">
        <v>151</v>
      </c>
      <c r="J255" s="2" t="s">
        <v>152</v>
      </c>
      <c r="K255" s="2" t="s">
        <v>39</v>
      </c>
      <c r="L255" s="2" t="s">
        <v>40</v>
      </c>
      <c r="M255" s="2">
        <v>7</v>
      </c>
      <c r="N255" s="7">
        <v>12000</v>
      </c>
      <c r="O255" s="2">
        <v>0</v>
      </c>
      <c r="P255" s="7">
        <v>84000</v>
      </c>
      <c r="Q255" s="2">
        <v>1</v>
      </c>
      <c r="R255" s="2" t="s">
        <v>65</v>
      </c>
      <c r="S255" s="2" t="s">
        <v>97</v>
      </c>
      <c r="T255" s="2" t="s">
        <v>90</v>
      </c>
      <c r="U255" s="2">
        <v>9467916296</v>
      </c>
      <c r="V255" s="2" t="s">
        <v>52</v>
      </c>
    </row>
    <row r="256" spans="1:22" x14ac:dyDescent="0.3">
      <c r="A256" s="2" t="s">
        <v>390</v>
      </c>
      <c r="B256" s="2" t="s">
        <v>127</v>
      </c>
      <c r="C256" s="2" t="s">
        <v>36</v>
      </c>
      <c r="D256" s="3">
        <v>45919</v>
      </c>
      <c r="E256" s="3">
        <v>45931</v>
      </c>
      <c r="F256" s="2" t="s">
        <v>129</v>
      </c>
      <c r="G256" s="2" t="s">
        <v>58</v>
      </c>
      <c r="H256" s="3">
        <v>31538</v>
      </c>
      <c r="I256" s="2" t="s">
        <v>80</v>
      </c>
      <c r="J256" s="2" t="s">
        <v>76</v>
      </c>
      <c r="K256" s="2" t="s">
        <v>39</v>
      </c>
      <c r="L256" s="2" t="s">
        <v>40</v>
      </c>
      <c r="M256" s="2">
        <v>3</v>
      </c>
      <c r="N256" s="7">
        <v>12000</v>
      </c>
      <c r="O256" s="2">
        <v>10</v>
      </c>
      <c r="P256" s="7">
        <v>32400</v>
      </c>
      <c r="Q256" s="2">
        <v>4</v>
      </c>
      <c r="R256" s="2" t="s">
        <v>60</v>
      </c>
      <c r="S256" s="2" t="s">
        <v>97</v>
      </c>
      <c r="T256" s="2" t="s">
        <v>131</v>
      </c>
      <c r="U256" s="2">
        <v>9477052923</v>
      </c>
      <c r="V256" s="2" t="s">
        <v>34</v>
      </c>
    </row>
    <row r="257" spans="1:22" x14ac:dyDescent="0.3">
      <c r="A257" s="2" t="s">
        <v>391</v>
      </c>
      <c r="B257" s="2" t="s">
        <v>127</v>
      </c>
      <c r="C257" s="2" t="s">
        <v>36</v>
      </c>
      <c r="D257" s="3">
        <v>45964</v>
      </c>
      <c r="E257" s="3">
        <v>45970</v>
      </c>
      <c r="F257" s="2" t="s">
        <v>129</v>
      </c>
      <c r="G257" s="2" t="s">
        <v>58</v>
      </c>
      <c r="H257" s="3">
        <v>32543</v>
      </c>
      <c r="I257" s="2" t="s">
        <v>27</v>
      </c>
      <c r="J257" s="2" t="s">
        <v>28</v>
      </c>
      <c r="K257" s="2" t="s">
        <v>39</v>
      </c>
      <c r="L257" s="2" t="s">
        <v>40</v>
      </c>
      <c r="M257" s="2">
        <v>4</v>
      </c>
      <c r="N257" s="7">
        <v>12000</v>
      </c>
      <c r="O257" s="2">
        <v>15</v>
      </c>
      <c r="P257" s="7">
        <v>40800</v>
      </c>
      <c r="Q257" s="2">
        <v>3</v>
      </c>
      <c r="R257" s="2" t="s">
        <v>60</v>
      </c>
      <c r="S257" s="2" t="s">
        <v>32</v>
      </c>
      <c r="T257" s="2" t="s">
        <v>131</v>
      </c>
      <c r="U257" s="2">
        <v>9184311420</v>
      </c>
      <c r="V257" s="2" t="s">
        <v>52</v>
      </c>
    </row>
    <row r="258" spans="1:22" x14ac:dyDescent="0.3">
      <c r="A258" s="2" t="s">
        <v>392</v>
      </c>
      <c r="B258" s="2" t="s">
        <v>88</v>
      </c>
      <c r="C258" s="2" t="s">
        <v>36</v>
      </c>
      <c r="D258" s="3">
        <v>45824</v>
      </c>
      <c r="E258" s="3">
        <v>45826</v>
      </c>
      <c r="F258" s="2" t="s">
        <v>119</v>
      </c>
      <c r="G258" s="2" t="s">
        <v>58</v>
      </c>
      <c r="H258" s="3">
        <v>29259</v>
      </c>
      <c r="I258" s="2" t="s">
        <v>27</v>
      </c>
      <c r="J258" s="2" t="s">
        <v>28</v>
      </c>
      <c r="K258" s="2" t="s">
        <v>39</v>
      </c>
      <c r="L258" s="2" t="s">
        <v>40</v>
      </c>
      <c r="M258" s="2">
        <v>13</v>
      </c>
      <c r="N258" s="7">
        <v>12000</v>
      </c>
      <c r="O258" s="2">
        <v>10</v>
      </c>
      <c r="P258" s="7">
        <v>140400</v>
      </c>
      <c r="Q258" s="2">
        <v>2</v>
      </c>
      <c r="R258" s="2" t="s">
        <v>31</v>
      </c>
      <c r="S258" s="2" t="s">
        <v>97</v>
      </c>
      <c r="T258" s="2" t="s">
        <v>90</v>
      </c>
      <c r="U258" s="2">
        <v>9630913127</v>
      </c>
      <c r="V258" s="2" t="s">
        <v>53</v>
      </c>
    </row>
    <row r="259" spans="1:22" x14ac:dyDescent="0.3">
      <c r="A259" s="2" t="s">
        <v>393</v>
      </c>
      <c r="B259" s="2" t="s">
        <v>23</v>
      </c>
      <c r="C259" s="2" t="s">
        <v>68</v>
      </c>
      <c r="D259" s="3">
        <v>45812</v>
      </c>
      <c r="E259" s="3">
        <v>45819</v>
      </c>
      <c r="F259" s="2" t="s">
        <v>25</v>
      </c>
      <c r="G259" s="2" t="s">
        <v>26</v>
      </c>
      <c r="H259" s="3">
        <v>31060</v>
      </c>
      <c r="I259" s="2" t="s">
        <v>48</v>
      </c>
      <c r="J259" s="2" t="s">
        <v>28</v>
      </c>
      <c r="K259" s="2" t="s">
        <v>29</v>
      </c>
      <c r="L259" s="2" t="s">
        <v>71</v>
      </c>
      <c r="M259" s="2">
        <v>19</v>
      </c>
      <c r="N259" s="7">
        <v>3500</v>
      </c>
      <c r="O259" s="2">
        <v>20</v>
      </c>
      <c r="P259" s="7">
        <v>53200</v>
      </c>
      <c r="Q259" s="2">
        <v>1</v>
      </c>
      <c r="R259" s="2" t="s">
        <v>31</v>
      </c>
      <c r="S259" s="2" t="s">
        <v>50</v>
      </c>
      <c r="T259" s="2" t="s">
        <v>43</v>
      </c>
      <c r="U259" s="2">
        <v>9997515828</v>
      </c>
      <c r="V259" s="2" t="s">
        <v>53</v>
      </c>
    </row>
    <row r="260" spans="1:22" x14ac:dyDescent="0.3">
      <c r="A260" s="2" t="s">
        <v>394</v>
      </c>
      <c r="B260" s="2" t="s">
        <v>23</v>
      </c>
      <c r="C260" s="2" t="s">
        <v>24</v>
      </c>
      <c r="D260" s="3">
        <v>45695</v>
      </c>
      <c r="E260" s="3">
        <v>45700</v>
      </c>
      <c r="F260" s="2" t="s">
        <v>25</v>
      </c>
      <c r="G260" s="2" t="s">
        <v>26</v>
      </c>
      <c r="H260" s="3">
        <v>29060</v>
      </c>
      <c r="I260" s="2" t="s">
        <v>75</v>
      </c>
      <c r="J260" s="2" t="s">
        <v>76</v>
      </c>
      <c r="K260" s="2" t="s">
        <v>29</v>
      </c>
      <c r="L260" s="2" t="s">
        <v>30</v>
      </c>
      <c r="M260" s="2">
        <v>7</v>
      </c>
      <c r="N260" s="7">
        <v>2200</v>
      </c>
      <c r="O260" s="2">
        <v>5</v>
      </c>
      <c r="P260" s="7">
        <v>14630</v>
      </c>
      <c r="Q260" s="2">
        <v>3</v>
      </c>
      <c r="R260" s="2" t="s">
        <v>65</v>
      </c>
      <c r="S260" s="2" t="s">
        <v>50</v>
      </c>
      <c r="T260" s="2" t="s">
        <v>43</v>
      </c>
      <c r="U260" s="2">
        <v>9394291182</v>
      </c>
      <c r="V260" s="2" t="s">
        <v>53</v>
      </c>
    </row>
    <row r="261" spans="1:22" x14ac:dyDescent="0.3">
      <c r="A261" s="2" t="s">
        <v>395</v>
      </c>
      <c r="B261" s="2" t="s">
        <v>63</v>
      </c>
      <c r="C261" s="2" t="s">
        <v>113</v>
      </c>
      <c r="D261" s="3">
        <v>46151</v>
      </c>
      <c r="E261" s="3">
        <v>46155</v>
      </c>
      <c r="F261" s="2" t="s">
        <v>111</v>
      </c>
      <c r="G261" s="2" t="s">
        <v>58</v>
      </c>
      <c r="H261" s="3">
        <v>34184</v>
      </c>
      <c r="I261" s="2" t="s">
        <v>123</v>
      </c>
      <c r="J261" s="2" t="s">
        <v>38</v>
      </c>
      <c r="K261" s="2" t="s">
        <v>39</v>
      </c>
      <c r="L261" s="2" t="s">
        <v>115</v>
      </c>
      <c r="M261" s="2">
        <v>18</v>
      </c>
      <c r="N261" s="7">
        <v>700</v>
      </c>
      <c r="O261" s="2">
        <v>5</v>
      </c>
      <c r="P261" s="7">
        <v>11970</v>
      </c>
      <c r="Q261" s="2">
        <v>2</v>
      </c>
      <c r="R261" s="2" t="s">
        <v>65</v>
      </c>
      <c r="S261" s="2" t="s">
        <v>50</v>
      </c>
      <c r="T261" s="2" t="s">
        <v>66</v>
      </c>
      <c r="U261" s="2">
        <v>9616853220</v>
      </c>
      <c r="V261" s="2" t="s">
        <v>53</v>
      </c>
    </row>
    <row r="262" spans="1:22" x14ac:dyDescent="0.3">
      <c r="A262" s="2" t="s">
        <v>396</v>
      </c>
      <c r="B262" s="2" t="s">
        <v>23</v>
      </c>
      <c r="C262" s="2" t="s">
        <v>128</v>
      </c>
      <c r="D262" s="3">
        <v>45858</v>
      </c>
      <c r="E262" s="3">
        <v>45868</v>
      </c>
      <c r="F262" s="2" t="s">
        <v>25</v>
      </c>
      <c r="G262" s="2" t="s">
        <v>26</v>
      </c>
      <c r="H262" s="3">
        <v>27629</v>
      </c>
      <c r="I262" s="2" t="s">
        <v>151</v>
      </c>
      <c r="J262" s="2" t="s">
        <v>152</v>
      </c>
      <c r="K262" s="2" t="s">
        <v>84</v>
      </c>
      <c r="L262" s="2" t="s">
        <v>130</v>
      </c>
      <c r="M262" s="2">
        <v>11</v>
      </c>
      <c r="N262" s="7">
        <v>20</v>
      </c>
      <c r="O262" s="2">
        <v>0</v>
      </c>
      <c r="P262" s="7">
        <v>220</v>
      </c>
      <c r="Q262" s="2">
        <v>2</v>
      </c>
      <c r="R262" s="2" t="s">
        <v>41</v>
      </c>
      <c r="S262" s="2" t="s">
        <v>81</v>
      </c>
      <c r="T262" s="2" t="s">
        <v>43</v>
      </c>
      <c r="U262" s="2">
        <v>9147552626</v>
      </c>
      <c r="V262" s="2" t="s">
        <v>53</v>
      </c>
    </row>
    <row r="263" spans="1:22" x14ac:dyDescent="0.3">
      <c r="A263" s="2" t="s">
        <v>397</v>
      </c>
      <c r="B263" s="2" t="s">
        <v>160</v>
      </c>
      <c r="C263" s="2" t="s">
        <v>36</v>
      </c>
      <c r="D263" s="3">
        <v>45716</v>
      </c>
      <c r="E263" s="3">
        <v>45723</v>
      </c>
      <c r="F263" s="2" t="s">
        <v>179</v>
      </c>
      <c r="G263" s="2" t="s">
        <v>58</v>
      </c>
      <c r="H263" s="3">
        <v>28603</v>
      </c>
      <c r="I263" s="2" t="s">
        <v>80</v>
      </c>
      <c r="J263" s="2" t="s">
        <v>76</v>
      </c>
      <c r="K263" s="2" t="s">
        <v>39</v>
      </c>
      <c r="L263" s="2" t="s">
        <v>40</v>
      </c>
      <c r="M263" s="2">
        <v>17</v>
      </c>
      <c r="N263" s="7">
        <v>12000</v>
      </c>
      <c r="O263" s="2">
        <v>20</v>
      </c>
      <c r="P263" s="7">
        <v>163200</v>
      </c>
      <c r="Q263" s="2">
        <v>4</v>
      </c>
      <c r="R263" s="2" t="s">
        <v>65</v>
      </c>
      <c r="S263" s="2" t="s">
        <v>97</v>
      </c>
      <c r="T263" s="2" t="s">
        <v>162</v>
      </c>
      <c r="U263" s="2">
        <v>9724197033</v>
      </c>
      <c r="V263" s="2" t="s">
        <v>34</v>
      </c>
    </row>
    <row r="264" spans="1:22" x14ac:dyDescent="0.3">
      <c r="A264" s="2" t="s">
        <v>398</v>
      </c>
      <c r="B264" s="2" t="s">
        <v>137</v>
      </c>
      <c r="C264" s="2" t="s">
        <v>24</v>
      </c>
      <c r="D264" s="3">
        <v>45846</v>
      </c>
      <c r="E264" s="3">
        <v>45851</v>
      </c>
      <c r="F264" s="2" t="s">
        <v>138</v>
      </c>
      <c r="G264" s="2" t="s">
        <v>26</v>
      </c>
      <c r="H264" s="3">
        <v>37889</v>
      </c>
      <c r="I264" s="2" t="s">
        <v>151</v>
      </c>
      <c r="J264" s="2" t="s">
        <v>152</v>
      </c>
      <c r="K264" s="2" t="s">
        <v>29</v>
      </c>
      <c r="L264" s="2" t="s">
        <v>30</v>
      </c>
      <c r="M264" s="2">
        <v>4</v>
      </c>
      <c r="N264" s="7">
        <v>2200</v>
      </c>
      <c r="O264" s="2">
        <v>5</v>
      </c>
      <c r="P264" s="7">
        <v>8360</v>
      </c>
      <c r="Q264" s="2">
        <v>2</v>
      </c>
      <c r="R264" s="2" t="s">
        <v>31</v>
      </c>
      <c r="S264" s="2" t="s">
        <v>32</v>
      </c>
      <c r="T264" s="2" t="s">
        <v>139</v>
      </c>
      <c r="U264" s="2">
        <v>9130666128</v>
      </c>
      <c r="V264" s="2" t="s">
        <v>34</v>
      </c>
    </row>
    <row r="265" spans="1:22" x14ac:dyDescent="0.3">
      <c r="A265" s="2" t="s">
        <v>399</v>
      </c>
      <c r="B265" s="2" t="s">
        <v>23</v>
      </c>
      <c r="C265" s="2" t="s">
        <v>46</v>
      </c>
      <c r="D265" s="3">
        <v>46003</v>
      </c>
      <c r="E265" s="3">
        <v>46010</v>
      </c>
      <c r="F265" s="2" t="s">
        <v>25</v>
      </c>
      <c r="G265" s="2" t="s">
        <v>26</v>
      </c>
      <c r="H265" s="3">
        <v>37355</v>
      </c>
      <c r="I265" s="2" t="s">
        <v>92</v>
      </c>
      <c r="J265" s="2" t="s">
        <v>76</v>
      </c>
      <c r="K265" s="2" t="s">
        <v>39</v>
      </c>
      <c r="L265" s="2" t="s">
        <v>49</v>
      </c>
      <c r="M265" s="2">
        <v>6</v>
      </c>
      <c r="N265" s="7">
        <v>55000</v>
      </c>
      <c r="O265" s="2">
        <v>20</v>
      </c>
      <c r="P265" s="7">
        <v>264000</v>
      </c>
      <c r="Q265" s="2">
        <v>2</v>
      </c>
      <c r="R265" s="2" t="s">
        <v>65</v>
      </c>
      <c r="S265" s="2" t="s">
        <v>97</v>
      </c>
      <c r="T265" s="2" t="s">
        <v>43</v>
      </c>
      <c r="U265" s="2">
        <v>9866567601</v>
      </c>
      <c r="V265" s="2" t="s">
        <v>53</v>
      </c>
    </row>
    <row r="266" spans="1:22" x14ac:dyDescent="0.3">
      <c r="A266" s="2" t="s">
        <v>400</v>
      </c>
      <c r="B266" s="2" t="s">
        <v>55</v>
      </c>
      <c r="C266" s="2" t="s">
        <v>106</v>
      </c>
      <c r="D266" s="3">
        <v>46026</v>
      </c>
      <c r="E266" s="3">
        <v>46036</v>
      </c>
      <c r="F266" s="2" t="s">
        <v>125</v>
      </c>
      <c r="G266" s="2" t="s">
        <v>58</v>
      </c>
      <c r="H266" s="3">
        <v>31314</v>
      </c>
      <c r="I266" s="2" t="s">
        <v>37</v>
      </c>
      <c r="J266" s="2" t="s">
        <v>38</v>
      </c>
      <c r="K266" s="2" t="s">
        <v>29</v>
      </c>
      <c r="L266" s="2" t="s">
        <v>108</v>
      </c>
      <c r="M266" s="2">
        <v>6</v>
      </c>
      <c r="N266" s="7">
        <v>8500</v>
      </c>
      <c r="O266" s="2">
        <v>10</v>
      </c>
      <c r="P266" s="7">
        <v>45900</v>
      </c>
      <c r="Q266" s="2">
        <v>5</v>
      </c>
      <c r="R266" s="2" t="s">
        <v>65</v>
      </c>
      <c r="S266" s="2" t="s">
        <v>50</v>
      </c>
      <c r="T266" s="2" t="s">
        <v>61</v>
      </c>
      <c r="U266" s="2">
        <v>9477282450</v>
      </c>
      <c r="V266" s="2" t="s">
        <v>34</v>
      </c>
    </row>
    <row r="267" spans="1:22" x14ac:dyDescent="0.3">
      <c r="A267" s="2" t="s">
        <v>401</v>
      </c>
      <c r="B267" s="2" t="s">
        <v>23</v>
      </c>
      <c r="C267" s="2" t="s">
        <v>128</v>
      </c>
      <c r="D267" s="3">
        <v>45889</v>
      </c>
      <c r="E267" s="3">
        <v>45894</v>
      </c>
      <c r="F267" s="2" t="s">
        <v>25</v>
      </c>
      <c r="G267" s="2" t="s">
        <v>26</v>
      </c>
      <c r="H267" s="3">
        <v>31028</v>
      </c>
      <c r="I267" s="2" t="s">
        <v>123</v>
      </c>
      <c r="J267" s="2" t="s">
        <v>38</v>
      </c>
      <c r="K267" s="2" t="s">
        <v>84</v>
      </c>
      <c r="L267" s="2" t="s">
        <v>130</v>
      </c>
      <c r="M267" s="2">
        <v>6</v>
      </c>
      <c r="N267" s="7">
        <v>20</v>
      </c>
      <c r="O267" s="2">
        <v>15</v>
      </c>
      <c r="P267" s="7">
        <v>102</v>
      </c>
      <c r="Q267" s="2">
        <v>2</v>
      </c>
      <c r="R267" s="2" t="s">
        <v>65</v>
      </c>
      <c r="S267" s="2" t="s">
        <v>42</v>
      </c>
      <c r="T267" s="2" t="s">
        <v>43</v>
      </c>
      <c r="U267" s="2">
        <v>9857621478</v>
      </c>
      <c r="V267" s="2" t="s">
        <v>53</v>
      </c>
    </row>
    <row r="268" spans="1:22" x14ac:dyDescent="0.3">
      <c r="A268" s="2" t="s">
        <v>402</v>
      </c>
      <c r="B268" s="2" t="s">
        <v>45</v>
      </c>
      <c r="C268" s="2" t="s">
        <v>83</v>
      </c>
      <c r="D268" s="3">
        <v>45780</v>
      </c>
      <c r="E268" s="3">
        <v>45788</v>
      </c>
      <c r="F268" s="2" t="s">
        <v>102</v>
      </c>
      <c r="G268" s="2" t="s">
        <v>26</v>
      </c>
      <c r="H268" s="3">
        <v>30883</v>
      </c>
      <c r="I268" s="2" t="s">
        <v>75</v>
      </c>
      <c r="J268" s="2" t="s">
        <v>76</v>
      </c>
      <c r="K268" s="2" t="s">
        <v>84</v>
      </c>
      <c r="L268" s="2" t="s">
        <v>85</v>
      </c>
      <c r="M268" s="2">
        <v>6</v>
      </c>
      <c r="N268" s="7">
        <v>60</v>
      </c>
      <c r="O268" s="2">
        <v>5</v>
      </c>
      <c r="P268" s="7">
        <v>342</v>
      </c>
      <c r="Q268" s="2">
        <v>1</v>
      </c>
      <c r="R268" s="2" t="s">
        <v>41</v>
      </c>
      <c r="S268" s="2" t="s">
        <v>50</v>
      </c>
      <c r="T268" s="2" t="s">
        <v>51</v>
      </c>
      <c r="U268" s="2">
        <v>9753869055</v>
      </c>
      <c r="V268" s="2" t="s">
        <v>34</v>
      </c>
    </row>
    <row r="269" spans="1:22" x14ac:dyDescent="0.3">
      <c r="A269" s="2" t="s">
        <v>403</v>
      </c>
      <c r="B269" s="2" t="s">
        <v>88</v>
      </c>
      <c r="C269" s="2" t="s">
        <v>106</v>
      </c>
      <c r="D269" s="3">
        <v>45666</v>
      </c>
      <c r="E269" s="3">
        <v>45669</v>
      </c>
      <c r="F269" s="2" t="s">
        <v>119</v>
      </c>
      <c r="G269" s="2" t="s">
        <v>58</v>
      </c>
      <c r="H269" s="3">
        <v>32217</v>
      </c>
      <c r="I269" s="2" t="s">
        <v>27</v>
      </c>
      <c r="J269" s="2" t="s">
        <v>28</v>
      </c>
      <c r="K269" s="2" t="s">
        <v>29</v>
      </c>
      <c r="L269" s="2" t="s">
        <v>108</v>
      </c>
      <c r="M269" s="2">
        <v>19</v>
      </c>
      <c r="N269" s="7">
        <v>8500</v>
      </c>
      <c r="O269" s="2">
        <v>0</v>
      </c>
      <c r="P269" s="7">
        <v>161500</v>
      </c>
      <c r="Q269" s="2">
        <v>5</v>
      </c>
      <c r="R269" s="2" t="s">
        <v>65</v>
      </c>
      <c r="S269" s="2" t="s">
        <v>97</v>
      </c>
      <c r="T269" s="2" t="s">
        <v>90</v>
      </c>
      <c r="U269" s="2">
        <v>9663266204</v>
      </c>
      <c r="V269" s="2" t="s">
        <v>34</v>
      </c>
    </row>
    <row r="270" spans="1:22" x14ac:dyDescent="0.3">
      <c r="A270" s="2" t="s">
        <v>404</v>
      </c>
      <c r="B270" s="2" t="s">
        <v>137</v>
      </c>
      <c r="C270" s="2" t="s">
        <v>46</v>
      </c>
      <c r="D270" s="3">
        <v>45901</v>
      </c>
      <c r="E270" s="3">
        <v>45910</v>
      </c>
      <c r="F270" s="2" t="s">
        <v>138</v>
      </c>
      <c r="G270" s="2" t="s">
        <v>26</v>
      </c>
      <c r="H270" s="3">
        <v>31924</v>
      </c>
      <c r="I270" s="2" t="s">
        <v>123</v>
      </c>
      <c r="J270" s="2" t="s">
        <v>38</v>
      </c>
      <c r="K270" s="2" t="s">
        <v>39</v>
      </c>
      <c r="L270" s="2" t="s">
        <v>49</v>
      </c>
      <c r="M270" s="2">
        <v>8</v>
      </c>
      <c r="N270" s="7">
        <v>55000</v>
      </c>
      <c r="O270" s="2">
        <v>0</v>
      </c>
      <c r="P270" s="7">
        <v>440000</v>
      </c>
      <c r="Q270" s="2">
        <v>3</v>
      </c>
      <c r="R270" s="2" t="s">
        <v>60</v>
      </c>
      <c r="S270" s="2" t="s">
        <v>81</v>
      </c>
      <c r="T270" s="2" t="s">
        <v>139</v>
      </c>
      <c r="U270" s="2">
        <v>9675208616</v>
      </c>
      <c r="V270" s="2" t="s">
        <v>52</v>
      </c>
    </row>
    <row r="271" spans="1:22" x14ac:dyDescent="0.3">
      <c r="A271" s="2" t="s">
        <v>405</v>
      </c>
      <c r="B271" s="2" t="s">
        <v>55</v>
      </c>
      <c r="C271" s="2" t="s">
        <v>36</v>
      </c>
      <c r="D271" s="3">
        <v>46144</v>
      </c>
      <c r="E271" s="3">
        <v>46149</v>
      </c>
      <c r="F271" s="2" t="s">
        <v>125</v>
      </c>
      <c r="G271" s="2" t="s">
        <v>58</v>
      </c>
      <c r="H271" s="3">
        <v>32441</v>
      </c>
      <c r="I271" s="2" t="s">
        <v>151</v>
      </c>
      <c r="J271" s="2" t="s">
        <v>152</v>
      </c>
      <c r="K271" s="2" t="s">
        <v>39</v>
      </c>
      <c r="L271" s="2" t="s">
        <v>40</v>
      </c>
      <c r="M271" s="2">
        <v>18</v>
      </c>
      <c r="N271" s="7">
        <v>12000</v>
      </c>
      <c r="O271" s="2">
        <v>20</v>
      </c>
      <c r="P271" s="7">
        <v>172800</v>
      </c>
      <c r="Q271" s="2">
        <v>5</v>
      </c>
      <c r="R271" s="2" t="s">
        <v>65</v>
      </c>
      <c r="S271" s="2" t="s">
        <v>50</v>
      </c>
      <c r="T271" s="2" t="s">
        <v>61</v>
      </c>
      <c r="U271" s="2">
        <v>9618393586</v>
      </c>
      <c r="V271" s="2" t="s">
        <v>53</v>
      </c>
    </row>
    <row r="272" spans="1:22" x14ac:dyDescent="0.3">
      <c r="A272" s="2" t="s">
        <v>406</v>
      </c>
      <c r="B272" s="2" t="s">
        <v>88</v>
      </c>
      <c r="C272" s="2" t="s">
        <v>106</v>
      </c>
      <c r="D272" s="3">
        <v>45764</v>
      </c>
      <c r="E272" s="3">
        <v>45773</v>
      </c>
      <c r="F272" s="2" t="s">
        <v>119</v>
      </c>
      <c r="G272" s="2" t="s">
        <v>58</v>
      </c>
      <c r="H272" s="3">
        <v>33219</v>
      </c>
      <c r="I272" s="2" t="s">
        <v>92</v>
      </c>
      <c r="J272" s="2" t="s">
        <v>76</v>
      </c>
      <c r="K272" s="2" t="s">
        <v>29</v>
      </c>
      <c r="L272" s="2" t="s">
        <v>108</v>
      </c>
      <c r="M272" s="2">
        <v>8</v>
      </c>
      <c r="N272" s="7">
        <v>8500</v>
      </c>
      <c r="O272" s="2">
        <v>5</v>
      </c>
      <c r="P272" s="7">
        <v>64600</v>
      </c>
      <c r="Q272" s="2">
        <v>2</v>
      </c>
      <c r="R272" s="2" t="s">
        <v>60</v>
      </c>
      <c r="S272" s="2" t="s">
        <v>50</v>
      </c>
      <c r="T272" s="2" t="s">
        <v>90</v>
      </c>
      <c r="U272" s="2">
        <v>9137027840</v>
      </c>
      <c r="V272" s="2" t="s">
        <v>53</v>
      </c>
    </row>
    <row r="273" spans="1:22" x14ac:dyDescent="0.3">
      <c r="A273" s="2" t="s">
        <v>407</v>
      </c>
      <c r="B273" s="2" t="s">
        <v>23</v>
      </c>
      <c r="C273" s="2" t="s">
        <v>128</v>
      </c>
      <c r="D273" s="3">
        <v>45878</v>
      </c>
      <c r="E273" s="3">
        <v>45887</v>
      </c>
      <c r="F273" s="2" t="s">
        <v>25</v>
      </c>
      <c r="G273" s="2" t="s">
        <v>26</v>
      </c>
      <c r="H273" s="3">
        <v>29640</v>
      </c>
      <c r="I273" s="2" t="s">
        <v>75</v>
      </c>
      <c r="J273" s="2" t="s">
        <v>76</v>
      </c>
      <c r="K273" s="2" t="s">
        <v>84</v>
      </c>
      <c r="L273" s="2" t="s">
        <v>130</v>
      </c>
      <c r="M273" s="2">
        <v>13</v>
      </c>
      <c r="N273" s="7">
        <v>20</v>
      </c>
      <c r="O273" s="2">
        <v>5</v>
      </c>
      <c r="P273" s="7">
        <v>247</v>
      </c>
      <c r="Q273" s="2">
        <v>3</v>
      </c>
      <c r="R273" s="2" t="s">
        <v>41</v>
      </c>
      <c r="S273" s="2" t="s">
        <v>81</v>
      </c>
      <c r="T273" s="2" t="s">
        <v>43</v>
      </c>
      <c r="U273" s="2">
        <v>9362758134</v>
      </c>
      <c r="V273" s="2" t="s">
        <v>52</v>
      </c>
    </row>
    <row r="274" spans="1:22" x14ac:dyDescent="0.3">
      <c r="A274" s="2" t="s">
        <v>408</v>
      </c>
      <c r="B274" s="2" t="s">
        <v>63</v>
      </c>
      <c r="C274" s="2" t="s">
        <v>83</v>
      </c>
      <c r="D274" s="3">
        <v>46116</v>
      </c>
      <c r="E274" s="3">
        <v>46128</v>
      </c>
      <c r="F274" s="2" t="s">
        <v>111</v>
      </c>
      <c r="G274" s="2" t="s">
        <v>58</v>
      </c>
      <c r="H274" s="3">
        <v>31140</v>
      </c>
      <c r="I274" s="2" t="s">
        <v>123</v>
      </c>
      <c r="J274" s="2" t="s">
        <v>38</v>
      </c>
      <c r="K274" s="2" t="s">
        <v>84</v>
      </c>
      <c r="L274" s="2" t="s">
        <v>85</v>
      </c>
      <c r="M274" s="2">
        <v>1</v>
      </c>
      <c r="N274" s="7">
        <v>60</v>
      </c>
      <c r="O274" s="2">
        <v>15</v>
      </c>
      <c r="P274" s="7">
        <v>51</v>
      </c>
      <c r="Q274" s="2">
        <v>2</v>
      </c>
      <c r="R274" s="2" t="s">
        <v>60</v>
      </c>
      <c r="S274" s="2" t="s">
        <v>50</v>
      </c>
      <c r="T274" s="2" t="s">
        <v>66</v>
      </c>
      <c r="U274" s="2">
        <v>9648541985</v>
      </c>
      <c r="V274" s="2" t="s">
        <v>53</v>
      </c>
    </row>
    <row r="275" spans="1:22" x14ac:dyDescent="0.3">
      <c r="A275" s="2" t="s">
        <v>409</v>
      </c>
      <c r="B275" s="2" t="s">
        <v>45</v>
      </c>
      <c r="C275" s="2" t="s">
        <v>128</v>
      </c>
      <c r="D275" s="3">
        <v>45830</v>
      </c>
      <c r="E275" s="3">
        <v>45836</v>
      </c>
      <c r="F275" s="2" t="s">
        <v>102</v>
      </c>
      <c r="G275" s="2" t="s">
        <v>26</v>
      </c>
      <c r="H275" s="3">
        <v>27978</v>
      </c>
      <c r="I275" s="2" t="s">
        <v>80</v>
      </c>
      <c r="J275" s="2" t="s">
        <v>76</v>
      </c>
      <c r="K275" s="2" t="s">
        <v>84</v>
      </c>
      <c r="L275" s="2" t="s">
        <v>130</v>
      </c>
      <c r="M275" s="2">
        <v>5</v>
      </c>
      <c r="N275" s="7">
        <v>20</v>
      </c>
      <c r="O275" s="2">
        <v>5</v>
      </c>
      <c r="P275" s="7">
        <v>95</v>
      </c>
      <c r="Q275" s="2">
        <v>2</v>
      </c>
      <c r="R275" s="2" t="s">
        <v>41</v>
      </c>
      <c r="S275" s="2" t="s">
        <v>42</v>
      </c>
      <c r="T275" s="2" t="s">
        <v>51</v>
      </c>
      <c r="U275" s="2">
        <v>9175002781</v>
      </c>
      <c r="V275" s="2" t="s">
        <v>52</v>
      </c>
    </row>
    <row r="276" spans="1:22" x14ac:dyDescent="0.3">
      <c r="A276" s="2" t="s">
        <v>410</v>
      </c>
      <c r="B276" s="2" t="s">
        <v>127</v>
      </c>
      <c r="C276" s="2" t="s">
        <v>128</v>
      </c>
      <c r="D276" s="3">
        <v>45796</v>
      </c>
      <c r="E276" s="3">
        <v>45801</v>
      </c>
      <c r="F276" s="2" t="s">
        <v>129</v>
      </c>
      <c r="G276" s="2" t="s">
        <v>58</v>
      </c>
      <c r="H276" s="3">
        <v>28623</v>
      </c>
      <c r="I276" s="2" t="s">
        <v>151</v>
      </c>
      <c r="J276" s="2" t="s">
        <v>152</v>
      </c>
      <c r="K276" s="2" t="s">
        <v>84</v>
      </c>
      <c r="L276" s="2" t="s">
        <v>130</v>
      </c>
      <c r="M276" s="2">
        <v>19</v>
      </c>
      <c r="N276" s="7">
        <v>20</v>
      </c>
      <c r="O276" s="2">
        <v>20</v>
      </c>
      <c r="P276" s="7">
        <v>304</v>
      </c>
      <c r="Q276" s="2">
        <v>3</v>
      </c>
      <c r="R276" s="2" t="s">
        <v>31</v>
      </c>
      <c r="S276" s="2" t="s">
        <v>32</v>
      </c>
      <c r="T276" s="2" t="s">
        <v>131</v>
      </c>
      <c r="U276" s="2">
        <v>9786241263</v>
      </c>
      <c r="V276" s="2" t="s">
        <v>53</v>
      </c>
    </row>
    <row r="277" spans="1:22" x14ac:dyDescent="0.3">
      <c r="A277" s="2" t="s">
        <v>411</v>
      </c>
      <c r="B277" s="2" t="s">
        <v>73</v>
      </c>
      <c r="C277" s="2" t="s">
        <v>141</v>
      </c>
      <c r="D277" s="3">
        <v>45745</v>
      </c>
      <c r="E277" s="3">
        <v>45754</v>
      </c>
      <c r="F277" s="2" t="s">
        <v>74</v>
      </c>
      <c r="G277" s="2" t="s">
        <v>26</v>
      </c>
      <c r="H277" s="3">
        <v>36026</v>
      </c>
      <c r="I277" s="2" t="s">
        <v>92</v>
      </c>
      <c r="J277" s="2" t="s">
        <v>76</v>
      </c>
      <c r="K277" s="2" t="s">
        <v>84</v>
      </c>
      <c r="L277" s="2" t="s">
        <v>142</v>
      </c>
      <c r="M277" s="2">
        <v>17</v>
      </c>
      <c r="N277" s="7">
        <v>45</v>
      </c>
      <c r="O277" s="2">
        <v>5</v>
      </c>
      <c r="P277" s="7">
        <v>726.75</v>
      </c>
      <c r="Q277" s="2">
        <v>4</v>
      </c>
      <c r="R277" s="2" t="s">
        <v>31</v>
      </c>
      <c r="S277" s="2" t="s">
        <v>81</v>
      </c>
      <c r="T277" s="2" t="s">
        <v>94</v>
      </c>
      <c r="U277" s="2">
        <v>9691078176</v>
      </c>
      <c r="V277" s="2" t="s">
        <v>52</v>
      </c>
    </row>
    <row r="278" spans="1:22" x14ac:dyDescent="0.3">
      <c r="A278" s="2" t="s">
        <v>412</v>
      </c>
      <c r="B278" s="2" t="s">
        <v>63</v>
      </c>
      <c r="C278" s="2" t="s">
        <v>113</v>
      </c>
      <c r="D278" s="3">
        <v>46071</v>
      </c>
      <c r="E278" s="3">
        <v>46075</v>
      </c>
      <c r="F278" s="2" t="s">
        <v>111</v>
      </c>
      <c r="G278" s="2" t="s">
        <v>58</v>
      </c>
      <c r="H278" s="3">
        <v>27687</v>
      </c>
      <c r="I278" s="2" t="s">
        <v>48</v>
      </c>
      <c r="J278" s="2" t="s">
        <v>28</v>
      </c>
      <c r="K278" s="2" t="s">
        <v>39</v>
      </c>
      <c r="L278" s="2" t="s">
        <v>115</v>
      </c>
      <c r="M278" s="2">
        <v>8</v>
      </c>
      <c r="N278" s="7">
        <v>700</v>
      </c>
      <c r="O278" s="2">
        <v>15</v>
      </c>
      <c r="P278" s="7">
        <v>4760</v>
      </c>
      <c r="Q278" s="2">
        <v>4</v>
      </c>
      <c r="R278" s="2" t="s">
        <v>41</v>
      </c>
      <c r="S278" s="2" t="s">
        <v>32</v>
      </c>
      <c r="T278" s="2" t="s">
        <v>66</v>
      </c>
      <c r="U278" s="2">
        <v>9336679085</v>
      </c>
      <c r="V278" s="2" t="s">
        <v>52</v>
      </c>
    </row>
    <row r="279" spans="1:22" x14ac:dyDescent="0.3">
      <c r="A279" s="2" t="s">
        <v>413</v>
      </c>
      <c r="B279" s="2" t="s">
        <v>105</v>
      </c>
      <c r="C279" s="2" t="s">
        <v>24</v>
      </c>
      <c r="D279" s="3">
        <v>46043</v>
      </c>
      <c r="E279" s="3">
        <v>46051</v>
      </c>
      <c r="F279" s="2" t="s">
        <v>170</v>
      </c>
      <c r="G279" s="2" t="s">
        <v>26</v>
      </c>
      <c r="H279" s="3">
        <v>27665</v>
      </c>
      <c r="I279" s="2" t="s">
        <v>75</v>
      </c>
      <c r="J279" s="2" t="s">
        <v>76</v>
      </c>
      <c r="K279" s="2" t="s">
        <v>29</v>
      </c>
      <c r="L279" s="2" t="s">
        <v>30</v>
      </c>
      <c r="M279" s="2">
        <v>15</v>
      </c>
      <c r="N279" s="7">
        <v>2200</v>
      </c>
      <c r="O279" s="2">
        <v>10</v>
      </c>
      <c r="P279" s="7">
        <v>29700</v>
      </c>
      <c r="Q279" s="2">
        <v>5</v>
      </c>
      <c r="R279" s="2" t="s">
        <v>65</v>
      </c>
      <c r="S279" s="2" t="s">
        <v>97</v>
      </c>
      <c r="T279" s="2" t="s">
        <v>109</v>
      </c>
      <c r="U279" s="2">
        <v>9497351043</v>
      </c>
      <c r="V279" s="2" t="s">
        <v>34</v>
      </c>
    </row>
    <row r="280" spans="1:22" x14ac:dyDescent="0.3">
      <c r="A280" s="2" t="s">
        <v>414</v>
      </c>
      <c r="B280" s="2" t="s">
        <v>73</v>
      </c>
      <c r="C280" s="2" t="s">
        <v>24</v>
      </c>
      <c r="D280" s="3">
        <v>45917</v>
      </c>
      <c r="E280" s="3">
        <v>45929</v>
      </c>
      <c r="F280" s="2" t="s">
        <v>74</v>
      </c>
      <c r="G280" s="2" t="s">
        <v>26</v>
      </c>
      <c r="H280" s="3">
        <v>37522</v>
      </c>
      <c r="I280" s="2" t="s">
        <v>75</v>
      </c>
      <c r="J280" s="2" t="s">
        <v>76</v>
      </c>
      <c r="K280" s="2" t="s">
        <v>29</v>
      </c>
      <c r="L280" s="2" t="s">
        <v>30</v>
      </c>
      <c r="M280" s="2">
        <v>1</v>
      </c>
      <c r="N280" s="7">
        <v>2200</v>
      </c>
      <c r="O280" s="2">
        <v>0</v>
      </c>
      <c r="P280" s="7">
        <v>2200</v>
      </c>
      <c r="Q280" s="2">
        <v>4</v>
      </c>
      <c r="R280" s="2" t="s">
        <v>31</v>
      </c>
      <c r="S280" s="2" t="s">
        <v>42</v>
      </c>
      <c r="T280" s="2" t="s">
        <v>94</v>
      </c>
      <c r="U280" s="2">
        <v>9357038998</v>
      </c>
      <c r="V280" s="2" t="s">
        <v>53</v>
      </c>
    </row>
    <row r="281" spans="1:22" x14ac:dyDescent="0.3">
      <c r="A281" s="2" t="s">
        <v>415</v>
      </c>
      <c r="B281" s="2" t="s">
        <v>137</v>
      </c>
      <c r="C281" s="2" t="s">
        <v>68</v>
      </c>
      <c r="D281" s="3">
        <v>45827</v>
      </c>
      <c r="E281" s="3">
        <v>45838</v>
      </c>
      <c r="F281" s="2" t="s">
        <v>138</v>
      </c>
      <c r="G281" s="2" t="s">
        <v>26</v>
      </c>
      <c r="H281" s="3">
        <v>32311</v>
      </c>
      <c r="I281" s="2" t="s">
        <v>92</v>
      </c>
      <c r="J281" s="2" t="s">
        <v>76</v>
      </c>
      <c r="K281" s="2" t="s">
        <v>29</v>
      </c>
      <c r="L281" s="2" t="s">
        <v>71</v>
      </c>
      <c r="M281" s="2">
        <v>10</v>
      </c>
      <c r="N281" s="7">
        <v>3500</v>
      </c>
      <c r="O281" s="2">
        <v>10</v>
      </c>
      <c r="P281" s="7">
        <v>31500</v>
      </c>
      <c r="Q281" s="2">
        <v>4</v>
      </c>
      <c r="R281" s="2" t="s">
        <v>41</v>
      </c>
      <c r="S281" s="2" t="s">
        <v>32</v>
      </c>
      <c r="T281" s="2" t="s">
        <v>139</v>
      </c>
      <c r="U281" s="2">
        <v>9986371291</v>
      </c>
      <c r="V281" s="2" t="s">
        <v>53</v>
      </c>
    </row>
    <row r="282" spans="1:22" x14ac:dyDescent="0.3">
      <c r="A282" s="2" t="s">
        <v>416</v>
      </c>
      <c r="B282" s="2" t="s">
        <v>55</v>
      </c>
      <c r="C282" s="2" t="s">
        <v>68</v>
      </c>
      <c r="D282" s="3">
        <v>45789</v>
      </c>
      <c r="E282" s="3">
        <v>45793</v>
      </c>
      <c r="F282" s="2" t="s">
        <v>125</v>
      </c>
      <c r="G282" s="2" t="s">
        <v>58</v>
      </c>
      <c r="H282" s="3">
        <v>33271</v>
      </c>
      <c r="I282" s="2" t="s">
        <v>123</v>
      </c>
      <c r="J282" s="2" t="s">
        <v>38</v>
      </c>
      <c r="K282" s="2" t="s">
        <v>29</v>
      </c>
      <c r="L282" s="2" t="s">
        <v>71</v>
      </c>
      <c r="M282" s="2">
        <v>16</v>
      </c>
      <c r="N282" s="7">
        <v>3500</v>
      </c>
      <c r="O282" s="2">
        <v>15</v>
      </c>
      <c r="P282" s="7">
        <v>47600</v>
      </c>
      <c r="Q282" s="2">
        <v>1</v>
      </c>
      <c r="R282" s="2" t="s">
        <v>60</v>
      </c>
      <c r="S282" s="2" t="s">
        <v>81</v>
      </c>
      <c r="T282" s="2" t="s">
        <v>61</v>
      </c>
      <c r="U282" s="2">
        <v>9397839191</v>
      </c>
      <c r="V282" s="2" t="s">
        <v>52</v>
      </c>
    </row>
    <row r="283" spans="1:22" x14ac:dyDescent="0.3">
      <c r="A283" s="2" t="s">
        <v>417</v>
      </c>
      <c r="B283" s="2" t="s">
        <v>137</v>
      </c>
      <c r="C283" s="2" t="s">
        <v>36</v>
      </c>
      <c r="D283" s="3">
        <v>45906</v>
      </c>
      <c r="E283" s="3">
        <v>45918</v>
      </c>
      <c r="F283" s="2" t="s">
        <v>138</v>
      </c>
      <c r="G283" s="2" t="s">
        <v>26</v>
      </c>
      <c r="H283" s="3">
        <v>28711</v>
      </c>
      <c r="I283" s="2" t="s">
        <v>123</v>
      </c>
      <c r="J283" s="2" t="s">
        <v>38</v>
      </c>
      <c r="K283" s="2" t="s">
        <v>39</v>
      </c>
      <c r="L283" s="2" t="s">
        <v>40</v>
      </c>
      <c r="M283" s="2">
        <v>1</v>
      </c>
      <c r="N283" s="7">
        <v>12000</v>
      </c>
      <c r="O283" s="2">
        <v>0</v>
      </c>
      <c r="P283" s="7">
        <v>12000</v>
      </c>
      <c r="Q283" s="2">
        <v>4</v>
      </c>
      <c r="R283" s="2" t="s">
        <v>41</v>
      </c>
      <c r="S283" s="2" t="s">
        <v>81</v>
      </c>
      <c r="T283" s="2" t="s">
        <v>139</v>
      </c>
      <c r="U283" s="2">
        <v>9162975843</v>
      </c>
      <c r="V283" s="2" t="s">
        <v>53</v>
      </c>
    </row>
    <row r="284" spans="1:22" x14ac:dyDescent="0.3">
      <c r="A284" s="2" t="s">
        <v>418</v>
      </c>
      <c r="B284" s="2" t="s">
        <v>63</v>
      </c>
      <c r="C284" s="2" t="s">
        <v>113</v>
      </c>
      <c r="D284" s="3">
        <v>45770</v>
      </c>
      <c r="E284" s="3">
        <v>45776</v>
      </c>
      <c r="F284" s="2" t="s">
        <v>111</v>
      </c>
      <c r="G284" s="2" t="s">
        <v>58</v>
      </c>
      <c r="H284" s="3">
        <v>34367</v>
      </c>
      <c r="I284" s="2" t="s">
        <v>75</v>
      </c>
      <c r="J284" s="2" t="s">
        <v>76</v>
      </c>
      <c r="K284" s="2" t="s">
        <v>39</v>
      </c>
      <c r="L284" s="2" t="s">
        <v>115</v>
      </c>
      <c r="M284" s="2">
        <v>6</v>
      </c>
      <c r="N284" s="7">
        <v>700</v>
      </c>
      <c r="O284" s="2">
        <v>20</v>
      </c>
      <c r="P284" s="7">
        <v>3360</v>
      </c>
      <c r="Q284" s="2">
        <v>2</v>
      </c>
      <c r="R284" s="2" t="s">
        <v>41</v>
      </c>
      <c r="S284" s="2" t="s">
        <v>81</v>
      </c>
      <c r="T284" s="2" t="s">
        <v>66</v>
      </c>
      <c r="U284" s="2">
        <v>9237616558</v>
      </c>
      <c r="V284" s="2" t="s">
        <v>52</v>
      </c>
    </row>
    <row r="285" spans="1:22" x14ac:dyDescent="0.3">
      <c r="A285" s="2" t="s">
        <v>419</v>
      </c>
      <c r="B285" s="2" t="s">
        <v>55</v>
      </c>
      <c r="C285" s="2" t="s">
        <v>24</v>
      </c>
      <c r="D285" s="3">
        <v>46074</v>
      </c>
      <c r="E285" s="3">
        <v>46080</v>
      </c>
      <c r="F285" s="2" t="s">
        <v>125</v>
      </c>
      <c r="G285" s="2" t="s">
        <v>58</v>
      </c>
      <c r="H285" s="3">
        <v>34786</v>
      </c>
      <c r="I285" s="2" t="s">
        <v>92</v>
      </c>
      <c r="J285" s="2" t="s">
        <v>76</v>
      </c>
      <c r="K285" s="2" t="s">
        <v>29</v>
      </c>
      <c r="L285" s="2" t="s">
        <v>30</v>
      </c>
      <c r="M285" s="2">
        <v>3</v>
      </c>
      <c r="N285" s="7">
        <v>2200</v>
      </c>
      <c r="O285" s="2">
        <v>0</v>
      </c>
      <c r="P285" s="7">
        <v>6600</v>
      </c>
      <c r="Q285" s="2">
        <v>4</v>
      </c>
      <c r="R285" s="2" t="s">
        <v>60</v>
      </c>
      <c r="S285" s="2" t="s">
        <v>32</v>
      </c>
      <c r="T285" s="2" t="s">
        <v>61</v>
      </c>
      <c r="U285" s="2">
        <v>9935063989</v>
      </c>
      <c r="V285" s="2" t="s">
        <v>34</v>
      </c>
    </row>
    <row r="286" spans="1:22" x14ac:dyDescent="0.3">
      <c r="A286" s="2" t="s">
        <v>420</v>
      </c>
      <c r="B286" s="2" t="s">
        <v>137</v>
      </c>
      <c r="C286" s="2" t="s">
        <v>141</v>
      </c>
      <c r="D286" s="3">
        <v>46019</v>
      </c>
      <c r="E286" s="3">
        <v>46023</v>
      </c>
      <c r="F286" s="2" t="s">
        <v>138</v>
      </c>
      <c r="G286" s="2" t="s">
        <v>26</v>
      </c>
      <c r="H286" s="3">
        <v>33675</v>
      </c>
      <c r="I286" s="2" t="s">
        <v>27</v>
      </c>
      <c r="J286" s="2" t="s">
        <v>28</v>
      </c>
      <c r="K286" s="2" t="s">
        <v>84</v>
      </c>
      <c r="L286" s="2" t="s">
        <v>142</v>
      </c>
      <c r="M286" s="2">
        <v>6</v>
      </c>
      <c r="N286" s="7">
        <v>45</v>
      </c>
      <c r="O286" s="2">
        <v>15</v>
      </c>
      <c r="P286" s="7">
        <v>229.5</v>
      </c>
      <c r="Q286" s="2">
        <v>1</v>
      </c>
      <c r="R286" s="2" t="s">
        <v>65</v>
      </c>
      <c r="S286" s="2" t="s">
        <v>42</v>
      </c>
      <c r="T286" s="2" t="s">
        <v>139</v>
      </c>
      <c r="U286" s="2">
        <v>9167376169</v>
      </c>
      <c r="V286" s="2" t="s">
        <v>34</v>
      </c>
    </row>
    <row r="287" spans="1:22" x14ac:dyDescent="0.3">
      <c r="A287" s="2" t="s">
        <v>421</v>
      </c>
      <c r="B287" s="2" t="s">
        <v>137</v>
      </c>
      <c r="C287" s="2" t="s">
        <v>56</v>
      </c>
      <c r="D287" s="3">
        <v>45922</v>
      </c>
      <c r="E287" s="3">
        <v>45930</v>
      </c>
      <c r="F287" s="2" t="s">
        <v>138</v>
      </c>
      <c r="G287" s="2" t="s">
        <v>26</v>
      </c>
      <c r="H287" s="3">
        <v>29609</v>
      </c>
      <c r="I287" s="2" t="s">
        <v>48</v>
      </c>
      <c r="J287" s="2" t="s">
        <v>28</v>
      </c>
      <c r="K287" s="2" t="s">
        <v>39</v>
      </c>
      <c r="L287" s="2" t="s">
        <v>59</v>
      </c>
      <c r="M287" s="2">
        <v>2</v>
      </c>
      <c r="N287" s="7">
        <v>1200</v>
      </c>
      <c r="O287" s="2">
        <v>0</v>
      </c>
      <c r="P287" s="7">
        <v>2400</v>
      </c>
      <c r="Q287" s="2">
        <v>1</v>
      </c>
      <c r="R287" s="2" t="s">
        <v>31</v>
      </c>
      <c r="S287" s="2" t="s">
        <v>97</v>
      </c>
      <c r="T287" s="2" t="s">
        <v>139</v>
      </c>
      <c r="U287" s="2">
        <v>9231845497</v>
      </c>
      <c r="V287" s="2" t="s">
        <v>53</v>
      </c>
    </row>
    <row r="288" spans="1:22" x14ac:dyDescent="0.3">
      <c r="A288" s="2" t="s">
        <v>422</v>
      </c>
      <c r="B288" s="2" t="s">
        <v>105</v>
      </c>
      <c r="C288" s="2" t="s">
        <v>113</v>
      </c>
      <c r="D288" s="3">
        <v>46150</v>
      </c>
      <c r="E288" s="3">
        <v>46153</v>
      </c>
      <c r="F288" s="2" t="s">
        <v>170</v>
      </c>
      <c r="G288" s="2" t="s">
        <v>26</v>
      </c>
      <c r="H288" s="3">
        <v>30953</v>
      </c>
      <c r="I288" s="2" t="s">
        <v>27</v>
      </c>
      <c r="J288" s="2" t="s">
        <v>28</v>
      </c>
      <c r="K288" s="2" t="s">
        <v>39</v>
      </c>
      <c r="L288" s="2" t="s">
        <v>115</v>
      </c>
      <c r="M288" s="2">
        <v>14</v>
      </c>
      <c r="N288" s="7">
        <v>700</v>
      </c>
      <c r="O288" s="2">
        <v>15</v>
      </c>
      <c r="P288" s="7">
        <v>8330</v>
      </c>
      <c r="Q288" s="2">
        <v>5</v>
      </c>
      <c r="R288" s="2" t="s">
        <v>31</v>
      </c>
      <c r="S288" s="2" t="s">
        <v>81</v>
      </c>
      <c r="T288" s="2" t="s">
        <v>109</v>
      </c>
      <c r="U288" s="2">
        <v>9409415805</v>
      </c>
      <c r="V288" s="2" t="s">
        <v>52</v>
      </c>
    </row>
    <row r="289" spans="1:22" x14ac:dyDescent="0.3">
      <c r="A289" s="2" t="s">
        <v>423</v>
      </c>
      <c r="B289" s="2" t="s">
        <v>73</v>
      </c>
      <c r="C289" s="2" t="s">
        <v>128</v>
      </c>
      <c r="D289" s="3">
        <v>45966</v>
      </c>
      <c r="E289" s="3">
        <v>45967</v>
      </c>
      <c r="F289" s="2" t="s">
        <v>74</v>
      </c>
      <c r="G289" s="2" t="s">
        <v>26</v>
      </c>
      <c r="H289" s="3">
        <v>27704</v>
      </c>
      <c r="I289" s="2" t="s">
        <v>75</v>
      </c>
      <c r="J289" s="2" t="s">
        <v>76</v>
      </c>
      <c r="K289" s="2" t="s">
        <v>84</v>
      </c>
      <c r="L289" s="2" t="s">
        <v>130</v>
      </c>
      <c r="M289" s="2">
        <v>13</v>
      </c>
      <c r="N289" s="7">
        <v>20</v>
      </c>
      <c r="O289" s="2">
        <v>5</v>
      </c>
      <c r="P289" s="7">
        <v>247</v>
      </c>
      <c r="Q289" s="2">
        <v>1</v>
      </c>
      <c r="R289" s="2" t="s">
        <v>60</v>
      </c>
      <c r="S289" s="2" t="s">
        <v>32</v>
      </c>
      <c r="T289" s="2" t="s">
        <v>424</v>
      </c>
      <c r="U289" s="2">
        <v>9240800508</v>
      </c>
      <c r="V289" s="2" t="s">
        <v>52</v>
      </c>
    </row>
    <row r="290" spans="1:22" x14ac:dyDescent="0.3">
      <c r="A290" s="2" t="s">
        <v>425</v>
      </c>
      <c r="B290" s="2" t="s">
        <v>55</v>
      </c>
      <c r="C290" s="2" t="s">
        <v>24</v>
      </c>
      <c r="D290" s="3">
        <v>45724</v>
      </c>
      <c r="E290" s="3">
        <v>45731</v>
      </c>
      <c r="F290" s="2" t="s">
        <v>125</v>
      </c>
      <c r="G290" s="2" t="s">
        <v>58</v>
      </c>
      <c r="H290" s="3">
        <v>34876</v>
      </c>
      <c r="I290" s="2" t="s">
        <v>80</v>
      </c>
      <c r="J290" s="2" t="s">
        <v>76</v>
      </c>
      <c r="K290" s="2" t="s">
        <v>29</v>
      </c>
      <c r="L290" s="2" t="s">
        <v>30</v>
      </c>
      <c r="M290" s="2">
        <v>3</v>
      </c>
      <c r="N290" s="7">
        <v>2200</v>
      </c>
      <c r="O290" s="2">
        <v>0</v>
      </c>
      <c r="P290" s="7">
        <v>6600</v>
      </c>
      <c r="Q290" s="2">
        <v>4</v>
      </c>
      <c r="R290" s="2" t="s">
        <v>41</v>
      </c>
      <c r="S290" s="2" t="s">
        <v>50</v>
      </c>
      <c r="T290" s="2" t="s">
        <v>61</v>
      </c>
      <c r="U290" s="2">
        <v>9764609936</v>
      </c>
      <c r="V290" s="2" t="s">
        <v>53</v>
      </c>
    </row>
    <row r="291" spans="1:22" x14ac:dyDescent="0.3">
      <c r="A291" s="2" t="s">
        <v>426</v>
      </c>
      <c r="B291" s="2" t="s">
        <v>55</v>
      </c>
      <c r="C291" s="2" t="s">
        <v>83</v>
      </c>
      <c r="D291" s="3">
        <v>46062</v>
      </c>
      <c r="E291" s="3">
        <v>46074</v>
      </c>
      <c r="F291" s="2" t="s">
        <v>125</v>
      </c>
      <c r="G291" s="2" t="s">
        <v>58</v>
      </c>
      <c r="H291" s="3">
        <v>29180</v>
      </c>
      <c r="I291" s="2" t="s">
        <v>80</v>
      </c>
      <c r="J291" s="2" t="s">
        <v>76</v>
      </c>
      <c r="K291" s="2" t="s">
        <v>84</v>
      </c>
      <c r="L291" s="2" t="s">
        <v>85</v>
      </c>
      <c r="M291" s="2">
        <v>3</v>
      </c>
      <c r="N291" s="7">
        <v>60</v>
      </c>
      <c r="O291" s="2">
        <v>15</v>
      </c>
      <c r="P291" s="7">
        <v>153</v>
      </c>
      <c r="Q291" s="2">
        <v>4</v>
      </c>
      <c r="R291" s="2" t="s">
        <v>65</v>
      </c>
      <c r="S291" s="2" t="s">
        <v>81</v>
      </c>
      <c r="T291" s="2" t="s">
        <v>61</v>
      </c>
      <c r="U291" s="2">
        <v>9362733217</v>
      </c>
      <c r="V291" s="2" t="s">
        <v>34</v>
      </c>
    </row>
    <row r="292" spans="1:22" x14ac:dyDescent="0.3">
      <c r="A292" s="2" t="s">
        <v>427</v>
      </c>
      <c r="B292" s="2" t="s">
        <v>88</v>
      </c>
      <c r="C292" s="2" t="s">
        <v>68</v>
      </c>
      <c r="D292" s="3">
        <v>45733</v>
      </c>
      <c r="E292" s="3">
        <v>45739</v>
      </c>
      <c r="F292" s="2" t="s">
        <v>119</v>
      </c>
      <c r="G292" s="2" t="s">
        <v>58</v>
      </c>
      <c r="H292" s="3">
        <v>31805</v>
      </c>
      <c r="I292" s="2" t="s">
        <v>75</v>
      </c>
      <c r="J292" s="2" t="s">
        <v>76</v>
      </c>
      <c r="K292" s="2" t="s">
        <v>29</v>
      </c>
      <c r="L292" s="2" t="s">
        <v>71</v>
      </c>
      <c r="M292" s="2">
        <v>9</v>
      </c>
      <c r="N292" s="7">
        <v>3500</v>
      </c>
      <c r="O292" s="2">
        <v>5</v>
      </c>
      <c r="P292" s="7">
        <v>29925</v>
      </c>
      <c r="Q292" s="2">
        <v>1</v>
      </c>
      <c r="R292" s="2" t="s">
        <v>31</v>
      </c>
      <c r="S292" s="2" t="s">
        <v>50</v>
      </c>
      <c r="T292" s="2" t="s">
        <v>90</v>
      </c>
      <c r="U292" s="2">
        <v>9270466205</v>
      </c>
      <c r="V292" s="2" t="s">
        <v>52</v>
      </c>
    </row>
    <row r="293" spans="1:22" x14ac:dyDescent="0.3">
      <c r="A293" s="2" t="s">
        <v>428</v>
      </c>
      <c r="B293" s="2" t="s">
        <v>160</v>
      </c>
      <c r="C293" s="2" t="s">
        <v>56</v>
      </c>
      <c r="D293" s="3">
        <v>45743</v>
      </c>
      <c r="E293" s="3">
        <v>45748</v>
      </c>
      <c r="F293" s="2" t="s">
        <v>179</v>
      </c>
      <c r="G293" s="2" t="s">
        <v>58</v>
      </c>
      <c r="H293" s="3">
        <v>36930</v>
      </c>
      <c r="I293" s="2" t="s">
        <v>123</v>
      </c>
      <c r="J293" s="2" t="s">
        <v>38</v>
      </c>
      <c r="K293" s="2" t="s">
        <v>39</v>
      </c>
      <c r="L293" s="2" t="s">
        <v>59</v>
      </c>
      <c r="M293" s="2">
        <v>5</v>
      </c>
      <c r="N293" s="7">
        <v>1200</v>
      </c>
      <c r="O293" s="2">
        <v>20</v>
      </c>
      <c r="P293" s="7">
        <v>4800</v>
      </c>
      <c r="Q293" s="2">
        <v>2</v>
      </c>
      <c r="R293" s="2" t="s">
        <v>65</v>
      </c>
      <c r="S293" s="2" t="s">
        <v>81</v>
      </c>
      <c r="T293" s="2" t="s">
        <v>162</v>
      </c>
      <c r="U293" s="2">
        <v>9571436865</v>
      </c>
      <c r="V293" s="2" t="s">
        <v>52</v>
      </c>
    </row>
    <row r="294" spans="1:22" x14ac:dyDescent="0.3">
      <c r="A294" s="2" t="s">
        <v>429</v>
      </c>
      <c r="B294" s="2" t="s">
        <v>45</v>
      </c>
      <c r="C294" s="2" t="s">
        <v>56</v>
      </c>
      <c r="D294" s="3">
        <v>45728</v>
      </c>
      <c r="E294" s="3">
        <v>45730</v>
      </c>
      <c r="F294" s="2" t="s">
        <v>102</v>
      </c>
      <c r="G294" s="2" t="s">
        <v>26</v>
      </c>
      <c r="H294" s="3">
        <v>32856</v>
      </c>
      <c r="I294" s="2" t="s">
        <v>123</v>
      </c>
      <c r="J294" s="2" t="s">
        <v>38</v>
      </c>
      <c r="K294" s="2" t="s">
        <v>39</v>
      </c>
      <c r="L294" s="2" t="s">
        <v>59</v>
      </c>
      <c r="M294" s="2">
        <v>10</v>
      </c>
      <c r="N294" s="7">
        <v>1200</v>
      </c>
      <c r="O294" s="2">
        <v>20</v>
      </c>
      <c r="P294" s="7">
        <v>9600</v>
      </c>
      <c r="Q294" s="2">
        <v>4</v>
      </c>
      <c r="R294" s="2" t="s">
        <v>31</v>
      </c>
      <c r="S294" s="2" t="s">
        <v>42</v>
      </c>
      <c r="T294" s="2" t="s">
        <v>430</v>
      </c>
      <c r="U294" s="2">
        <v>9307011171</v>
      </c>
      <c r="V294" s="2" t="s">
        <v>34</v>
      </c>
    </row>
    <row r="295" spans="1:22" x14ac:dyDescent="0.3">
      <c r="A295" s="2" t="s">
        <v>431</v>
      </c>
      <c r="B295" s="2" t="s">
        <v>23</v>
      </c>
      <c r="C295" s="2" t="s">
        <v>56</v>
      </c>
      <c r="D295" s="3">
        <v>46066</v>
      </c>
      <c r="E295" s="3">
        <v>46077</v>
      </c>
      <c r="F295" s="2" t="s">
        <v>25</v>
      </c>
      <c r="G295" s="2" t="s">
        <v>26</v>
      </c>
      <c r="H295" s="3">
        <v>32492</v>
      </c>
      <c r="I295" s="2" t="s">
        <v>92</v>
      </c>
      <c r="J295" s="2" t="s">
        <v>76</v>
      </c>
      <c r="K295" s="2" t="s">
        <v>39</v>
      </c>
      <c r="L295" s="2" t="s">
        <v>59</v>
      </c>
      <c r="M295" s="2">
        <v>5</v>
      </c>
      <c r="N295" s="7">
        <v>1200</v>
      </c>
      <c r="O295" s="2">
        <v>20</v>
      </c>
      <c r="P295" s="7">
        <v>4800</v>
      </c>
      <c r="Q295" s="2">
        <v>3</v>
      </c>
      <c r="R295" s="2" t="s">
        <v>41</v>
      </c>
      <c r="S295" s="2" t="s">
        <v>97</v>
      </c>
      <c r="T295" s="2" t="s">
        <v>43</v>
      </c>
      <c r="U295" s="2">
        <v>9922380435</v>
      </c>
      <c r="V295" s="2" t="s">
        <v>34</v>
      </c>
    </row>
    <row r="296" spans="1:22" x14ac:dyDescent="0.3">
      <c r="A296" s="2" t="s">
        <v>432</v>
      </c>
      <c r="B296" s="2" t="s">
        <v>105</v>
      </c>
      <c r="C296" s="2" t="s">
        <v>128</v>
      </c>
      <c r="D296" s="3">
        <v>45699</v>
      </c>
      <c r="E296" s="3">
        <v>45702</v>
      </c>
      <c r="F296" s="2" t="s">
        <v>170</v>
      </c>
      <c r="G296" s="2" t="s">
        <v>26</v>
      </c>
      <c r="H296" s="3">
        <v>33166</v>
      </c>
      <c r="I296" s="2" t="s">
        <v>75</v>
      </c>
      <c r="J296" s="2" t="s">
        <v>76</v>
      </c>
      <c r="K296" s="2" t="s">
        <v>84</v>
      </c>
      <c r="L296" s="2" t="s">
        <v>130</v>
      </c>
      <c r="M296" s="2">
        <v>10</v>
      </c>
      <c r="N296" s="7">
        <v>20</v>
      </c>
      <c r="O296" s="2">
        <v>5</v>
      </c>
      <c r="P296" s="7">
        <v>190</v>
      </c>
      <c r="Q296" s="2">
        <v>4</v>
      </c>
      <c r="R296" s="2" t="s">
        <v>31</v>
      </c>
      <c r="S296" s="2" t="s">
        <v>97</v>
      </c>
      <c r="T296" s="2" t="s">
        <v>109</v>
      </c>
      <c r="U296" s="2">
        <v>9463618792</v>
      </c>
      <c r="V296" s="2" t="s">
        <v>52</v>
      </c>
    </row>
    <row r="297" spans="1:22" x14ac:dyDescent="0.3">
      <c r="A297" s="2" t="s">
        <v>433</v>
      </c>
      <c r="B297" s="2" t="s">
        <v>73</v>
      </c>
      <c r="C297" s="2" t="s">
        <v>83</v>
      </c>
      <c r="D297" s="3">
        <v>45674</v>
      </c>
      <c r="E297" s="3">
        <v>45684</v>
      </c>
      <c r="F297" s="2" t="s">
        <v>74</v>
      </c>
      <c r="G297" s="2" t="s">
        <v>26</v>
      </c>
      <c r="H297" s="3">
        <v>28741</v>
      </c>
      <c r="I297" s="2" t="s">
        <v>37</v>
      </c>
      <c r="J297" s="2" t="s">
        <v>38</v>
      </c>
      <c r="K297" s="2" t="s">
        <v>84</v>
      </c>
      <c r="L297" s="2" t="s">
        <v>85</v>
      </c>
      <c r="M297" s="2">
        <v>20</v>
      </c>
      <c r="N297" s="7">
        <v>60</v>
      </c>
      <c r="O297" s="2">
        <v>15</v>
      </c>
      <c r="P297" s="7">
        <v>1020</v>
      </c>
      <c r="Q297" s="2">
        <v>5</v>
      </c>
      <c r="R297" s="2" t="s">
        <v>60</v>
      </c>
      <c r="S297" s="2" t="s">
        <v>32</v>
      </c>
      <c r="T297" s="2" t="s">
        <v>94</v>
      </c>
      <c r="U297" s="2">
        <v>9954973200</v>
      </c>
      <c r="V297" s="2" t="s">
        <v>52</v>
      </c>
    </row>
    <row r="298" spans="1:22" x14ac:dyDescent="0.3">
      <c r="A298" s="2" t="s">
        <v>434</v>
      </c>
      <c r="B298" s="2" t="s">
        <v>160</v>
      </c>
      <c r="C298" s="2" t="s">
        <v>24</v>
      </c>
      <c r="D298" s="3">
        <v>45748</v>
      </c>
      <c r="E298" s="3">
        <v>45759</v>
      </c>
      <c r="F298" s="2" t="s">
        <v>179</v>
      </c>
      <c r="G298" s="2" t="s">
        <v>58</v>
      </c>
      <c r="H298" s="3">
        <v>28530</v>
      </c>
      <c r="I298" s="2" t="s">
        <v>92</v>
      </c>
      <c r="J298" s="2" t="s">
        <v>76</v>
      </c>
      <c r="K298" s="2" t="s">
        <v>29</v>
      </c>
      <c r="L298" s="2" t="s">
        <v>30</v>
      </c>
      <c r="M298" s="2">
        <v>7</v>
      </c>
      <c r="N298" s="7">
        <v>2200</v>
      </c>
      <c r="O298" s="2">
        <v>15</v>
      </c>
      <c r="P298" s="7">
        <v>13090</v>
      </c>
      <c r="Q298" s="2">
        <v>4</v>
      </c>
      <c r="R298" s="2" t="s">
        <v>31</v>
      </c>
      <c r="S298" s="2" t="s">
        <v>50</v>
      </c>
      <c r="T298" s="2" t="s">
        <v>162</v>
      </c>
      <c r="U298" s="2">
        <v>9383199236</v>
      </c>
      <c r="V298" s="2" t="s">
        <v>53</v>
      </c>
    </row>
    <row r="299" spans="1:22" x14ac:dyDescent="0.3">
      <c r="A299" s="2" t="s">
        <v>435</v>
      </c>
      <c r="B299" s="2" t="s">
        <v>88</v>
      </c>
      <c r="C299" s="2" t="s">
        <v>46</v>
      </c>
      <c r="D299" s="3">
        <v>45670</v>
      </c>
      <c r="E299" s="3">
        <v>45673</v>
      </c>
      <c r="F299" s="2" t="s">
        <v>119</v>
      </c>
      <c r="G299" s="2" t="s">
        <v>58</v>
      </c>
      <c r="H299" s="3">
        <v>37989</v>
      </c>
      <c r="I299" s="2" t="s">
        <v>27</v>
      </c>
      <c r="J299" s="2" t="s">
        <v>28</v>
      </c>
      <c r="K299" s="2" t="s">
        <v>39</v>
      </c>
      <c r="L299" s="2" t="s">
        <v>49</v>
      </c>
      <c r="M299" s="2">
        <v>11</v>
      </c>
      <c r="N299" s="7">
        <v>55000</v>
      </c>
      <c r="O299" s="2">
        <v>5</v>
      </c>
      <c r="P299" s="7">
        <v>574750</v>
      </c>
      <c r="Q299" s="2">
        <v>1</v>
      </c>
      <c r="R299" s="2" t="s">
        <v>65</v>
      </c>
      <c r="S299" s="2" t="s">
        <v>32</v>
      </c>
      <c r="T299" s="2" t="s">
        <v>90</v>
      </c>
      <c r="U299" s="2">
        <v>9482699727</v>
      </c>
      <c r="V299" s="2" t="s">
        <v>53</v>
      </c>
    </row>
    <row r="300" spans="1:22" x14ac:dyDescent="0.3">
      <c r="A300" s="2" t="s">
        <v>436</v>
      </c>
      <c r="B300" s="2" t="s">
        <v>63</v>
      </c>
      <c r="C300" s="2" t="s">
        <v>68</v>
      </c>
      <c r="D300" s="3">
        <v>45935</v>
      </c>
      <c r="E300" s="3">
        <v>45947</v>
      </c>
      <c r="F300" s="2" t="s">
        <v>111</v>
      </c>
      <c r="G300" s="2" t="s">
        <v>58</v>
      </c>
      <c r="H300" s="3">
        <v>33726</v>
      </c>
      <c r="I300" s="2" t="s">
        <v>123</v>
      </c>
      <c r="J300" s="2" t="s">
        <v>38</v>
      </c>
      <c r="K300" s="2" t="s">
        <v>29</v>
      </c>
      <c r="L300" s="2" t="s">
        <v>71</v>
      </c>
      <c r="M300" s="2">
        <v>12</v>
      </c>
      <c r="N300" s="7">
        <v>3500</v>
      </c>
      <c r="O300" s="2">
        <v>0</v>
      </c>
      <c r="P300" s="7">
        <v>42000</v>
      </c>
      <c r="Q300" s="2">
        <v>2</v>
      </c>
      <c r="R300" s="2" t="s">
        <v>41</v>
      </c>
      <c r="S300" s="2"/>
      <c r="T300" s="2" t="s">
        <v>66</v>
      </c>
      <c r="U300" s="2">
        <v>9332473934</v>
      </c>
      <c r="V300" s="2" t="s">
        <v>52</v>
      </c>
    </row>
    <row r="301" spans="1:22" x14ac:dyDescent="0.3">
      <c r="A301" s="2" t="s">
        <v>437</v>
      </c>
      <c r="B301" s="2" t="s">
        <v>55</v>
      </c>
      <c r="C301" s="2" t="s">
        <v>141</v>
      </c>
      <c r="D301" s="3">
        <v>46078</v>
      </c>
      <c r="E301" s="3">
        <v>46089</v>
      </c>
      <c r="F301" s="2" t="s">
        <v>125</v>
      </c>
      <c r="G301" s="2" t="s">
        <v>58</v>
      </c>
      <c r="H301" s="3">
        <v>37647</v>
      </c>
      <c r="I301" s="2" t="s">
        <v>27</v>
      </c>
      <c r="J301" s="2" t="s">
        <v>28</v>
      </c>
      <c r="K301" s="2" t="s">
        <v>84</v>
      </c>
      <c r="L301" s="2" t="s">
        <v>142</v>
      </c>
      <c r="M301" s="2">
        <v>15</v>
      </c>
      <c r="N301" s="7">
        <v>45</v>
      </c>
      <c r="O301" s="2">
        <v>10</v>
      </c>
      <c r="P301" s="7">
        <v>607.5</v>
      </c>
      <c r="Q301" s="2">
        <v>2</v>
      </c>
      <c r="R301" s="2" t="s">
        <v>31</v>
      </c>
      <c r="S301" s="2" t="s">
        <v>97</v>
      </c>
      <c r="T301" s="2" t="s">
        <v>61</v>
      </c>
      <c r="U301" s="2">
        <v>9647657382</v>
      </c>
      <c r="V301" s="2" t="s">
        <v>52</v>
      </c>
    </row>
    <row r="302" spans="1:22" x14ac:dyDescent="0.3">
      <c r="A302" s="2" t="s">
        <v>438</v>
      </c>
      <c r="B302" s="2" t="s">
        <v>160</v>
      </c>
      <c r="C302" s="2" t="s">
        <v>141</v>
      </c>
      <c r="D302" s="3">
        <v>45793</v>
      </c>
      <c r="E302" s="3">
        <v>45803</v>
      </c>
      <c r="F302" s="2" t="s">
        <v>179</v>
      </c>
      <c r="G302" s="2" t="s">
        <v>58</v>
      </c>
      <c r="H302" s="3">
        <v>31917</v>
      </c>
      <c r="I302" s="2" t="s">
        <v>48</v>
      </c>
      <c r="J302" s="2" t="s">
        <v>28</v>
      </c>
      <c r="K302" s="2" t="s">
        <v>84</v>
      </c>
      <c r="L302" s="2" t="s">
        <v>142</v>
      </c>
      <c r="M302" s="2">
        <v>13</v>
      </c>
      <c r="N302" s="7">
        <v>45</v>
      </c>
      <c r="O302" s="2">
        <v>0</v>
      </c>
      <c r="P302" s="7">
        <v>585</v>
      </c>
      <c r="Q302" s="2">
        <v>5</v>
      </c>
      <c r="R302" s="2" t="s">
        <v>41</v>
      </c>
      <c r="S302" s="2" t="s">
        <v>42</v>
      </c>
      <c r="T302" s="2" t="s">
        <v>162</v>
      </c>
      <c r="U302" s="2">
        <v>9736797776</v>
      </c>
      <c r="V302" s="2" t="s">
        <v>52</v>
      </c>
    </row>
    <row r="303" spans="1:22" x14ac:dyDescent="0.3">
      <c r="A303" s="2" t="s">
        <v>439</v>
      </c>
      <c r="B303" s="2" t="s">
        <v>88</v>
      </c>
      <c r="C303" s="2" t="s">
        <v>46</v>
      </c>
      <c r="D303" s="3">
        <v>46024</v>
      </c>
      <c r="E303" s="3">
        <v>46027</v>
      </c>
      <c r="F303" s="2" t="s">
        <v>119</v>
      </c>
      <c r="G303" s="2" t="s">
        <v>58</v>
      </c>
      <c r="H303" s="3">
        <v>27644</v>
      </c>
      <c r="I303" s="2" t="s">
        <v>48</v>
      </c>
      <c r="J303" s="2" t="s">
        <v>28</v>
      </c>
      <c r="K303" s="2" t="s">
        <v>39</v>
      </c>
      <c r="L303" s="2" t="s">
        <v>49</v>
      </c>
      <c r="M303" s="2">
        <v>8</v>
      </c>
      <c r="N303" s="7">
        <v>55000</v>
      </c>
      <c r="O303" s="2">
        <v>0</v>
      </c>
      <c r="P303" s="7">
        <v>440000</v>
      </c>
      <c r="Q303" s="2">
        <v>2</v>
      </c>
      <c r="R303" s="2" t="s">
        <v>65</v>
      </c>
      <c r="S303" s="2" t="s">
        <v>97</v>
      </c>
      <c r="T303" s="2" t="s">
        <v>90</v>
      </c>
      <c r="U303" s="2">
        <v>9745773533</v>
      </c>
      <c r="V303" s="2" t="s">
        <v>53</v>
      </c>
    </row>
    <row r="304" spans="1:22" x14ac:dyDescent="0.3">
      <c r="A304" s="2" t="s">
        <v>440</v>
      </c>
      <c r="B304" s="2" t="s">
        <v>137</v>
      </c>
      <c r="C304" s="2" t="s">
        <v>46</v>
      </c>
      <c r="D304" s="3">
        <v>45861</v>
      </c>
      <c r="E304" s="3">
        <v>45865</v>
      </c>
      <c r="F304" s="2" t="s">
        <v>138</v>
      </c>
      <c r="G304" s="2" t="s">
        <v>26</v>
      </c>
      <c r="H304" s="3">
        <v>29443</v>
      </c>
      <c r="I304" s="2" t="s">
        <v>37</v>
      </c>
      <c r="J304" s="2" t="s">
        <v>38</v>
      </c>
      <c r="K304" s="2" t="s">
        <v>39</v>
      </c>
      <c r="L304" s="2" t="s">
        <v>49</v>
      </c>
      <c r="M304" s="2">
        <v>4</v>
      </c>
      <c r="N304" s="7">
        <v>55000</v>
      </c>
      <c r="O304" s="2">
        <v>20</v>
      </c>
      <c r="P304" s="7">
        <v>176000</v>
      </c>
      <c r="Q304" s="2">
        <v>5</v>
      </c>
      <c r="R304" s="2" t="s">
        <v>31</v>
      </c>
      <c r="S304" s="2" t="s">
        <v>42</v>
      </c>
      <c r="T304" s="2" t="s">
        <v>139</v>
      </c>
      <c r="U304" s="2">
        <v>9246715757</v>
      </c>
      <c r="V304" s="2" t="s">
        <v>52</v>
      </c>
    </row>
    <row r="305" spans="1:22" x14ac:dyDescent="0.3">
      <c r="A305" s="2" t="s">
        <v>441</v>
      </c>
      <c r="B305" s="2" t="s">
        <v>23</v>
      </c>
      <c r="C305" s="2" t="s">
        <v>68</v>
      </c>
      <c r="D305" s="3">
        <v>46135</v>
      </c>
      <c r="E305" s="3">
        <v>46138</v>
      </c>
      <c r="F305" s="2" t="s">
        <v>25</v>
      </c>
      <c r="G305" s="2" t="s">
        <v>26</v>
      </c>
      <c r="H305" s="3">
        <v>32605</v>
      </c>
      <c r="I305" s="2" t="s">
        <v>92</v>
      </c>
      <c r="J305" s="2" t="s">
        <v>76</v>
      </c>
      <c r="K305" s="2" t="s">
        <v>29</v>
      </c>
      <c r="L305" s="2" t="s">
        <v>71</v>
      </c>
      <c r="M305" s="2">
        <v>19</v>
      </c>
      <c r="N305" s="7">
        <v>3500</v>
      </c>
      <c r="O305" s="2">
        <v>5</v>
      </c>
      <c r="P305" s="7">
        <v>63175</v>
      </c>
      <c r="Q305" s="2">
        <v>1</v>
      </c>
      <c r="R305" s="2" t="s">
        <v>60</v>
      </c>
      <c r="S305" s="2" t="s">
        <v>81</v>
      </c>
      <c r="T305" s="2" t="s">
        <v>43</v>
      </c>
      <c r="U305" s="2">
        <v>9904065774</v>
      </c>
      <c r="V305" s="2" t="s">
        <v>34</v>
      </c>
    </row>
    <row r="306" spans="1:22" x14ac:dyDescent="0.3">
      <c r="A306" s="2" t="s">
        <v>442</v>
      </c>
      <c r="B306" s="2" t="s">
        <v>127</v>
      </c>
      <c r="C306" s="2" t="s">
        <v>56</v>
      </c>
      <c r="D306" s="3">
        <v>45718</v>
      </c>
      <c r="E306" s="3">
        <v>45722</v>
      </c>
      <c r="F306" s="2" t="s">
        <v>129</v>
      </c>
      <c r="G306" s="2" t="s">
        <v>58</v>
      </c>
      <c r="H306" s="3">
        <v>36027</v>
      </c>
      <c r="I306" s="2" t="s">
        <v>123</v>
      </c>
      <c r="J306" s="2" t="s">
        <v>38</v>
      </c>
      <c r="K306" s="2" t="s">
        <v>39</v>
      </c>
      <c r="L306" s="2" t="s">
        <v>59</v>
      </c>
      <c r="M306" s="2">
        <v>17</v>
      </c>
      <c r="N306" s="7">
        <v>1200</v>
      </c>
      <c r="O306" s="2">
        <v>15</v>
      </c>
      <c r="P306" s="7">
        <v>17340</v>
      </c>
      <c r="Q306" s="2">
        <v>2</v>
      </c>
      <c r="R306" s="2" t="s">
        <v>41</v>
      </c>
      <c r="S306" s="2" t="s">
        <v>42</v>
      </c>
      <c r="T306" s="2" t="s">
        <v>131</v>
      </c>
      <c r="U306" s="2">
        <v>9652985385</v>
      </c>
      <c r="V306" s="2" t="s">
        <v>34</v>
      </c>
    </row>
    <row r="307" spans="1:22" x14ac:dyDescent="0.3">
      <c r="A307" s="2" t="s">
        <v>443</v>
      </c>
      <c r="B307" s="2" t="s">
        <v>23</v>
      </c>
      <c r="C307" s="2" t="s">
        <v>24</v>
      </c>
      <c r="D307" s="3">
        <v>46062</v>
      </c>
      <c r="E307" s="3">
        <v>46070</v>
      </c>
      <c r="F307" s="2" t="s">
        <v>25</v>
      </c>
      <c r="G307" s="2" t="s">
        <v>26</v>
      </c>
      <c r="H307" s="3">
        <v>36984</v>
      </c>
      <c r="I307" s="2" t="s">
        <v>27</v>
      </c>
      <c r="J307" s="2" t="s">
        <v>28</v>
      </c>
      <c r="K307" s="2" t="s">
        <v>29</v>
      </c>
      <c r="L307" s="2" t="s">
        <v>30</v>
      </c>
      <c r="M307" s="2">
        <v>8</v>
      </c>
      <c r="N307" s="7">
        <v>2200</v>
      </c>
      <c r="O307" s="2">
        <v>5</v>
      </c>
      <c r="P307" s="7">
        <v>16720</v>
      </c>
      <c r="Q307" s="2">
        <v>3</v>
      </c>
      <c r="R307" s="2" t="s">
        <v>60</v>
      </c>
      <c r="S307" s="2" t="s">
        <v>81</v>
      </c>
      <c r="T307" s="2" t="s">
        <v>43</v>
      </c>
      <c r="U307" s="2">
        <v>9427001508</v>
      </c>
      <c r="V307" s="2" t="s">
        <v>52</v>
      </c>
    </row>
    <row r="308" spans="1:22" x14ac:dyDescent="0.3">
      <c r="A308" s="2" t="s">
        <v>444</v>
      </c>
      <c r="B308" s="2" t="s">
        <v>137</v>
      </c>
      <c r="C308" s="2" t="s">
        <v>113</v>
      </c>
      <c r="D308" s="3">
        <v>45704</v>
      </c>
      <c r="E308" s="3">
        <v>45714</v>
      </c>
      <c r="F308" s="2" t="s">
        <v>138</v>
      </c>
      <c r="G308" s="2" t="s">
        <v>26</v>
      </c>
      <c r="H308" s="3">
        <v>33668</v>
      </c>
      <c r="I308" s="2" t="s">
        <v>75</v>
      </c>
      <c r="J308" s="2" t="s">
        <v>76</v>
      </c>
      <c r="K308" s="2" t="s">
        <v>39</v>
      </c>
      <c r="L308" s="2" t="s">
        <v>115</v>
      </c>
      <c r="M308" s="2">
        <v>17</v>
      </c>
      <c r="N308" s="7">
        <v>700</v>
      </c>
      <c r="O308" s="2">
        <v>20</v>
      </c>
      <c r="P308" s="7">
        <v>9520</v>
      </c>
      <c r="Q308" s="2">
        <v>4</v>
      </c>
      <c r="R308" s="2" t="s">
        <v>41</v>
      </c>
      <c r="S308" s="2" t="s">
        <v>81</v>
      </c>
      <c r="T308" s="2" t="s">
        <v>139</v>
      </c>
      <c r="U308" s="2">
        <v>9666803655</v>
      </c>
      <c r="V308" s="2" t="s">
        <v>34</v>
      </c>
    </row>
    <row r="309" spans="1:22" x14ac:dyDescent="0.3">
      <c r="A309" s="2" t="s">
        <v>445</v>
      </c>
      <c r="B309" s="2" t="s">
        <v>137</v>
      </c>
      <c r="C309" s="2" t="s">
        <v>106</v>
      </c>
      <c r="D309" s="3">
        <v>45897</v>
      </c>
      <c r="E309" s="3">
        <v>45908</v>
      </c>
      <c r="F309" s="2" t="s">
        <v>138</v>
      </c>
      <c r="G309" s="2" t="s">
        <v>26</v>
      </c>
      <c r="H309" s="3">
        <v>28122</v>
      </c>
      <c r="I309" s="2" t="s">
        <v>80</v>
      </c>
      <c r="J309" s="2" t="s">
        <v>76</v>
      </c>
      <c r="K309" s="2" t="s">
        <v>29</v>
      </c>
      <c r="L309" s="2" t="s">
        <v>108</v>
      </c>
      <c r="M309" s="2">
        <v>6</v>
      </c>
      <c r="N309" s="7">
        <v>8500</v>
      </c>
      <c r="O309" s="2">
        <v>15</v>
      </c>
      <c r="P309" s="7">
        <v>43350</v>
      </c>
      <c r="Q309" s="2">
        <v>1</v>
      </c>
      <c r="R309" s="2" t="s">
        <v>31</v>
      </c>
      <c r="S309" s="2" t="s">
        <v>50</v>
      </c>
      <c r="T309" s="2" t="s">
        <v>139</v>
      </c>
      <c r="U309" s="2">
        <v>9134878547</v>
      </c>
      <c r="V309" s="2" t="s">
        <v>34</v>
      </c>
    </row>
    <row r="310" spans="1:22" x14ac:dyDescent="0.3">
      <c r="A310" s="2" t="s">
        <v>446</v>
      </c>
      <c r="B310" s="2" t="s">
        <v>45</v>
      </c>
      <c r="C310" s="2" t="s">
        <v>68</v>
      </c>
      <c r="D310" s="3">
        <v>45936</v>
      </c>
      <c r="E310" s="3">
        <v>45941</v>
      </c>
      <c r="F310" s="2" t="s">
        <v>102</v>
      </c>
      <c r="G310" s="2" t="s">
        <v>26</v>
      </c>
      <c r="H310" s="3">
        <v>31659</v>
      </c>
      <c r="I310" s="2" t="s">
        <v>27</v>
      </c>
      <c r="J310" s="2" t="s">
        <v>28</v>
      </c>
      <c r="K310" s="2" t="s">
        <v>29</v>
      </c>
      <c r="L310" s="2" t="s">
        <v>71</v>
      </c>
      <c r="M310" s="2">
        <v>3</v>
      </c>
      <c r="N310" s="7">
        <v>3500</v>
      </c>
      <c r="O310" s="2">
        <v>10</v>
      </c>
      <c r="P310" s="7">
        <v>9450</v>
      </c>
      <c r="Q310" s="2">
        <v>1</v>
      </c>
      <c r="R310" s="2" t="s">
        <v>41</v>
      </c>
      <c r="S310" s="2" t="s">
        <v>42</v>
      </c>
      <c r="T310" s="2" t="s">
        <v>51</v>
      </c>
      <c r="U310" s="2">
        <v>9253593557</v>
      </c>
      <c r="V310" s="2" t="s">
        <v>34</v>
      </c>
    </row>
    <row r="311" spans="1:22" x14ac:dyDescent="0.3">
      <c r="A311" s="2" t="s">
        <v>447</v>
      </c>
      <c r="B311" s="2" t="s">
        <v>55</v>
      </c>
      <c r="C311" s="2" t="s">
        <v>36</v>
      </c>
      <c r="D311" s="3">
        <v>45674</v>
      </c>
      <c r="E311" s="3">
        <v>45686</v>
      </c>
      <c r="F311" s="2" t="s">
        <v>125</v>
      </c>
      <c r="G311" s="2" t="s">
        <v>58</v>
      </c>
      <c r="H311" s="3">
        <v>32734</v>
      </c>
      <c r="I311" s="2" t="s">
        <v>92</v>
      </c>
      <c r="J311" s="2" t="s">
        <v>76</v>
      </c>
      <c r="K311" s="2" t="s">
        <v>39</v>
      </c>
      <c r="L311" s="2" t="s">
        <v>40</v>
      </c>
      <c r="M311" s="2">
        <v>2</v>
      </c>
      <c r="N311" s="7">
        <v>12000</v>
      </c>
      <c r="O311" s="2">
        <v>20</v>
      </c>
      <c r="P311" s="7">
        <v>19200</v>
      </c>
      <c r="Q311" s="2">
        <v>1</v>
      </c>
      <c r="R311" s="2" t="s">
        <v>60</v>
      </c>
      <c r="S311" s="2" t="s">
        <v>50</v>
      </c>
      <c r="T311" s="2" t="s">
        <v>61</v>
      </c>
      <c r="U311" s="2">
        <v>9183094051</v>
      </c>
      <c r="V311" s="2" t="s">
        <v>34</v>
      </c>
    </row>
    <row r="312" spans="1:22" x14ac:dyDescent="0.3">
      <c r="A312" s="2" t="s">
        <v>448</v>
      </c>
      <c r="B312" s="2" t="s">
        <v>127</v>
      </c>
      <c r="C312" s="2" t="s">
        <v>128</v>
      </c>
      <c r="D312" s="3">
        <v>45943</v>
      </c>
      <c r="E312" s="3">
        <v>45946</v>
      </c>
      <c r="F312" s="2" t="s">
        <v>129</v>
      </c>
      <c r="G312" s="2" t="s">
        <v>58</v>
      </c>
      <c r="H312" s="3">
        <v>33299</v>
      </c>
      <c r="I312" s="2" t="s">
        <v>37</v>
      </c>
      <c r="J312" s="2" t="s">
        <v>38</v>
      </c>
      <c r="K312" s="2" t="s">
        <v>84</v>
      </c>
      <c r="L312" s="2" t="s">
        <v>130</v>
      </c>
      <c r="M312" s="2">
        <v>12</v>
      </c>
      <c r="N312" s="7">
        <v>20</v>
      </c>
      <c r="O312" s="2">
        <v>20</v>
      </c>
      <c r="P312" s="7">
        <v>192</v>
      </c>
      <c r="Q312" s="2">
        <v>2</v>
      </c>
      <c r="R312" s="2" t="s">
        <v>60</v>
      </c>
      <c r="S312" s="2" t="s">
        <v>42</v>
      </c>
      <c r="T312" s="2" t="s">
        <v>131</v>
      </c>
      <c r="U312" s="2">
        <v>9293147620</v>
      </c>
      <c r="V312" s="2" t="s">
        <v>34</v>
      </c>
    </row>
    <row r="313" spans="1:22" x14ac:dyDescent="0.3">
      <c r="A313" s="2" t="s">
        <v>449</v>
      </c>
      <c r="B313" s="2" t="s">
        <v>73</v>
      </c>
      <c r="C313" s="2" t="s">
        <v>36</v>
      </c>
      <c r="D313" s="3">
        <v>46138</v>
      </c>
      <c r="E313" s="3">
        <v>46140</v>
      </c>
      <c r="F313" s="2" t="s">
        <v>74</v>
      </c>
      <c r="G313" s="2" t="s">
        <v>26</v>
      </c>
      <c r="H313" s="3">
        <v>32733</v>
      </c>
      <c r="I313" s="2" t="s">
        <v>151</v>
      </c>
      <c r="J313" s="2" t="s">
        <v>152</v>
      </c>
      <c r="K313" s="2" t="s">
        <v>39</v>
      </c>
      <c r="L313" s="2" t="s">
        <v>40</v>
      </c>
      <c r="M313" s="2">
        <v>20</v>
      </c>
      <c r="N313" s="7">
        <v>12000</v>
      </c>
      <c r="O313" s="2">
        <v>15</v>
      </c>
      <c r="P313" s="7">
        <v>204000</v>
      </c>
      <c r="Q313" s="2">
        <v>3</v>
      </c>
      <c r="R313" s="2" t="s">
        <v>31</v>
      </c>
      <c r="S313" s="2" t="s">
        <v>32</v>
      </c>
      <c r="T313" s="2" t="s">
        <v>94</v>
      </c>
      <c r="U313" s="2">
        <v>9755583734</v>
      </c>
      <c r="V313" s="2" t="s">
        <v>52</v>
      </c>
    </row>
    <row r="314" spans="1:22" x14ac:dyDescent="0.3">
      <c r="A314" s="2" t="s">
        <v>450</v>
      </c>
      <c r="B314" s="2" t="s">
        <v>45</v>
      </c>
      <c r="C314" s="2" t="s">
        <v>83</v>
      </c>
      <c r="D314" s="3">
        <v>46105</v>
      </c>
      <c r="E314" s="3">
        <v>46116</v>
      </c>
      <c r="F314" s="2" t="s">
        <v>102</v>
      </c>
      <c r="G314" s="2" t="s">
        <v>26</v>
      </c>
      <c r="H314" s="3">
        <v>37654</v>
      </c>
      <c r="I314" s="2" t="s">
        <v>123</v>
      </c>
      <c r="J314" s="2" t="s">
        <v>38</v>
      </c>
      <c r="K314" s="2" t="s">
        <v>84</v>
      </c>
      <c r="L314" s="2" t="s">
        <v>85</v>
      </c>
      <c r="M314" s="2">
        <v>13</v>
      </c>
      <c r="N314" s="7">
        <v>60</v>
      </c>
      <c r="O314" s="2">
        <v>10</v>
      </c>
      <c r="P314" s="7">
        <v>702</v>
      </c>
      <c r="Q314" s="2">
        <v>5</v>
      </c>
      <c r="R314" s="2" t="s">
        <v>31</v>
      </c>
      <c r="S314" s="2" t="s">
        <v>32</v>
      </c>
      <c r="T314" s="2" t="s">
        <v>51</v>
      </c>
      <c r="U314" s="2">
        <v>9186592813</v>
      </c>
      <c r="V314" s="2" t="s">
        <v>52</v>
      </c>
    </row>
    <row r="315" spans="1:22" x14ac:dyDescent="0.3">
      <c r="A315" s="2" t="s">
        <v>451</v>
      </c>
      <c r="B315" s="2" t="s">
        <v>55</v>
      </c>
      <c r="C315" s="2" t="s">
        <v>46</v>
      </c>
      <c r="D315" s="3">
        <v>45785</v>
      </c>
      <c r="E315" s="3">
        <v>45796</v>
      </c>
      <c r="F315" s="2" t="s">
        <v>125</v>
      </c>
      <c r="G315" s="2" t="s">
        <v>58</v>
      </c>
      <c r="H315" s="3">
        <v>35019</v>
      </c>
      <c r="I315" s="2" t="s">
        <v>80</v>
      </c>
      <c r="J315" s="2" t="s">
        <v>76</v>
      </c>
      <c r="K315" s="2" t="s">
        <v>39</v>
      </c>
      <c r="L315" s="2" t="s">
        <v>49</v>
      </c>
      <c r="M315" s="2">
        <v>13</v>
      </c>
      <c r="N315" s="7">
        <v>55000</v>
      </c>
      <c r="O315" s="2">
        <v>5</v>
      </c>
      <c r="P315" s="7">
        <v>679250</v>
      </c>
      <c r="Q315" s="2">
        <v>1</v>
      </c>
      <c r="R315" s="2" t="s">
        <v>65</v>
      </c>
      <c r="S315" s="2" t="s">
        <v>97</v>
      </c>
      <c r="T315" s="2" t="s">
        <v>61</v>
      </c>
      <c r="U315" s="2">
        <v>9203482008</v>
      </c>
      <c r="V315" s="2" t="s">
        <v>52</v>
      </c>
    </row>
    <row r="316" spans="1:22" x14ac:dyDescent="0.3">
      <c r="A316" s="2" t="s">
        <v>452</v>
      </c>
      <c r="B316" s="2" t="s">
        <v>73</v>
      </c>
      <c r="C316" s="2" t="s">
        <v>56</v>
      </c>
      <c r="D316" s="3">
        <v>46088</v>
      </c>
      <c r="E316" s="3">
        <v>46091</v>
      </c>
      <c r="F316" s="2" t="s">
        <v>74</v>
      </c>
      <c r="G316" s="2" t="s">
        <v>26</v>
      </c>
      <c r="H316" s="3">
        <v>32836</v>
      </c>
      <c r="I316" s="2" t="s">
        <v>48</v>
      </c>
      <c r="J316" s="2" t="s">
        <v>28</v>
      </c>
      <c r="K316" s="2" t="s">
        <v>39</v>
      </c>
      <c r="L316" s="2" t="s">
        <v>59</v>
      </c>
      <c r="M316" s="2">
        <v>7</v>
      </c>
      <c r="N316" s="7">
        <v>1200</v>
      </c>
      <c r="O316" s="2">
        <v>15</v>
      </c>
      <c r="P316" s="7">
        <v>7140</v>
      </c>
      <c r="Q316" s="2">
        <v>5</v>
      </c>
      <c r="R316" s="2" t="s">
        <v>65</v>
      </c>
      <c r="S316" s="2" t="s">
        <v>42</v>
      </c>
      <c r="T316" s="2" t="s">
        <v>94</v>
      </c>
      <c r="U316" s="2">
        <v>9829888777</v>
      </c>
      <c r="V316" s="2" t="s">
        <v>52</v>
      </c>
    </row>
    <row r="317" spans="1:22" x14ac:dyDescent="0.3">
      <c r="A317" s="2" t="s">
        <v>453</v>
      </c>
      <c r="B317" s="2" t="s">
        <v>63</v>
      </c>
      <c r="C317" s="2" t="s">
        <v>36</v>
      </c>
      <c r="D317" s="3">
        <v>46017</v>
      </c>
      <c r="E317" s="3">
        <v>46021</v>
      </c>
      <c r="F317" s="2" t="s">
        <v>111</v>
      </c>
      <c r="G317" s="2" t="s">
        <v>58</v>
      </c>
      <c r="H317" s="3">
        <v>32253</v>
      </c>
      <c r="I317" s="2" t="s">
        <v>123</v>
      </c>
      <c r="J317" s="2" t="s">
        <v>38</v>
      </c>
      <c r="K317" s="2" t="s">
        <v>39</v>
      </c>
      <c r="L317" s="2" t="s">
        <v>40</v>
      </c>
      <c r="M317" s="2">
        <v>17</v>
      </c>
      <c r="N317" s="7">
        <v>12000</v>
      </c>
      <c r="O317" s="2">
        <v>5</v>
      </c>
      <c r="P317" s="7">
        <v>193800</v>
      </c>
      <c r="Q317" s="2">
        <v>1</v>
      </c>
      <c r="R317" s="2" t="s">
        <v>31</v>
      </c>
      <c r="S317" s="2" t="s">
        <v>50</v>
      </c>
      <c r="T317" s="2" t="s">
        <v>66</v>
      </c>
      <c r="U317" s="2">
        <v>9566101317</v>
      </c>
      <c r="V317" s="2" t="s">
        <v>53</v>
      </c>
    </row>
    <row r="318" spans="1:22" x14ac:dyDescent="0.3">
      <c r="A318" s="2" t="s">
        <v>454</v>
      </c>
      <c r="B318" s="2" t="s">
        <v>63</v>
      </c>
      <c r="C318" s="2" t="s">
        <v>128</v>
      </c>
      <c r="D318" s="3">
        <v>46131</v>
      </c>
      <c r="E318" s="3">
        <v>46137</v>
      </c>
      <c r="F318" s="2" t="s">
        <v>111</v>
      </c>
      <c r="G318" s="2" t="s">
        <v>58</v>
      </c>
      <c r="H318" s="3">
        <v>28796</v>
      </c>
      <c r="I318" s="2" t="s">
        <v>48</v>
      </c>
      <c r="J318" s="2" t="s">
        <v>28</v>
      </c>
      <c r="K318" s="2" t="s">
        <v>84</v>
      </c>
      <c r="L318" s="2" t="s">
        <v>130</v>
      </c>
      <c r="M318" s="2">
        <v>10</v>
      </c>
      <c r="N318" s="7">
        <v>20</v>
      </c>
      <c r="O318" s="2">
        <v>5</v>
      </c>
      <c r="P318" s="7">
        <v>190</v>
      </c>
      <c r="Q318" s="2">
        <v>2</v>
      </c>
      <c r="R318" s="2" t="s">
        <v>31</v>
      </c>
      <c r="S318" s="2" t="s">
        <v>50</v>
      </c>
      <c r="T318" s="2" t="s">
        <v>66</v>
      </c>
      <c r="U318" s="2">
        <v>9706240823</v>
      </c>
      <c r="V318" s="2" t="s">
        <v>53</v>
      </c>
    </row>
    <row r="319" spans="1:22" x14ac:dyDescent="0.3">
      <c r="A319" s="2" t="s">
        <v>455</v>
      </c>
      <c r="B319" s="2" t="s">
        <v>105</v>
      </c>
      <c r="C319" s="2" t="s">
        <v>24</v>
      </c>
      <c r="D319" s="3">
        <v>45966</v>
      </c>
      <c r="E319" s="3">
        <v>45969</v>
      </c>
      <c r="F319" s="2" t="s">
        <v>170</v>
      </c>
      <c r="G319" s="2" t="s">
        <v>26</v>
      </c>
      <c r="H319" s="3">
        <v>32855</v>
      </c>
      <c r="I319" s="2" t="s">
        <v>37</v>
      </c>
      <c r="J319" s="2" t="s">
        <v>38</v>
      </c>
      <c r="K319" s="2" t="s">
        <v>29</v>
      </c>
      <c r="L319" s="2" t="s">
        <v>30</v>
      </c>
      <c r="M319" s="2">
        <v>11</v>
      </c>
      <c r="N319" s="7">
        <v>2200</v>
      </c>
      <c r="O319" s="2">
        <v>5</v>
      </c>
      <c r="P319" s="7">
        <v>22990</v>
      </c>
      <c r="Q319" s="2">
        <v>5</v>
      </c>
      <c r="R319" s="2" t="s">
        <v>60</v>
      </c>
      <c r="S319" s="2" t="s">
        <v>42</v>
      </c>
      <c r="T319" s="2" t="s">
        <v>109</v>
      </c>
      <c r="U319" s="2">
        <v>9259943760</v>
      </c>
      <c r="V319" s="2" t="s">
        <v>52</v>
      </c>
    </row>
    <row r="320" spans="1:22" x14ac:dyDescent="0.3">
      <c r="A320" s="2" t="s">
        <v>456</v>
      </c>
      <c r="B320" s="2" t="s">
        <v>73</v>
      </c>
      <c r="C320" s="2" t="s">
        <v>83</v>
      </c>
      <c r="D320" s="3">
        <v>46077</v>
      </c>
      <c r="E320" s="3">
        <v>46081</v>
      </c>
      <c r="F320" s="2" t="s">
        <v>74</v>
      </c>
      <c r="G320" s="2" t="s">
        <v>26</v>
      </c>
      <c r="H320" s="3">
        <v>34707</v>
      </c>
      <c r="I320" s="2" t="s">
        <v>123</v>
      </c>
      <c r="J320" s="2" t="s">
        <v>38</v>
      </c>
      <c r="K320" s="2" t="s">
        <v>84</v>
      </c>
      <c r="L320" s="2" t="s">
        <v>85</v>
      </c>
      <c r="M320" s="2">
        <v>8</v>
      </c>
      <c r="N320" s="7">
        <v>60</v>
      </c>
      <c r="O320" s="2">
        <v>15</v>
      </c>
      <c r="P320" s="7">
        <v>408</v>
      </c>
      <c r="Q320" s="2">
        <v>4</v>
      </c>
      <c r="R320" s="2" t="s">
        <v>31</v>
      </c>
      <c r="S320" s="2" t="s">
        <v>42</v>
      </c>
      <c r="T320" s="2" t="s">
        <v>94</v>
      </c>
      <c r="U320" s="2">
        <v>9527326977</v>
      </c>
      <c r="V320" s="2" t="s">
        <v>52</v>
      </c>
    </row>
    <row r="321" spans="1:22" x14ac:dyDescent="0.3">
      <c r="A321" s="2" t="s">
        <v>457</v>
      </c>
      <c r="B321" s="2" t="s">
        <v>127</v>
      </c>
      <c r="C321" s="2" t="s">
        <v>141</v>
      </c>
      <c r="D321" s="3">
        <v>45739</v>
      </c>
      <c r="E321" s="3">
        <v>45741</v>
      </c>
      <c r="F321" s="2" t="s">
        <v>129</v>
      </c>
      <c r="G321" s="2" t="s">
        <v>58</v>
      </c>
      <c r="H321" s="3">
        <v>34630</v>
      </c>
      <c r="I321" s="2" t="s">
        <v>37</v>
      </c>
      <c r="J321" s="2" t="s">
        <v>38</v>
      </c>
      <c r="K321" s="2" t="s">
        <v>84</v>
      </c>
      <c r="L321" s="2" t="s">
        <v>142</v>
      </c>
      <c r="M321" s="2">
        <v>17</v>
      </c>
      <c r="N321" s="7">
        <v>45</v>
      </c>
      <c r="O321" s="2">
        <v>15</v>
      </c>
      <c r="P321" s="7">
        <v>650.25</v>
      </c>
      <c r="Q321" s="2">
        <v>2</v>
      </c>
      <c r="R321" s="2" t="s">
        <v>65</v>
      </c>
      <c r="S321" s="2" t="s">
        <v>97</v>
      </c>
      <c r="T321" s="2" t="s">
        <v>131</v>
      </c>
      <c r="U321" s="2">
        <v>9886970990</v>
      </c>
      <c r="V321" s="2" t="s">
        <v>34</v>
      </c>
    </row>
    <row r="322" spans="1:22" x14ac:dyDescent="0.3">
      <c r="A322" s="2" t="s">
        <v>458</v>
      </c>
      <c r="B322" s="2" t="s">
        <v>160</v>
      </c>
      <c r="C322" s="2" t="s">
        <v>113</v>
      </c>
      <c r="D322" s="3">
        <v>45715</v>
      </c>
      <c r="E322" s="3">
        <v>45726</v>
      </c>
      <c r="F322" s="2" t="s">
        <v>179</v>
      </c>
      <c r="G322" s="2" t="s">
        <v>58</v>
      </c>
      <c r="H322" s="3">
        <v>35206</v>
      </c>
      <c r="I322" s="2" t="s">
        <v>123</v>
      </c>
      <c r="J322" s="2" t="s">
        <v>38</v>
      </c>
      <c r="K322" s="2" t="s">
        <v>39</v>
      </c>
      <c r="L322" s="2" t="s">
        <v>115</v>
      </c>
      <c r="M322" s="2">
        <v>14</v>
      </c>
      <c r="N322" s="7">
        <v>700</v>
      </c>
      <c r="O322" s="2">
        <v>15</v>
      </c>
      <c r="P322" s="7">
        <v>8330</v>
      </c>
      <c r="Q322" s="2">
        <v>1</v>
      </c>
      <c r="R322" s="2" t="s">
        <v>60</v>
      </c>
      <c r="S322" s="2" t="s">
        <v>81</v>
      </c>
      <c r="T322" s="2" t="s">
        <v>162</v>
      </c>
      <c r="U322" s="2">
        <v>9106930369</v>
      </c>
      <c r="V322" s="2" t="s">
        <v>34</v>
      </c>
    </row>
    <row r="323" spans="1:22" x14ac:dyDescent="0.3">
      <c r="A323" s="2" t="s">
        <v>459</v>
      </c>
      <c r="B323" s="2" t="s">
        <v>63</v>
      </c>
      <c r="C323" s="2" t="s">
        <v>56</v>
      </c>
      <c r="D323" s="3">
        <v>45811</v>
      </c>
      <c r="E323" s="3">
        <v>45822</v>
      </c>
      <c r="F323" s="2" t="s">
        <v>111</v>
      </c>
      <c r="G323" s="2" t="s">
        <v>58</v>
      </c>
      <c r="H323" s="3">
        <v>30097</v>
      </c>
      <c r="I323" s="2" t="s">
        <v>80</v>
      </c>
      <c r="J323" s="2" t="s">
        <v>76</v>
      </c>
      <c r="K323" s="2" t="s">
        <v>39</v>
      </c>
      <c r="L323" s="2" t="s">
        <v>59</v>
      </c>
      <c r="M323" s="2">
        <v>3</v>
      </c>
      <c r="N323" s="7">
        <v>1200</v>
      </c>
      <c r="O323" s="2">
        <v>5</v>
      </c>
      <c r="P323" s="7">
        <v>3420</v>
      </c>
      <c r="Q323" s="2">
        <v>3</v>
      </c>
      <c r="R323" s="2" t="s">
        <v>41</v>
      </c>
      <c r="S323" s="2" t="s">
        <v>97</v>
      </c>
      <c r="T323" s="2" t="s">
        <v>66</v>
      </c>
      <c r="U323" s="2">
        <v>9342009114</v>
      </c>
      <c r="V323" s="2" t="s">
        <v>34</v>
      </c>
    </row>
    <row r="324" spans="1:22" x14ac:dyDescent="0.3">
      <c r="A324" s="2" t="s">
        <v>460</v>
      </c>
      <c r="B324" s="2" t="s">
        <v>23</v>
      </c>
      <c r="C324" s="2" t="s">
        <v>56</v>
      </c>
      <c r="D324" s="3">
        <v>45845</v>
      </c>
      <c r="E324" s="3">
        <v>45854</v>
      </c>
      <c r="F324" s="2" t="s">
        <v>25</v>
      </c>
      <c r="G324" s="2" t="s">
        <v>26</v>
      </c>
      <c r="H324" s="3">
        <v>37217</v>
      </c>
      <c r="I324" s="2" t="s">
        <v>92</v>
      </c>
      <c r="J324" s="2" t="s">
        <v>76</v>
      </c>
      <c r="K324" s="2" t="s">
        <v>39</v>
      </c>
      <c r="L324" s="2" t="s">
        <v>59</v>
      </c>
      <c r="M324" s="2">
        <v>9</v>
      </c>
      <c r="N324" s="7">
        <v>1200</v>
      </c>
      <c r="O324" s="2">
        <v>15</v>
      </c>
      <c r="P324" s="7">
        <v>9180</v>
      </c>
      <c r="Q324" s="2">
        <v>3</v>
      </c>
      <c r="R324" s="2" t="s">
        <v>31</v>
      </c>
      <c r="S324" s="2" t="s">
        <v>42</v>
      </c>
      <c r="T324" s="2" t="s">
        <v>43</v>
      </c>
      <c r="U324" s="2">
        <v>9992739960</v>
      </c>
      <c r="V324" s="2" t="s">
        <v>34</v>
      </c>
    </row>
    <row r="325" spans="1:22" x14ac:dyDescent="0.3">
      <c r="A325" s="2" t="s">
        <v>461</v>
      </c>
      <c r="B325" s="2" t="s">
        <v>137</v>
      </c>
      <c r="C325" s="2" t="s">
        <v>128</v>
      </c>
      <c r="D325" s="3">
        <v>46132</v>
      </c>
      <c r="E325" s="3">
        <v>46133</v>
      </c>
      <c r="F325" s="2" t="s">
        <v>138</v>
      </c>
      <c r="G325" s="2" t="s">
        <v>26</v>
      </c>
      <c r="H325" s="3">
        <v>32565</v>
      </c>
      <c r="I325" s="2" t="s">
        <v>75</v>
      </c>
      <c r="J325" s="2" t="s">
        <v>76</v>
      </c>
      <c r="K325" s="2" t="s">
        <v>84</v>
      </c>
      <c r="L325" s="2" t="s">
        <v>130</v>
      </c>
      <c r="M325" s="2">
        <v>5</v>
      </c>
      <c r="N325" s="7">
        <v>20</v>
      </c>
      <c r="O325" s="2">
        <v>5</v>
      </c>
      <c r="P325" s="7">
        <v>95</v>
      </c>
      <c r="Q325" s="2">
        <v>4</v>
      </c>
      <c r="R325" s="2" t="s">
        <v>31</v>
      </c>
      <c r="S325" s="2" t="s">
        <v>97</v>
      </c>
      <c r="T325" s="2" t="s">
        <v>139</v>
      </c>
      <c r="U325" s="2">
        <v>9241987748</v>
      </c>
      <c r="V325" s="2" t="s">
        <v>34</v>
      </c>
    </row>
    <row r="326" spans="1:22" x14ac:dyDescent="0.3">
      <c r="A326" s="2" t="s">
        <v>462</v>
      </c>
      <c r="B326" s="2" t="s">
        <v>137</v>
      </c>
      <c r="C326" s="2" t="s">
        <v>24</v>
      </c>
      <c r="D326" s="3">
        <v>46001</v>
      </c>
      <c r="E326" s="3">
        <v>46012</v>
      </c>
      <c r="F326" s="2" t="s">
        <v>138</v>
      </c>
      <c r="G326" s="2" t="s">
        <v>26</v>
      </c>
      <c r="H326" s="3">
        <v>31277</v>
      </c>
      <c r="I326" s="2" t="s">
        <v>92</v>
      </c>
      <c r="J326" s="2" t="s">
        <v>76</v>
      </c>
      <c r="K326" s="2" t="s">
        <v>29</v>
      </c>
      <c r="L326" s="2" t="s">
        <v>30</v>
      </c>
      <c r="M326" s="2">
        <v>8</v>
      </c>
      <c r="N326" s="7">
        <v>2200</v>
      </c>
      <c r="O326" s="2">
        <v>10</v>
      </c>
      <c r="P326" s="7">
        <v>15840</v>
      </c>
      <c r="Q326" s="2">
        <v>4</v>
      </c>
      <c r="R326" s="2" t="s">
        <v>65</v>
      </c>
      <c r="S326" s="2" t="s">
        <v>50</v>
      </c>
      <c r="T326" s="2" t="s">
        <v>139</v>
      </c>
      <c r="U326" s="2">
        <v>9571990711</v>
      </c>
      <c r="V326" s="2" t="s">
        <v>53</v>
      </c>
    </row>
    <row r="327" spans="1:22" x14ac:dyDescent="0.3">
      <c r="A327" s="2" t="s">
        <v>463</v>
      </c>
      <c r="B327" s="2" t="s">
        <v>137</v>
      </c>
      <c r="C327" s="2" t="s">
        <v>113</v>
      </c>
      <c r="D327" s="3">
        <v>46089</v>
      </c>
      <c r="E327" s="3">
        <v>46093</v>
      </c>
      <c r="F327" s="2" t="s">
        <v>138</v>
      </c>
      <c r="G327" s="2" t="s">
        <v>26</v>
      </c>
      <c r="H327" s="3">
        <v>29223</v>
      </c>
      <c r="I327" s="2" t="s">
        <v>75</v>
      </c>
      <c r="J327" s="2" t="s">
        <v>76</v>
      </c>
      <c r="K327" s="2" t="s">
        <v>39</v>
      </c>
      <c r="L327" s="2" t="s">
        <v>115</v>
      </c>
      <c r="M327" s="2">
        <v>10</v>
      </c>
      <c r="N327" s="7">
        <v>700</v>
      </c>
      <c r="O327" s="2">
        <v>20</v>
      </c>
      <c r="P327" s="7">
        <v>5600</v>
      </c>
      <c r="Q327" s="2">
        <v>1</v>
      </c>
      <c r="R327" s="2" t="s">
        <v>65</v>
      </c>
      <c r="S327" s="2" t="s">
        <v>81</v>
      </c>
      <c r="T327" s="2" t="s">
        <v>139</v>
      </c>
      <c r="U327" s="2">
        <v>9219231183</v>
      </c>
      <c r="V327" s="2" t="s">
        <v>34</v>
      </c>
    </row>
    <row r="328" spans="1:22" x14ac:dyDescent="0.3">
      <c r="A328" s="2" t="s">
        <v>464</v>
      </c>
      <c r="B328" s="2" t="s">
        <v>63</v>
      </c>
      <c r="C328" s="2" t="s">
        <v>113</v>
      </c>
      <c r="D328" s="3">
        <v>45986</v>
      </c>
      <c r="E328" s="3">
        <v>45989</v>
      </c>
      <c r="F328" s="2" t="s">
        <v>111</v>
      </c>
      <c r="G328" s="2" t="s">
        <v>58</v>
      </c>
      <c r="H328" s="3">
        <v>28498</v>
      </c>
      <c r="I328" s="2" t="s">
        <v>48</v>
      </c>
      <c r="J328" s="2" t="s">
        <v>28</v>
      </c>
      <c r="K328" s="2" t="s">
        <v>39</v>
      </c>
      <c r="L328" s="2" t="s">
        <v>115</v>
      </c>
      <c r="M328" s="2">
        <v>2</v>
      </c>
      <c r="N328" s="7">
        <v>700</v>
      </c>
      <c r="O328" s="2">
        <v>20</v>
      </c>
      <c r="P328" s="7">
        <v>1120</v>
      </c>
      <c r="Q328" s="2">
        <v>2</v>
      </c>
      <c r="R328" s="2" t="s">
        <v>31</v>
      </c>
      <c r="S328" s="2" t="s">
        <v>81</v>
      </c>
      <c r="T328" s="2" t="s">
        <v>66</v>
      </c>
      <c r="U328" s="2">
        <v>9847386174</v>
      </c>
      <c r="V328" s="2" t="s">
        <v>52</v>
      </c>
    </row>
    <row r="329" spans="1:22" x14ac:dyDescent="0.3">
      <c r="A329" s="2" t="s">
        <v>465</v>
      </c>
      <c r="B329" s="2" t="s">
        <v>127</v>
      </c>
      <c r="C329" s="2" t="s">
        <v>68</v>
      </c>
      <c r="D329" s="3">
        <v>45827</v>
      </c>
      <c r="E329" s="3">
        <v>45836</v>
      </c>
      <c r="F329" s="2" t="s">
        <v>129</v>
      </c>
      <c r="G329" s="2" t="s">
        <v>58</v>
      </c>
      <c r="H329" s="3">
        <v>33821</v>
      </c>
      <c r="I329" s="2" t="s">
        <v>80</v>
      </c>
      <c r="J329" s="2" t="s">
        <v>76</v>
      </c>
      <c r="K329" s="2" t="s">
        <v>29</v>
      </c>
      <c r="L329" s="2" t="s">
        <v>71</v>
      </c>
      <c r="M329" s="2">
        <v>16</v>
      </c>
      <c r="N329" s="7">
        <v>3500</v>
      </c>
      <c r="O329" s="2">
        <v>20</v>
      </c>
      <c r="P329" s="7">
        <v>44800</v>
      </c>
      <c r="Q329" s="2">
        <v>2</v>
      </c>
      <c r="R329" s="2" t="s">
        <v>65</v>
      </c>
      <c r="S329" s="2" t="s">
        <v>32</v>
      </c>
      <c r="T329" s="2" t="s">
        <v>131</v>
      </c>
      <c r="U329" s="2">
        <v>9941274924</v>
      </c>
      <c r="V329" s="2" t="s">
        <v>52</v>
      </c>
    </row>
    <row r="330" spans="1:22" x14ac:dyDescent="0.3">
      <c r="A330" s="2" t="s">
        <v>466</v>
      </c>
      <c r="B330" s="2" t="s">
        <v>105</v>
      </c>
      <c r="C330" s="2" t="s">
        <v>68</v>
      </c>
      <c r="D330" s="3">
        <v>45860</v>
      </c>
      <c r="E330" s="3">
        <v>45870</v>
      </c>
      <c r="F330" s="2" t="s">
        <v>170</v>
      </c>
      <c r="G330" s="2" t="s">
        <v>26</v>
      </c>
      <c r="H330" s="3">
        <v>38349</v>
      </c>
      <c r="I330" s="2" t="s">
        <v>37</v>
      </c>
      <c r="J330" s="2" t="s">
        <v>38</v>
      </c>
      <c r="K330" s="2" t="s">
        <v>29</v>
      </c>
      <c r="L330" s="2" t="s">
        <v>71</v>
      </c>
      <c r="M330" s="2">
        <v>9</v>
      </c>
      <c r="N330" s="7">
        <v>3500</v>
      </c>
      <c r="O330" s="2">
        <v>20</v>
      </c>
      <c r="P330" s="7">
        <v>25200</v>
      </c>
      <c r="Q330" s="2">
        <v>1</v>
      </c>
      <c r="R330" s="2" t="s">
        <v>60</v>
      </c>
      <c r="S330" s="2" t="s">
        <v>42</v>
      </c>
      <c r="T330" s="2" t="s">
        <v>109</v>
      </c>
      <c r="U330" s="2">
        <v>9950650508</v>
      </c>
      <c r="V330" s="2" t="s">
        <v>53</v>
      </c>
    </row>
    <row r="331" spans="1:22" x14ac:dyDescent="0.3">
      <c r="A331" s="2" t="s">
        <v>467</v>
      </c>
      <c r="B331" s="2" t="s">
        <v>88</v>
      </c>
      <c r="C331" s="2" t="s">
        <v>113</v>
      </c>
      <c r="D331" s="3">
        <v>45959</v>
      </c>
      <c r="E331" s="3">
        <v>45960</v>
      </c>
      <c r="F331" s="2" t="s">
        <v>119</v>
      </c>
      <c r="G331" s="2" t="s">
        <v>58</v>
      </c>
      <c r="H331" s="3">
        <v>37628</v>
      </c>
      <c r="I331" s="2" t="s">
        <v>27</v>
      </c>
      <c r="J331" s="2" t="s">
        <v>28</v>
      </c>
      <c r="K331" s="2" t="s">
        <v>39</v>
      </c>
      <c r="L331" s="2" t="s">
        <v>115</v>
      </c>
      <c r="M331" s="2">
        <v>15</v>
      </c>
      <c r="N331" s="7">
        <v>700</v>
      </c>
      <c r="O331" s="2">
        <v>5</v>
      </c>
      <c r="P331" s="7">
        <v>9975</v>
      </c>
      <c r="Q331" s="2">
        <v>1</v>
      </c>
      <c r="R331" s="2" t="s">
        <v>31</v>
      </c>
      <c r="S331" s="2" t="s">
        <v>42</v>
      </c>
      <c r="T331" s="2" t="s">
        <v>90</v>
      </c>
      <c r="U331" s="2">
        <v>9464035549</v>
      </c>
      <c r="V331" s="2" t="s">
        <v>53</v>
      </c>
    </row>
    <row r="332" spans="1:22" x14ac:dyDescent="0.3">
      <c r="A332" s="2" t="s">
        <v>468</v>
      </c>
      <c r="B332" s="2" t="s">
        <v>45</v>
      </c>
      <c r="C332" s="2" t="s">
        <v>56</v>
      </c>
      <c r="D332" s="3">
        <v>46086</v>
      </c>
      <c r="E332" s="3">
        <v>46091</v>
      </c>
      <c r="F332" s="2" t="s">
        <v>102</v>
      </c>
      <c r="G332" s="2" t="s">
        <v>26</v>
      </c>
      <c r="H332" s="3">
        <v>34037</v>
      </c>
      <c r="I332" s="2" t="s">
        <v>92</v>
      </c>
      <c r="J332" s="2" t="s">
        <v>76</v>
      </c>
      <c r="K332" s="2" t="s">
        <v>39</v>
      </c>
      <c r="L332" s="2" t="s">
        <v>59</v>
      </c>
      <c r="M332" s="2">
        <v>13</v>
      </c>
      <c r="N332" s="7">
        <v>1200</v>
      </c>
      <c r="O332" s="2">
        <v>0</v>
      </c>
      <c r="P332" s="7">
        <v>15600</v>
      </c>
      <c r="Q332" s="2">
        <v>3</v>
      </c>
      <c r="R332" s="2" t="s">
        <v>41</v>
      </c>
      <c r="S332" s="2" t="s">
        <v>81</v>
      </c>
      <c r="T332" s="2" t="s">
        <v>51</v>
      </c>
      <c r="U332" s="2">
        <v>9142334315</v>
      </c>
      <c r="V332" s="2" t="s">
        <v>53</v>
      </c>
    </row>
    <row r="333" spans="1:22" x14ac:dyDescent="0.3">
      <c r="A333" s="2" t="s">
        <v>469</v>
      </c>
      <c r="B333" s="2" t="s">
        <v>160</v>
      </c>
      <c r="C333" s="2" t="s">
        <v>36</v>
      </c>
      <c r="D333" s="3">
        <v>45895</v>
      </c>
      <c r="E333" s="3">
        <v>45907</v>
      </c>
      <c r="F333" s="2" t="s">
        <v>179</v>
      </c>
      <c r="G333" s="2" t="s">
        <v>58</v>
      </c>
      <c r="H333" s="3">
        <v>34123</v>
      </c>
      <c r="I333" s="2" t="s">
        <v>37</v>
      </c>
      <c r="J333" s="2" t="s">
        <v>38</v>
      </c>
      <c r="K333" s="2" t="s">
        <v>39</v>
      </c>
      <c r="L333" s="2" t="s">
        <v>40</v>
      </c>
      <c r="M333" s="2">
        <v>5</v>
      </c>
      <c r="N333" s="7">
        <v>12000</v>
      </c>
      <c r="O333" s="2">
        <v>10</v>
      </c>
      <c r="P333" s="7">
        <v>54000</v>
      </c>
      <c r="Q333" s="2">
        <v>3</v>
      </c>
      <c r="R333" s="2" t="s">
        <v>65</v>
      </c>
      <c r="S333" s="2" t="s">
        <v>42</v>
      </c>
      <c r="T333" s="2" t="s">
        <v>162</v>
      </c>
      <c r="U333" s="2">
        <v>9123961962</v>
      </c>
      <c r="V333" s="2" t="s">
        <v>34</v>
      </c>
    </row>
    <row r="334" spans="1:22" x14ac:dyDescent="0.3">
      <c r="A334" s="2" t="s">
        <v>470</v>
      </c>
      <c r="B334" s="2" t="s">
        <v>45</v>
      </c>
      <c r="C334" s="2" t="s">
        <v>141</v>
      </c>
      <c r="D334" s="3">
        <v>45752</v>
      </c>
      <c r="E334" s="3">
        <v>45755</v>
      </c>
      <c r="F334" s="2" t="s">
        <v>102</v>
      </c>
      <c r="G334" s="2" t="s">
        <v>26</v>
      </c>
      <c r="H334" s="3">
        <v>36504</v>
      </c>
      <c r="I334" s="2" t="s">
        <v>48</v>
      </c>
      <c r="J334" s="2" t="s">
        <v>28</v>
      </c>
      <c r="K334" s="2" t="s">
        <v>84</v>
      </c>
      <c r="L334" s="2" t="s">
        <v>142</v>
      </c>
      <c r="M334" s="2">
        <v>12</v>
      </c>
      <c r="N334" s="7">
        <v>45</v>
      </c>
      <c r="O334" s="2">
        <v>20</v>
      </c>
      <c r="P334" s="7">
        <v>432</v>
      </c>
      <c r="Q334" s="2">
        <v>3</v>
      </c>
      <c r="R334" s="2" t="s">
        <v>41</v>
      </c>
      <c r="S334" s="2" t="s">
        <v>50</v>
      </c>
      <c r="T334" s="2" t="s">
        <v>51</v>
      </c>
      <c r="U334" s="2">
        <v>9741953402</v>
      </c>
      <c r="V334" s="2" t="s">
        <v>34</v>
      </c>
    </row>
    <row r="335" spans="1:22" x14ac:dyDescent="0.3">
      <c r="A335" s="2" t="s">
        <v>471</v>
      </c>
      <c r="B335" s="2" t="s">
        <v>23</v>
      </c>
      <c r="C335" s="2" t="s">
        <v>68</v>
      </c>
      <c r="D335" s="3">
        <v>45756</v>
      </c>
      <c r="E335" s="3">
        <v>45761</v>
      </c>
      <c r="F335" s="2" t="s">
        <v>25</v>
      </c>
      <c r="G335" s="2" t="s">
        <v>26</v>
      </c>
      <c r="H335" s="3">
        <v>27917</v>
      </c>
      <c r="I335" s="2" t="s">
        <v>48</v>
      </c>
      <c r="J335" s="2" t="s">
        <v>28</v>
      </c>
      <c r="K335" s="2" t="s">
        <v>29</v>
      </c>
      <c r="L335" s="2" t="s">
        <v>71</v>
      </c>
      <c r="M335" s="2">
        <v>2</v>
      </c>
      <c r="N335" s="7">
        <v>3500</v>
      </c>
      <c r="O335" s="2">
        <v>0</v>
      </c>
      <c r="P335" s="7">
        <v>7000</v>
      </c>
      <c r="Q335" s="2">
        <v>1</v>
      </c>
      <c r="R335" s="2" t="s">
        <v>41</v>
      </c>
      <c r="S335" s="2" t="s">
        <v>81</v>
      </c>
      <c r="T335" s="2" t="s">
        <v>43</v>
      </c>
      <c r="U335" s="2">
        <v>9404733633</v>
      </c>
      <c r="V335" s="2" t="s">
        <v>52</v>
      </c>
    </row>
    <row r="336" spans="1:22" x14ac:dyDescent="0.3">
      <c r="A336" s="2" t="s">
        <v>472</v>
      </c>
      <c r="B336" s="2" t="s">
        <v>23</v>
      </c>
      <c r="C336" s="2" t="s">
        <v>24</v>
      </c>
      <c r="D336" s="3">
        <v>46155</v>
      </c>
      <c r="E336" s="3">
        <v>46158</v>
      </c>
      <c r="F336" s="2" t="s">
        <v>25</v>
      </c>
      <c r="G336" s="2" t="s">
        <v>26</v>
      </c>
      <c r="H336" s="3">
        <v>30982</v>
      </c>
      <c r="I336" s="2" t="s">
        <v>80</v>
      </c>
      <c r="J336" s="2" t="s">
        <v>76</v>
      </c>
      <c r="K336" s="2" t="s">
        <v>29</v>
      </c>
      <c r="L336" s="2" t="s">
        <v>30</v>
      </c>
      <c r="M336" s="2">
        <v>15</v>
      </c>
      <c r="N336" s="7">
        <v>2200</v>
      </c>
      <c r="O336" s="2">
        <v>15</v>
      </c>
      <c r="P336" s="7">
        <v>28050</v>
      </c>
      <c r="Q336" s="2">
        <v>2</v>
      </c>
      <c r="R336" s="2" t="s">
        <v>41</v>
      </c>
      <c r="S336" s="2" t="s">
        <v>42</v>
      </c>
      <c r="T336" s="2" t="s">
        <v>43</v>
      </c>
      <c r="U336" s="2">
        <v>9297492337</v>
      </c>
      <c r="V336" s="2" t="s">
        <v>52</v>
      </c>
    </row>
    <row r="337" spans="1:22" x14ac:dyDescent="0.3">
      <c r="A337" s="2" t="s">
        <v>473</v>
      </c>
      <c r="B337" s="2" t="s">
        <v>73</v>
      </c>
      <c r="C337" s="2" t="s">
        <v>128</v>
      </c>
      <c r="D337" s="3">
        <v>45995</v>
      </c>
      <c r="E337" s="3">
        <v>46003</v>
      </c>
      <c r="F337" s="2" t="s">
        <v>74</v>
      </c>
      <c r="G337" s="2" t="s">
        <v>26</v>
      </c>
      <c r="H337" s="3">
        <v>27453</v>
      </c>
      <c r="I337" s="2" t="s">
        <v>92</v>
      </c>
      <c r="J337" s="2" t="s">
        <v>76</v>
      </c>
      <c r="K337" s="2" t="s">
        <v>84</v>
      </c>
      <c r="L337" s="2" t="s">
        <v>130</v>
      </c>
      <c r="M337" s="2">
        <v>8</v>
      </c>
      <c r="N337" s="7">
        <v>20</v>
      </c>
      <c r="O337" s="2">
        <v>20</v>
      </c>
      <c r="P337" s="7">
        <v>128</v>
      </c>
      <c r="Q337" s="2">
        <v>5</v>
      </c>
      <c r="R337" s="2" t="s">
        <v>65</v>
      </c>
      <c r="S337" s="2" t="s">
        <v>42</v>
      </c>
      <c r="T337" s="2" t="s">
        <v>94</v>
      </c>
      <c r="U337" s="2">
        <v>9350338928</v>
      </c>
      <c r="V337" s="2" t="s">
        <v>34</v>
      </c>
    </row>
    <row r="338" spans="1:22" x14ac:dyDescent="0.3">
      <c r="A338" s="2" t="s">
        <v>474</v>
      </c>
      <c r="B338" s="2" t="s">
        <v>88</v>
      </c>
      <c r="C338" s="2" t="s">
        <v>128</v>
      </c>
      <c r="D338" s="3">
        <v>46089</v>
      </c>
      <c r="E338" s="3">
        <v>46091</v>
      </c>
      <c r="F338" s="2" t="s">
        <v>119</v>
      </c>
      <c r="G338" s="2" t="s">
        <v>58</v>
      </c>
      <c r="H338" s="3">
        <v>34261</v>
      </c>
      <c r="I338" s="2" t="s">
        <v>27</v>
      </c>
      <c r="J338" s="2" t="s">
        <v>28</v>
      </c>
      <c r="K338" s="2" t="s">
        <v>84</v>
      </c>
      <c r="L338" s="2" t="s">
        <v>130</v>
      </c>
      <c r="M338" s="2">
        <v>1</v>
      </c>
      <c r="N338" s="7">
        <v>20</v>
      </c>
      <c r="O338" s="2">
        <v>0</v>
      </c>
      <c r="P338" s="7">
        <v>20</v>
      </c>
      <c r="Q338" s="2">
        <v>3</v>
      </c>
      <c r="R338" s="2" t="s">
        <v>65</v>
      </c>
      <c r="S338" s="2" t="s">
        <v>32</v>
      </c>
      <c r="T338" s="2" t="s">
        <v>90</v>
      </c>
      <c r="U338" s="2">
        <v>9933894798</v>
      </c>
      <c r="V338" s="2" t="s">
        <v>34</v>
      </c>
    </row>
    <row r="339" spans="1:22" x14ac:dyDescent="0.3">
      <c r="A339" s="2" t="s">
        <v>475</v>
      </c>
      <c r="B339" s="2" t="s">
        <v>23</v>
      </c>
      <c r="C339" s="2" t="s">
        <v>113</v>
      </c>
      <c r="D339" s="3">
        <v>46027</v>
      </c>
      <c r="E339" s="3">
        <v>46038</v>
      </c>
      <c r="F339" s="2" t="s">
        <v>25</v>
      </c>
      <c r="G339" s="2" t="s">
        <v>26</v>
      </c>
      <c r="H339" s="3">
        <v>30614</v>
      </c>
      <c r="I339" s="2" t="s">
        <v>123</v>
      </c>
      <c r="J339" s="2" t="s">
        <v>38</v>
      </c>
      <c r="K339" s="2" t="s">
        <v>39</v>
      </c>
      <c r="L339" s="2" t="s">
        <v>115</v>
      </c>
      <c r="M339" s="2">
        <v>15</v>
      </c>
      <c r="N339" s="7">
        <v>700</v>
      </c>
      <c r="O339" s="2">
        <v>0</v>
      </c>
      <c r="P339" s="7">
        <v>10500</v>
      </c>
      <c r="Q339" s="2">
        <v>2</v>
      </c>
      <c r="R339" s="2" t="s">
        <v>65</v>
      </c>
      <c r="S339" s="2" t="s">
        <v>42</v>
      </c>
      <c r="T339" s="2" t="s">
        <v>43</v>
      </c>
      <c r="U339" s="2">
        <v>9705218824</v>
      </c>
      <c r="V339" s="2" t="s">
        <v>34</v>
      </c>
    </row>
    <row r="340" spans="1:22" x14ac:dyDescent="0.3">
      <c r="A340" s="2" t="s">
        <v>476</v>
      </c>
      <c r="B340" s="2" t="s">
        <v>160</v>
      </c>
      <c r="C340" s="2" t="s">
        <v>68</v>
      </c>
      <c r="D340" s="3">
        <v>45695</v>
      </c>
      <c r="E340" s="3">
        <v>45698</v>
      </c>
      <c r="F340" s="2" t="s">
        <v>179</v>
      </c>
      <c r="G340" s="2" t="s">
        <v>58</v>
      </c>
      <c r="H340" s="3">
        <v>30324</v>
      </c>
      <c r="I340" s="2" t="s">
        <v>27</v>
      </c>
      <c r="J340" s="2" t="s">
        <v>28</v>
      </c>
      <c r="K340" s="2" t="s">
        <v>29</v>
      </c>
      <c r="L340" s="2" t="s">
        <v>71</v>
      </c>
      <c r="M340" s="2">
        <v>15</v>
      </c>
      <c r="N340" s="7">
        <v>3500</v>
      </c>
      <c r="O340" s="2">
        <v>10</v>
      </c>
      <c r="P340" s="7">
        <v>47250</v>
      </c>
      <c r="Q340" s="2">
        <v>3</v>
      </c>
      <c r="R340" s="2" t="s">
        <v>31</v>
      </c>
      <c r="S340" s="2" t="s">
        <v>97</v>
      </c>
      <c r="T340" s="2" t="s">
        <v>162</v>
      </c>
      <c r="U340" s="2">
        <v>9229164453</v>
      </c>
      <c r="V340" s="2" t="s">
        <v>52</v>
      </c>
    </row>
    <row r="341" spans="1:22" x14ac:dyDescent="0.3">
      <c r="A341" s="2" t="s">
        <v>477</v>
      </c>
      <c r="B341" s="2" t="s">
        <v>23</v>
      </c>
      <c r="C341" s="2" t="s">
        <v>83</v>
      </c>
      <c r="D341" s="3">
        <v>45866</v>
      </c>
      <c r="E341" s="3">
        <v>45876</v>
      </c>
      <c r="F341" s="2" t="s">
        <v>25</v>
      </c>
      <c r="G341" s="2" t="s">
        <v>26</v>
      </c>
      <c r="H341" s="3">
        <v>30664</v>
      </c>
      <c r="I341" s="2" t="s">
        <v>151</v>
      </c>
      <c r="J341" s="2" t="s">
        <v>152</v>
      </c>
      <c r="K341" s="2" t="s">
        <v>84</v>
      </c>
      <c r="L341" s="2" t="s">
        <v>85</v>
      </c>
      <c r="M341" s="2">
        <v>16</v>
      </c>
      <c r="N341" s="7">
        <v>60</v>
      </c>
      <c r="O341" s="2">
        <v>10</v>
      </c>
      <c r="P341" s="7">
        <v>864</v>
      </c>
      <c r="Q341" s="2">
        <v>4</v>
      </c>
      <c r="R341" s="2" t="s">
        <v>60</v>
      </c>
      <c r="S341" s="2" t="s">
        <v>50</v>
      </c>
      <c r="T341" s="2" t="s">
        <v>43</v>
      </c>
      <c r="U341" s="2">
        <v>9219806176</v>
      </c>
      <c r="V341" s="2" t="s">
        <v>34</v>
      </c>
    </row>
    <row r="342" spans="1:22" x14ac:dyDescent="0.3">
      <c r="A342" s="2" t="s">
        <v>478</v>
      </c>
      <c r="B342" s="2" t="s">
        <v>88</v>
      </c>
      <c r="C342" s="2" t="s">
        <v>141</v>
      </c>
      <c r="D342" s="3">
        <v>45945</v>
      </c>
      <c r="E342" s="3">
        <v>45951</v>
      </c>
      <c r="F342" s="2" t="s">
        <v>119</v>
      </c>
      <c r="G342" s="2" t="s">
        <v>58</v>
      </c>
      <c r="H342" s="3">
        <v>30585</v>
      </c>
      <c r="I342" s="2" t="s">
        <v>37</v>
      </c>
      <c r="J342" s="2" t="s">
        <v>38</v>
      </c>
      <c r="K342" s="2" t="s">
        <v>84</v>
      </c>
      <c r="L342" s="2" t="s">
        <v>142</v>
      </c>
      <c r="M342" s="2">
        <v>2</v>
      </c>
      <c r="N342" s="7">
        <v>45</v>
      </c>
      <c r="O342" s="2">
        <v>15</v>
      </c>
      <c r="P342" s="7">
        <v>76.5</v>
      </c>
      <c r="Q342" s="2">
        <v>1</v>
      </c>
      <c r="R342" s="2" t="s">
        <v>65</v>
      </c>
      <c r="S342" s="2" t="s">
        <v>97</v>
      </c>
      <c r="T342" s="2" t="s">
        <v>90</v>
      </c>
      <c r="U342" s="2">
        <v>9630210250</v>
      </c>
      <c r="V342" s="2" t="s">
        <v>53</v>
      </c>
    </row>
    <row r="343" spans="1:22" x14ac:dyDescent="0.3">
      <c r="A343" s="2" t="s">
        <v>479</v>
      </c>
      <c r="B343" s="2" t="s">
        <v>105</v>
      </c>
      <c r="C343" s="2" t="s">
        <v>83</v>
      </c>
      <c r="D343" s="3">
        <v>45997</v>
      </c>
      <c r="E343" s="3">
        <v>46006</v>
      </c>
      <c r="F343" s="2" t="s">
        <v>170</v>
      </c>
      <c r="G343" s="2" t="s">
        <v>26</v>
      </c>
      <c r="H343" s="3">
        <v>27537</v>
      </c>
      <c r="I343" s="2" t="s">
        <v>37</v>
      </c>
      <c r="J343" s="2" t="s">
        <v>38</v>
      </c>
      <c r="K343" s="2" t="s">
        <v>84</v>
      </c>
      <c r="L343" s="2" t="s">
        <v>85</v>
      </c>
      <c r="M343" s="2">
        <v>13</v>
      </c>
      <c r="N343" s="7">
        <v>60</v>
      </c>
      <c r="O343" s="2">
        <v>15</v>
      </c>
      <c r="P343" s="7">
        <v>663</v>
      </c>
      <c r="Q343" s="2">
        <v>2</v>
      </c>
      <c r="R343" s="2" t="s">
        <v>41</v>
      </c>
      <c r="S343" s="2" t="s">
        <v>50</v>
      </c>
      <c r="T343" s="2" t="s">
        <v>109</v>
      </c>
      <c r="U343" s="2">
        <v>9583354052</v>
      </c>
      <c r="V343" s="2" t="s">
        <v>53</v>
      </c>
    </row>
    <row r="344" spans="1:22" x14ac:dyDescent="0.3">
      <c r="A344" s="2" t="s">
        <v>480</v>
      </c>
      <c r="B344" s="2" t="s">
        <v>63</v>
      </c>
      <c r="C344" s="2" t="s">
        <v>36</v>
      </c>
      <c r="D344" s="3">
        <v>45797</v>
      </c>
      <c r="E344" s="3">
        <v>45799</v>
      </c>
      <c r="F344" s="2" t="s">
        <v>111</v>
      </c>
      <c r="G344" s="2" t="s">
        <v>58</v>
      </c>
      <c r="H344" s="3">
        <v>34647</v>
      </c>
      <c r="I344" s="2" t="s">
        <v>37</v>
      </c>
      <c r="J344" s="2" t="s">
        <v>38</v>
      </c>
      <c r="K344" s="2" t="s">
        <v>39</v>
      </c>
      <c r="L344" s="2" t="s">
        <v>40</v>
      </c>
      <c r="M344" s="2">
        <v>15</v>
      </c>
      <c r="N344" s="7">
        <v>12000</v>
      </c>
      <c r="O344" s="2">
        <v>20</v>
      </c>
      <c r="P344" s="7">
        <v>144000</v>
      </c>
      <c r="Q344" s="2">
        <v>3</v>
      </c>
      <c r="R344" s="2" t="s">
        <v>60</v>
      </c>
      <c r="S344" s="2" t="s">
        <v>32</v>
      </c>
      <c r="T344" s="2" t="s">
        <v>66</v>
      </c>
      <c r="U344" s="2">
        <v>9242534507</v>
      </c>
      <c r="V344" s="2" t="s">
        <v>53</v>
      </c>
    </row>
    <row r="345" spans="1:22" x14ac:dyDescent="0.3">
      <c r="A345" s="2" t="s">
        <v>481</v>
      </c>
      <c r="B345" s="2" t="s">
        <v>160</v>
      </c>
      <c r="C345" s="2" t="s">
        <v>128</v>
      </c>
      <c r="D345" s="3">
        <v>45863</v>
      </c>
      <c r="E345" s="3">
        <v>45871</v>
      </c>
      <c r="F345" s="2" t="s">
        <v>179</v>
      </c>
      <c r="G345" s="2" t="s">
        <v>58</v>
      </c>
      <c r="H345" s="3">
        <v>32128</v>
      </c>
      <c r="I345" s="2" t="s">
        <v>37</v>
      </c>
      <c r="J345" s="2" t="s">
        <v>38</v>
      </c>
      <c r="K345" s="2" t="s">
        <v>84</v>
      </c>
      <c r="L345" s="2" t="s">
        <v>130</v>
      </c>
      <c r="M345" s="2">
        <v>2</v>
      </c>
      <c r="N345" s="7">
        <v>20</v>
      </c>
      <c r="O345" s="2">
        <v>20</v>
      </c>
      <c r="P345" s="7">
        <v>32</v>
      </c>
      <c r="Q345" s="2">
        <v>4</v>
      </c>
      <c r="R345" s="2" t="s">
        <v>31</v>
      </c>
      <c r="S345" s="2" t="s">
        <v>32</v>
      </c>
      <c r="T345" s="2" t="s">
        <v>162</v>
      </c>
      <c r="U345" s="2">
        <v>9291239150</v>
      </c>
      <c r="V345" s="2" t="s">
        <v>52</v>
      </c>
    </row>
    <row r="346" spans="1:22" x14ac:dyDescent="0.3">
      <c r="A346" s="2" t="s">
        <v>482</v>
      </c>
      <c r="B346" s="2" t="s">
        <v>88</v>
      </c>
      <c r="C346" s="2" t="s">
        <v>68</v>
      </c>
      <c r="D346" s="3">
        <v>45874</v>
      </c>
      <c r="E346" s="3">
        <v>45886</v>
      </c>
      <c r="F346" s="2" t="s">
        <v>119</v>
      </c>
      <c r="G346" s="2" t="s">
        <v>58</v>
      </c>
      <c r="H346" s="3">
        <v>27564</v>
      </c>
      <c r="I346" s="2" t="s">
        <v>48</v>
      </c>
      <c r="J346" s="2" t="s">
        <v>28</v>
      </c>
      <c r="K346" s="2" t="s">
        <v>29</v>
      </c>
      <c r="L346" s="2" t="s">
        <v>71</v>
      </c>
      <c r="M346" s="2">
        <v>16</v>
      </c>
      <c r="N346" s="7">
        <v>3500</v>
      </c>
      <c r="O346" s="2">
        <v>0</v>
      </c>
      <c r="P346" s="7">
        <v>56000</v>
      </c>
      <c r="Q346" s="2">
        <v>4</v>
      </c>
      <c r="R346" s="2" t="s">
        <v>31</v>
      </c>
      <c r="S346" s="2" t="s">
        <v>81</v>
      </c>
      <c r="T346" s="2" t="s">
        <v>90</v>
      </c>
      <c r="U346" s="2">
        <v>9550820904</v>
      </c>
      <c r="V346" s="2" t="s">
        <v>34</v>
      </c>
    </row>
    <row r="347" spans="1:22" x14ac:dyDescent="0.3">
      <c r="A347" s="2" t="s">
        <v>483</v>
      </c>
      <c r="B347" s="2" t="s">
        <v>45</v>
      </c>
      <c r="C347" s="2" t="s">
        <v>68</v>
      </c>
      <c r="D347" s="3">
        <v>46071</v>
      </c>
      <c r="E347" s="3">
        <v>46078</v>
      </c>
      <c r="F347" s="2" t="s">
        <v>102</v>
      </c>
      <c r="G347" s="2" t="s">
        <v>26</v>
      </c>
      <c r="H347" s="3">
        <v>28134</v>
      </c>
      <c r="I347" s="2" t="s">
        <v>92</v>
      </c>
      <c r="J347" s="2" t="s">
        <v>76</v>
      </c>
      <c r="K347" s="2" t="s">
        <v>29</v>
      </c>
      <c r="L347" s="2" t="s">
        <v>71</v>
      </c>
      <c r="M347" s="2">
        <v>18</v>
      </c>
      <c r="N347" s="7">
        <v>3500</v>
      </c>
      <c r="O347" s="2">
        <v>15</v>
      </c>
      <c r="P347" s="7">
        <v>53550</v>
      </c>
      <c r="Q347" s="2">
        <v>5</v>
      </c>
      <c r="R347" s="2" t="s">
        <v>31</v>
      </c>
      <c r="S347" s="2" t="s">
        <v>97</v>
      </c>
      <c r="T347" s="2" t="s">
        <v>51</v>
      </c>
      <c r="U347" s="2">
        <v>9294486423</v>
      </c>
      <c r="V347" s="2" t="s">
        <v>53</v>
      </c>
    </row>
    <row r="348" spans="1:22" x14ac:dyDescent="0.3">
      <c r="A348" s="2" t="s">
        <v>484</v>
      </c>
      <c r="B348" s="2" t="s">
        <v>23</v>
      </c>
      <c r="C348" s="2" t="s">
        <v>141</v>
      </c>
      <c r="D348" s="3">
        <v>46102</v>
      </c>
      <c r="E348" s="3">
        <v>46107</v>
      </c>
      <c r="F348" s="2" t="s">
        <v>25</v>
      </c>
      <c r="G348" s="2" t="s">
        <v>26</v>
      </c>
      <c r="H348" s="3">
        <v>34232</v>
      </c>
      <c r="I348" s="2" t="s">
        <v>92</v>
      </c>
      <c r="J348" s="2" t="s">
        <v>76</v>
      </c>
      <c r="K348" s="2" t="s">
        <v>84</v>
      </c>
      <c r="L348" s="2" t="s">
        <v>142</v>
      </c>
      <c r="M348" s="2">
        <v>20</v>
      </c>
      <c r="N348" s="7">
        <v>45</v>
      </c>
      <c r="O348" s="2">
        <v>15</v>
      </c>
      <c r="P348" s="7">
        <v>765</v>
      </c>
      <c r="Q348" s="2">
        <v>4</v>
      </c>
      <c r="R348" s="2" t="s">
        <v>31</v>
      </c>
      <c r="S348" s="2" t="s">
        <v>97</v>
      </c>
      <c r="T348" s="2" t="s">
        <v>43</v>
      </c>
      <c r="U348" s="2">
        <v>9260258621</v>
      </c>
      <c r="V348" s="2" t="s">
        <v>53</v>
      </c>
    </row>
    <row r="349" spans="1:22" x14ac:dyDescent="0.3">
      <c r="A349" s="2" t="s">
        <v>485</v>
      </c>
      <c r="B349" s="2" t="s">
        <v>137</v>
      </c>
      <c r="C349" s="2" t="s">
        <v>24</v>
      </c>
      <c r="D349" s="3">
        <v>46128</v>
      </c>
      <c r="E349" s="3">
        <v>46131</v>
      </c>
      <c r="F349" s="2" t="s">
        <v>138</v>
      </c>
      <c r="G349" s="2" t="s">
        <v>26</v>
      </c>
      <c r="H349" s="3">
        <v>35494</v>
      </c>
      <c r="I349" s="2" t="s">
        <v>37</v>
      </c>
      <c r="J349" s="2" t="s">
        <v>38</v>
      </c>
      <c r="K349" s="2" t="s">
        <v>29</v>
      </c>
      <c r="L349" s="2" t="s">
        <v>30</v>
      </c>
      <c r="M349" s="2">
        <v>13</v>
      </c>
      <c r="N349" s="7">
        <v>2200</v>
      </c>
      <c r="O349" s="2">
        <v>15</v>
      </c>
      <c r="P349" s="7">
        <v>24310</v>
      </c>
      <c r="Q349" s="2">
        <v>2</v>
      </c>
      <c r="R349" s="2" t="s">
        <v>41</v>
      </c>
      <c r="S349" s="2" t="s">
        <v>81</v>
      </c>
      <c r="T349" s="2" t="s">
        <v>139</v>
      </c>
      <c r="U349" s="2">
        <v>9697433584</v>
      </c>
      <c r="V349" s="2" t="s">
        <v>52</v>
      </c>
    </row>
    <row r="350" spans="1:22" x14ac:dyDescent="0.3">
      <c r="A350" s="2" t="s">
        <v>486</v>
      </c>
      <c r="B350" s="2" t="s">
        <v>45</v>
      </c>
      <c r="C350" s="2" t="s">
        <v>487</v>
      </c>
      <c r="D350" s="3">
        <v>45943</v>
      </c>
      <c r="E350" s="3">
        <v>45944</v>
      </c>
      <c r="F350" s="2" t="s">
        <v>102</v>
      </c>
      <c r="G350" s="2" t="s">
        <v>26</v>
      </c>
      <c r="H350" s="3">
        <v>37447</v>
      </c>
      <c r="I350" s="2" t="s">
        <v>151</v>
      </c>
      <c r="J350" s="2" t="s">
        <v>152</v>
      </c>
      <c r="K350" s="2" t="s">
        <v>29</v>
      </c>
      <c r="L350" s="2" t="s">
        <v>108</v>
      </c>
      <c r="M350" s="2">
        <v>11</v>
      </c>
      <c r="N350" s="7">
        <v>8500</v>
      </c>
      <c r="O350" s="2">
        <v>5</v>
      </c>
      <c r="P350" s="7">
        <v>88825</v>
      </c>
      <c r="Q350" s="2">
        <v>1</v>
      </c>
      <c r="R350" s="2" t="s">
        <v>65</v>
      </c>
      <c r="S350" s="2" t="s">
        <v>81</v>
      </c>
      <c r="T350" s="2" t="s">
        <v>51</v>
      </c>
      <c r="U350" s="2">
        <v>9837969758</v>
      </c>
      <c r="V350" s="2" t="s">
        <v>53</v>
      </c>
    </row>
    <row r="351" spans="1:22" x14ac:dyDescent="0.3">
      <c r="A351" s="2" t="s">
        <v>488</v>
      </c>
      <c r="B351" s="2" t="s">
        <v>45</v>
      </c>
      <c r="C351" s="2" t="s">
        <v>24</v>
      </c>
      <c r="D351" s="3">
        <v>45996</v>
      </c>
      <c r="E351" s="3">
        <v>46001</v>
      </c>
      <c r="F351" s="2" t="s">
        <v>102</v>
      </c>
      <c r="G351" s="2" t="s">
        <v>26</v>
      </c>
      <c r="H351" s="3">
        <v>30790</v>
      </c>
      <c r="I351" s="2" t="s">
        <v>123</v>
      </c>
      <c r="J351" s="2" t="s">
        <v>38</v>
      </c>
      <c r="K351" s="2" t="s">
        <v>29</v>
      </c>
      <c r="L351" s="2" t="s">
        <v>30</v>
      </c>
      <c r="M351" s="2">
        <v>2</v>
      </c>
      <c r="N351" s="7">
        <v>2200</v>
      </c>
      <c r="O351" s="2">
        <v>0</v>
      </c>
      <c r="P351" s="7">
        <v>4400</v>
      </c>
      <c r="Q351" s="2">
        <v>4</v>
      </c>
      <c r="R351" s="2" t="s">
        <v>65</v>
      </c>
      <c r="S351" s="2" t="s">
        <v>97</v>
      </c>
      <c r="T351" s="2" t="s">
        <v>51</v>
      </c>
      <c r="U351" s="2">
        <v>9209736419</v>
      </c>
      <c r="V351" s="2" t="s">
        <v>52</v>
      </c>
    </row>
    <row r="352" spans="1:22" x14ac:dyDescent="0.3">
      <c r="A352" s="2" t="s">
        <v>489</v>
      </c>
      <c r="B352" s="2" t="s">
        <v>63</v>
      </c>
      <c r="C352" s="2" t="s">
        <v>113</v>
      </c>
      <c r="D352" s="3">
        <v>45868</v>
      </c>
      <c r="E352" s="3">
        <v>45873</v>
      </c>
      <c r="F352" s="2" t="s">
        <v>111</v>
      </c>
      <c r="G352" s="2" t="s">
        <v>58</v>
      </c>
      <c r="H352" s="3">
        <v>37803</v>
      </c>
      <c r="I352" s="2" t="s">
        <v>75</v>
      </c>
      <c r="J352" s="2" t="s">
        <v>76</v>
      </c>
      <c r="K352" s="2" t="s">
        <v>39</v>
      </c>
      <c r="L352" s="2" t="s">
        <v>115</v>
      </c>
      <c r="M352" s="2">
        <v>15</v>
      </c>
      <c r="N352" s="7">
        <v>700</v>
      </c>
      <c r="O352" s="2">
        <v>15</v>
      </c>
      <c r="P352" s="7">
        <v>8925</v>
      </c>
      <c r="Q352" s="2">
        <v>3</v>
      </c>
      <c r="R352" s="2" t="s">
        <v>41</v>
      </c>
      <c r="S352" s="2" t="s">
        <v>81</v>
      </c>
      <c r="T352" s="2" t="s">
        <v>66</v>
      </c>
      <c r="U352" s="2">
        <v>9645907237</v>
      </c>
      <c r="V352" s="2" t="s">
        <v>34</v>
      </c>
    </row>
    <row r="353" spans="1:22" x14ac:dyDescent="0.3">
      <c r="A353" s="2" t="s">
        <v>490</v>
      </c>
      <c r="B353" s="2" t="s">
        <v>88</v>
      </c>
      <c r="C353" s="2" t="s">
        <v>24</v>
      </c>
      <c r="D353" s="3">
        <v>45856</v>
      </c>
      <c r="E353" s="3">
        <v>45862</v>
      </c>
      <c r="F353" s="2" t="s">
        <v>119</v>
      </c>
      <c r="G353" s="2" t="s">
        <v>58</v>
      </c>
      <c r="H353" s="3">
        <v>33902</v>
      </c>
      <c r="I353" s="2" t="s">
        <v>92</v>
      </c>
      <c r="J353" s="2" t="s">
        <v>76</v>
      </c>
      <c r="K353" s="2" t="s">
        <v>29</v>
      </c>
      <c r="L353" s="2" t="s">
        <v>30</v>
      </c>
      <c r="M353" s="2">
        <v>5</v>
      </c>
      <c r="N353" s="7">
        <v>2200</v>
      </c>
      <c r="O353" s="2">
        <v>15</v>
      </c>
      <c r="P353" s="7">
        <v>9350</v>
      </c>
      <c r="Q353" s="2">
        <v>1</v>
      </c>
      <c r="R353" s="2" t="s">
        <v>41</v>
      </c>
      <c r="S353" s="2" t="s">
        <v>81</v>
      </c>
      <c r="T353" s="2" t="s">
        <v>90</v>
      </c>
      <c r="U353" s="2">
        <v>9566149945</v>
      </c>
      <c r="V353" s="2" t="s">
        <v>52</v>
      </c>
    </row>
    <row r="354" spans="1:22" x14ac:dyDescent="0.3">
      <c r="A354" s="2" t="s">
        <v>491</v>
      </c>
      <c r="B354" s="2" t="s">
        <v>63</v>
      </c>
      <c r="C354" s="2" t="s">
        <v>56</v>
      </c>
      <c r="D354" s="3">
        <v>46092</v>
      </c>
      <c r="E354" s="3">
        <v>46093</v>
      </c>
      <c r="F354" s="2" t="s">
        <v>111</v>
      </c>
      <c r="G354" s="2" t="s">
        <v>58</v>
      </c>
      <c r="H354" s="3">
        <v>32360</v>
      </c>
      <c r="I354" s="2" t="s">
        <v>92</v>
      </c>
      <c r="J354" s="2" t="s">
        <v>76</v>
      </c>
      <c r="K354" s="2" t="s">
        <v>39</v>
      </c>
      <c r="L354" s="2" t="s">
        <v>59</v>
      </c>
      <c r="M354" s="2">
        <v>15</v>
      </c>
      <c r="N354" s="7">
        <v>1200</v>
      </c>
      <c r="O354" s="2">
        <v>0</v>
      </c>
      <c r="P354" s="7">
        <v>18000</v>
      </c>
      <c r="Q354" s="2">
        <v>3</v>
      </c>
      <c r="R354" s="2" t="s">
        <v>41</v>
      </c>
      <c r="S354" s="2" t="s">
        <v>50</v>
      </c>
      <c r="T354" s="2" t="s">
        <v>66</v>
      </c>
      <c r="U354" s="2">
        <v>9935018068</v>
      </c>
      <c r="V354" s="2" t="s">
        <v>53</v>
      </c>
    </row>
    <row r="355" spans="1:22" x14ac:dyDescent="0.3">
      <c r="A355" s="2" t="s">
        <v>492</v>
      </c>
      <c r="B355" s="2" t="s">
        <v>137</v>
      </c>
      <c r="C355" s="2" t="s">
        <v>56</v>
      </c>
      <c r="D355" s="3">
        <v>46120</v>
      </c>
      <c r="E355" s="3">
        <v>46122</v>
      </c>
      <c r="F355" s="2" t="s">
        <v>138</v>
      </c>
      <c r="G355" s="2" t="s">
        <v>26</v>
      </c>
      <c r="H355" s="3">
        <v>31952</v>
      </c>
      <c r="I355" s="2" t="s">
        <v>75</v>
      </c>
      <c r="J355" s="2" t="s">
        <v>76</v>
      </c>
      <c r="K355" s="2" t="s">
        <v>39</v>
      </c>
      <c r="L355" s="2" t="s">
        <v>59</v>
      </c>
      <c r="M355" s="2">
        <v>19</v>
      </c>
      <c r="N355" s="7">
        <v>1200</v>
      </c>
      <c r="O355" s="2">
        <v>0</v>
      </c>
      <c r="P355" s="7">
        <v>22800</v>
      </c>
      <c r="Q355" s="2">
        <v>1</v>
      </c>
      <c r="R355" s="2" t="s">
        <v>31</v>
      </c>
      <c r="S355" s="2" t="s">
        <v>42</v>
      </c>
      <c r="T355" s="2" t="s">
        <v>139</v>
      </c>
      <c r="U355" s="2">
        <v>9171794652</v>
      </c>
      <c r="V355" s="2" t="s">
        <v>53</v>
      </c>
    </row>
    <row r="356" spans="1:22" x14ac:dyDescent="0.3">
      <c r="A356" s="2" t="s">
        <v>493</v>
      </c>
      <c r="B356" s="2" t="s">
        <v>105</v>
      </c>
      <c r="C356" s="2" t="s">
        <v>36</v>
      </c>
      <c r="D356" s="3">
        <v>45918</v>
      </c>
      <c r="E356" s="3">
        <v>45925</v>
      </c>
      <c r="F356" s="2" t="s">
        <v>170</v>
      </c>
      <c r="G356" s="2" t="s">
        <v>26</v>
      </c>
      <c r="H356" s="3">
        <v>32800</v>
      </c>
      <c r="I356" s="2" t="s">
        <v>75</v>
      </c>
      <c r="J356" s="2" t="s">
        <v>76</v>
      </c>
      <c r="K356" s="2" t="s">
        <v>39</v>
      </c>
      <c r="L356" s="2" t="s">
        <v>40</v>
      </c>
      <c r="M356" s="2">
        <v>9</v>
      </c>
      <c r="N356" s="7">
        <v>12000</v>
      </c>
      <c r="O356" s="2">
        <v>15</v>
      </c>
      <c r="P356" s="7">
        <v>91800</v>
      </c>
      <c r="Q356" s="2">
        <v>3</v>
      </c>
      <c r="R356" s="2" t="s">
        <v>65</v>
      </c>
      <c r="S356" s="2" t="s">
        <v>42</v>
      </c>
      <c r="T356" s="2" t="s">
        <v>109</v>
      </c>
      <c r="U356" s="2">
        <v>9671497416</v>
      </c>
      <c r="V356" s="2" t="s">
        <v>53</v>
      </c>
    </row>
    <row r="357" spans="1:22" x14ac:dyDescent="0.3">
      <c r="A357" s="2" t="s">
        <v>494</v>
      </c>
      <c r="B357" s="2" t="s">
        <v>23</v>
      </c>
      <c r="C357" s="2" t="s">
        <v>141</v>
      </c>
      <c r="D357" s="3">
        <v>45941</v>
      </c>
      <c r="E357" s="3">
        <v>45951</v>
      </c>
      <c r="F357" s="2" t="s">
        <v>25</v>
      </c>
      <c r="G357" s="2" t="s">
        <v>26</v>
      </c>
      <c r="H357" s="3">
        <v>33746</v>
      </c>
      <c r="I357" s="2" t="s">
        <v>123</v>
      </c>
      <c r="J357" s="2" t="s">
        <v>38</v>
      </c>
      <c r="K357" s="2" t="s">
        <v>84</v>
      </c>
      <c r="L357" s="2" t="s">
        <v>142</v>
      </c>
      <c r="M357" s="2">
        <v>5</v>
      </c>
      <c r="N357" s="7">
        <v>45</v>
      </c>
      <c r="O357" s="2">
        <v>5</v>
      </c>
      <c r="P357" s="7">
        <v>213.75</v>
      </c>
      <c r="Q357" s="2">
        <v>1</v>
      </c>
      <c r="R357" s="2" t="s">
        <v>60</v>
      </c>
      <c r="S357" s="2" t="s">
        <v>81</v>
      </c>
      <c r="T357" s="2" t="s">
        <v>43</v>
      </c>
      <c r="U357" s="2">
        <v>9810433484</v>
      </c>
      <c r="V357" s="2" t="s">
        <v>34</v>
      </c>
    </row>
    <row r="358" spans="1:22" x14ac:dyDescent="0.3">
      <c r="A358" s="2" t="s">
        <v>495</v>
      </c>
      <c r="B358" s="2" t="s">
        <v>137</v>
      </c>
      <c r="C358" s="2" t="s">
        <v>113</v>
      </c>
      <c r="D358" s="3" t="s">
        <v>496</v>
      </c>
      <c r="E358" s="3">
        <v>45699</v>
      </c>
      <c r="F358" s="2" t="s">
        <v>138</v>
      </c>
      <c r="G358" s="2" t="s">
        <v>26</v>
      </c>
      <c r="H358" s="3">
        <v>32822</v>
      </c>
      <c r="I358" s="2" t="s">
        <v>75</v>
      </c>
      <c r="J358" s="2" t="s">
        <v>76</v>
      </c>
      <c r="K358" s="2" t="s">
        <v>39</v>
      </c>
      <c r="L358" s="2" t="s">
        <v>115</v>
      </c>
      <c r="M358" s="2">
        <v>3</v>
      </c>
      <c r="N358" s="7">
        <v>700</v>
      </c>
      <c r="O358" s="2">
        <v>15</v>
      </c>
      <c r="P358" s="7">
        <v>1785</v>
      </c>
      <c r="Q358" s="2">
        <v>4</v>
      </c>
      <c r="R358" s="2" t="s">
        <v>31</v>
      </c>
      <c r="S358" s="2" t="s">
        <v>97</v>
      </c>
      <c r="T358" s="2" t="s">
        <v>139</v>
      </c>
      <c r="U358" s="2">
        <v>9990243436</v>
      </c>
      <c r="V358" s="2" t="s">
        <v>34</v>
      </c>
    </row>
    <row r="359" spans="1:22" x14ac:dyDescent="0.3">
      <c r="A359" s="2" t="s">
        <v>497</v>
      </c>
      <c r="B359" s="2" t="s">
        <v>55</v>
      </c>
      <c r="C359" s="2" t="s">
        <v>106</v>
      </c>
      <c r="D359" s="3">
        <v>46005</v>
      </c>
      <c r="E359" s="3">
        <v>46017</v>
      </c>
      <c r="F359" s="2" t="s">
        <v>125</v>
      </c>
      <c r="G359" s="2" t="s">
        <v>58</v>
      </c>
      <c r="H359" s="3">
        <v>29467</v>
      </c>
      <c r="I359" s="2" t="s">
        <v>123</v>
      </c>
      <c r="J359" s="2" t="s">
        <v>38</v>
      </c>
      <c r="K359" s="2" t="s">
        <v>29</v>
      </c>
      <c r="L359" s="2" t="s">
        <v>108</v>
      </c>
      <c r="M359" s="2">
        <v>12</v>
      </c>
      <c r="N359" s="7">
        <v>8500</v>
      </c>
      <c r="O359" s="2">
        <v>5</v>
      </c>
      <c r="P359" s="7">
        <v>96900</v>
      </c>
      <c r="Q359" s="2">
        <v>3</v>
      </c>
      <c r="R359" s="2" t="s">
        <v>60</v>
      </c>
      <c r="S359" s="2" t="s">
        <v>50</v>
      </c>
      <c r="T359" s="2" t="s">
        <v>61</v>
      </c>
      <c r="U359" s="2">
        <v>9396678031</v>
      </c>
      <c r="V359" s="2" t="s">
        <v>52</v>
      </c>
    </row>
    <row r="360" spans="1:22" x14ac:dyDescent="0.3">
      <c r="A360" s="2" t="s">
        <v>498</v>
      </c>
      <c r="B360" s="2" t="s">
        <v>137</v>
      </c>
      <c r="C360" s="2" t="s">
        <v>106</v>
      </c>
      <c r="D360" s="3">
        <v>46123</v>
      </c>
      <c r="E360" s="3">
        <v>46131</v>
      </c>
      <c r="F360" s="2" t="s">
        <v>138</v>
      </c>
      <c r="G360" s="2" t="s">
        <v>26</v>
      </c>
      <c r="H360" s="3">
        <v>28920</v>
      </c>
      <c r="I360" s="2" t="s">
        <v>80</v>
      </c>
      <c r="J360" s="2" t="s">
        <v>76</v>
      </c>
      <c r="K360" s="2" t="s">
        <v>29</v>
      </c>
      <c r="L360" s="2" t="s">
        <v>108</v>
      </c>
      <c r="M360" s="2">
        <v>4</v>
      </c>
      <c r="N360" s="7">
        <v>8500</v>
      </c>
      <c r="O360" s="2">
        <v>15</v>
      </c>
      <c r="P360" s="7">
        <v>28900</v>
      </c>
      <c r="Q360" s="2">
        <v>4</v>
      </c>
      <c r="R360" s="2" t="s">
        <v>41</v>
      </c>
      <c r="S360" s="2" t="s">
        <v>50</v>
      </c>
      <c r="T360" s="2" t="s">
        <v>139</v>
      </c>
      <c r="U360" s="2">
        <v>9818591245</v>
      </c>
      <c r="V360" s="2" t="s">
        <v>52</v>
      </c>
    </row>
    <row r="361" spans="1:22" x14ac:dyDescent="0.3">
      <c r="A361" s="2" t="s">
        <v>499</v>
      </c>
      <c r="B361" s="2" t="s">
        <v>88</v>
      </c>
      <c r="C361" s="2" t="s">
        <v>128</v>
      </c>
      <c r="D361" s="3">
        <v>45766</v>
      </c>
      <c r="E361" s="3">
        <v>45769</v>
      </c>
      <c r="F361" s="2" t="s">
        <v>119</v>
      </c>
      <c r="G361" s="2" t="s">
        <v>58</v>
      </c>
      <c r="H361" s="3">
        <v>35312</v>
      </c>
      <c r="I361" s="2" t="s">
        <v>123</v>
      </c>
      <c r="J361" s="2" t="s">
        <v>38</v>
      </c>
      <c r="K361" s="2" t="s">
        <v>84</v>
      </c>
      <c r="L361" s="2" t="s">
        <v>130</v>
      </c>
      <c r="M361" s="2">
        <v>16</v>
      </c>
      <c r="N361" s="7">
        <v>20</v>
      </c>
      <c r="O361" s="2">
        <v>10</v>
      </c>
      <c r="P361" s="7">
        <v>288</v>
      </c>
      <c r="Q361" s="2">
        <v>4</v>
      </c>
      <c r="R361" s="2" t="s">
        <v>31</v>
      </c>
      <c r="S361" s="2" t="s">
        <v>81</v>
      </c>
      <c r="T361" s="2" t="s">
        <v>90</v>
      </c>
      <c r="U361" s="2">
        <v>9505550047</v>
      </c>
      <c r="V361" s="2" t="s">
        <v>53</v>
      </c>
    </row>
    <row r="362" spans="1:22" x14ac:dyDescent="0.3">
      <c r="A362" s="2" t="s">
        <v>500</v>
      </c>
      <c r="B362" s="2" t="s">
        <v>88</v>
      </c>
      <c r="C362" s="2" t="s">
        <v>83</v>
      </c>
      <c r="D362" s="3">
        <v>46152</v>
      </c>
      <c r="E362" s="3">
        <v>46160</v>
      </c>
      <c r="F362" s="2" t="s">
        <v>119</v>
      </c>
      <c r="G362" s="2" t="s">
        <v>58</v>
      </c>
      <c r="H362" s="3">
        <v>36233</v>
      </c>
      <c r="I362" s="2" t="s">
        <v>75</v>
      </c>
      <c r="J362" s="2" t="s">
        <v>76</v>
      </c>
      <c r="K362" s="2" t="s">
        <v>84</v>
      </c>
      <c r="L362" s="2" t="s">
        <v>85</v>
      </c>
      <c r="M362" s="2">
        <v>3</v>
      </c>
      <c r="N362" s="7">
        <v>60</v>
      </c>
      <c r="O362" s="2">
        <v>20</v>
      </c>
      <c r="P362" s="7">
        <v>144</v>
      </c>
      <c r="Q362" s="2">
        <v>4</v>
      </c>
      <c r="R362" s="2" t="s">
        <v>65</v>
      </c>
      <c r="S362" s="2" t="s">
        <v>97</v>
      </c>
      <c r="T362" s="2" t="s">
        <v>90</v>
      </c>
      <c r="U362" s="2">
        <v>9469828772</v>
      </c>
      <c r="V362" s="2" t="s">
        <v>52</v>
      </c>
    </row>
    <row r="363" spans="1:22" x14ac:dyDescent="0.3">
      <c r="A363" s="2" t="s">
        <v>501</v>
      </c>
      <c r="B363" s="2" t="s">
        <v>55</v>
      </c>
      <c r="C363" s="2" t="s">
        <v>24</v>
      </c>
      <c r="D363" s="3">
        <v>45858</v>
      </c>
      <c r="E363" s="3">
        <v>45864</v>
      </c>
      <c r="F363" s="2" t="s">
        <v>125</v>
      </c>
      <c r="G363" s="2" t="s">
        <v>58</v>
      </c>
      <c r="H363" s="3">
        <v>30958</v>
      </c>
      <c r="I363" s="2" t="s">
        <v>75</v>
      </c>
      <c r="J363" s="2" t="s">
        <v>76</v>
      </c>
      <c r="K363" s="2" t="s">
        <v>29</v>
      </c>
      <c r="L363" s="2" t="s">
        <v>30</v>
      </c>
      <c r="M363" s="2">
        <v>19</v>
      </c>
      <c r="N363" s="7">
        <v>2200</v>
      </c>
      <c r="O363" s="2">
        <v>10</v>
      </c>
      <c r="P363" s="7">
        <v>37620</v>
      </c>
      <c r="Q363" s="2">
        <v>2</v>
      </c>
      <c r="R363" s="2" t="s">
        <v>31</v>
      </c>
      <c r="S363" s="2" t="s">
        <v>97</v>
      </c>
      <c r="T363" s="2" t="s">
        <v>61</v>
      </c>
      <c r="U363" s="2">
        <v>9885092680</v>
      </c>
      <c r="V363" s="2" t="s">
        <v>52</v>
      </c>
    </row>
    <row r="364" spans="1:22" x14ac:dyDescent="0.3">
      <c r="A364" s="2" t="s">
        <v>502</v>
      </c>
      <c r="B364" s="2" t="s">
        <v>55</v>
      </c>
      <c r="C364" s="2" t="s">
        <v>56</v>
      </c>
      <c r="D364" s="3">
        <v>46045</v>
      </c>
      <c r="E364" s="3">
        <v>46049</v>
      </c>
      <c r="F364" s="2" t="s">
        <v>125</v>
      </c>
      <c r="G364" s="2" t="s">
        <v>58</v>
      </c>
      <c r="H364" s="3">
        <v>30872</v>
      </c>
      <c r="I364" s="2" t="s">
        <v>27</v>
      </c>
      <c r="J364" s="2" t="s">
        <v>28</v>
      </c>
      <c r="K364" s="2" t="s">
        <v>39</v>
      </c>
      <c r="L364" s="2" t="s">
        <v>59</v>
      </c>
      <c r="M364" s="2">
        <v>7</v>
      </c>
      <c r="N364" s="7">
        <v>1200</v>
      </c>
      <c r="O364" s="2">
        <v>20</v>
      </c>
      <c r="P364" s="7">
        <v>6720</v>
      </c>
      <c r="Q364" s="2">
        <v>3</v>
      </c>
      <c r="R364" s="2" t="s">
        <v>60</v>
      </c>
      <c r="S364" s="2" t="s">
        <v>81</v>
      </c>
      <c r="T364" s="2" t="s">
        <v>61</v>
      </c>
      <c r="U364" s="2">
        <v>9362319457</v>
      </c>
      <c r="V364" s="2" t="s">
        <v>53</v>
      </c>
    </row>
    <row r="365" spans="1:22" x14ac:dyDescent="0.3">
      <c r="A365" s="2" t="s">
        <v>503</v>
      </c>
      <c r="B365" s="2" t="s">
        <v>45</v>
      </c>
      <c r="C365" s="2" t="s">
        <v>128</v>
      </c>
      <c r="D365" s="3">
        <v>46097</v>
      </c>
      <c r="E365" s="3">
        <v>46102</v>
      </c>
      <c r="F365" s="2" t="s">
        <v>102</v>
      </c>
      <c r="G365" s="2" t="s">
        <v>26</v>
      </c>
      <c r="H365" s="3">
        <v>32577</v>
      </c>
      <c r="I365" s="2" t="s">
        <v>48</v>
      </c>
      <c r="J365" s="2" t="s">
        <v>28</v>
      </c>
      <c r="K365" s="2" t="s">
        <v>84</v>
      </c>
      <c r="L365" s="2" t="s">
        <v>130</v>
      </c>
      <c r="M365" s="2">
        <v>20</v>
      </c>
      <c r="N365" s="7">
        <v>20</v>
      </c>
      <c r="O365" s="2">
        <v>20</v>
      </c>
      <c r="P365" s="7">
        <v>320</v>
      </c>
      <c r="Q365" s="2">
        <v>5</v>
      </c>
      <c r="R365" s="2" t="s">
        <v>60</v>
      </c>
      <c r="S365" s="2" t="s">
        <v>81</v>
      </c>
      <c r="T365" s="2" t="s">
        <v>51</v>
      </c>
      <c r="U365" s="2">
        <v>9223945130</v>
      </c>
      <c r="V365" s="2" t="s">
        <v>52</v>
      </c>
    </row>
    <row r="366" spans="1:22" x14ac:dyDescent="0.3">
      <c r="A366" s="2" t="s">
        <v>504</v>
      </c>
      <c r="B366" s="2" t="s">
        <v>73</v>
      </c>
      <c r="C366" s="2" t="s">
        <v>56</v>
      </c>
      <c r="D366" s="3">
        <v>45777</v>
      </c>
      <c r="E366" s="3">
        <v>45784</v>
      </c>
      <c r="F366" s="2" t="s">
        <v>74</v>
      </c>
      <c r="G366" s="2" t="s">
        <v>26</v>
      </c>
      <c r="H366" s="3">
        <v>31156</v>
      </c>
      <c r="I366" s="2" t="s">
        <v>27</v>
      </c>
      <c r="J366" s="2" t="s">
        <v>28</v>
      </c>
      <c r="K366" s="2" t="s">
        <v>39</v>
      </c>
      <c r="L366" s="2" t="s">
        <v>59</v>
      </c>
      <c r="M366" s="2">
        <v>19</v>
      </c>
      <c r="N366" s="7">
        <v>1200</v>
      </c>
      <c r="O366" s="2">
        <v>5</v>
      </c>
      <c r="P366" s="7">
        <v>21660</v>
      </c>
      <c r="Q366" s="2">
        <v>3</v>
      </c>
      <c r="R366" s="2" t="s">
        <v>60</v>
      </c>
      <c r="S366" s="2" t="s">
        <v>32</v>
      </c>
      <c r="T366" s="2" t="s">
        <v>94</v>
      </c>
      <c r="U366" s="2">
        <v>9910804926</v>
      </c>
      <c r="V366" s="2" t="s">
        <v>52</v>
      </c>
    </row>
    <row r="367" spans="1:22" x14ac:dyDescent="0.3">
      <c r="A367" s="2" t="s">
        <v>505</v>
      </c>
      <c r="B367" s="2" t="s">
        <v>45</v>
      </c>
      <c r="C367" s="2" t="s">
        <v>128</v>
      </c>
      <c r="D367" s="3">
        <v>45691</v>
      </c>
      <c r="E367" s="3">
        <v>45701</v>
      </c>
      <c r="F367" s="2" t="s">
        <v>102</v>
      </c>
      <c r="G367" s="2" t="s">
        <v>26</v>
      </c>
      <c r="H367" s="3">
        <v>37846</v>
      </c>
      <c r="I367" s="2" t="s">
        <v>27</v>
      </c>
      <c r="J367" s="2" t="s">
        <v>28</v>
      </c>
      <c r="K367" s="2" t="s">
        <v>84</v>
      </c>
      <c r="L367" s="2" t="s">
        <v>130</v>
      </c>
      <c r="M367" s="2">
        <v>5</v>
      </c>
      <c r="N367" s="7">
        <v>20</v>
      </c>
      <c r="O367" s="2">
        <v>0</v>
      </c>
      <c r="P367" s="7">
        <v>100</v>
      </c>
      <c r="Q367" s="2">
        <v>2</v>
      </c>
      <c r="R367" s="2" t="s">
        <v>65</v>
      </c>
      <c r="S367" s="2" t="s">
        <v>42</v>
      </c>
      <c r="T367" s="2" t="s">
        <v>51</v>
      </c>
      <c r="U367" s="2">
        <v>9274269744</v>
      </c>
      <c r="V367" s="2" t="s">
        <v>52</v>
      </c>
    </row>
    <row r="368" spans="1:22" x14ac:dyDescent="0.3">
      <c r="A368" s="2" t="s">
        <v>506</v>
      </c>
      <c r="B368" s="2" t="s">
        <v>73</v>
      </c>
      <c r="C368" s="2" t="s">
        <v>141</v>
      </c>
      <c r="D368" s="3">
        <v>46088</v>
      </c>
      <c r="E368" s="3">
        <v>46097</v>
      </c>
      <c r="F368" s="2" t="s">
        <v>74</v>
      </c>
      <c r="G368" s="2" t="s">
        <v>26</v>
      </c>
      <c r="H368" s="3">
        <v>30570</v>
      </c>
      <c r="I368" s="2" t="s">
        <v>123</v>
      </c>
      <c r="J368" s="2" t="s">
        <v>38</v>
      </c>
      <c r="K368" s="2" t="s">
        <v>84</v>
      </c>
      <c r="L368" s="2" t="s">
        <v>142</v>
      </c>
      <c r="M368" s="2">
        <v>16</v>
      </c>
      <c r="N368" s="7">
        <v>45</v>
      </c>
      <c r="O368" s="2">
        <v>15</v>
      </c>
      <c r="P368" s="7">
        <v>612</v>
      </c>
      <c r="Q368" s="2">
        <v>5</v>
      </c>
      <c r="R368" s="2" t="s">
        <v>31</v>
      </c>
      <c r="S368" s="2" t="s">
        <v>50</v>
      </c>
      <c r="T368" s="2" t="s">
        <v>94</v>
      </c>
      <c r="U368" s="2">
        <v>9223196101</v>
      </c>
      <c r="V368" s="2" t="s">
        <v>53</v>
      </c>
    </row>
    <row r="369" spans="1:22" x14ac:dyDescent="0.3">
      <c r="A369" s="2" t="s">
        <v>507</v>
      </c>
      <c r="B369" s="2" t="s">
        <v>23</v>
      </c>
      <c r="C369" s="2" t="s">
        <v>24</v>
      </c>
      <c r="D369" s="3">
        <v>45780</v>
      </c>
      <c r="E369" s="3">
        <v>45792</v>
      </c>
      <c r="F369" s="2" t="s">
        <v>25</v>
      </c>
      <c r="G369" s="2" t="s">
        <v>26</v>
      </c>
      <c r="H369" s="3">
        <v>27922</v>
      </c>
      <c r="I369" s="2" t="s">
        <v>123</v>
      </c>
      <c r="J369" s="2" t="s">
        <v>38</v>
      </c>
      <c r="K369" s="2" t="s">
        <v>29</v>
      </c>
      <c r="L369" s="2" t="s">
        <v>30</v>
      </c>
      <c r="M369" s="2">
        <v>1</v>
      </c>
      <c r="N369" s="7">
        <v>2200</v>
      </c>
      <c r="O369" s="2">
        <v>10</v>
      </c>
      <c r="P369" s="7">
        <v>1980</v>
      </c>
      <c r="Q369" s="2">
        <v>5</v>
      </c>
      <c r="R369" s="2" t="s">
        <v>60</v>
      </c>
      <c r="S369" s="2" t="s">
        <v>42</v>
      </c>
      <c r="T369" s="2" t="s">
        <v>43</v>
      </c>
      <c r="U369" s="2">
        <v>9888477457</v>
      </c>
      <c r="V369" s="2" t="s">
        <v>34</v>
      </c>
    </row>
    <row r="370" spans="1:22" x14ac:dyDescent="0.3">
      <c r="A370" s="2" t="s">
        <v>508</v>
      </c>
      <c r="B370" s="2" t="s">
        <v>45</v>
      </c>
      <c r="C370" s="2" t="s">
        <v>83</v>
      </c>
      <c r="D370" s="3">
        <v>46113</v>
      </c>
      <c r="E370" s="3">
        <v>46117</v>
      </c>
      <c r="F370" s="2" t="s">
        <v>102</v>
      </c>
      <c r="G370" s="2" t="s">
        <v>26</v>
      </c>
      <c r="H370" s="3">
        <v>31781</v>
      </c>
      <c r="I370" s="2" t="s">
        <v>27</v>
      </c>
      <c r="J370" s="2" t="s">
        <v>28</v>
      </c>
      <c r="K370" s="2" t="s">
        <v>84</v>
      </c>
      <c r="L370" s="2" t="s">
        <v>85</v>
      </c>
      <c r="M370" s="2">
        <v>19</v>
      </c>
      <c r="N370" s="7">
        <v>60</v>
      </c>
      <c r="O370" s="2">
        <v>15</v>
      </c>
      <c r="P370" s="7">
        <v>969</v>
      </c>
      <c r="Q370" s="2">
        <v>4</v>
      </c>
      <c r="R370" s="2" t="s">
        <v>41</v>
      </c>
      <c r="S370" s="2" t="s">
        <v>81</v>
      </c>
      <c r="T370" s="2" t="s">
        <v>51</v>
      </c>
      <c r="U370" s="2">
        <v>9435947486</v>
      </c>
      <c r="V370" s="2" t="s">
        <v>53</v>
      </c>
    </row>
    <row r="371" spans="1:22" x14ac:dyDescent="0.3">
      <c r="A371" s="2" t="s">
        <v>509</v>
      </c>
      <c r="B371" s="2" t="s">
        <v>160</v>
      </c>
      <c r="C371" s="2" t="s">
        <v>46</v>
      </c>
      <c r="D371" s="3"/>
      <c r="E371" s="3">
        <v>45690</v>
      </c>
      <c r="F371" s="2" t="s">
        <v>179</v>
      </c>
      <c r="G371" s="2" t="s">
        <v>58</v>
      </c>
      <c r="H371" s="3">
        <v>33738</v>
      </c>
      <c r="I371" s="2" t="s">
        <v>37</v>
      </c>
      <c r="J371" s="2" t="s">
        <v>38</v>
      </c>
      <c r="K371" s="2" t="s">
        <v>39</v>
      </c>
      <c r="L371" s="2" t="s">
        <v>49</v>
      </c>
      <c r="M371" s="2">
        <v>15</v>
      </c>
      <c r="N371" s="7">
        <v>55000</v>
      </c>
      <c r="O371" s="2">
        <v>0</v>
      </c>
      <c r="P371" s="7">
        <v>825000</v>
      </c>
      <c r="Q371" s="2">
        <v>5</v>
      </c>
      <c r="R371" s="2" t="s">
        <v>60</v>
      </c>
      <c r="S371" s="2" t="s">
        <v>81</v>
      </c>
      <c r="T371" s="2" t="s">
        <v>162</v>
      </c>
      <c r="U371" s="2">
        <v>9411668831</v>
      </c>
      <c r="V371" s="2" t="s">
        <v>53</v>
      </c>
    </row>
    <row r="372" spans="1:22" x14ac:dyDescent="0.3">
      <c r="A372" s="2" t="s">
        <v>510</v>
      </c>
      <c r="B372" s="2" t="s">
        <v>55</v>
      </c>
      <c r="C372" s="2" t="s">
        <v>141</v>
      </c>
      <c r="D372" s="3">
        <v>45936</v>
      </c>
      <c r="E372" s="3">
        <v>45938</v>
      </c>
      <c r="F372" s="2" t="s">
        <v>125</v>
      </c>
      <c r="G372" s="2" t="s">
        <v>58</v>
      </c>
      <c r="H372" s="3">
        <v>32631</v>
      </c>
      <c r="I372" s="2" t="s">
        <v>48</v>
      </c>
      <c r="J372" s="2" t="s">
        <v>28</v>
      </c>
      <c r="K372" s="2" t="s">
        <v>84</v>
      </c>
      <c r="L372" s="2" t="s">
        <v>142</v>
      </c>
      <c r="M372" s="2">
        <v>11</v>
      </c>
      <c r="N372" s="7">
        <v>45</v>
      </c>
      <c r="O372" s="2">
        <v>5</v>
      </c>
      <c r="P372" s="7">
        <v>470.25</v>
      </c>
      <c r="Q372" s="2">
        <v>5</v>
      </c>
      <c r="R372" s="2" t="s">
        <v>41</v>
      </c>
      <c r="S372" s="2" t="s">
        <v>97</v>
      </c>
      <c r="T372" s="2" t="s">
        <v>61</v>
      </c>
      <c r="U372" s="2">
        <v>9523682403</v>
      </c>
      <c r="V372" s="2" t="s">
        <v>34</v>
      </c>
    </row>
    <row r="373" spans="1:22" x14ac:dyDescent="0.3">
      <c r="A373" s="2" t="s">
        <v>511</v>
      </c>
      <c r="B373" s="2" t="s">
        <v>137</v>
      </c>
      <c r="C373" s="2" t="s">
        <v>128</v>
      </c>
      <c r="D373" s="3">
        <v>45820</v>
      </c>
      <c r="E373" s="3">
        <v>45825</v>
      </c>
      <c r="F373" s="2" t="s">
        <v>138</v>
      </c>
      <c r="G373" s="2" t="s">
        <v>26</v>
      </c>
      <c r="H373" s="3">
        <v>33226</v>
      </c>
      <c r="I373" s="2" t="s">
        <v>123</v>
      </c>
      <c r="J373" s="2" t="s">
        <v>38</v>
      </c>
      <c r="K373" s="2" t="s">
        <v>84</v>
      </c>
      <c r="L373" s="2" t="s">
        <v>130</v>
      </c>
      <c r="M373" s="2">
        <v>9</v>
      </c>
      <c r="N373" s="7">
        <v>20</v>
      </c>
      <c r="O373" s="2">
        <v>10</v>
      </c>
      <c r="P373" s="7">
        <v>162</v>
      </c>
      <c r="Q373" s="2">
        <v>1</v>
      </c>
      <c r="R373" s="2" t="s">
        <v>60</v>
      </c>
      <c r="S373" s="2" t="s">
        <v>42</v>
      </c>
      <c r="T373" s="2" t="s">
        <v>139</v>
      </c>
      <c r="U373" s="2">
        <v>9652936744</v>
      </c>
      <c r="V373" s="2" t="s">
        <v>53</v>
      </c>
    </row>
    <row r="374" spans="1:22" x14ac:dyDescent="0.3">
      <c r="A374" s="2" t="s">
        <v>512</v>
      </c>
      <c r="B374" s="2" t="s">
        <v>105</v>
      </c>
      <c r="C374" s="2" t="s">
        <v>141</v>
      </c>
      <c r="D374" s="3">
        <v>45979</v>
      </c>
      <c r="E374" s="3">
        <v>45981</v>
      </c>
      <c r="F374" s="2" t="s">
        <v>170</v>
      </c>
      <c r="G374" s="2" t="s">
        <v>26</v>
      </c>
      <c r="H374" s="3">
        <v>34889</v>
      </c>
      <c r="I374" s="2" t="s">
        <v>48</v>
      </c>
      <c r="J374" s="2" t="s">
        <v>28</v>
      </c>
      <c r="K374" s="2" t="s">
        <v>84</v>
      </c>
      <c r="L374" s="2" t="s">
        <v>142</v>
      </c>
      <c r="M374" s="2">
        <v>5</v>
      </c>
      <c r="N374" s="7">
        <v>45</v>
      </c>
      <c r="O374" s="2">
        <v>5</v>
      </c>
      <c r="P374" s="7">
        <v>213.75</v>
      </c>
      <c r="Q374" s="2">
        <v>3</v>
      </c>
      <c r="R374" s="2" t="s">
        <v>60</v>
      </c>
      <c r="S374" s="2" t="s">
        <v>81</v>
      </c>
      <c r="T374" s="2" t="s">
        <v>109</v>
      </c>
      <c r="U374" s="2">
        <v>9726464733</v>
      </c>
      <c r="V374" s="2" t="s">
        <v>52</v>
      </c>
    </row>
    <row r="375" spans="1:22" x14ac:dyDescent="0.3">
      <c r="A375" s="2" t="s">
        <v>513</v>
      </c>
      <c r="B375" s="2" t="s">
        <v>63</v>
      </c>
      <c r="C375" s="2" t="s">
        <v>113</v>
      </c>
      <c r="D375" s="3">
        <v>45962</v>
      </c>
      <c r="E375" s="3">
        <v>45963</v>
      </c>
      <c r="F375" s="2" t="s">
        <v>111</v>
      </c>
      <c r="G375" s="2" t="s">
        <v>58</v>
      </c>
      <c r="H375" s="3">
        <v>36152</v>
      </c>
      <c r="I375" s="2" t="s">
        <v>27</v>
      </c>
      <c r="J375" s="2" t="s">
        <v>28</v>
      </c>
      <c r="K375" s="2" t="s">
        <v>39</v>
      </c>
      <c r="L375" s="2" t="s">
        <v>115</v>
      </c>
      <c r="M375" s="2">
        <v>5</v>
      </c>
      <c r="N375" s="7">
        <v>700</v>
      </c>
      <c r="O375" s="2">
        <v>10</v>
      </c>
      <c r="P375" s="7">
        <v>3150</v>
      </c>
      <c r="Q375" s="2">
        <v>2</v>
      </c>
      <c r="R375" s="2" t="s">
        <v>65</v>
      </c>
      <c r="S375" s="2" t="s">
        <v>42</v>
      </c>
      <c r="T375" s="2" t="s">
        <v>66</v>
      </c>
      <c r="U375" s="2">
        <v>9273520544</v>
      </c>
      <c r="V375" s="2" t="s">
        <v>34</v>
      </c>
    </row>
    <row r="376" spans="1:22" x14ac:dyDescent="0.3">
      <c r="A376" s="2" t="s">
        <v>514</v>
      </c>
      <c r="B376" s="2" t="s">
        <v>127</v>
      </c>
      <c r="C376" s="2" t="s">
        <v>113</v>
      </c>
      <c r="D376" s="3">
        <v>45681</v>
      </c>
      <c r="E376" s="3">
        <v>45688</v>
      </c>
      <c r="F376" s="2" t="s">
        <v>129</v>
      </c>
      <c r="G376" s="2" t="s">
        <v>58</v>
      </c>
      <c r="H376" s="3">
        <v>29212</v>
      </c>
      <c r="I376" s="2" t="s">
        <v>151</v>
      </c>
      <c r="J376" s="2" t="s">
        <v>152</v>
      </c>
      <c r="K376" s="2" t="s">
        <v>39</v>
      </c>
      <c r="L376" s="2" t="s">
        <v>115</v>
      </c>
      <c r="M376" s="2">
        <v>1</v>
      </c>
      <c r="N376" s="7">
        <v>700</v>
      </c>
      <c r="O376" s="2">
        <v>0</v>
      </c>
      <c r="P376" s="7">
        <v>700</v>
      </c>
      <c r="Q376" s="2">
        <v>1</v>
      </c>
      <c r="R376" s="2" t="s">
        <v>65</v>
      </c>
      <c r="S376" s="2" t="s">
        <v>97</v>
      </c>
      <c r="T376" s="2" t="s">
        <v>131</v>
      </c>
      <c r="U376" s="2">
        <v>9374259988</v>
      </c>
      <c r="V376" s="2" t="s">
        <v>34</v>
      </c>
    </row>
    <row r="377" spans="1:22" x14ac:dyDescent="0.3">
      <c r="A377" s="2" t="s">
        <v>515</v>
      </c>
      <c r="B377" s="2" t="s">
        <v>23</v>
      </c>
      <c r="C377" s="2" t="s">
        <v>113</v>
      </c>
      <c r="D377" s="3">
        <v>46066</v>
      </c>
      <c r="E377" s="3">
        <v>46074</v>
      </c>
      <c r="F377" s="2" t="s">
        <v>25</v>
      </c>
      <c r="G377" s="2" t="s">
        <v>26</v>
      </c>
      <c r="H377" s="3">
        <v>27743</v>
      </c>
      <c r="I377" s="2" t="s">
        <v>75</v>
      </c>
      <c r="J377" s="2" t="s">
        <v>76</v>
      </c>
      <c r="K377" s="2" t="s">
        <v>39</v>
      </c>
      <c r="L377" s="2" t="s">
        <v>115</v>
      </c>
      <c r="M377" s="2">
        <v>13</v>
      </c>
      <c r="N377" s="7">
        <v>700</v>
      </c>
      <c r="O377" s="2">
        <v>20</v>
      </c>
      <c r="P377" s="7">
        <v>7280</v>
      </c>
      <c r="Q377" s="2">
        <v>2</v>
      </c>
      <c r="R377" s="2" t="s">
        <v>60</v>
      </c>
      <c r="S377" s="2" t="s">
        <v>32</v>
      </c>
      <c r="T377" s="2" t="s">
        <v>43</v>
      </c>
      <c r="U377" s="2">
        <v>9538129419</v>
      </c>
      <c r="V377" s="2" t="s">
        <v>34</v>
      </c>
    </row>
    <row r="378" spans="1:22" x14ac:dyDescent="0.3">
      <c r="A378" s="2" t="s">
        <v>516</v>
      </c>
      <c r="B378" s="2" t="s">
        <v>55</v>
      </c>
      <c r="C378" s="2" t="s">
        <v>36</v>
      </c>
      <c r="D378" s="3">
        <v>45696</v>
      </c>
      <c r="E378" s="3">
        <v>45707</v>
      </c>
      <c r="F378" s="2" t="s">
        <v>125</v>
      </c>
      <c r="G378" s="2" t="s">
        <v>58</v>
      </c>
      <c r="H378" s="3">
        <v>34106</v>
      </c>
      <c r="I378" s="2" t="s">
        <v>80</v>
      </c>
      <c r="J378" s="2" t="s">
        <v>76</v>
      </c>
      <c r="K378" s="2" t="s">
        <v>39</v>
      </c>
      <c r="L378" s="2" t="s">
        <v>40</v>
      </c>
      <c r="M378" s="2">
        <v>20</v>
      </c>
      <c r="N378" s="7">
        <v>12000</v>
      </c>
      <c r="O378" s="2">
        <v>0</v>
      </c>
      <c r="P378" s="7">
        <v>240000</v>
      </c>
      <c r="Q378" s="2">
        <v>2</v>
      </c>
      <c r="R378" s="2" t="s">
        <v>60</v>
      </c>
      <c r="S378" s="2" t="s">
        <v>81</v>
      </c>
      <c r="T378" s="2" t="s">
        <v>61</v>
      </c>
      <c r="U378" s="2">
        <v>9382815686</v>
      </c>
      <c r="V378" s="2" t="s">
        <v>34</v>
      </c>
    </row>
    <row r="379" spans="1:22" x14ac:dyDescent="0.3">
      <c r="A379" s="2" t="s">
        <v>517</v>
      </c>
      <c r="B379" s="2" t="s">
        <v>63</v>
      </c>
      <c r="C379" s="2" t="s">
        <v>56</v>
      </c>
      <c r="D379" s="3">
        <v>46019</v>
      </c>
      <c r="E379" s="3">
        <v>46028</v>
      </c>
      <c r="F379" s="2" t="s">
        <v>111</v>
      </c>
      <c r="G379" s="2" t="s">
        <v>58</v>
      </c>
      <c r="H379" s="3">
        <v>28020</v>
      </c>
      <c r="I379" s="2" t="s">
        <v>151</v>
      </c>
      <c r="J379" s="2" t="s">
        <v>152</v>
      </c>
      <c r="K379" s="2" t="s">
        <v>39</v>
      </c>
      <c r="L379" s="2" t="s">
        <v>59</v>
      </c>
      <c r="M379" s="2">
        <v>9</v>
      </c>
      <c r="N379" s="7">
        <v>1200</v>
      </c>
      <c r="O379" s="2">
        <v>15</v>
      </c>
      <c r="P379" s="7">
        <v>9180</v>
      </c>
      <c r="Q379" s="2">
        <v>1</v>
      </c>
      <c r="R379" s="2" t="s">
        <v>65</v>
      </c>
      <c r="S379" s="2" t="s">
        <v>32</v>
      </c>
      <c r="T379" s="2" t="s">
        <v>66</v>
      </c>
      <c r="U379" s="2">
        <v>9450746157</v>
      </c>
      <c r="V379" s="2" t="s">
        <v>52</v>
      </c>
    </row>
    <row r="380" spans="1:22" x14ac:dyDescent="0.3">
      <c r="A380" s="2" t="s">
        <v>518</v>
      </c>
      <c r="B380" s="2" t="s">
        <v>63</v>
      </c>
      <c r="C380" s="2" t="s">
        <v>128</v>
      </c>
      <c r="D380" s="3">
        <v>45931</v>
      </c>
      <c r="E380" s="3">
        <v>45933</v>
      </c>
      <c r="F380" s="2" t="s">
        <v>111</v>
      </c>
      <c r="G380" s="2" t="s">
        <v>58</v>
      </c>
      <c r="H380" s="3">
        <v>35421</v>
      </c>
      <c r="I380" s="2" t="s">
        <v>123</v>
      </c>
      <c r="J380" s="2" t="s">
        <v>38</v>
      </c>
      <c r="K380" s="2" t="s">
        <v>84</v>
      </c>
      <c r="L380" s="2" t="s">
        <v>130</v>
      </c>
      <c r="M380" s="2">
        <v>3</v>
      </c>
      <c r="N380" s="7">
        <v>20</v>
      </c>
      <c r="O380" s="2">
        <v>15</v>
      </c>
      <c r="P380" s="7">
        <v>51</v>
      </c>
      <c r="Q380" s="2">
        <v>3</v>
      </c>
      <c r="R380" s="2" t="s">
        <v>31</v>
      </c>
      <c r="S380" s="2" t="s">
        <v>81</v>
      </c>
      <c r="T380" s="2" t="s">
        <v>66</v>
      </c>
      <c r="U380" s="2">
        <v>9349012570</v>
      </c>
      <c r="V380" s="2" t="s">
        <v>52</v>
      </c>
    </row>
    <row r="381" spans="1:22" x14ac:dyDescent="0.3">
      <c r="A381" s="2" t="s">
        <v>519</v>
      </c>
      <c r="B381" s="2" t="s">
        <v>137</v>
      </c>
      <c r="C381" s="2" t="s">
        <v>46</v>
      </c>
      <c r="D381" s="3">
        <v>46009</v>
      </c>
      <c r="E381" s="3">
        <v>46010</v>
      </c>
      <c r="F381" s="2" t="s">
        <v>138</v>
      </c>
      <c r="G381" s="2" t="s">
        <v>26</v>
      </c>
      <c r="H381" s="3">
        <v>35058</v>
      </c>
      <c r="I381" s="2" t="s">
        <v>37</v>
      </c>
      <c r="J381" s="2" t="s">
        <v>38</v>
      </c>
      <c r="K381" s="2" t="s">
        <v>39</v>
      </c>
      <c r="L381" s="2" t="s">
        <v>49</v>
      </c>
      <c r="M381" s="2">
        <v>8</v>
      </c>
      <c r="N381" s="7">
        <v>55000</v>
      </c>
      <c r="O381" s="2">
        <v>20</v>
      </c>
      <c r="P381" s="7">
        <v>352000</v>
      </c>
      <c r="Q381" s="2">
        <v>5</v>
      </c>
      <c r="R381" s="2" t="s">
        <v>60</v>
      </c>
      <c r="S381" s="2" t="s">
        <v>97</v>
      </c>
      <c r="T381" s="2" t="s">
        <v>139</v>
      </c>
      <c r="U381" s="2">
        <v>9442163790</v>
      </c>
      <c r="V381" s="2" t="s">
        <v>52</v>
      </c>
    </row>
    <row r="382" spans="1:22" x14ac:dyDescent="0.3">
      <c r="A382" s="2" t="s">
        <v>520</v>
      </c>
      <c r="B382" s="2" t="s">
        <v>137</v>
      </c>
      <c r="C382" s="2" t="s">
        <v>83</v>
      </c>
      <c r="D382" s="3">
        <v>45929</v>
      </c>
      <c r="E382" s="3">
        <v>45937</v>
      </c>
      <c r="F382" s="2" t="s">
        <v>138</v>
      </c>
      <c r="G382" s="2" t="s">
        <v>26</v>
      </c>
      <c r="H382" s="3">
        <v>31221</v>
      </c>
      <c r="I382" s="2" t="s">
        <v>37</v>
      </c>
      <c r="J382" s="2" t="s">
        <v>38</v>
      </c>
      <c r="K382" s="2" t="s">
        <v>84</v>
      </c>
      <c r="L382" s="2" t="s">
        <v>85</v>
      </c>
      <c r="M382" s="2">
        <v>17</v>
      </c>
      <c r="N382" s="7">
        <v>60</v>
      </c>
      <c r="O382" s="2">
        <v>20</v>
      </c>
      <c r="P382" s="7">
        <v>816</v>
      </c>
      <c r="Q382" s="2">
        <v>1</v>
      </c>
      <c r="R382" s="2" t="s">
        <v>65</v>
      </c>
      <c r="S382" s="2" t="s">
        <v>32</v>
      </c>
      <c r="T382" s="2" t="s">
        <v>139</v>
      </c>
      <c r="U382" s="2">
        <v>9953329223</v>
      </c>
      <c r="V382" s="2" t="s">
        <v>52</v>
      </c>
    </row>
    <row r="383" spans="1:22" x14ac:dyDescent="0.3">
      <c r="A383" s="2" t="s">
        <v>521</v>
      </c>
      <c r="B383" s="2" t="s">
        <v>88</v>
      </c>
      <c r="C383" s="2" t="s">
        <v>128</v>
      </c>
      <c r="D383" s="3">
        <v>45791</v>
      </c>
      <c r="E383" s="3">
        <v>45799</v>
      </c>
      <c r="F383" s="2" t="s">
        <v>119</v>
      </c>
      <c r="G383" s="2" t="s">
        <v>58</v>
      </c>
      <c r="H383" s="3">
        <v>30722</v>
      </c>
      <c r="I383" s="2" t="s">
        <v>48</v>
      </c>
      <c r="J383" s="2" t="s">
        <v>28</v>
      </c>
      <c r="K383" s="2" t="s">
        <v>84</v>
      </c>
      <c r="L383" s="2" t="s">
        <v>130</v>
      </c>
      <c r="M383" s="2">
        <v>4</v>
      </c>
      <c r="N383" s="7">
        <v>20</v>
      </c>
      <c r="O383" s="2">
        <v>15</v>
      </c>
      <c r="P383" s="7">
        <v>68</v>
      </c>
      <c r="Q383" s="2">
        <v>3</v>
      </c>
      <c r="R383" s="2" t="s">
        <v>41</v>
      </c>
      <c r="S383" s="2" t="s">
        <v>50</v>
      </c>
      <c r="T383" s="2" t="s">
        <v>90</v>
      </c>
      <c r="U383" s="2">
        <v>9202321359</v>
      </c>
      <c r="V383" s="2" t="s">
        <v>52</v>
      </c>
    </row>
    <row r="384" spans="1:22" x14ac:dyDescent="0.3">
      <c r="A384" s="2" t="s">
        <v>522</v>
      </c>
      <c r="B384" s="2" t="s">
        <v>88</v>
      </c>
      <c r="C384" s="2" t="s">
        <v>24</v>
      </c>
      <c r="D384" s="3">
        <v>45748</v>
      </c>
      <c r="E384" s="3">
        <v>45758</v>
      </c>
      <c r="F384" s="2" t="s">
        <v>523</v>
      </c>
      <c r="G384" s="2" t="s">
        <v>58</v>
      </c>
      <c r="H384" s="3">
        <v>37348</v>
      </c>
      <c r="I384" s="2" t="s">
        <v>151</v>
      </c>
      <c r="J384" s="2" t="s">
        <v>152</v>
      </c>
      <c r="K384" s="2" t="s">
        <v>29</v>
      </c>
      <c r="L384" s="2" t="s">
        <v>30</v>
      </c>
      <c r="M384" s="2">
        <v>2</v>
      </c>
      <c r="N384" s="7">
        <v>2200</v>
      </c>
      <c r="O384" s="2">
        <v>10</v>
      </c>
      <c r="P384" s="7">
        <v>3960</v>
      </c>
      <c r="Q384" s="2">
        <v>2</v>
      </c>
      <c r="R384" s="2" t="s">
        <v>65</v>
      </c>
      <c r="S384" s="2" t="s">
        <v>42</v>
      </c>
      <c r="T384" s="2" t="s">
        <v>90</v>
      </c>
      <c r="U384" s="2">
        <v>9812564160</v>
      </c>
      <c r="V384" s="2" t="s">
        <v>52</v>
      </c>
    </row>
    <row r="385" spans="1:22" x14ac:dyDescent="0.3">
      <c r="A385" s="2" t="s">
        <v>524</v>
      </c>
      <c r="B385" s="2" t="s">
        <v>127</v>
      </c>
      <c r="C385" s="2" t="s">
        <v>83</v>
      </c>
      <c r="D385" s="3">
        <v>45754</v>
      </c>
      <c r="E385" s="3">
        <v>45765</v>
      </c>
      <c r="F385" s="2" t="s">
        <v>129</v>
      </c>
      <c r="G385" s="2" t="s">
        <v>58</v>
      </c>
      <c r="H385" s="3">
        <v>37819</v>
      </c>
      <c r="I385" s="2" t="s">
        <v>48</v>
      </c>
      <c r="J385" s="2" t="s">
        <v>28</v>
      </c>
      <c r="K385" s="2" t="s">
        <v>84</v>
      </c>
      <c r="L385" s="2" t="s">
        <v>85</v>
      </c>
      <c r="M385" s="2">
        <v>5</v>
      </c>
      <c r="N385" s="7">
        <v>60</v>
      </c>
      <c r="O385" s="2">
        <v>5</v>
      </c>
      <c r="P385" s="7">
        <v>285</v>
      </c>
      <c r="Q385" s="2">
        <v>1</v>
      </c>
      <c r="R385" s="2" t="s">
        <v>65</v>
      </c>
      <c r="S385" s="2" t="s">
        <v>32</v>
      </c>
      <c r="T385" s="2" t="s">
        <v>131</v>
      </c>
      <c r="U385" s="2">
        <v>9688458222</v>
      </c>
      <c r="V385" s="2" t="s">
        <v>53</v>
      </c>
    </row>
    <row r="386" spans="1:22" x14ac:dyDescent="0.3">
      <c r="A386" s="2" t="s">
        <v>525</v>
      </c>
      <c r="B386" s="2" t="s">
        <v>88</v>
      </c>
      <c r="C386" s="2" t="s">
        <v>24</v>
      </c>
      <c r="D386" s="3">
        <v>46072</v>
      </c>
      <c r="E386" s="3">
        <v>46076</v>
      </c>
      <c r="F386" s="2" t="s">
        <v>119</v>
      </c>
      <c r="G386" s="2" t="s">
        <v>58</v>
      </c>
      <c r="H386" s="3">
        <v>33517</v>
      </c>
      <c r="I386" s="2" t="s">
        <v>37</v>
      </c>
      <c r="J386" s="2" t="s">
        <v>38</v>
      </c>
      <c r="K386" s="2" t="s">
        <v>29</v>
      </c>
      <c r="L386" s="2" t="s">
        <v>30</v>
      </c>
      <c r="M386" s="2">
        <v>17</v>
      </c>
      <c r="N386" s="7">
        <v>2200</v>
      </c>
      <c r="O386" s="2">
        <v>0</v>
      </c>
      <c r="P386" s="7">
        <v>37400</v>
      </c>
      <c r="Q386" s="2">
        <v>2</v>
      </c>
      <c r="R386" s="2" t="s">
        <v>65</v>
      </c>
      <c r="S386" s="2" t="s">
        <v>97</v>
      </c>
      <c r="T386" s="2" t="s">
        <v>90</v>
      </c>
      <c r="U386" s="2">
        <v>9634473337</v>
      </c>
      <c r="V386" s="2" t="s">
        <v>53</v>
      </c>
    </row>
    <row r="387" spans="1:22" x14ac:dyDescent="0.3">
      <c r="A387" s="2" t="s">
        <v>526</v>
      </c>
      <c r="B387" s="2" t="s">
        <v>105</v>
      </c>
      <c r="C387" s="2" t="s">
        <v>83</v>
      </c>
      <c r="D387" s="3">
        <v>45995</v>
      </c>
      <c r="E387" s="3">
        <v>46002</v>
      </c>
      <c r="F387" s="2" t="s">
        <v>170</v>
      </c>
      <c r="G387" s="2" t="s">
        <v>26</v>
      </c>
      <c r="H387" s="3">
        <v>30686</v>
      </c>
      <c r="I387" s="2" t="s">
        <v>92</v>
      </c>
      <c r="J387" s="2" t="s">
        <v>76</v>
      </c>
      <c r="K387" s="2" t="s">
        <v>84</v>
      </c>
      <c r="L387" s="2" t="s">
        <v>85</v>
      </c>
      <c r="M387" s="2">
        <v>7</v>
      </c>
      <c r="N387" s="7">
        <v>60</v>
      </c>
      <c r="O387" s="2">
        <v>0</v>
      </c>
      <c r="P387" s="7">
        <v>420</v>
      </c>
      <c r="Q387" s="2">
        <v>2</v>
      </c>
      <c r="R387" s="2" t="s">
        <v>65</v>
      </c>
      <c r="S387" s="2" t="s">
        <v>50</v>
      </c>
      <c r="T387" s="2" t="s">
        <v>109</v>
      </c>
      <c r="U387" s="2">
        <v>9608737026</v>
      </c>
      <c r="V387" s="2" t="s">
        <v>52</v>
      </c>
    </row>
    <row r="388" spans="1:22" x14ac:dyDescent="0.3">
      <c r="A388" s="2" t="s">
        <v>527</v>
      </c>
      <c r="B388" s="2" t="s">
        <v>127</v>
      </c>
      <c r="C388" s="2" t="s">
        <v>46</v>
      </c>
      <c r="D388" s="3">
        <v>45950</v>
      </c>
      <c r="E388" s="3">
        <v>45954</v>
      </c>
      <c r="F388" s="2" t="s">
        <v>129</v>
      </c>
      <c r="G388" s="2" t="s">
        <v>58</v>
      </c>
      <c r="H388" s="3">
        <v>27465</v>
      </c>
      <c r="I388" s="2" t="s">
        <v>27</v>
      </c>
      <c r="J388" s="2" t="s">
        <v>28</v>
      </c>
      <c r="K388" s="2" t="s">
        <v>39</v>
      </c>
      <c r="L388" s="2" t="s">
        <v>49</v>
      </c>
      <c r="M388" s="2">
        <v>6</v>
      </c>
      <c r="N388" s="7">
        <v>55000</v>
      </c>
      <c r="O388" s="2">
        <v>5</v>
      </c>
      <c r="P388" s="7">
        <v>313500</v>
      </c>
      <c r="Q388" s="2">
        <v>4</v>
      </c>
      <c r="R388" s="2" t="s">
        <v>60</v>
      </c>
      <c r="S388" s="2" t="s">
        <v>50</v>
      </c>
      <c r="T388" s="2" t="s">
        <v>131</v>
      </c>
      <c r="U388" s="2">
        <v>9804498139</v>
      </c>
      <c r="V388" s="2" t="s">
        <v>34</v>
      </c>
    </row>
    <row r="389" spans="1:22" x14ac:dyDescent="0.3">
      <c r="A389" s="2" t="s">
        <v>528</v>
      </c>
      <c r="B389" s="2" t="s">
        <v>55</v>
      </c>
      <c r="C389" s="2" t="s">
        <v>128</v>
      </c>
      <c r="D389" s="3">
        <v>46043</v>
      </c>
      <c r="E389" s="3">
        <v>46047</v>
      </c>
      <c r="F389" s="2" t="s">
        <v>125</v>
      </c>
      <c r="G389" s="2" t="s">
        <v>58</v>
      </c>
      <c r="H389" s="3">
        <v>30390</v>
      </c>
      <c r="I389" s="2" t="s">
        <v>27</v>
      </c>
      <c r="J389" s="2" t="s">
        <v>28</v>
      </c>
      <c r="K389" s="2" t="s">
        <v>84</v>
      </c>
      <c r="L389" s="2" t="s">
        <v>130</v>
      </c>
      <c r="M389" s="2">
        <v>16</v>
      </c>
      <c r="N389" s="7">
        <v>20</v>
      </c>
      <c r="O389" s="2">
        <v>5</v>
      </c>
      <c r="P389" s="7">
        <v>304</v>
      </c>
      <c r="Q389" s="2">
        <v>1</v>
      </c>
      <c r="R389" s="2" t="s">
        <v>60</v>
      </c>
      <c r="S389" s="2" t="s">
        <v>42</v>
      </c>
      <c r="T389" s="2" t="s">
        <v>61</v>
      </c>
      <c r="U389" s="2">
        <v>9798643580</v>
      </c>
      <c r="V389" s="2" t="s">
        <v>34</v>
      </c>
    </row>
    <row r="390" spans="1:22" x14ac:dyDescent="0.3">
      <c r="A390" s="2" t="s">
        <v>529</v>
      </c>
      <c r="B390" s="2" t="s">
        <v>23</v>
      </c>
      <c r="C390" s="2" t="s">
        <v>24</v>
      </c>
      <c r="D390" s="3">
        <v>45682</v>
      </c>
      <c r="E390" s="3">
        <v>45685</v>
      </c>
      <c r="F390" s="2" t="s">
        <v>25</v>
      </c>
      <c r="G390" s="2" t="s">
        <v>26</v>
      </c>
      <c r="H390" s="3">
        <v>27870</v>
      </c>
      <c r="I390" s="2" t="s">
        <v>151</v>
      </c>
      <c r="J390" s="2" t="s">
        <v>152</v>
      </c>
      <c r="K390" s="2" t="s">
        <v>29</v>
      </c>
      <c r="L390" s="2" t="s">
        <v>30</v>
      </c>
      <c r="M390" s="2">
        <v>11</v>
      </c>
      <c r="N390" s="7">
        <v>2200</v>
      </c>
      <c r="O390" s="2">
        <v>15</v>
      </c>
      <c r="P390" s="7">
        <v>20570</v>
      </c>
      <c r="Q390" s="2">
        <v>1</v>
      </c>
      <c r="R390" s="2" t="s">
        <v>41</v>
      </c>
      <c r="S390" s="2" t="s">
        <v>81</v>
      </c>
      <c r="T390" s="2" t="s">
        <v>43</v>
      </c>
      <c r="U390" s="2">
        <v>9809823278</v>
      </c>
      <c r="V390" s="2" t="s">
        <v>53</v>
      </c>
    </row>
    <row r="391" spans="1:22" x14ac:dyDescent="0.3">
      <c r="A391" s="2" t="s">
        <v>530</v>
      </c>
      <c r="B391" s="2" t="s">
        <v>73</v>
      </c>
      <c r="C391" s="2" t="s">
        <v>128</v>
      </c>
      <c r="D391" s="3">
        <v>45716</v>
      </c>
      <c r="E391" s="3">
        <v>45718</v>
      </c>
      <c r="F391" s="2" t="s">
        <v>74</v>
      </c>
      <c r="G391" s="2" t="s">
        <v>26</v>
      </c>
      <c r="H391" s="3">
        <v>31454</v>
      </c>
      <c r="I391" s="2" t="s">
        <v>80</v>
      </c>
      <c r="J391" s="2" t="s">
        <v>76</v>
      </c>
      <c r="K391" s="2" t="s">
        <v>84</v>
      </c>
      <c r="L391" s="2" t="s">
        <v>130</v>
      </c>
      <c r="M391" s="2">
        <v>19</v>
      </c>
      <c r="N391" s="7">
        <v>20</v>
      </c>
      <c r="O391" s="2">
        <v>5</v>
      </c>
      <c r="P391" s="7">
        <v>361</v>
      </c>
      <c r="Q391" s="2">
        <v>4</v>
      </c>
      <c r="R391" s="2" t="s">
        <v>65</v>
      </c>
      <c r="S391" s="2" t="s">
        <v>32</v>
      </c>
      <c r="T391" s="2" t="s">
        <v>94</v>
      </c>
      <c r="U391" s="2">
        <v>9177767854</v>
      </c>
      <c r="V391" s="2" t="s">
        <v>52</v>
      </c>
    </row>
    <row r="392" spans="1:22" x14ac:dyDescent="0.3">
      <c r="A392" s="2" t="s">
        <v>531</v>
      </c>
      <c r="B392" s="2" t="s">
        <v>73</v>
      </c>
      <c r="C392" s="2" t="s">
        <v>56</v>
      </c>
      <c r="D392" s="3">
        <v>45828</v>
      </c>
      <c r="E392" s="3">
        <v>45829</v>
      </c>
      <c r="F392" s="2" t="s">
        <v>74</v>
      </c>
      <c r="G392" s="2" t="s">
        <v>26</v>
      </c>
      <c r="H392" s="3">
        <v>28570</v>
      </c>
      <c r="I392" s="2" t="s">
        <v>80</v>
      </c>
      <c r="J392" s="2" t="s">
        <v>76</v>
      </c>
      <c r="K392" s="2" t="s">
        <v>39</v>
      </c>
      <c r="L392" s="2" t="s">
        <v>59</v>
      </c>
      <c r="M392" s="2">
        <v>20</v>
      </c>
      <c r="N392" s="7">
        <v>1200</v>
      </c>
      <c r="O392" s="2">
        <v>15</v>
      </c>
      <c r="P392" s="7">
        <v>20400</v>
      </c>
      <c r="Q392" s="2">
        <v>4</v>
      </c>
      <c r="R392" s="2" t="s">
        <v>60</v>
      </c>
      <c r="S392" s="2" t="s">
        <v>32</v>
      </c>
      <c r="T392" s="2" t="s">
        <v>94</v>
      </c>
      <c r="U392" s="2">
        <v>9643440006</v>
      </c>
      <c r="V392" s="2" t="s">
        <v>52</v>
      </c>
    </row>
    <row r="393" spans="1:22" x14ac:dyDescent="0.3">
      <c r="A393" s="2" t="s">
        <v>532</v>
      </c>
      <c r="B393" s="2" t="s">
        <v>45</v>
      </c>
      <c r="C393" s="2" t="s">
        <v>128</v>
      </c>
      <c r="D393" s="3">
        <v>45805</v>
      </c>
      <c r="E393" s="3">
        <v>45814</v>
      </c>
      <c r="F393" s="2" t="s">
        <v>102</v>
      </c>
      <c r="G393" s="2" t="s">
        <v>26</v>
      </c>
      <c r="H393" s="3">
        <v>35258</v>
      </c>
      <c r="I393" s="2" t="s">
        <v>27</v>
      </c>
      <c r="J393" s="2" t="s">
        <v>28</v>
      </c>
      <c r="K393" s="2" t="s">
        <v>84</v>
      </c>
      <c r="L393" s="2" t="s">
        <v>130</v>
      </c>
      <c r="M393" s="2">
        <v>13</v>
      </c>
      <c r="N393" s="7">
        <v>20</v>
      </c>
      <c r="O393" s="2">
        <v>15</v>
      </c>
      <c r="P393" s="7">
        <v>221</v>
      </c>
      <c r="Q393" s="2">
        <v>4</v>
      </c>
      <c r="R393" s="2" t="s">
        <v>31</v>
      </c>
      <c r="S393" s="2" t="s">
        <v>32</v>
      </c>
      <c r="T393" s="2" t="s">
        <v>51</v>
      </c>
      <c r="U393" s="2">
        <v>9673698825</v>
      </c>
      <c r="V393" s="2" t="s">
        <v>52</v>
      </c>
    </row>
    <row r="394" spans="1:22" x14ac:dyDescent="0.3">
      <c r="A394" s="2" t="s">
        <v>533</v>
      </c>
      <c r="B394" s="2" t="s">
        <v>137</v>
      </c>
      <c r="C394" s="2" t="s">
        <v>56</v>
      </c>
      <c r="D394" s="3">
        <v>45660</v>
      </c>
      <c r="E394" s="3">
        <v>45665</v>
      </c>
      <c r="F394" s="2" t="s">
        <v>138</v>
      </c>
      <c r="G394" s="2" t="s">
        <v>26</v>
      </c>
      <c r="H394" s="3">
        <v>33940</v>
      </c>
      <c r="I394" s="2" t="s">
        <v>37</v>
      </c>
      <c r="J394" s="2" t="s">
        <v>38</v>
      </c>
      <c r="K394" s="2" t="s">
        <v>39</v>
      </c>
      <c r="L394" s="2" t="s">
        <v>59</v>
      </c>
      <c r="M394" s="2">
        <v>12</v>
      </c>
      <c r="N394" s="7">
        <v>1200</v>
      </c>
      <c r="O394" s="2">
        <v>10</v>
      </c>
      <c r="P394" s="7">
        <v>12960</v>
      </c>
      <c r="Q394" s="2">
        <v>3</v>
      </c>
      <c r="R394" s="2" t="s">
        <v>41</v>
      </c>
      <c r="S394" s="2" t="s">
        <v>32</v>
      </c>
      <c r="T394" s="2" t="s">
        <v>139</v>
      </c>
      <c r="U394" s="2">
        <v>9706238784</v>
      </c>
      <c r="V394" s="2" t="s">
        <v>52</v>
      </c>
    </row>
    <row r="395" spans="1:22" x14ac:dyDescent="0.3">
      <c r="A395" s="2" t="s">
        <v>534</v>
      </c>
      <c r="B395" s="2" t="s">
        <v>73</v>
      </c>
      <c r="C395" s="2" t="s">
        <v>106</v>
      </c>
      <c r="D395" s="3">
        <v>45685</v>
      </c>
      <c r="E395" s="3">
        <v>45686</v>
      </c>
      <c r="F395" s="2" t="s">
        <v>74</v>
      </c>
      <c r="G395" s="2" t="s">
        <v>26</v>
      </c>
      <c r="H395" s="3">
        <v>35147</v>
      </c>
      <c r="I395" s="2" t="s">
        <v>151</v>
      </c>
      <c r="J395" s="2" t="s">
        <v>152</v>
      </c>
      <c r="K395" s="2" t="s">
        <v>29</v>
      </c>
      <c r="L395" s="2" t="s">
        <v>108</v>
      </c>
      <c r="M395" s="2">
        <v>6</v>
      </c>
      <c r="N395" s="7">
        <v>8500</v>
      </c>
      <c r="O395" s="2">
        <v>5</v>
      </c>
      <c r="P395" s="7">
        <v>48450</v>
      </c>
      <c r="Q395" s="2">
        <v>5</v>
      </c>
      <c r="R395" s="2" t="s">
        <v>31</v>
      </c>
      <c r="S395" s="2" t="s">
        <v>81</v>
      </c>
      <c r="T395" s="2" t="s">
        <v>94</v>
      </c>
      <c r="U395" s="2">
        <v>9132959877</v>
      </c>
      <c r="V395" s="2" t="s">
        <v>53</v>
      </c>
    </row>
    <row r="396" spans="1:22" x14ac:dyDescent="0.3">
      <c r="A396" s="2" t="s">
        <v>535</v>
      </c>
      <c r="B396" s="2" t="s">
        <v>23</v>
      </c>
      <c r="C396" s="2" t="s">
        <v>106</v>
      </c>
      <c r="D396" s="3">
        <v>46071</v>
      </c>
      <c r="E396" s="3">
        <v>46079</v>
      </c>
      <c r="F396" s="2" t="s">
        <v>25</v>
      </c>
      <c r="G396" s="2" t="s">
        <v>26</v>
      </c>
      <c r="H396" s="3">
        <v>34508</v>
      </c>
      <c r="I396" s="2" t="s">
        <v>92</v>
      </c>
      <c r="J396" s="2" t="s">
        <v>76</v>
      </c>
      <c r="K396" s="2" t="s">
        <v>29</v>
      </c>
      <c r="L396" s="2" t="s">
        <v>108</v>
      </c>
      <c r="M396" s="2">
        <v>15</v>
      </c>
      <c r="N396" s="7">
        <v>8500</v>
      </c>
      <c r="O396" s="2">
        <v>10</v>
      </c>
      <c r="P396" s="7">
        <v>114750</v>
      </c>
      <c r="Q396" s="2">
        <v>1</v>
      </c>
      <c r="R396" s="2" t="s">
        <v>31</v>
      </c>
      <c r="S396" s="2" t="s">
        <v>81</v>
      </c>
      <c r="T396" s="2" t="s">
        <v>43</v>
      </c>
      <c r="U396" s="2">
        <v>9295011645</v>
      </c>
      <c r="V396" s="2" t="s">
        <v>34</v>
      </c>
    </row>
    <row r="397" spans="1:22" x14ac:dyDescent="0.3">
      <c r="A397" s="2" t="s">
        <v>536</v>
      </c>
      <c r="B397" s="2" t="s">
        <v>88</v>
      </c>
      <c r="C397" s="2" t="s">
        <v>36</v>
      </c>
      <c r="D397" s="3">
        <v>45872</v>
      </c>
      <c r="E397" s="3">
        <v>45884</v>
      </c>
      <c r="F397" s="2" t="s">
        <v>119</v>
      </c>
      <c r="G397" s="2" t="s">
        <v>58</v>
      </c>
      <c r="H397" s="3">
        <v>29253</v>
      </c>
      <c r="I397" s="2" t="s">
        <v>27</v>
      </c>
      <c r="J397" s="2" t="s">
        <v>28</v>
      </c>
      <c r="K397" s="2" t="s">
        <v>39</v>
      </c>
      <c r="L397" s="2" t="s">
        <v>40</v>
      </c>
      <c r="M397" s="2">
        <v>19</v>
      </c>
      <c r="N397" s="7">
        <v>12000</v>
      </c>
      <c r="O397" s="2">
        <v>20</v>
      </c>
      <c r="P397" s="7">
        <v>182400</v>
      </c>
      <c r="Q397" s="2">
        <v>5</v>
      </c>
      <c r="R397" s="2" t="s">
        <v>31</v>
      </c>
      <c r="S397" s="2" t="s">
        <v>81</v>
      </c>
      <c r="T397" s="2" t="s">
        <v>90</v>
      </c>
      <c r="U397" s="2">
        <v>9677606427</v>
      </c>
      <c r="V397" s="2" t="s">
        <v>34</v>
      </c>
    </row>
    <row r="398" spans="1:22" x14ac:dyDescent="0.3">
      <c r="A398" s="2" t="s">
        <v>537</v>
      </c>
      <c r="B398" s="2" t="s">
        <v>63</v>
      </c>
      <c r="C398" s="2" t="s">
        <v>113</v>
      </c>
      <c r="D398" s="3">
        <v>45672</v>
      </c>
      <c r="E398" s="3">
        <v>45675</v>
      </c>
      <c r="F398" s="2" t="s">
        <v>111</v>
      </c>
      <c r="G398" s="2" t="s">
        <v>58</v>
      </c>
      <c r="H398" s="3">
        <v>33109</v>
      </c>
      <c r="I398" s="2" t="s">
        <v>37</v>
      </c>
      <c r="J398" s="2" t="s">
        <v>38</v>
      </c>
      <c r="K398" s="2" t="s">
        <v>39</v>
      </c>
      <c r="L398" s="2" t="s">
        <v>115</v>
      </c>
      <c r="M398" s="2">
        <v>5</v>
      </c>
      <c r="N398" s="7">
        <v>700</v>
      </c>
      <c r="O398" s="2">
        <v>0</v>
      </c>
      <c r="P398" s="7">
        <v>3500</v>
      </c>
      <c r="Q398" s="2">
        <v>2</v>
      </c>
      <c r="R398" s="2" t="s">
        <v>60</v>
      </c>
      <c r="S398" s="2" t="s">
        <v>50</v>
      </c>
      <c r="T398" s="2" t="s">
        <v>66</v>
      </c>
      <c r="U398" s="2">
        <v>9161631566</v>
      </c>
      <c r="V398" s="2" t="s">
        <v>53</v>
      </c>
    </row>
    <row r="399" spans="1:22" x14ac:dyDescent="0.3">
      <c r="A399" s="2" t="s">
        <v>538</v>
      </c>
      <c r="B399" s="2" t="s">
        <v>63</v>
      </c>
      <c r="C399" s="2" t="s">
        <v>36</v>
      </c>
      <c r="D399" s="3">
        <v>45688</v>
      </c>
      <c r="E399" s="3">
        <v>45692</v>
      </c>
      <c r="F399" s="2" t="s">
        <v>111</v>
      </c>
      <c r="G399" s="2" t="s">
        <v>58</v>
      </c>
      <c r="H399" s="3">
        <v>28834</v>
      </c>
      <c r="I399" s="2" t="s">
        <v>151</v>
      </c>
      <c r="J399" s="2" t="s">
        <v>152</v>
      </c>
      <c r="K399" s="2" t="s">
        <v>39</v>
      </c>
      <c r="L399" s="2" t="s">
        <v>40</v>
      </c>
      <c r="M399" s="2">
        <v>19</v>
      </c>
      <c r="N399" s="7">
        <v>12000</v>
      </c>
      <c r="O399" s="2">
        <v>0</v>
      </c>
      <c r="P399" s="7">
        <v>228000</v>
      </c>
      <c r="Q399" s="2">
        <v>4</v>
      </c>
      <c r="R399" s="2" t="s">
        <v>65</v>
      </c>
      <c r="S399" s="2" t="s">
        <v>50</v>
      </c>
      <c r="T399" s="2" t="s">
        <v>66</v>
      </c>
      <c r="U399" s="2">
        <v>9136906750</v>
      </c>
      <c r="V399" s="2" t="s">
        <v>52</v>
      </c>
    </row>
    <row r="400" spans="1:22" x14ac:dyDescent="0.3">
      <c r="A400" s="2" t="s">
        <v>539</v>
      </c>
      <c r="B400" s="2" t="s">
        <v>160</v>
      </c>
      <c r="C400" s="2" t="s">
        <v>113</v>
      </c>
      <c r="D400" s="3"/>
      <c r="E400" s="3">
        <v>45964</v>
      </c>
      <c r="F400" s="2" t="s">
        <v>179</v>
      </c>
      <c r="G400" s="2" t="s">
        <v>58</v>
      </c>
      <c r="H400" s="3">
        <v>29099</v>
      </c>
      <c r="I400" s="2" t="s">
        <v>48</v>
      </c>
      <c r="J400" s="2" t="s">
        <v>28</v>
      </c>
      <c r="K400" s="2" t="s">
        <v>39</v>
      </c>
      <c r="L400" s="2" t="s">
        <v>115</v>
      </c>
      <c r="M400" s="2">
        <v>12</v>
      </c>
      <c r="N400" s="7">
        <v>700</v>
      </c>
      <c r="O400" s="2">
        <v>15</v>
      </c>
      <c r="P400" s="7">
        <v>7140</v>
      </c>
      <c r="Q400" s="2">
        <v>3</v>
      </c>
      <c r="R400" s="2" t="s">
        <v>60</v>
      </c>
      <c r="S400" s="2" t="s">
        <v>32</v>
      </c>
      <c r="T400" s="2" t="s">
        <v>162</v>
      </c>
      <c r="U400" s="2">
        <v>9485286324</v>
      </c>
      <c r="V400" s="2" t="s">
        <v>34</v>
      </c>
    </row>
    <row r="401" spans="1:22" x14ac:dyDescent="0.3">
      <c r="A401" s="2" t="s">
        <v>540</v>
      </c>
      <c r="B401" s="2" t="s">
        <v>23</v>
      </c>
      <c r="C401" s="2" t="s">
        <v>56</v>
      </c>
      <c r="D401" s="3">
        <v>45790</v>
      </c>
      <c r="E401" s="3">
        <v>45798</v>
      </c>
      <c r="F401" s="2" t="s">
        <v>25</v>
      </c>
      <c r="G401" s="2" t="s">
        <v>26</v>
      </c>
      <c r="H401" s="3">
        <v>36989</v>
      </c>
      <c r="I401" s="2" t="s">
        <v>37</v>
      </c>
      <c r="J401" s="2" t="s">
        <v>38</v>
      </c>
      <c r="K401" s="2" t="s">
        <v>39</v>
      </c>
      <c r="L401" s="2" t="s">
        <v>59</v>
      </c>
      <c r="M401" s="2">
        <v>16</v>
      </c>
      <c r="N401" s="7">
        <v>1200</v>
      </c>
      <c r="O401" s="2">
        <v>20</v>
      </c>
      <c r="P401" s="7">
        <v>15360</v>
      </c>
      <c r="Q401" s="2">
        <v>1</v>
      </c>
      <c r="R401" s="2" t="s">
        <v>31</v>
      </c>
      <c r="S401" s="2" t="s">
        <v>42</v>
      </c>
      <c r="T401" s="2" t="s">
        <v>43</v>
      </c>
      <c r="U401" s="2">
        <v>9414633966</v>
      </c>
      <c r="V401" s="2" t="s">
        <v>52</v>
      </c>
    </row>
    <row r="402" spans="1:22" x14ac:dyDescent="0.3">
      <c r="A402" s="2" t="s">
        <v>541</v>
      </c>
      <c r="B402" s="2" t="s">
        <v>55</v>
      </c>
      <c r="C402" s="2" t="s">
        <v>106</v>
      </c>
      <c r="D402" s="3">
        <v>46018</v>
      </c>
      <c r="E402" s="3">
        <v>46026</v>
      </c>
      <c r="F402" s="2" t="s">
        <v>125</v>
      </c>
      <c r="G402" s="2" t="s">
        <v>58</v>
      </c>
      <c r="H402" s="3">
        <v>30317</v>
      </c>
      <c r="I402" s="2" t="s">
        <v>27</v>
      </c>
      <c r="J402" s="2" t="s">
        <v>28</v>
      </c>
      <c r="K402" s="2" t="s">
        <v>29</v>
      </c>
      <c r="L402" s="2" t="s">
        <v>108</v>
      </c>
      <c r="M402" s="2">
        <v>10</v>
      </c>
      <c r="N402" s="7">
        <v>8500</v>
      </c>
      <c r="O402" s="2">
        <v>5</v>
      </c>
      <c r="P402" s="7">
        <v>80750</v>
      </c>
      <c r="Q402" s="2">
        <v>5</v>
      </c>
      <c r="R402" s="2" t="s">
        <v>41</v>
      </c>
      <c r="S402" s="2" t="s">
        <v>32</v>
      </c>
      <c r="T402" s="2" t="s">
        <v>61</v>
      </c>
      <c r="U402" s="2">
        <v>9833735234</v>
      </c>
      <c r="V402" s="2" t="s">
        <v>34</v>
      </c>
    </row>
    <row r="403" spans="1:22" x14ac:dyDescent="0.3">
      <c r="A403" s="2" t="s">
        <v>542</v>
      </c>
      <c r="B403" s="2" t="s">
        <v>23</v>
      </c>
      <c r="C403" s="2" t="s">
        <v>128</v>
      </c>
      <c r="D403" s="3">
        <v>45699</v>
      </c>
      <c r="E403" s="3">
        <v>45709</v>
      </c>
      <c r="F403" s="2" t="s">
        <v>25</v>
      </c>
      <c r="G403" s="2" t="s">
        <v>26</v>
      </c>
      <c r="H403" s="3">
        <v>32729</v>
      </c>
      <c r="I403" s="2" t="s">
        <v>92</v>
      </c>
      <c r="J403" s="2" t="s">
        <v>76</v>
      </c>
      <c r="K403" s="2" t="s">
        <v>84</v>
      </c>
      <c r="L403" s="2" t="s">
        <v>130</v>
      </c>
      <c r="M403" s="2">
        <v>18</v>
      </c>
      <c r="N403" s="7">
        <v>20</v>
      </c>
      <c r="O403" s="2">
        <v>20</v>
      </c>
      <c r="P403" s="7">
        <v>288</v>
      </c>
      <c r="Q403" s="2">
        <v>1</v>
      </c>
      <c r="R403" s="2" t="s">
        <v>65</v>
      </c>
      <c r="S403" s="2" t="s">
        <v>32</v>
      </c>
      <c r="T403" s="2" t="s">
        <v>43</v>
      </c>
      <c r="U403" s="2">
        <v>9523689108</v>
      </c>
      <c r="V403" s="2" t="s">
        <v>52</v>
      </c>
    </row>
    <row r="404" spans="1:22" x14ac:dyDescent="0.3">
      <c r="A404" s="2" t="s">
        <v>543</v>
      </c>
      <c r="B404" s="2" t="s">
        <v>55</v>
      </c>
      <c r="C404" s="2" t="s">
        <v>106</v>
      </c>
      <c r="D404" s="3">
        <v>46094</v>
      </c>
      <c r="E404" s="3">
        <v>46100</v>
      </c>
      <c r="F404" s="2" t="s">
        <v>125</v>
      </c>
      <c r="G404" s="2" t="s">
        <v>58</v>
      </c>
      <c r="H404" s="3">
        <v>34264</v>
      </c>
      <c r="I404" s="2" t="s">
        <v>75</v>
      </c>
      <c r="J404" s="2" t="s">
        <v>76</v>
      </c>
      <c r="K404" s="2" t="s">
        <v>29</v>
      </c>
      <c r="L404" s="2" t="s">
        <v>108</v>
      </c>
      <c r="M404" s="2">
        <v>9</v>
      </c>
      <c r="N404" s="7">
        <v>8500</v>
      </c>
      <c r="O404" s="2">
        <v>0</v>
      </c>
      <c r="P404" s="7">
        <v>76500</v>
      </c>
      <c r="Q404" s="2">
        <v>2</v>
      </c>
      <c r="R404" s="2" t="s">
        <v>60</v>
      </c>
      <c r="S404" s="2" t="s">
        <v>32</v>
      </c>
      <c r="T404" s="2" t="s">
        <v>61</v>
      </c>
      <c r="U404" s="2">
        <v>9812909831</v>
      </c>
      <c r="V404" s="2" t="s">
        <v>52</v>
      </c>
    </row>
    <row r="405" spans="1:22" x14ac:dyDescent="0.3">
      <c r="A405" s="2" t="s">
        <v>544</v>
      </c>
      <c r="B405" s="2" t="s">
        <v>23</v>
      </c>
      <c r="C405" s="2" t="s">
        <v>106</v>
      </c>
      <c r="D405" s="3">
        <v>45931</v>
      </c>
      <c r="E405" s="3">
        <v>45942</v>
      </c>
      <c r="F405" s="2" t="s">
        <v>25</v>
      </c>
      <c r="G405" s="2" t="s">
        <v>26</v>
      </c>
      <c r="H405" s="3">
        <v>36651</v>
      </c>
      <c r="I405" s="2" t="s">
        <v>75</v>
      </c>
      <c r="J405" s="2" t="s">
        <v>76</v>
      </c>
      <c r="K405" s="2" t="s">
        <v>29</v>
      </c>
      <c r="L405" s="2" t="s">
        <v>108</v>
      </c>
      <c r="M405" s="2">
        <v>8</v>
      </c>
      <c r="N405" s="7">
        <v>8500</v>
      </c>
      <c r="O405" s="2">
        <v>10</v>
      </c>
      <c r="P405" s="7">
        <v>61200</v>
      </c>
      <c r="Q405" s="2">
        <v>4</v>
      </c>
      <c r="R405" s="2" t="s">
        <v>31</v>
      </c>
      <c r="S405" s="2" t="s">
        <v>81</v>
      </c>
      <c r="T405" s="2" t="s">
        <v>43</v>
      </c>
      <c r="U405" s="2">
        <v>9106290987</v>
      </c>
      <c r="V405" s="2" t="s">
        <v>53</v>
      </c>
    </row>
    <row r="406" spans="1:22" x14ac:dyDescent="0.3">
      <c r="A406" s="2" t="s">
        <v>545</v>
      </c>
      <c r="B406" s="2" t="s">
        <v>45</v>
      </c>
      <c r="C406" s="2" t="s">
        <v>128</v>
      </c>
      <c r="D406" s="3">
        <v>46048</v>
      </c>
      <c r="E406" s="3">
        <v>46054</v>
      </c>
      <c r="F406" s="2" t="s">
        <v>102</v>
      </c>
      <c r="G406" s="2" t="s">
        <v>26</v>
      </c>
      <c r="H406" s="3">
        <v>30730</v>
      </c>
      <c r="I406" s="2" t="s">
        <v>80</v>
      </c>
      <c r="J406" s="2" t="s">
        <v>76</v>
      </c>
      <c r="K406" s="2" t="s">
        <v>84</v>
      </c>
      <c r="L406" s="2" t="s">
        <v>130</v>
      </c>
      <c r="M406" s="2">
        <v>3</v>
      </c>
      <c r="N406" s="7">
        <v>20</v>
      </c>
      <c r="O406" s="2">
        <v>10</v>
      </c>
      <c r="P406" s="7">
        <v>54</v>
      </c>
      <c r="Q406" s="2">
        <v>3</v>
      </c>
      <c r="R406" s="2" t="s">
        <v>60</v>
      </c>
      <c r="S406" s="2" t="s">
        <v>97</v>
      </c>
      <c r="T406" s="2" t="s">
        <v>51</v>
      </c>
      <c r="U406" s="2">
        <v>9767727724</v>
      </c>
      <c r="V406" s="2" t="s">
        <v>52</v>
      </c>
    </row>
    <row r="407" spans="1:22" x14ac:dyDescent="0.3">
      <c r="A407" s="2" t="s">
        <v>546</v>
      </c>
      <c r="B407" s="2" t="s">
        <v>105</v>
      </c>
      <c r="C407" s="2" t="s">
        <v>106</v>
      </c>
      <c r="D407" s="3">
        <v>45840</v>
      </c>
      <c r="E407" s="3">
        <v>45850</v>
      </c>
      <c r="F407" s="2" t="s">
        <v>170</v>
      </c>
      <c r="G407" s="2" t="s">
        <v>26</v>
      </c>
      <c r="H407" s="3">
        <v>33402</v>
      </c>
      <c r="I407" s="2" t="s">
        <v>151</v>
      </c>
      <c r="J407" s="2" t="s">
        <v>152</v>
      </c>
      <c r="K407" s="2" t="s">
        <v>29</v>
      </c>
      <c r="L407" s="2" t="s">
        <v>108</v>
      </c>
      <c r="M407" s="2">
        <v>18</v>
      </c>
      <c r="N407" s="7">
        <v>8500</v>
      </c>
      <c r="O407" s="2">
        <v>10</v>
      </c>
      <c r="P407" s="7">
        <v>137700</v>
      </c>
      <c r="Q407" s="2">
        <v>4</v>
      </c>
      <c r="R407" s="2" t="s">
        <v>31</v>
      </c>
      <c r="S407" s="2" t="s">
        <v>42</v>
      </c>
      <c r="T407" s="2" t="s">
        <v>109</v>
      </c>
      <c r="U407" s="2">
        <v>9865401727</v>
      </c>
      <c r="V407" s="2" t="s">
        <v>53</v>
      </c>
    </row>
    <row r="408" spans="1:22" x14ac:dyDescent="0.3">
      <c r="A408" s="2" t="s">
        <v>547</v>
      </c>
      <c r="B408" s="2" t="s">
        <v>45</v>
      </c>
      <c r="C408" s="2" t="s">
        <v>141</v>
      </c>
      <c r="D408" s="3">
        <v>45935</v>
      </c>
      <c r="E408" s="3">
        <v>45939</v>
      </c>
      <c r="F408" s="2" t="s">
        <v>102</v>
      </c>
      <c r="G408" s="2" t="s">
        <v>26</v>
      </c>
      <c r="H408" s="3">
        <v>35204</v>
      </c>
      <c r="I408" s="2" t="s">
        <v>80</v>
      </c>
      <c r="J408" s="2" t="s">
        <v>76</v>
      </c>
      <c r="K408" s="2" t="s">
        <v>84</v>
      </c>
      <c r="L408" s="2" t="s">
        <v>142</v>
      </c>
      <c r="M408" s="2">
        <v>5</v>
      </c>
      <c r="N408" s="7">
        <v>45</v>
      </c>
      <c r="O408" s="2">
        <v>10</v>
      </c>
      <c r="P408" s="7">
        <v>202.5</v>
      </c>
      <c r="Q408" s="2">
        <v>3</v>
      </c>
      <c r="R408" s="2" t="s">
        <v>31</v>
      </c>
      <c r="S408" s="2" t="s">
        <v>81</v>
      </c>
      <c r="T408" s="2" t="s">
        <v>51</v>
      </c>
      <c r="U408" s="2">
        <v>9603848571</v>
      </c>
      <c r="V408" s="2" t="s">
        <v>52</v>
      </c>
    </row>
    <row r="409" spans="1:22" x14ac:dyDescent="0.3">
      <c r="A409" s="2" t="s">
        <v>548</v>
      </c>
      <c r="B409" s="2" t="s">
        <v>55</v>
      </c>
      <c r="C409" s="2" t="s">
        <v>141</v>
      </c>
      <c r="D409" s="3">
        <v>45807</v>
      </c>
      <c r="E409" s="3">
        <v>45810</v>
      </c>
      <c r="F409" s="2" t="s">
        <v>125</v>
      </c>
      <c r="G409" s="2" t="s">
        <v>58</v>
      </c>
      <c r="H409" s="3">
        <v>33747</v>
      </c>
      <c r="I409" s="2" t="s">
        <v>75</v>
      </c>
      <c r="J409" s="2" t="s">
        <v>76</v>
      </c>
      <c r="K409" s="2" t="s">
        <v>84</v>
      </c>
      <c r="L409" s="2" t="s">
        <v>142</v>
      </c>
      <c r="M409" s="2">
        <v>2</v>
      </c>
      <c r="N409" s="7">
        <v>45</v>
      </c>
      <c r="O409" s="2">
        <v>20</v>
      </c>
      <c r="P409" s="7">
        <v>72</v>
      </c>
      <c r="Q409" s="2">
        <v>5</v>
      </c>
      <c r="R409" s="2" t="s">
        <v>65</v>
      </c>
      <c r="S409" s="2" t="s">
        <v>50</v>
      </c>
      <c r="T409" s="2" t="s">
        <v>61</v>
      </c>
      <c r="U409" s="2">
        <v>9101231789</v>
      </c>
      <c r="V409" s="2" t="s">
        <v>53</v>
      </c>
    </row>
    <row r="410" spans="1:22" x14ac:dyDescent="0.3">
      <c r="A410" s="2" t="s">
        <v>549</v>
      </c>
      <c r="B410" s="2" t="s">
        <v>73</v>
      </c>
      <c r="C410" s="2" t="s">
        <v>141</v>
      </c>
      <c r="D410" s="3">
        <v>45684</v>
      </c>
      <c r="E410" s="3">
        <v>45694</v>
      </c>
      <c r="F410" s="2" t="s">
        <v>74</v>
      </c>
      <c r="G410" s="2" t="s">
        <v>26</v>
      </c>
      <c r="H410" s="3">
        <v>32309</v>
      </c>
      <c r="I410" s="2" t="s">
        <v>27</v>
      </c>
      <c r="J410" s="2" t="s">
        <v>28</v>
      </c>
      <c r="K410" s="2" t="s">
        <v>84</v>
      </c>
      <c r="L410" s="2" t="s">
        <v>142</v>
      </c>
      <c r="M410" s="2">
        <v>18</v>
      </c>
      <c r="N410" s="7">
        <v>45</v>
      </c>
      <c r="O410" s="2">
        <v>10</v>
      </c>
      <c r="P410" s="7">
        <v>729</v>
      </c>
      <c r="Q410" s="2">
        <v>2</v>
      </c>
      <c r="R410" s="2" t="s">
        <v>41</v>
      </c>
      <c r="S410" s="2" t="s">
        <v>81</v>
      </c>
      <c r="T410" s="2" t="s">
        <v>94</v>
      </c>
      <c r="U410" s="2">
        <v>9485017802</v>
      </c>
      <c r="V410" s="2" t="s">
        <v>52</v>
      </c>
    </row>
    <row r="411" spans="1:22" x14ac:dyDescent="0.3">
      <c r="A411" s="2" t="s">
        <v>550</v>
      </c>
      <c r="B411" s="2" t="s">
        <v>88</v>
      </c>
      <c r="C411" s="2" t="s">
        <v>56</v>
      </c>
      <c r="D411" s="3">
        <v>46015</v>
      </c>
      <c r="E411" s="3">
        <v>46023</v>
      </c>
      <c r="F411" s="2" t="s">
        <v>119</v>
      </c>
      <c r="G411" s="2" t="s">
        <v>58</v>
      </c>
      <c r="H411" s="3">
        <v>34172</v>
      </c>
      <c r="I411" s="2" t="s">
        <v>151</v>
      </c>
      <c r="J411" s="2" t="s">
        <v>152</v>
      </c>
      <c r="K411" s="2" t="s">
        <v>39</v>
      </c>
      <c r="L411" s="2" t="s">
        <v>59</v>
      </c>
      <c r="M411" s="2">
        <v>13</v>
      </c>
      <c r="N411" s="7">
        <v>1200</v>
      </c>
      <c r="O411" s="2">
        <v>5</v>
      </c>
      <c r="P411" s="7">
        <v>14820</v>
      </c>
      <c r="Q411" s="2">
        <v>4</v>
      </c>
      <c r="R411" s="2" t="s">
        <v>60</v>
      </c>
      <c r="S411" s="2" t="s">
        <v>81</v>
      </c>
      <c r="T411" s="2" t="s">
        <v>90</v>
      </c>
      <c r="U411" s="2">
        <v>9815464650</v>
      </c>
      <c r="V411" s="2" t="s">
        <v>34</v>
      </c>
    </row>
    <row r="412" spans="1:22" x14ac:dyDescent="0.3">
      <c r="A412" s="2" t="s">
        <v>551</v>
      </c>
      <c r="B412" s="2" t="s">
        <v>23</v>
      </c>
      <c r="C412" s="2" t="s">
        <v>128</v>
      </c>
      <c r="D412" s="3">
        <v>46153</v>
      </c>
      <c r="E412" s="3">
        <v>46159</v>
      </c>
      <c r="F412" s="2" t="s">
        <v>25</v>
      </c>
      <c r="G412" s="2" t="s">
        <v>26</v>
      </c>
      <c r="H412" s="3">
        <v>38020</v>
      </c>
      <c r="I412" s="2" t="s">
        <v>27</v>
      </c>
      <c r="J412" s="2" t="s">
        <v>28</v>
      </c>
      <c r="K412" s="2" t="s">
        <v>84</v>
      </c>
      <c r="L412" s="2" t="s">
        <v>130</v>
      </c>
      <c r="M412" s="2">
        <v>14</v>
      </c>
      <c r="N412" s="7">
        <v>20</v>
      </c>
      <c r="O412" s="2">
        <v>20</v>
      </c>
      <c r="P412" s="7">
        <v>224</v>
      </c>
      <c r="Q412" s="2">
        <v>5</v>
      </c>
      <c r="R412" s="2" t="s">
        <v>65</v>
      </c>
      <c r="S412" s="2" t="s">
        <v>42</v>
      </c>
      <c r="T412" s="2" t="s">
        <v>43</v>
      </c>
      <c r="U412" s="2">
        <v>9860715839</v>
      </c>
      <c r="V412" s="2" t="s">
        <v>52</v>
      </c>
    </row>
    <row r="413" spans="1:22" x14ac:dyDescent="0.3">
      <c r="A413" s="2" t="s">
        <v>552</v>
      </c>
      <c r="B413" s="2" t="s">
        <v>73</v>
      </c>
      <c r="C413" s="2" t="s">
        <v>68</v>
      </c>
      <c r="D413" s="3">
        <v>46064</v>
      </c>
      <c r="E413" s="3">
        <v>46076</v>
      </c>
      <c r="F413" s="2" t="s">
        <v>74</v>
      </c>
      <c r="G413" s="2" t="s">
        <v>26</v>
      </c>
      <c r="H413" s="3">
        <v>28847</v>
      </c>
      <c r="I413" s="2" t="s">
        <v>27</v>
      </c>
      <c r="J413" s="2" t="s">
        <v>28</v>
      </c>
      <c r="K413" s="2" t="s">
        <v>29</v>
      </c>
      <c r="L413" s="2" t="s">
        <v>71</v>
      </c>
      <c r="M413" s="2">
        <v>16</v>
      </c>
      <c r="N413" s="7">
        <v>3500</v>
      </c>
      <c r="O413" s="2">
        <v>15</v>
      </c>
      <c r="P413" s="7">
        <v>47600</v>
      </c>
      <c r="Q413" s="2">
        <v>3</v>
      </c>
      <c r="R413" s="2" t="s">
        <v>65</v>
      </c>
      <c r="S413" s="2" t="s">
        <v>50</v>
      </c>
      <c r="T413" s="2" t="s">
        <v>94</v>
      </c>
      <c r="U413" s="2">
        <v>9207561051</v>
      </c>
      <c r="V413" s="2" t="s">
        <v>53</v>
      </c>
    </row>
    <row r="414" spans="1:22" x14ac:dyDescent="0.3">
      <c r="A414" s="2" t="s">
        <v>553</v>
      </c>
      <c r="B414" s="2" t="s">
        <v>137</v>
      </c>
      <c r="C414" s="2" t="s">
        <v>128</v>
      </c>
      <c r="D414" s="3">
        <v>45704</v>
      </c>
      <c r="E414" s="3">
        <v>45712</v>
      </c>
      <c r="F414" s="2" t="s">
        <v>138</v>
      </c>
      <c r="G414" s="2" t="s">
        <v>26</v>
      </c>
      <c r="H414" s="3">
        <v>34257</v>
      </c>
      <c r="I414" s="2" t="s">
        <v>48</v>
      </c>
      <c r="J414" s="2" t="s">
        <v>28</v>
      </c>
      <c r="K414" s="2" t="s">
        <v>84</v>
      </c>
      <c r="L414" s="2" t="s">
        <v>130</v>
      </c>
      <c r="M414" s="2">
        <v>20</v>
      </c>
      <c r="N414" s="7">
        <v>20</v>
      </c>
      <c r="O414" s="2">
        <v>15</v>
      </c>
      <c r="P414" s="7">
        <v>340</v>
      </c>
      <c r="Q414" s="2">
        <v>1</v>
      </c>
      <c r="R414" s="2" t="s">
        <v>41</v>
      </c>
      <c r="S414" s="2" t="s">
        <v>50</v>
      </c>
      <c r="T414" s="2" t="s">
        <v>139</v>
      </c>
      <c r="U414" s="2">
        <v>9159894508</v>
      </c>
      <c r="V414" s="2" t="s">
        <v>53</v>
      </c>
    </row>
    <row r="415" spans="1:22" x14ac:dyDescent="0.3">
      <c r="A415" s="2" t="s">
        <v>554</v>
      </c>
      <c r="B415" s="2" t="s">
        <v>105</v>
      </c>
      <c r="C415" s="2" t="s">
        <v>46</v>
      </c>
      <c r="D415" s="3">
        <v>45756</v>
      </c>
      <c r="E415" s="3">
        <v>45761</v>
      </c>
      <c r="F415" s="2" t="s">
        <v>170</v>
      </c>
      <c r="G415" s="2" t="s">
        <v>26</v>
      </c>
      <c r="H415" s="3">
        <v>29201</v>
      </c>
      <c r="I415" s="2" t="s">
        <v>92</v>
      </c>
      <c r="J415" s="2" t="s">
        <v>76</v>
      </c>
      <c r="K415" s="2" t="s">
        <v>39</v>
      </c>
      <c r="L415" s="2" t="s">
        <v>49</v>
      </c>
      <c r="M415" s="2">
        <v>1</v>
      </c>
      <c r="N415" s="7">
        <v>55000</v>
      </c>
      <c r="O415" s="2">
        <v>15</v>
      </c>
      <c r="P415" s="7">
        <v>46750</v>
      </c>
      <c r="Q415" s="2">
        <v>2</v>
      </c>
      <c r="R415" s="2" t="s">
        <v>65</v>
      </c>
      <c r="S415" s="2" t="s">
        <v>81</v>
      </c>
      <c r="T415" s="2" t="s">
        <v>109</v>
      </c>
      <c r="U415" s="2">
        <v>9531465024</v>
      </c>
      <c r="V415" s="2" t="s">
        <v>53</v>
      </c>
    </row>
    <row r="416" spans="1:22" x14ac:dyDescent="0.3">
      <c r="A416" s="2" t="s">
        <v>555</v>
      </c>
      <c r="B416" s="2" t="s">
        <v>73</v>
      </c>
      <c r="C416" s="2" t="s">
        <v>83</v>
      </c>
      <c r="D416" s="3">
        <v>45672</v>
      </c>
      <c r="E416" s="3">
        <v>45677</v>
      </c>
      <c r="F416" s="2" t="s">
        <v>74</v>
      </c>
      <c r="G416" s="2" t="s">
        <v>26</v>
      </c>
      <c r="H416" s="3">
        <v>37400</v>
      </c>
      <c r="I416" s="2" t="s">
        <v>92</v>
      </c>
      <c r="J416" s="2" t="s">
        <v>76</v>
      </c>
      <c r="K416" s="2" t="s">
        <v>84</v>
      </c>
      <c r="L416" s="2" t="s">
        <v>85</v>
      </c>
      <c r="M416" s="2">
        <v>15</v>
      </c>
      <c r="N416" s="7">
        <v>60</v>
      </c>
      <c r="O416" s="2">
        <v>5</v>
      </c>
      <c r="P416" s="7">
        <v>855</v>
      </c>
      <c r="Q416" s="2">
        <v>4</v>
      </c>
      <c r="R416" s="2" t="s">
        <v>41</v>
      </c>
      <c r="S416" s="2" t="s">
        <v>50</v>
      </c>
      <c r="T416" s="2" t="s">
        <v>94</v>
      </c>
      <c r="U416" s="2">
        <v>9158813608</v>
      </c>
      <c r="V416" s="2" t="s">
        <v>34</v>
      </c>
    </row>
    <row r="417" spans="1:22" x14ac:dyDescent="0.3">
      <c r="A417" s="2" t="s">
        <v>556</v>
      </c>
      <c r="B417" s="2" t="s">
        <v>63</v>
      </c>
      <c r="C417" s="2" t="s">
        <v>113</v>
      </c>
      <c r="D417" s="3">
        <v>46108</v>
      </c>
      <c r="E417" s="3">
        <v>46114</v>
      </c>
      <c r="F417" s="2" t="s">
        <v>111</v>
      </c>
      <c r="G417" s="2" t="s">
        <v>58</v>
      </c>
      <c r="H417" s="3">
        <v>27828</v>
      </c>
      <c r="I417" s="2" t="s">
        <v>75</v>
      </c>
      <c r="J417" s="2" t="s">
        <v>76</v>
      </c>
      <c r="K417" s="2" t="s">
        <v>39</v>
      </c>
      <c r="L417" s="2" t="s">
        <v>115</v>
      </c>
      <c r="M417" s="2">
        <v>15</v>
      </c>
      <c r="N417" s="7">
        <v>700</v>
      </c>
      <c r="O417" s="2">
        <v>0</v>
      </c>
      <c r="P417" s="7">
        <v>10500</v>
      </c>
      <c r="Q417" s="2">
        <v>5</v>
      </c>
      <c r="R417" s="2" t="s">
        <v>41</v>
      </c>
      <c r="S417" s="2" t="s">
        <v>81</v>
      </c>
      <c r="T417" s="2" t="s">
        <v>66</v>
      </c>
      <c r="U417" s="2">
        <v>9308461700</v>
      </c>
      <c r="V417" s="2" t="s">
        <v>34</v>
      </c>
    </row>
    <row r="418" spans="1:22" x14ac:dyDescent="0.3">
      <c r="A418" s="2" t="s">
        <v>557</v>
      </c>
      <c r="B418" s="2" t="s">
        <v>127</v>
      </c>
      <c r="C418" s="2" t="s">
        <v>36</v>
      </c>
      <c r="D418" s="3">
        <v>46027</v>
      </c>
      <c r="E418" s="3">
        <v>46031</v>
      </c>
      <c r="F418" s="2" t="s">
        <v>129</v>
      </c>
      <c r="G418" s="2" t="s">
        <v>58</v>
      </c>
      <c r="H418" s="3">
        <v>29484</v>
      </c>
      <c r="I418" s="2" t="s">
        <v>151</v>
      </c>
      <c r="J418" s="2" t="s">
        <v>152</v>
      </c>
      <c r="K418" s="2" t="s">
        <v>39</v>
      </c>
      <c r="L418" s="2" t="s">
        <v>40</v>
      </c>
      <c r="M418" s="2">
        <v>13</v>
      </c>
      <c r="N418" s="7">
        <v>12000</v>
      </c>
      <c r="O418" s="2">
        <v>10</v>
      </c>
      <c r="P418" s="7">
        <v>140400</v>
      </c>
      <c r="Q418" s="2">
        <v>1</v>
      </c>
      <c r="R418" s="2" t="s">
        <v>31</v>
      </c>
      <c r="S418" s="2" t="s">
        <v>97</v>
      </c>
      <c r="T418" s="2" t="s">
        <v>131</v>
      </c>
      <c r="U418" s="2">
        <v>9882279049</v>
      </c>
      <c r="V418" s="2" t="s">
        <v>53</v>
      </c>
    </row>
    <row r="419" spans="1:22" x14ac:dyDescent="0.3">
      <c r="A419" s="2" t="s">
        <v>558</v>
      </c>
      <c r="B419" s="2" t="s">
        <v>63</v>
      </c>
      <c r="C419" s="2" t="s">
        <v>36</v>
      </c>
      <c r="D419" s="3">
        <v>46129</v>
      </c>
      <c r="E419" s="3">
        <v>46141</v>
      </c>
      <c r="F419" s="2" t="s">
        <v>111</v>
      </c>
      <c r="G419" s="2" t="s">
        <v>58</v>
      </c>
      <c r="H419" s="3">
        <v>32318</v>
      </c>
      <c r="I419" s="2" t="s">
        <v>27</v>
      </c>
      <c r="J419" s="2" t="s">
        <v>28</v>
      </c>
      <c r="K419" s="2" t="s">
        <v>39</v>
      </c>
      <c r="L419" s="2" t="s">
        <v>40</v>
      </c>
      <c r="M419" s="2">
        <v>12</v>
      </c>
      <c r="N419" s="7">
        <v>12000</v>
      </c>
      <c r="O419" s="2">
        <v>20</v>
      </c>
      <c r="P419" s="7">
        <v>115200</v>
      </c>
      <c r="Q419" s="2">
        <v>2</v>
      </c>
      <c r="R419" s="2" t="s">
        <v>31</v>
      </c>
      <c r="S419" s="2" t="s">
        <v>32</v>
      </c>
      <c r="T419" s="2" t="s">
        <v>66</v>
      </c>
      <c r="U419" s="2">
        <v>9961801338</v>
      </c>
      <c r="V419" s="2" t="s">
        <v>34</v>
      </c>
    </row>
    <row r="420" spans="1:22" x14ac:dyDescent="0.3">
      <c r="A420" s="2" t="s">
        <v>559</v>
      </c>
      <c r="B420" s="2" t="s">
        <v>63</v>
      </c>
      <c r="C420" s="2" t="s">
        <v>141</v>
      </c>
      <c r="D420" s="3">
        <v>45741</v>
      </c>
      <c r="E420" s="3">
        <v>45745</v>
      </c>
      <c r="F420" s="2" t="s">
        <v>111</v>
      </c>
      <c r="G420" s="2" t="s">
        <v>58</v>
      </c>
      <c r="H420" s="3">
        <v>37783</v>
      </c>
      <c r="I420" s="2" t="s">
        <v>75</v>
      </c>
      <c r="J420" s="2" t="s">
        <v>76</v>
      </c>
      <c r="K420" s="2" t="s">
        <v>84</v>
      </c>
      <c r="L420" s="2" t="s">
        <v>142</v>
      </c>
      <c r="M420" s="2">
        <v>10</v>
      </c>
      <c r="N420" s="7">
        <v>45</v>
      </c>
      <c r="O420" s="2">
        <v>0</v>
      </c>
      <c r="P420" s="7">
        <v>450</v>
      </c>
      <c r="Q420" s="2">
        <v>5</v>
      </c>
      <c r="R420" s="2" t="s">
        <v>60</v>
      </c>
      <c r="S420" s="2" t="s">
        <v>81</v>
      </c>
      <c r="T420" s="2" t="s">
        <v>66</v>
      </c>
      <c r="U420" s="2">
        <v>9853525026</v>
      </c>
      <c r="V420" s="2" t="s">
        <v>53</v>
      </c>
    </row>
    <row r="421" spans="1:22" x14ac:dyDescent="0.3">
      <c r="A421" s="2" t="s">
        <v>560</v>
      </c>
      <c r="B421" s="2" t="s">
        <v>88</v>
      </c>
      <c r="C421" s="2" t="s">
        <v>56</v>
      </c>
      <c r="D421" s="3">
        <v>45774</v>
      </c>
      <c r="E421" s="3">
        <v>45786</v>
      </c>
      <c r="F421" s="2" t="s">
        <v>119</v>
      </c>
      <c r="G421" s="2" t="s">
        <v>58</v>
      </c>
      <c r="H421" s="3">
        <v>29930</v>
      </c>
      <c r="I421" s="2" t="s">
        <v>75</v>
      </c>
      <c r="J421" s="2" t="s">
        <v>76</v>
      </c>
      <c r="K421" s="2" t="s">
        <v>39</v>
      </c>
      <c r="L421" s="2" t="s">
        <v>59</v>
      </c>
      <c r="M421" s="2">
        <v>20</v>
      </c>
      <c r="N421" s="7">
        <v>1200</v>
      </c>
      <c r="O421" s="2">
        <v>20</v>
      </c>
      <c r="P421" s="7">
        <v>19200</v>
      </c>
      <c r="Q421" s="2">
        <v>5</v>
      </c>
      <c r="R421" s="2" t="s">
        <v>41</v>
      </c>
      <c r="S421" s="2" t="s">
        <v>50</v>
      </c>
      <c r="T421" s="2" t="s">
        <v>90</v>
      </c>
      <c r="U421" s="2">
        <v>9209649485</v>
      </c>
      <c r="V421" s="2" t="s">
        <v>53</v>
      </c>
    </row>
    <row r="422" spans="1:22" x14ac:dyDescent="0.3">
      <c r="A422" s="2" t="s">
        <v>561</v>
      </c>
      <c r="B422" s="2" t="s">
        <v>55</v>
      </c>
      <c r="C422" s="2" t="s">
        <v>56</v>
      </c>
      <c r="D422" s="3">
        <v>45919</v>
      </c>
      <c r="E422" s="3">
        <v>45926</v>
      </c>
      <c r="F422" s="2" t="s">
        <v>125</v>
      </c>
      <c r="G422" s="2" t="s">
        <v>58</v>
      </c>
      <c r="H422" s="3">
        <v>27449</v>
      </c>
      <c r="I422" s="2" t="s">
        <v>80</v>
      </c>
      <c r="J422" s="2" t="s">
        <v>76</v>
      </c>
      <c r="K422" s="2" t="s">
        <v>39</v>
      </c>
      <c r="L422" s="2" t="s">
        <v>59</v>
      </c>
      <c r="M422" s="2">
        <v>8</v>
      </c>
      <c r="N422" s="7">
        <v>1200</v>
      </c>
      <c r="O422" s="2">
        <v>10</v>
      </c>
      <c r="P422" s="7">
        <v>8640</v>
      </c>
      <c r="Q422" s="2">
        <v>4</v>
      </c>
      <c r="R422" s="2" t="s">
        <v>41</v>
      </c>
      <c r="S422" s="2" t="s">
        <v>50</v>
      </c>
      <c r="T422" s="2" t="s">
        <v>61</v>
      </c>
      <c r="U422" s="2">
        <v>9712905525</v>
      </c>
      <c r="V422" s="2" t="s">
        <v>34</v>
      </c>
    </row>
    <row r="423" spans="1:22" x14ac:dyDescent="0.3">
      <c r="A423" s="2" t="s">
        <v>562</v>
      </c>
      <c r="B423" s="2" t="s">
        <v>88</v>
      </c>
      <c r="C423" s="2" t="s">
        <v>56</v>
      </c>
      <c r="D423" s="3">
        <v>45795</v>
      </c>
      <c r="E423" s="3">
        <v>45797</v>
      </c>
      <c r="F423" s="2" t="s">
        <v>119</v>
      </c>
      <c r="G423" s="2" t="s">
        <v>58</v>
      </c>
      <c r="H423" s="3">
        <v>28395</v>
      </c>
      <c r="I423" s="2" t="s">
        <v>123</v>
      </c>
      <c r="J423" s="2" t="s">
        <v>38</v>
      </c>
      <c r="K423" s="2" t="s">
        <v>39</v>
      </c>
      <c r="L423" s="2" t="s">
        <v>59</v>
      </c>
      <c r="M423" s="2">
        <v>8</v>
      </c>
      <c r="N423" s="7">
        <v>1200</v>
      </c>
      <c r="O423" s="2">
        <v>10</v>
      </c>
      <c r="P423" s="7">
        <v>8640</v>
      </c>
      <c r="Q423" s="2">
        <v>5</v>
      </c>
      <c r="R423" s="2" t="s">
        <v>60</v>
      </c>
      <c r="S423" s="2" t="s">
        <v>42</v>
      </c>
      <c r="T423" s="2" t="s">
        <v>90</v>
      </c>
      <c r="U423" s="2">
        <v>9812472447</v>
      </c>
      <c r="V423" s="2" t="s">
        <v>53</v>
      </c>
    </row>
    <row r="424" spans="1:22" x14ac:dyDescent="0.3">
      <c r="A424" s="2" t="s">
        <v>563</v>
      </c>
      <c r="B424" s="2" t="s">
        <v>160</v>
      </c>
      <c r="C424" s="2" t="s">
        <v>24</v>
      </c>
      <c r="D424" s="3">
        <v>46020</v>
      </c>
      <c r="E424" s="3">
        <v>46021</v>
      </c>
      <c r="F424" s="2" t="s">
        <v>179</v>
      </c>
      <c r="G424" s="2" t="s">
        <v>58</v>
      </c>
      <c r="H424" s="3">
        <v>32136</v>
      </c>
      <c r="I424" s="2" t="s">
        <v>123</v>
      </c>
      <c r="J424" s="2" t="s">
        <v>38</v>
      </c>
      <c r="K424" s="2" t="s">
        <v>29</v>
      </c>
      <c r="L424" s="2" t="s">
        <v>30</v>
      </c>
      <c r="M424" s="2">
        <v>9</v>
      </c>
      <c r="N424" s="7">
        <v>2200</v>
      </c>
      <c r="O424" s="2">
        <v>20</v>
      </c>
      <c r="P424" s="7">
        <v>15840</v>
      </c>
      <c r="Q424" s="2">
        <v>1</v>
      </c>
      <c r="R424" s="2" t="s">
        <v>41</v>
      </c>
      <c r="S424" s="2" t="s">
        <v>81</v>
      </c>
      <c r="T424" s="2" t="s">
        <v>162</v>
      </c>
      <c r="U424" s="2">
        <v>9281127052</v>
      </c>
      <c r="V424" s="2" t="s">
        <v>34</v>
      </c>
    </row>
    <row r="425" spans="1:22" x14ac:dyDescent="0.3">
      <c r="A425" s="2" t="s">
        <v>564</v>
      </c>
      <c r="B425" s="2" t="s">
        <v>88</v>
      </c>
      <c r="C425" s="2" t="s">
        <v>128</v>
      </c>
      <c r="D425" s="3">
        <v>45669</v>
      </c>
      <c r="E425" s="3">
        <v>45673</v>
      </c>
      <c r="F425" s="2" t="s">
        <v>119</v>
      </c>
      <c r="G425" s="2" t="s">
        <v>58</v>
      </c>
      <c r="H425" s="3">
        <v>36973</v>
      </c>
      <c r="I425" s="2" t="s">
        <v>151</v>
      </c>
      <c r="J425" s="2" t="s">
        <v>152</v>
      </c>
      <c r="K425" s="2" t="s">
        <v>84</v>
      </c>
      <c r="L425" s="2" t="s">
        <v>130</v>
      </c>
      <c r="M425" s="2">
        <v>8</v>
      </c>
      <c r="N425" s="7">
        <v>20</v>
      </c>
      <c r="O425" s="2">
        <v>20</v>
      </c>
      <c r="P425" s="7">
        <v>128</v>
      </c>
      <c r="Q425" s="2">
        <v>4</v>
      </c>
      <c r="R425" s="2" t="s">
        <v>31</v>
      </c>
      <c r="S425" s="2" t="s">
        <v>32</v>
      </c>
      <c r="T425" s="2" t="s">
        <v>90</v>
      </c>
      <c r="U425" s="2">
        <v>9346312555</v>
      </c>
      <c r="V425" s="2" t="s">
        <v>53</v>
      </c>
    </row>
    <row r="426" spans="1:22" x14ac:dyDescent="0.3">
      <c r="A426" s="2" t="s">
        <v>565</v>
      </c>
      <c r="B426" s="2" t="s">
        <v>127</v>
      </c>
      <c r="C426" s="2" t="s">
        <v>46</v>
      </c>
      <c r="D426" s="3">
        <v>46035</v>
      </c>
      <c r="E426" s="3">
        <v>46044</v>
      </c>
      <c r="F426" s="2" t="s">
        <v>129</v>
      </c>
      <c r="G426" s="2" t="s">
        <v>58</v>
      </c>
      <c r="H426" s="3">
        <v>30216</v>
      </c>
      <c r="I426" s="2" t="s">
        <v>80</v>
      </c>
      <c r="J426" s="2" t="s">
        <v>76</v>
      </c>
      <c r="K426" s="2" t="s">
        <v>39</v>
      </c>
      <c r="L426" s="2" t="s">
        <v>49</v>
      </c>
      <c r="M426" s="2">
        <v>5</v>
      </c>
      <c r="N426" s="7">
        <v>55000</v>
      </c>
      <c r="O426" s="2">
        <v>0</v>
      </c>
      <c r="P426" s="7">
        <v>275000</v>
      </c>
      <c r="Q426" s="2">
        <v>1</v>
      </c>
      <c r="R426" s="2" t="s">
        <v>60</v>
      </c>
      <c r="S426" s="2" t="s">
        <v>81</v>
      </c>
      <c r="T426" s="2" t="s">
        <v>131</v>
      </c>
      <c r="U426" s="2">
        <v>9443786067</v>
      </c>
      <c r="V426" s="2" t="s">
        <v>34</v>
      </c>
    </row>
    <row r="427" spans="1:22" x14ac:dyDescent="0.3">
      <c r="A427" s="2" t="s">
        <v>566</v>
      </c>
      <c r="B427" s="2" t="s">
        <v>73</v>
      </c>
      <c r="C427" s="2" t="s">
        <v>56</v>
      </c>
      <c r="D427" s="3">
        <v>46096</v>
      </c>
      <c r="E427" s="3">
        <v>46099</v>
      </c>
      <c r="F427" s="2" t="s">
        <v>74</v>
      </c>
      <c r="G427" s="2" t="s">
        <v>26</v>
      </c>
      <c r="H427" s="3">
        <v>31670</v>
      </c>
      <c r="I427" s="2" t="s">
        <v>75</v>
      </c>
      <c r="J427" s="2" t="s">
        <v>76</v>
      </c>
      <c r="K427" s="2" t="s">
        <v>39</v>
      </c>
      <c r="L427" s="2" t="s">
        <v>59</v>
      </c>
      <c r="M427" s="2">
        <v>13</v>
      </c>
      <c r="N427" s="7">
        <v>1200</v>
      </c>
      <c r="O427" s="2">
        <v>5</v>
      </c>
      <c r="P427" s="7">
        <v>14820</v>
      </c>
      <c r="Q427" s="2">
        <v>2</v>
      </c>
      <c r="R427" s="2" t="s">
        <v>60</v>
      </c>
      <c r="S427" s="2" t="s">
        <v>32</v>
      </c>
      <c r="T427" s="2" t="s">
        <v>94</v>
      </c>
      <c r="U427" s="2">
        <v>9452540528</v>
      </c>
      <c r="V427" s="2" t="s">
        <v>53</v>
      </c>
    </row>
    <row r="428" spans="1:22" x14ac:dyDescent="0.3">
      <c r="A428" s="2" t="s">
        <v>567</v>
      </c>
      <c r="B428" s="2" t="s">
        <v>63</v>
      </c>
      <c r="C428" s="2" t="s">
        <v>106</v>
      </c>
      <c r="D428" s="3">
        <v>45986</v>
      </c>
      <c r="E428" s="3">
        <v>45991</v>
      </c>
      <c r="F428" s="2" t="s">
        <v>111</v>
      </c>
      <c r="G428" s="2" t="s">
        <v>58</v>
      </c>
      <c r="H428" s="3">
        <v>37602</v>
      </c>
      <c r="I428" s="2" t="s">
        <v>123</v>
      </c>
      <c r="J428" s="2" t="s">
        <v>38</v>
      </c>
      <c r="K428" s="2" t="s">
        <v>29</v>
      </c>
      <c r="L428" s="2" t="s">
        <v>108</v>
      </c>
      <c r="M428" s="2">
        <v>13</v>
      </c>
      <c r="N428" s="7">
        <v>8500</v>
      </c>
      <c r="O428" s="2">
        <v>20</v>
      </c>
      <c r="P428" s="7">
        <v>88400</v>
      </c>
      <c r="Q428" s="2">
        <v>5</v>
      </c>
      <c r="R428" s="2" t="s">
        <v>31</v>
      </c>
      <c r="S428" s="2" t="s">
        <v>42</v>
      </c>
      <c r="T428" s="2" t="s">
        <v>66</v>
      </c>
      <c r="U428" s="2">
        <v>9750918728</v>
      </c>
      <c r="V428" s="2" t="s">
        <v>52</v>
      </c>
    </row>
    <row r="429" spans="1:22" x14ac:dyDescent="0.3">
      <c r="A429" s="2" t="s">
        <v>568</v>
      </c>
      <c r="B429" s="2" t="s">
        <v>55</v>
      </c>
      <c r="C429" s="2" t="s">
        <v>83</v>
      </c>
      <c r="D429" s="3">
        <v>45692</v>
      </c>
      <c r="E429" s="3">
        <v>45703</v>
      </c>
      <c r="F429" s="2" t="s">
        <v>125</v>
      </c>
      <c r="G429" s="2" t="s">
        <v>58</v>
      </c>
      <c r="H429" s="3">
        <v>36053</v>
      </c>
      <c r="I429" s="2" t="s">
        <v>80</v>
      </c>
      <c r="J429" s="2" t="s">
        <v>76</v>
      </c>
      <c r="K429" s="2" t="s">
        <v>84</v>
      </c>
      <c r="L429" s="2" t="s">
        <v>85</v>
      </c>
      <c r="M429" s="2">
        <v>14</v>
      </c>
      <c r="N429" s="7">
        <v>60</v>
      </c>
      <c r="O429" s="2">
        <v>10</v>
      </c>
      <c r="P429" s="7">
        <v>756</v>
      </c>
      <c r="Q429" s="2">
        <v>1</v>
      </c>
      <c r="R429" s="2" t="s">
        <v>31</v>
      </c>
      <c r="S429" s="2" t="s">
        <v>50</v>
      </c>
      <c r="T429" s="2" t="s">
        <v>61</v>
      </c>
      <c r="U429" s="2">
        <v>9375975834</v>
      </c>
      <c r="V429" s="2" t="s">
        <v>53</v>
      </c>
    </row>
    <row r="430" spans="1:22" x14ac:dyDescent="0.3">
      <c r="A430" s="2" t="s">
        <v>569</v>
      </c>
      <c r="B430" s="2" t="s">
        <v>137</v>
      </c>
      <c r="C430" s="2" t="s">
        <v>24</v>
      </c>
      <c r="D430" s="3">
        <v>45775</v>
      </c>
      <c r="E430" s="3">
        <v>45776</v>
      </c>
      <c r="F430" s="2" t="s">
        <v>138</v>
      </c>
      <c r="G430" s="2" t="s">
        <v>26</v>
      </c>
      <c r="H430" s="3">
        <v>31337</v>
      </c>
      <c r="I430" s="2" t="s">
        <v>48</v>
      </c>
      <c r="J430" s="2" t="s">
        <v>28</v>
      </c>
      <c r="K430" s="2" t="s">
        <v>29</v>
      </c>
      <c r="L430" s="2" t="s">
        <v>30</v>
      </c>
      <c r="M430" s="2">
        <v>15</v>
      </c>
      <c r="N430" s="7">
        <v>2200</v>
      </c>
      <c r="O430" s="2">
        <v>0</v>
      </c>
      <c r="P430" s="7">
        <v>33000</v>
      </c>
      <c r="Q430" s="2">
        <v>1</v>
      </c>
      <c r="R430" s="2" t="s">
        <v>31</v>
      </c>
      <c r="S430" s="2" t="s">
        <v>50</v>
      </c>
      <c r="T430" s="2" t="s">
        <v>139</v>
      </c>
      <c r="U430" s="2">
        <v>9497321112</v>
      </c>
      <c r="V430" s="2" t="s">
        <v>34</v>
      </c>
    </row>
    <row r="431" spans="1:22" x14ac:dyDescent="0.3">
      <c r="A431" s="2" t="s">
        <v>570</v>
      </c>
      <c r="B431" s="2" t="s">
        <v>63</v>
      </c>
      <c r="C431" s="2" t="s">
        <v>83</v>
      </c>
      <c r="D431" s="3">
        <v>45896</v>
      </c>
      <c r="E431" s="3">
        <v>45898</v>
      </c>
      <c r="F431" s="2" t="s">
        <v>111</v>
      </c>
      <c r="G431" s="2" t="s">
        <v>58</v>
      </c>
      <c r="H431" s="3">
        <v>34926</v>
      </c>
      <c r="I431" s="2" t="s">
        <v>123</v>
      </c>
      <c r="J431" s="2" t="s">
        <v>38</v>
      </c>
      <c r="K431" s="2" t="s">
        <v>84</v>
      </c>
      <c r="L431" s="2" t="s">
        <v>85</v>
      </c>
      <c r="M431" s="2">
        <v>19</v>
      </c>
      <c r="N431" s="7">
        <v>60</v>
      </c>
      <c r="O431" s="2">
        <v>20</v>
      </c>
      <c r="P431" s="7">
        <v>912</v>
      </c>
      <c r="Q431" s="2">
        <v>3</v>
      </c>
      <c r="R431" s="2" t="s">
        <v>31</v>
      </c>
      <c r="S431" s="2" t="s">
        <v>97</v>
      </c>
      <c r="T431" s="2" t="s">
        <v>66</v>
      </c>
      <c r="U431" s="2">
        <v>9828749888</v>
      </c>
      <c r="V431" s="2" t="s">
        <v>52</v>
      </c>
    </row>
    <row r="432" spans="1:22" x14ac:dyDescent="0.3">
      <c r="A432" s="2" t="s">
        <v>571</v>
      </c>
      <c r="B432" s="2" t="s">
        <v>45</v>
      </c>
      <c r="C432" s="2" t="s">
        <v>141</v>
      </c>
      <c r="D432" s="3">
        <v>45942</v>
      </c>
      <c r="E432" s="3">
        <v>45953</v>
      </c>
      <c r="F432" s="2" t="s">
        <v>102</v>
      </c>
      <c r="G432" s="2" t="s">
        <v>26</v>
      </c>
      <c r="H432" s="3">
        <v>31286</v>
      </c>
      <c r="I432" s="2" t="s">
        <v>123</v>
      </c>
      <c r="J432" s="2" t="s">
        <v>38</v>
      </c>
      <c r="K432" s="2" t="s">
        <v>84</v>
      </c>
      <c r="L432" s="2" t="s">
        <v>142</v>
      </c>
      <c r="M432" s="2">
        <v>13</v>
      </c>
      <c r="N432" s="7">
        <v>45</v>
      </c>
      <c r="O432" s="2">
        <v>15</v>
      </c>
      <c r="P432" s="7">
        <v>497.25</v>
      </c>
      <c r="Q432" s="2">
        <v>2</v>
      </c>
      <c r="R432" s="2" t="s">
        <v>31</v>
      </c>
      <c r="S432" s="2" t="s">
        <v>42</v>
      </c>
      <c r="T432" s="2" t="s">
        <v>51</v>
      </c>
      <c r="U432" s="2">
        <v>9814267382</v>
      </c>
      <c r="V432" s="2" t="s">
        <v>34</v>
      </c>
    </row>
    <row r="433" spans="1:22" x14ac:dyDescent="0.3">
      <c r="A433" s="2" t="s">
        <v>572</v>
      </c>
      <c r="B433" s="2" t="s">
        <v>137</v>
      </c>
      <c r="C433" s="2" t="s">
        <v>36</v>
      </c>
      <c r="D433" s="3">
        <v>46036</v>
      </c>
      <c r="E433" s="3">
        <v>46046</v>
      </c>
      <c r="F433" s="2" t="s">
        <v>138</v>
      </c>
      <c r="G433" s="2" t="s">
        <v>26</v>
      </c>
      <c r="H433" s="3">
        <v>27550</v>
      </c>
      <c r="I433" s="2" t="s">
        <v>75</v>
      </c>
      <c r="J433" s="2" t="s">
        <v>76</v>
      </c>
      <c r="K433" s="2" t="s">
        <v>39</v>
      </c>
      <c r="L433" s="2" t="s">
        <v>40</v>
      </c>
      <c r="M433" s="2">
        <v>7</v>
      </c>
      <c r="N433" s="7">
        <v>12000</v>
      </c>
      <c r="O433" s="2">
        <v>5</v>
      </c>
      <c r="P433" s="7">
        <v>79800</v>
      </c>
      <c r="Q433" s="2">
        <v>4</v>
      </c>
      <c r="R433" s="2" t="s">
        <v>60</v>
      </c>
      <c r="S433" s="2" t="s">
        <v>97</v>
      </c>
      <c r="T433" s="2" t="s">
        <v>139</v>
      </c>
      <c r="U433" s="2">
        <v>9937007439</v>
      </c>
      <c r="V433" s="2" t="s">
        <v>53</v>
      </c>
    </row>
    <row r="434" spans="1:22" x14ac:dyDescent="0.3">
      <c r="A434" s="2" t="s">
        <v>573</v>
      </c>
      <c r="B434" s="2" t="s">
        <v>160</v>
      </c>
      <c r="C434" s="2" t="s">
        <v>128</v>
      </c>
      <c r="D434" s="3">
        <v>46152</v>
      </c>
      <c r="E434" s="3"/>
      <c r="F434" s="2" t="s">
        <v>179</v>
      </c>
      <c r="G434" s="2" t="s">
        <v>58</v>
      </c>
      <c r="H434" s="3">
        <v>35514</v>
      </c>
      <c r="I434" s="2" t="s">
        <v>151</v>
      </c>
      <c r="J434" s="2" t="s">
        <v>152</v>
      </c>
      <c r="K434" s="2" t="s">
        <v>84</v>
      </c>
      <c r="L434" s="2" t="s">
        <v>130</v>
      </c>
      <c r="M434" s="2">
        <v>8</v>
      </c>
      <c r="N434" s="7">
        <v>20</v>
      </c>
      <c r="O434" s="2">
        <v>0</v>
      </c>
      <c r="P434" s="7">
        <v>160</v>
      </c>
      <c r="Q434" s="2">
        <v>4</v>
      </c>
      <c r="R434" s="2" t="s">
        <v>60</v>
      </c>
      <c r="S434" s="2" t="s">
        <v>50</v>
      </c>
      <c r="T434" s="2" t="s">
        <v>162</v>
      </c>
      <c r="U434" s="2">
        <v>9657513435</v>
      </c>
      <c r="V434" s="2" t="s">
        <v>52</v>
      </c>
    </row>
    <row r="435" spans="1:22" x14ac:dyDescent="0.3">
      <c r="A435" s="2" t="s">
        <v>574</v>
      </c>
      <c r="B435" s="2" t="s">
        <v>23</v>
      </c>
      <c r="C435" s="2" t="s">
        <v>68</v>
      </c>
      <c r="D435" s="3">
        <v>45689</v>
      </c>
      <c r="E435" s="3">
        <v>45694</v>
      </c>
      <c r="F435" s="2" t="s">
        <v>25</v>
      </c>
      <c r="G435" s="2" t="s">
        <v>26</v>
      </c>
      <c r="H435" s="3">
        <v>35538</v>
      </c>
      <c r="I435" s="2" t="s">
        <v>151</v>
      </c>
      <c r="J435" s="2" t="s">
        <v>152</v>
      </c>
      <c r="K435" s="2" t="s">
        <v>29</v>
      </c>
      <c r="L435" s="2" t="s">
        <v>71</v>
      </c>
      <c r="M435" s="2">
        <v>16</v>
      </c>
      <c r="N435" s="7">
        <v>3500</v>
      </c>
      <c r="O435" s="2">
        <v>5</v>
      </c>
      <c r="P435" s="7">
        <v>53200</v>
      </c>
      <c r="Q435" s="2">
        <v>1</v>
      </c>
      <c r="R435" s="2" t="s">
        <v>60</v>
      </c>
      <c r="S435" s="2" t="s">
        <v>50</v>
      </c>
      <c r="T435" s="2" t="s">
        <v>43</v>
      </c>
      <c r="U435" s="2">
        <v>9999406260</v>
      </c>
      <c r="V435" s="2" t="s">
        <v>53</v>
      </c>
    </row>
    <row r="436" spans="1:22" x14ac:dyDescent="0.3">
      <c r="A436" s="2" t="s">
        <v>575</v>
      </c>
      <c r="B436" s="2" t="s">
        <v>160</v>
      </c>
      <c r="C436" s="2" t="s">
        <v>106</v>
      </c>
      <c r="D436" s="3">
        <v>45710</v>
      </c>
      <c r="E436" s="3">
        <v>45720</v>
      </c>
      <c r="F436" s="2" t="s">
        <v>179</v>
      </c>
      <c r="G436" s="2" t="s">
        <v>58</v>
      </c>
      <c r="H436" s="3">
        <v>36308</v>
      </c>
      <c r="I436" s="2" t="s">
        <v>75</v>
      </c>
      <c r="J436" s="2" t="s">
        <v>76</v>
      </c>
      <c r="K436" s="2" t="s">
        <v>29</v>
      </c>
      <c r="L436" s="2" t="s">
        <v>108</v>
      </c>
      <c r="M436" s="2">
        <v>12</v>
      </c>
      <c r="N436" s="7">
        <v>8500</v>
      </c>
      <c r="O436" s="2">
        <v>10</v>
      </c>
      <c r="P436" s="7">
        <v>91800</v>
      </c>
      <c r="Q436" s="2">
        <v>3</v>
      </c>
      <c r="R436" s="2" t="s">
        <v>60</v>
      </c>
      <c r="S436" s="2" t="s">
        <v>32</v>
      </c>
      <c r="T436" s="2" t="s">
        <v>162</v>
      </c>
      <c r="U436" s="2">
        <v>9233727886</v>
      </c>
      <c r="V436" s="2" t="s">
        <v>34</v>
      </c>
    </row>
    <row r="437" spans="1:22" x14ac:dyDescent="0.3">
      <c r="A437" s="2" t="s">
        <v>576</v>
      </c>
      <c r="B437" s="2" t="s">
        <v>23</v>
      </c>
      <c r="C437" s="2" t="s">
        <v>83</v>
      </c>
      <c r="D437" s="3">
        <v>45765</v>
      </c>
      <c r="E437" s="3">
        <v>45767</v>
      </c>
      <c r="F437" s="2" t="s">
        <v>25</v>
      </c>
      <c r="G437" s="2" t="s">
        <v>26</v>
      </c>
      <c r="H437" s="3">
        <v>30492</v>
      </c>
      <c r="I437" s="2" t="s">
        <v>92</v>
      </c>
      <c r="J437" s="2" t="s">
        <v>76</v>
      </c>
      <c r="K437" s="2" t="s">
        <v>84</v>
      </c>
      <c r="L437" s="2" t="s">
        <v>85</v>
      </c>
      <c r="M437" s="2">
        <v>1</v>
      </c>
      <c r="N437" s="7">
        <v>60</v>
      </c>
      <c r="O437" s="2">
        <v>20</v>
      </c>
      <c r="P437" s="7">
        <v>48</v>
      </c>
      <c r="Q437" s="2">
        <v>2</v>
      </c>
      <c r="R437" s="2" t="s">
        <v>60</v>
      </c>
      <c r="S437" s="2" t="s">
        <v>97</v>
      </c>
      <c r="T437" s="2" t="s">
        <v>43</v>
      </c>
      <c r="U437" s="2">
        <v>9831688801</v>
      </c>
      <c r="V437" s="2" t="s">
        <v>34</v>
      </c>
    </row>
    <row r="438" spans="1:22" x14ac:dyDescent="0.3">
      <c r="A438" s="2" t="s">
        <v>577</v>
      </c>
      <c r="B438" s="2" t="s">
        <v>88</v>
      </c>
      <c r="C438" s="2" t="s">
        <v>83</v>
      </c>
      <c r="D438" s="3">
        <v>45967</v>
      </c>
      <c r="E438" s="3">
        <v>45972</v>
      </c>
      <c r="F438" s="2" t="s">
        <v>119</v>
      </c>
      <c r="G438" s="2" t="s">
        <v>58</v>
      </c>
      <c r="H438" s="3">
        <v>33995</v>
      </c>
      <c r="I438" s="2" t="s">
        <v>27</v>
      </c>
      <c r="J438" s="2" t="s">
        <v>28</v>
      </c>
      <c r="K438" s="2" t="s">
        <v>84</v>
      </c>
      <c r="L438" s="2" t="s">
        <v>85</v>
      </c>
      <c r="M438" s="2">
        <v>3</v>
      </c>
      <c r="N438" s="7">
        <v>60</v>
      </c>
      <c r="O438" s="2">
        <v>15</v>
      </c>
      <c r="P438" s="7">
        <v>153</v>
      </c>
      <c r="Q438" s="2">
        <v>4</v>
      </c>
      <c r="R438" s="2" t="s">
        <v>60</v>
      </c>
      <c r="S438" s="2" t="s">
        <v>32</v>
      </c>
      <c r="T438" s="2" t="s">
        <v>90</v>
      </c>
      <c r="U438" s="2">
        <v>9982849508</v>
      </c>
      <c r="V438" s="2" t="s">
        <v>34</v>
      </c>
    </row>
    <row r="439" spans="1:22" x14ac:dyDescent="0.3">
      <c r="A439" s="2" t="s">
        <v>578</v>
      </c>
      <c r="B439" s="2" t="s">
        <v>73</v>
      </c>
      <c r="C439" s="2" t="s">
        <v>113</v>
      </c>
      <c r="D439" s="3">
        <v>45736</v>
      </c>
      <c r="E439" s="3">
        <v>45741</v>
      </c>
      <c r="F439" s="2" t="s">
        <v>74</v>
      </c>
      <c r="G439" s="2" t="s">
        <v>26</v>
      </c>
      <c r="H439" s="3">
        <v>28917</v>
      </c>
      <c r="I439" s="2" t="s">
        <v>151</v>
      </c>
      <c r="J439" s="2" t="s">
        <v>152</v>
      </c>
      <c r="K439" s="2" t="s">
        <v>39</v>
      </c>
      <c r="L439" s="2" t="s">
        <v>115</v>
      </c>
      <c r="M439" s="2">
        <v>10</v>
      </c>
      <c r="N439" s="7">
        <v>700</v>
      </c>
      <c r="O439" s="2">
        <v>15</v>
      </c>
      <c r="P439" s="7">
        <v>5950</v>
      </c>
      <c r="Q439" s="2">
        <v>3</v>
      </c>
      <c r="R439" s="2" t="s">
        <v>41</v>
      </c>
      <c r="S439" s="2" t="s">
        <v>32</v>
      </c>
      <c r="T439" s="2" t="s">
        <v>94</v>
      </c>
      <c r="U439" s="2">
        <v>9288309246</v>
      </c>
      <c r="V439" s="2" t="s">
        <v>52</v>
      </c>
    </row>
    <row r="440" spans="1:22" x14ac:dyDescent="0.3">
      <c r="A440" s="2" t="s">
        <v>579</v>
      </c>
      <c r="B440" s="2" t="s">
        <v>63</v>
      </c>
      <c r="C440" s="2" t="s">
        <v>128</v>
      </c>
      <c r="D440" s="3">
        <v>45952</v>
      </c>
      <c r="E440" s="3">
        <v>45955</v>
      </c>
      <c r="F440" s="2" t="s">
        <v>111</v>
      </c>
      <c r="G440" s="2" t="s">
        <v>58</v>
      </c>
      <c r="H440" s="3">
        <v>28016</v>
      </c>
      <c r="I440" s="2" t="s">
        <v>92</v>
      </c>
      <c r="J440" s="2" t="s">
        <v>76</v>
      </c>
      <c r="K440" s="2" t="s">
        <v>84</v>
      </c>
      <c r="L440" s="2" t="s">
        <v>130</v>
      </c>
      <c r="M440" s="2">
        <v>2</v>
      </c>
      <c r="N440" s="7">
        <v>20</v>
      </c>
      <c r="O440" s="2">
        <v>10</v>
      </c>
      <c r="P440" s="7">
        <v>36</v>
      </c>
      <c r="Q440" s="2">
        <v>2</v>
      </c>
      <c r="R440" s="2" t="s">
        <v>65</v>
      </c>
      <c r="S440" s="2" t="s">
        <v>50</v>
      </c>
      <c r="T440" s="2" t="s">
        <v>66</v>
      </c>
      <c r="U440" s="2">
        <v>9808476235</v>
      </c>
      <c r="V440" s="2" t="s">
        <v>34</v>
      </c>
    </row>
    <row r="441" spans="1:22" x14ac:dyDescent="0.3">
      <c r="A441" s="2" t="s">
        <v>580</v>
      </c>
      <c r="B441" s="2" t="s">
        <v>63</v>
      </c>
      <c r="C441" s="2" t="s">
        <v>128</v>
      </c>
      <c r="D441" s="3">
        <v>46022</v>
      </c>
      <c r="E441" s="3">
        <v>46027</v>
      </c>
      <c r="F441" s="2" t="s">
        <v>111</v>
      </c>
      <c r="G441" s="2" t="s">
        <v>58</v>
      </c>
      <c r="H441" s="3">
        <v>33446</v>
      </c>
      <c r="I441" s="2" t="s">
        <v>37</v>
      </c>
      <c r="J441" s="2" t="s">
        <v>38</v>
      </c>
      <c r="K441" s="2" t="s">
        <v>84</v>
      </c>
      <c r="L441" s="2" t="s">
        <v>130</v>
      </c>
      <c r="M441" s="2">
        <v>14</v>
      </c>
      <c r="N441" s="7">
        <v>20</v>
      </c>
      <c r="O441" s="2">
        <v>20</v>
      </c>
      <c r="P441" s="7">
        <v>224</v>
      </c>
      <c r="Q441" s="2">
        <v>5</v>
      </c>
      <c r="R441" s="2" t="s">
        <v>31</v>
      </c>
      <c r="S441" s="2" t="s">
        <v>97</v>
      </c>
      <c r="T441" s="2" t="s">
        <v>66</v>
      </c>
      <c r="U441" s="2">
        <v>9869056117</v>
      </c>
      <c r="V441" s="2" t="s">
        <v>52</v>
      </c>
    </row>
    <row r="442" spans="1:22" x14ac:dyDescent="0.3">
      <c r="A442" s="2" t="s">
        <v>581</v>
      </c>
      <c r="B442" s="2" t="s">
        <v>160</v>
      </c>
      <c r="C442" s="2" t="s">
        <v>68</v>
      </c>
      <c r="D442" s="3">
        <v>45829</v>
      </c>
      <c r="E442" s="3">
        <v>45833</v>
      </c>
      <c r="F442" s="2" t="s">
        <v>179</v>
      </c>
      <c r="G442" s="2" t="s">
        <v>58</v>
      </c>
      <c r="H442" s="3">
        <v>32075</v>
      </c>
      <c r="I442" s="2" t="s">
        <v>92</v>
      </c>
      <c r="J442" s="2" t="s">
        <v>76</v>
      </c>
      <c r="K442" s="2" t="s">
        <v>29</v>
      </c>
      <c r="L442" s="2" t="s">
        <v>71</v>
      </c>
      <c r="M442" s="2">
        <v>4</v>
      </c>
      <c r="N442" s="7">
        <v>3500</v>
      </c>
      <c r="O442" s="2">
        <v>0</v>
      </c>
      <c r="P442" s="7">
        <v>14000</v>
      </c>
      <c r="Q442" s="2">
        <v>2</v>
      </c>
      <c r="R442" s="2" t="s">
        <v>65</v>
      </c>
      <c r="S442" s="2" t="s">
        <v>32</v>
      </c>
      <c r="T442" s="2" t="s">
        <v>162</v>
      </c>
      <c r="U442" s="2">
        <v>9734229772</v>
      </c>
      <c r="V442" s="2" t="s">
        <v>53</v>
      </c>
    </row>
    <row r="443" spans="1:22" x14ac:dyDescent="0.3">
      <c r="A443" s="2" t="s">
        <v>582</v>
      </c>
      <c r="B443" s="2" t="s">
        <v>63</v>
      </c>
      <c r="C443" s="2" t="s">
        <v>68</v>
      </c>
      <c r="D443" s="3">
        <v>45812</v>
      </c>
      <c r="E443" s="3">
        <v>45813</v>
      </c>
      <c r="F443" s="2" t="s">
        <v>111</v>
      </c>
      <c r="G443" s="2" t="s">
        <v>58</v>
      </c>
      <c r="H443" s="3">
        <v>30629</v>
      </c>
      <c r="I443" s="2" t="s">
        <v>123</v>
      </c>
      <c r="J443" s="2" t="s">
        <v>38</v>
      </c>
      <c r="K443" s="2" t="s">
        <v>29</v>
      </c>
      <c r="L443" s="2" t="s">
        <v>71</v>
      </c>
      <c r="M443" s="2">
        <v>9</v>
      </c>
      <c r="N443" s="7">
        <v>3500</v>
      </c>
      <c r="O443" s="2">
        <v>5</v>
      </c>
      <c r="P443" s="7">
        <v>29925</v>
      </c>
      <c r="Q443" s="2">
        <v>3</v>
      </c>
      <c r="R443" s="2" t="s">
        <v>60</v>
      </c>
      <c r="S443" s="2" t="s">
        <v>50</v>
      </c>
      <c r="T443" s="2" t="s">
        <v>66</v>
      </c>
      <c r="U443" s="2">
        <v>9791617906</v>
      </c>
      <c r="V443" s="2" t="s">
        <v>34</v>
      </c>
    </row>
    <row r="444" spans="1:22" x14ac:dyDescent="0.3">
      <c r="A444" s="2" t="s">
        <v>583</v>
      </c>
      <c r="B444" s="2" t="s">
        <v>88</v>
      </c>
      <c r="C444" s="2" t="s">
        <v>83</v>
      </c>
      <c r="D444" s="3">
        <v>45807</v>
      </c>
      <c r="E444" s="3">
        <v>45811</v>
      </c>
      <c r="F444" s="2" t="s">
        <v>119</v>
      </c>
      <c r="G444" s="2" t="s">
        <v>58</v>
      </c>
      <c r="H444" s="3">
        <v>30678</v>
      </c>
      <c r="I444" s="2" t="s">
        <v>75</v>
      </c>
      <c r="J444" s="2" t="s">
        <v>76</v>
      </c>
      <c r="K444" s="2" t="s">
        <v>84</v>
      </c>
      <c r="L444" s="2" t="s">
        <v>85</v>
      </c>
      <c r="M444" s="2">
        <v>9</v>
      </c>
      <c r="N444" s="7">
        <v>60</v>
      </c>
      <c r="O444" s="2">
        <v>0</v>
      </c>
      <c r="P444" s="7">
        <v>540</v>
      </c>
      <c r="Q444" s="2">
        <v>3</v>
      </c>
      <c r="R444" s="2" t="s">
        <v>65</v>
      </c>
      <c r="S444" s="2" t="s">
        <v>32</v>
      </c>
      <c r="T444" s="2" t="s">
        <v>90</v>
      </c>
      <c r="U444" s="2">
        <v>9286316823</v>
      </c>
      <c r="V444" s="2" t="s">
        <v>52</v>
      </c>
    </row>
    <row r="445" spans="1:22" x14ac:dyDescent="0.3">
      <c r="A445" s="2" t="s">
        <v>584</v>
      </c>
      <c r="B445" s="2" t="s">
        <v>105</v>
      </c>
      <c r="C445" s="2" t="s">
        <v>56</v>
      </c>
      <c r="D445" s="3">
        <v>45779</v>
      </c>
      <c r="E445" s="3">
        <v>45780</v>
      </c>
      <c r="F445" s="2" t="s">
        <v>170</v>
      </c>
      <c r="G445" s="2" t="s">
        <v>26</v>
      </c>
      <c r="H445" s="3">
        <v>33862</v>
      </c>
      <c r="I445" s="2" t="s">
        <v>92</v>
      </c>
      <c r="J445" s="2" t="s">
        <v>76</v>
      </c>
      <c r="K445" s="2" t="s">
        <v>39</v>
      </c>
      <c r="L445" s="2" t="s">
        <v>59</v>
      </c>
      <c r="M445" s="2">
        <v>4</v>
      </c>
      <c r="N445" s="7">
        <v>1200</v>
      </c>
      <c r="O445" s="2">
        <v>0</v>
      </c>
      <c r="P445" s="7">
        <v>4800</v>
      </c>
      <c r="Q445" s="2">
        <v>1</v>
      </c>
      <c r="R445" s="2" t="s">
        <v>41</v>
      </c>
      <c r="S445" s="2" t="s">
        <v>50</v>
      </c>
      <c r="T445" s="2" t="s">
        <v>109</v>
      </c>
      <c r="U445" s="2">
        <v>9810569252</v>
      </c>
      <c r="V445" s="2" t="s">
        <v>34</v>
      </c>
    </row>
    <row r="446" spans="1:22" x14ac:dyDescent="0.3">
      <c r="A446" s="2" t="s">
        <v>585</v>
      </c>
      <c r="B446" s="2" t="s">
        <v>45</v>
      </c>
      <c r="C446" s="2" t="s">
        <v>46</v>
      </c>
      <c r="D446" s="3">
        <v>45691</v>
      </c>
      <c r="E446" s="3">
        <v>45701</v>
      </c>
      <c r="F446" s="2" t="s">
        <v>102</v>
      </c>
      <c r="G446" s="2" t="s">
        <v>26</v>
      </c>
      <c r="H446" s="3">
        <v>36381</v>
      </c>
      <c r="I446" s="2" t="s">
        <v>27</v>
      </c>
      <c r="J446" s="2" t="s">
        <v>28</v>
      </c>
      <c r="K446" s="2" t="s">
        <v>39</v>
      </c>
      <c r="L446" s="2" t="s">
        <v>49</v>
      </c>
      <c r="M446" s="2">
        <v>10</v>
      </c>
      <c r="N446" s="7">
        <v>55000</v>
      </c>
      <c r="O446" s="2">
        <v>5</v>
      </c>
      <c r="P446" s="7">
        <v>522500</v>
      </c>
      <c r="Q446" s="2">
        <v>5</v>
      </c>
      <c r="R446" s="2" t="s">
        <v>65</v>
      </c>
      <c r="S446" s="2" t="s">
        <v>81</v>
      </c>
      <c r="T446" s="2" t="s">
        <v>51</v>
      </c>
      <c r="U446" s="2">
        <v>9771745925</v>
      </c>
      <c r="V446" s="2" t="s">
        <v>34</v>
      </c>
    </row>
    <row r="447" spans="1:22" x14ac:dyDescent="0.3">
      <c r="A447" s="2" t="s">
        <v>586</v>
      </c>
      <c r="B447" s="2" t="s">
        <v>127</v>
      </c>
      <c r="C447" s="2" t="s">
        <v>141</v>
      </c>
      <c r="D447" s="3">
        <v>45837</v>
      </c>
      <c r="E447" s="3">
        <v>45844</v>
      </c>
      <c r="F447" s="2" t="s">
        <v>129</v>
      </c>
      <c r="G447" s="2" t="s">
        <v>58</v>
      </c>
      <c r="H447" s="3">
        <v>32931</v>
      </c>
      <c r="I447" s="2" t="s">
        <v>27</v>
      </c>
      <c r="J447" s="2" t="s">
        <v>28</v>
      </c>
      <c r="K447" s="2" t="s">
        <v>84</v>
      </c>
      <c r="L447" s="2" t="s">
        <v>142</v>
      </c>
      <c r="M447" s="2">
        <v>20</v>
      </c>
      <c r="N447" s="7">
        <v>45</v>
      </c>
      <c r="O447" s="2">
        <v>15</v>
      </c>
      <c r="P447" s="7">
        <v>765</v>
      </c>
      <c r="Q447" s="2">
        <v>2</v>
      </c>
      <c r="R447" s="2" t="s">
        <v>60</v>
      </c>
      <c r="S447" s="2" t="s">
        <v>32</v>
      </c>
      <c r="T447" s="2" t="s">
        <v>131</v>
      </c>
      <c r="U447" s="2">
        <v>9820683063</v>
      </c>
      <c r="V447" s="2" t="s">
        <v>53</v>
      </c>
    </row>
    <row r="448" spans="1:22" x14ac:dyDescent="0.3">
      <c r="A448" s="2" t="s">
        <v>587</v>
      </c>
      <c r="B448" s="2" t="s">
        <v>23</v>
      </c>
      <c r="C448" s="2" t="s">
        <v>128</v>
      </c>
      <c r="D448" s="3">
        <v>46065</v>
      </c>
      <c r="E448" s="3">
        <v>46075</v>
      </c>
      <c r="F448" s="2" t="s">
        <v>25</v>
      </c>
      <c r="G448" s="2" t="s">
        <v>26</v>
      </c>
      <c r="H448" s="3">
        <v>34420</v>
      </c>
      <c r="I448" s="2" t="s">
        <v>75</v>
      </c>
      <c r="J448" s="2" t="s">
        <v>76</v>
      </c>
      <c r="K448" s="2" t="s">
        <v>84</v>
      </c>
      <c r="L448" s="2" t="s">
        <v>130</v>
      </c>
      <c r="M448" s="2">
        <v>9</v>
      </c>
      <c r="N448" s="7">
        <v>20</v>
      </c>
      <c r="O448" s="2">
        <v>20</v>
      </c>
      <c r="P448" s="7">
        <v>144</v>
      </c>
      <c r="Q448" s="2">
        <v>3</v>
      </c>
      <c r="R448" s="2" t="s">
        <v>60</v>
      </c>
      <c r="S448" s="2" t="s">
        <v>50</v>
      </c>
      <c r="T448" s="2" t="s">
        <v>43</v>
      </c>
      <c r="U448" s="2">
        <v>9292891941</v>
      </c>
      <c r="V448" s="2" t="s">
        <v>34</v>
      </c>
    </row>
    <row r="449" spans="1:22" x14ac:dyDescent="0.3">
      <c r="A449" s="2" t="s">
        <v>588</v>
      </c>
      <c r="B449" s="2" t="s">
        <v>23</v>
      </c>
      <c r="C449" s="2" t="s">
        <v>46</v>
      </c>
      <c r="D449" s="3">
        <v>45719</v>
      </c>
      <c r="E449" s="3">
        <v>45730</v>
      </c>
      <c r="F449" s="2" t="s">
        <v>25</v>
      </c>
      <c r="G449" s="2" t="s">
        <v>26</v>
      </c>
      <c r="H449" s="3">
        <v>29383</v>
      </c>
      <c r="I449" s="2" t="s">
        <v>80</v>
      </c>
      <c r="J449" s="2" t="s">
        <v>76</v>
      </c>
      <c r="K449" s="2" t="s">
        <v>39</v>
      </c>
      <c r="L449" s="2" t="s">
        <v>49</v>
      </c>
      <c r="M449" s="2">
        <v>8</v>
      </c>
      <c r="N449" s="7">
        <v>55000</v>
      </c>
      <c r="O449" s="2">
        <v>0</v>
      </c>
      <c r="P449" s="7">
        <v>440000</v>
      </c>
      <c r="Q449" s="2">
        <v>4</v>
      </c>
      <c r="R449" s="2" t="s">
        <v>31</v>
      </c>
      <c r="S449" s="2" t="s">
        <v>81</v>
      </c>
      <c r="T449" s="2" t="s">
        <v>43</v>
      </c>
      <c r="U449" s="2">
        <v>9413789556</v>
      </c>
      <c r="V449" s="2" t="s">
        <v>34</v>
      </c>
    </row>
    <row r="450" spans="1:22" x14ac:dyDescent="0.3">
      <c r="A450" s="2" t="s">
        <v>589</v>
      </c>
      <c r="B450" s="2" t="s">
        <v>160</v>
      </c>
      <c r="C450" s="2" t="s">
        <v>56</v>
      </c>
      <c r="D450" s="3">
        <v>46136</v>
      </c>
      <c r="E450" s="3">
        <v>46140</v>
      </c>
      <c r="F450" s="2" t="s">
        <v>179</v>
      </c>
      <c r="G450" s="2" t="s">
        <v>58</v>
      </c>
      <c r="H450" s="3">
        <v>36687</v>
      </c>
      <c r="I450" s="2" t="s">
        <v>92</v>
      </c>
      <c r="J450" s="2" t="s">
        <v>76</v>
      </c>
      <c r="K450" s="2" t="s">
        <v>39</v>
      </c>
      <c r="L450" s="2" t="s">
        <v>59</v>
      </c>
      <c r="M450" s="2">
        <v>4</v>
      </c>
      <c r="N450" s="7">
        <v>1200</v>
      </c>
      <c r="O450" s="2">
        <v>10</v>
      </c>
      <c r="P450" s="7">
        <v>4320</v>
      </c>
      <c r="Q450" s="2">
        <v>4</v>
      </c>
      <c r="R450" s="2" t="s">
        <v>65</v>
      </c>
      <c r="S450" s="2" t="s">
        <v>32</v>
      </c>
      <c r="T450" s="2" t="s">
        <v>590</v>
      </c>
      <c r="U450" s="2">
        <v>98765</v>
      </c>
      <c r="V450" s="2" t="s">
        <v>53</v>
      </c>
    </row>
    <row r="451" spans="1:22" x14ac:dyDescent="0.3">
      <c r="A451" s="2" t="s">
        <v>591</v>
      </c>
      <c r="B451" s="2" t="s">
        <v>160</v>
      </c>
      <c r="C451" s="2" t="s">
        <v>106</v>
      </c>
      <c r="D451" s="3">
        <v>46145</v>
      </c>
      <c r="E451" s="3">
        <v>46155</v>
      </c>
      <c r="F451" s="2" t="s">
        <v>179</v>
      </c>
      <c r="G451" s="2" t="s">
        <v>58</v>
      </c>
      <c r="H451" s="3">
        <v>35906</v>
      </c>
      <c r="I451" s="2" t="s">
        <v>151</v>
      </c>
      <c r="J451" s="2" t="s">
        <v>152</v>
      </c>
      <c r="K451" s="2" t="s">
        <v>29</v>
      </c>
      <c r="L451" s="2" t="s">
        <v>108</v>
      </c>
      <c r="M451" s="2">
        <v>14</v>
      </c>
      <c r="N451" s="7">
        <v>8500</v>
      </c>
      <c r="O451" s="2">
        <v>10</v>
      </c>
      <c r="P451" s="7">
        <v>107100</v>
      </c>
      <c r="Q451" s="2">
        <v>4</v>
      </c>
      <c r="R451" s="2" t="s">
        <v>31</v>
      </c>
      <c r="S451" s="2" t="s">
        <v>32</v>
      </c>
      <c r="T451" s="2" t="s">
        <v>162</v>
      </c>
      <c r="U451" s="2">
        <v>9211936331</v>
      </c>
      <c r="V451" s="2" t="s">
        <v>34</v>
      </c>
    </row>
    <row r="452" spans="1:22" x14ac:dyDescent="0.3">
      <c r="A452" s="2" t="s">
        <v>592</v>
      </c>
      <c r="B452" s="2" t="s">
        <v>55</v>
      </c>
      <c r="C452" s="2" t="s">
        <v>141</v>
      </c>
      <c r="D452" s="3">
        <v>45807</v>
      </c>
      <c r="E452" s="3">
        <v>45815</v>
      </c>
      <c r="F452" s="2" t="s">
        <v>125</v>
      </c>
      <c r="G452" s="2" t="s">
        <v>58</v>
      </c>
      <c r="H452" s="3">
        <v>30812</v>
      </c>
      <c r="I452" s="2" t="s">
        <v>27</v>
      </c>
      <c r="J452" s="2" t="s">
        <v>28</v>
      </c>
      <c r="K452" s="2" t="s">
        <v>84</v>
      </c>
      <c r="L452" s="2" t="s">
        <v>142</v>
      </c>
      <c r="M452" s="2">
        <v>1</v>
      </c>
      <c r="N452" s="7">
        <v>45</v>
      </c>
      <c r="O452" s="2">
        <v>0</v>
      </c>
      <c r="P452" s="7">
        <v>45</v>
      </c>
      <c r="Q452" s="2">
        <v>3</v>
      </c>
      <c r="R452" s="2" t="s">
        <v>65</v>
      </c>
      <c r="S452" s="2" t="s">
        <v>97</v>
      </c>
      <c r="T452" s="2" t="s">
        <v>61</v>
      </c>
      <c r="U452" s="2">
        <v>9167291747</v>
      </c>
      <c r="V452" s="2" t="s">
        <v>53</v>
      </c>
    </row>
    <row r="453" spans="1:22" x14ac:dyDescent="0.3">
      <c r="A453" s="2" t="s">
        <v>593</v>
      </c>
      <c r="B453" s="2" t="s">
        <v>55</v>
      </c>
      <c r="C453" s="2" t="s">
        <v>46</v>
      </c>
      <c r="D453" s="3">
        <v>45705</v>
      </c>
      <c r="E453" s="3">
        <v>45716</v>
      </c>
      <c r="F453" s="2" t="s">
        <v>125</v>
      </c>
      <c r="G453" s="2" t="s">
        <v>58</v>
      </c>
      <c r="H453" s="3">
        <v>31692</v>
      </c>
      <c r="I453" s="2" t="s">
        <v>37</v>
      </c>
      <c r="J453" s="2" t="s">
        <v>38</v>
      </c>
      <c r="K453" s="2" t="s">
        <v>39</v>
      </c>
      <c r="L453" s="2" t="s">
        <v>49</v>
      </c>
      <c r="M453" s="2">
        <v>16</v>
      </c>
      <c r="N453" s="7">
        <v>55000</v>
      </c>
      <c r="O453" s="2">
        <v>15</v>
      </c>
      <c r="P453" s="7">
        <v>748000</v>
      </c>
      <c r="Q453" s="2">
        <v>1</v>
      </c>
      <c r="R453" s="2" t="s">
        <v>60</v>
      </c>
      <c r="S453" s="2" t="s">
        <v>97</v>
      </c>
      <c r="T453" s="2" t="s">
        <v>61</v>
      </c>
      <c r="U453" s="2">
        <v>9637283597</v>
      </c>
      <c r="V453" s="2" t="s">
        <v>53</v>
      </c>
    </row>
    <row r="454" spans="1:22" x14ac:dyDescent="0.3">
      <c r="A454" s="2" t="s">
        <v>594</v>
      </c>
      <c r="B454" s="2" t="s">
        <v>45</v>
      </c>
      <c r="C454" s="2" t="s">
        <v>113</v>
      </c>
      <c r="D454" s="3">
        <v>46103</v>
      </c>
      <c r="E454" s="3">
        <v>46110</v>
      </c>
      <c r="F454" s="2" t="s">
        <v>102</v>
      </c>
      <c r="G454" s="2" t="s">
        <v>26</v>
      </c>
      <c r="H454" s="3">
        <v>37926</v>
      </c>
      <c r="I454" s="2" t="s">
        <v>92</v>
      </c>
      <c r="J454" s="2" t="s">
        <v>76</v>
      </c>
      <c r="K454" s="2" t="s">
        <v>39</v>
      </c>
      <c r="L454" s="2" t="s">
        <v>115</v>
      </c>
      <c r="M454" s="2">
        <v>8</v>
      </c>
      <c r="N454" s="7">
        <v>700</v>
      </c>
      <c r="O454" s="2">
        <v>0</v>
      </c>
      <c r="P454" s="7">
        <v>5600</v>
      </c>
      <c r="Q454" s="2">
        <v>3</v>
      </c>
      <c r="R454" s="2" t="s">
        <v>31</v>
      </c>
      <c r="S454" s="2" t="s">
        <v>42</v>
      </c>
      <c r="T454" s="2" t="s">
        <v>51</v>
      </c>
      <c r="U454" s="2">
        <v>9514269002</v>
      </c>
      <c r="V454" s="2" t="s">
        <v>34</v>
      </c>
    </row>
    <row r="455" spans="1:22" x14ac:dyDescent="0.3">
      <c r="A455" s="2" t="s">
        <v>595</v>
      </c>
      <c r="B455" s="2" t="s">
        <v>137</v>
      </c>
      <c r="C455" s="2" t="s">
        <v>56</v>
      </c>
      <c r="D455" s="3">
        <v>46114</v>
      </c>
      <c r="E455" s="3">
        <v>46125</v>
      </c>
      <c r="F455" s="2" t="s">
        <v>138</v>
      </c>
      <c r="G455" s="2" t="s">
        <v>26</v>
      </c>
      <c r="H455" s="3">
        <v>37782</v>
      </c>
      <c r="I455" s="2" t="s">
        <v>92</v>
      </c>
      <c r="J455" s="2" t="s">
        <v>76</v>
      </c>
      <c r="K455" s="2" t="s">
        <v>39</v>
      </c>
      <c r="L455" s="2" t="s">
        <v>59</v>
      </c>
      <c r="M455" s="2">
        <v>3</v>
      </c>
      <c r="N455" s="7">
        <v>1200</v>
      </c>
      <c r="O455" s="2">
        <v>0</v>
      </c>
      <c r="P455" s="7">
        <v>3600</v>
      </c>
      <c r="Q455" s="2">
        <v>1</v>
      </c>
      <c r="R455" s="2" t="s">
        <v>60</v>
      </c>
      <c r="S455" s="2" t="s">
        <v>42</v>
      </c>
      <c r="T455" s="2" t="s">
        <v>139</v>
      </c>
      <c r="U455" s="2">
        <v>9778908233</v>
      </c>
      <c r="V455" s="2" t="s">
        <v>53</v>
      </c>
    </row>
    <row r="456" spans="1:22" x14ac:dyDescent="0.3">
      <c r="A456" s="2" t="s">
        <v>596</v>
      </c>
      <c r="B456" s="2" t="s">
        <v>55</v>
      </c>
      <c r="C456" s="2" t="s">
        <v>68</v>
      </c>
      <c r="D456" s="3">
        <v>45706</v>
      </c>
      <c r="E456" s="3">
        <v>45714</v>
      </c>
      <c r="F456" s="2" t="s">
        <v>125</v>
      </c>
      <c r="G456" s="2" t="s">
        <v>58</v>
      </c>
      <c r="H456" s="3">
        <v>32959</v>
      </c>
      <c r="I456" s="2" t="s">
        <v>151</v>
      </c>
      <c r="J456" s="2" t="s">
        <v>152</v>
      </c>
      <c r="K456" s="2" t="s">
        <v>29</v>
      </c>
      <c r="L456" s="2" t="s">
        <v>71</v>
      </c>
      <c r="M456" s="2">
        <v>7</v>
      </c>
      <c r="N456" s="7">
        <v>3500</v>
      </c>
      <c r="O456" s="2">
        <v>15</v>
      </c>
      <c r="P456" s="7">
        <v>20825</v>
      </c>
      <c r="Q456" s="2">
        <v>4</v>
      </c>
      <c r="R456" s="2" t="s">
        <v>60</v>
      </c>
      <c r="S456" s="2" t="s">
        <v>50</v>
      </c>
      <c r="T456" s="2" t="s">
        <v>61</v>
      </c>
      <c r="U456" s="2">
        <v>9981118755</v>
      </c>
      <c r="V456" s="2" t="s">
        <v>52</v>
      </c>
    </row>
    <row r="457" spans="1:22" x14ac:dyDescent="0.3">
      <c r="A457" s="2" t="s">
        <v>597</v>
      </c>
      <c r="B457" s="2" t="s">
        <v>45</v>
      </c>
      <c r="C457" s="2" t="s">
        <v>46</v>
      </c>
      <c r="D457" s="3">
        <v>46110</v>
      </c>
      <c r="E457" s="3">
        <v>46116</v>
      </c>
      <c r="F457" s="2" t="s">
        <v>102</v>
      </c>
      <c r="G457" s="2" t="s">
        <v>26</v>
      </c>
      <c r="H457" s="3">
        <v>37769</v>
      </c>
      <c r="I457" s="2" t="s">
        <v>80</v>
      </c>
      <c r="J457" s="2" t="s">
        <v>76</v>
      </c>
      <c r="K457" s="2" t="s">
        <v>39</v>
      </c>
      <c r="L457" s="2" t="s">
        <v>49</v>
      </c>
      <c r="M457" s="2">
        <v>9</v>
      </c>
      <c r="N457" s="7">
        <v>55000</v>
      </c>
      <c r="O457" s="2">
        <v>15</v>
      </c>
      <c r="P457" s="7">
        <v>420750</v>
      </c>
      <c r="Q457" s="2">
        <v>3</v>
      </c>
      <c r="R457" s="2" t="s">
        <v>65</v>
      </c>
      <c r="S457" s="2" t="s">
        <v>32</v>
      </c>
      <c r="T457" s="2" t="s">
        <v>51</v>
      </c>
      <c r="U457" s="2">
        <v>9887896743</v>
      </c>
      <c r="V457" s="2" t="s">
        <v>53</v>
      </c>
    </row>
    <row r="458" spans="1:22" x14ac:dyDescent="0.3">
      <c r="A458" s="2" t="s">
        <v>598</v>
      </c>
      <c r="B458" s="2" t="s">
        <v>160</v>
      </c>
      <c r="C458" s="2" t="s">
        <v>36</v>
      </c>
      <c r="D458" s="3">
        <v>45992</v>
      </c>
      <c r="E458" s="3">
        <v>45993</v>
      </c>
      <c r="F458" s="2" t="s">
        <v>179</v>
      </c>
      <c r="G458" s="2" t="s">
        <v>58</v>
      </c>
      <c r="H458" s="3">
        <v>34006</v>
      </c>
      <c r="I458" s="2" t="s">
        <v>48</v>
      </c>
      <c r="J458" s="2" t="s">
        <v>28</v>
      </c>
      <c r="K458" s="2" t="s">
        <v>39</v>
      </c>
      <c r="L458" s="2" t="s">
        <v>40</v>
      </c>
      <c r="M458" s="2">
        <v>12</v>
      </c>
      <c r="N458" s="7">
        <v>12000</v>
      </c>
      <c r="O458" s="2">
        <v>0</v>
      </c>
      <c r="P458" s="7">
        <v>144000</v>
      </c>
      <c r="Q458" s="2">
        <v>3</v>
      </c>
      <c r="R458" s="2" t="s">
        <v>60</v>
      </c>
      <c r="S458" s="2" t="s">
        <v>97</v>
      </c>
      <c r="T458" s="2" t="s">
        <v>162</v>
      </c>
      <c r="U458" s="2">
        <v>9585330043</v>
      </c>
      <c r="V458" s="2" t="s">
        <v>53</v>
      </c>
    </row>
    <row r="459" spans="1:22" x14ac:dyDescent="0.3">
      <c r="A459" s="2" t="s">
        <v>599</v>
      </c>
      <c r="B459" s="2" t="s">
        <v>73</v>
      </c>
      <c r="C459" s="2" t="s">
        <v>83</v>
      </c>
      <c r="D459" s="3">
        <v>45781</v>
      </c>
      <c r="E459" s="3">
        <v>45788</v>
      </c>
      <c r="F459" s="2" t="s">
        <v>74</v>
      </c>
      <c r="G459" s="2" t="s">
        <v>26</v>
      </c>
      <c r="H459" s="3">
        <v>27639</v>
      </c>
      <c r="I459" s="2" t="s">
        <v>92</v>
      </c>
      <c r="J459" s="2" t="s">
        <v>76</v>
      </c>
      <c r="K459" s="2" t="s">
        <v>84</v>
      </c>
      <c r="L459" s="2" t="s">
        <v>85</v>
      </c>
      <c r="M459" s="2">
        <v>7</v>
      </c>
      <c r="N459" s="7">
        <v>60</v>
      </c>
      <c r="O459" s="2">
        <v>10</v>
      </c>
      <c r="P459" s="7">
        <v>378</v>
      </c>
      <c r="Q459" s="2">
        <v>4</v>
      </c>
      <c r="R459" s="2" t="s">
        <v>31</v>
      </c>
      <c r="S459" s="2" t="s">
        <v>42</v>
      </c>
      <c r="T459" s="2" t="s">
        <v>94</v>
      </c>
      <c r="U459" s="2">
        <v>9423719975</v>
      </c>
      <c r="V459" s="2" t="s">
        <v>53</v>
      </c>
    </row>
    <row r="460" spans="1:22" x14ac:dyDescent="0.3">
      <c r="A460" s="2" t="s">
        <v>600</v>
      </c>
      <c r="B460" s="2" t="s">
        <v>127</v>
      </c>
      <c r="C460" s="2" t="s">
        <v>24</v>
      </c>
      <c r="D460" s="3">
        <v>45892</v>
      </c>
      <c r="E460" s="3">
        <v>45900</v>
      </c>
      <c r="F460" s="2" t="s">
        <v>129</v>
      </c>
      <c r="G460" s="2" t="s">
        <v>58</v>
      </c>
      <c r="H460" s="3">
        <v>34586</v>
      </c>
      <c r="I460" s="2" t="s">
        <v>75</v>
      </c>
      <c r="J460" s="2" t="s">
        <v>76</v>
      </c>
      <c r="K460" s="2" t="s">
        <v>29</v>
      </c>
      <c r="L460" s="2" t="s">
        <v>30</v>
      </c>
      <c r="M460" s="2">
        <v>17</v>
      </c>
      <c r="N460" s="7">
        <v>2200</v>
      </c>
      <c r="O460" s="2">
        <v>15</v>
      </c>
      <c r="P460" s="7">
        <v>31790</v>
      </c>
      <c r="Q460" s="2">
        <v>3</v>
      </c>
      <c r="R460" s="2" t="s">
        <v>65</v>
      </c>
      <c r="S460" s="2" t="s">
        <v>97</v>
      </c>
      <c r="T460" s="2" t="s">
        <v>131</v>
      </c>
      <c r="U460" s="2">
        <v>9270746961</v>
      </c>
      <c r="V460" s="2" t="s">
        <v>52</v>
      </c>
    </row>
    <row r="461" spans="1:22" x14ac:dyDescent="0.3">
      <c r="A461" s="2" t="s">
        <v>601</v>
      </c>
      <c r="B461" s="2" t="s">
        <v>160</v>
      </c>
      <c r="C461" s="2" t="s">
        <v>113</v>
      </c>
      <c r="D461" s="3">
        <v>45988</v>
      </c>
      <c r="E461" s="3">
        <v>45997</v>
      </c>
      <c r="F461" s="2" t="s">
        <v>179</v>
      </c>
      <c r="G461" s="2" t="s">
        <v>58</v>
      </c>
      <c r="H461" s="3">
        <v>33884</v>
      </c>
      <c r="I461" s="2" t="s">
        <v>48</v>
      </c>
      <c r="J461" s="2" t="s">
        <v>28</v>
      </c>
      <c r="K461" s="2" t="s">
        <v>39</v>
      </c>
      <c r="L461" s="2" t="s">
        <v>115</v>
      </c>
      <c r="M461" s="2">
        <v>17</v>
      </c>
      <c r="N461" s="7">
        <v>700</v>
      </c>
      <c r="O461" s="2">
        <v>10</v>
      </c>
      <c r="P461" s="7">
        <v>10710</v>
      </c>
      <c r="Q461" s="2">
        <v>2</v>
      </c>
      <c r="R461" s="2" t="s">
        <v>31</v>
      </c>
      <c r="S461" s="2" t="s">
        <v>50</v>
      </c>
      <c r="T461" s="2" t="s">
        <v>162</v>
      </c>
      <c r="U461" s="2">
        <v>9333162025</v>
      </c>
      <c r="V461" s="2" t="s">
        <v>52</v>
      </c>
    </row>
    <row r="462" spans="1:22" x14ac:dyDescent="0.3">
      <c r="A462" s="2" t="s">
        <v>602</v>
      </c>
      <c r="B462" s="2" t="s">
        <v>160</v>
      </c>
      <c r="C462" s="2" t="s">
        <v>46</v>
      </c>
      <c r="D462" s="3">
        <v>45806</v>
      </c>
      <c r="E462" s="3">
        <v>45809</v>
      </c>
      <c r="F462" s="2" t="s">
        <v>179</v>
      </c>
      <c r="G462" s="2" t="s">
        <v>58</v>
      </c>
      <c r="H462" s="3">
        <v>37454</v>
      </c>
      <c r="I462" s="2" t="s">
        <v>37</v>
      </c>
      <c r="J462" s="2" t="s">
        <v>38</v>
      </c>
      <c r="K462" s="2" t="s">
        <v>39</v>
      </c>
      <c r="L462" s="2" t="s">
        <v>49</v>
      </c>
      <c r="M462" s="2">
        <v>19</v>
      </c>
      <c r="N462" s="7">
        <v>55000</v>
      </c>
      <c r="O462" s="2">
        <v>20</v>
      </c>
      <c r="P462" s="7">
        <v>836000</v>
      </c>
      <c r="Q462" s="2">
        <v>5</v>
      </c>
      <c r="R462" s="2" t="s">
        <v>41</v>
      </c>
      <c r="S462" s="2" t="s">
        <v>50</v>
      </c>
      <c r="T462" s="2" t="s">
        <v>162</v>
      </c>
      <c r="U462" s="2">
        <v>9247023285</v>
      </c>
      <c r="V462" s="2" t="s">
        <v>34</v>
      </c>
    </row>
    <row r="463" spans="1:22" x14ac:dyDescent="0.3">
      <c r="A463" s="2" t="s">
        <v>603</v>
      </c>
      <c r="B463" s="2" t="s">
        <v>88</v>
      </c>
      <c r="C463" s="2" t="s">
        <v>83</v>
      </c>
      <c r="D463" s="3">
        <v>45912</v>
      </c>
      <c r="E463" s="3">
        <v>45919</v>
      </c>
      <c r="F463" s="2" t="s">
        <v>119</v>
      </c>
      <c r="G463" s="2" t="s">
        <v>58</v>
      </c>
      <c r="H463" s="3">
        <v>36925</v>
      </c>
      <c r="I463" s="2" t="s">
        <v>37</v>
      </c>
      <c r="J463" s="2" t="s">
        <v>38</v>
      </c>
      <c r="K463" s="2" t="s">
        <v>84</v>
      </c>
      <c r="L463" s="2" t="s">
        <v>85</v>
      </c>
      <c r="M463" s="2">
        <v>1</v>
      </c>
      <c r="N463" s="7">
        <v>60</v>
      </c>
      <c r="O463" s="2">
        <v>10</v>
      </c>
      <c r="P463" s="7">
        <v>54</v>
      </c>
      <c r="Q463" s="2">
        <v>4</v>
      </c>
      <c r="R463" s="2" t="s">
        <v>41</v>
      </c>
      <c r="S463" s="2"/>
      <c r="T463" s="2" t="s">
        <v>604</v>
      </c>
      <c r="U463" s="2">
        <v>9448658297</v>
      </c>
      <c r="V463" s="2" t="s">
        <v>53</v>
      </c>
    </row>
    <row r="464" spans="1:22" x14ac:dyDescent="0.3">
      <c r="A464" s="2" t="s">
        <v>605</v>
      </c>
      <c r="B464" s="2" t="s">
        <v>55</v>
      </c>
      <c r="C464" s="2" t="s">
        <v>68</v>
      </c>
      <c r="D464" s="3">
        <v>46085</v>
      </c>
      <c r="E464" s="3">
        <v>46092</v>
      </c>
      <c r="F464" s="2" t="s">
        <v>125</v>
      </c>
      <c r="G464" s="2" t="s">
        <v>58</v>
      </c>
      <c r="H464" s="3">
        <v>33047</v>
      </c>
      <c r="I464" s="2" t="s">
        <v>27</v>
      </c>
      <c r="J464" s="2" t="s">
        <v>28</v>
      </c>
      <c r="K464" s="2" t="s">
        <v>29</v>
      </c>
      <c r="L464" s="2" t="s">
        <v>71</v>
      </c>
      <c r="M464" s="2">
        <v>16</v>
      </c>
      <c r="N464" s="7">
        <v>3500</v>
      </c>
      <c r="O464" s="2">
        <v>0</v>
      </c>
      <c r="P464" s="7">
        <v>56000</v>
      </c>
      <c r="Q464" s="2">
        <v>4</v>
      </c>
      <c r="R464" s="2" t="s">
        <v>41</v>
      </c>
      <c r="S464" s="2" t="s">
        <v>32</v>
      </c>
      <c r="T464" s="2" t="s">
        <v>61</v>
      </c>
      <c r="U464" s="2">
        <v>9906748486</v>
      </c>
      <c r="V464" s="2" t="s">
        <v>52</v>
      </c>
    </row>
    <row r="465" spans="1:22" x14ac:dyDescent="0.3">
      <c r="A465" s="2" t="s">
        <v>606</v>
      </c>
      <c r="B465" s="2" t="s">
        <v>88</v>
      </c>
      <c r="C465" s="2" t="s">
        <v>128</v>
      </c>
      <c r="D465" s="3">
        <v>45681</v>
      </c>
      <c r="E465" s="3">
        <v>45693</v>
      </c>
      <c r="F465" s="2" t="s">
        <v>119</v>
      </c>
      <c r="G465" s="2" t="s">
        <v>58</v>
      </c>
      <c r="H465" s="3">
        <v>28623</v>
      </c>
      <c r="I465" s="2" t="s">
        <v>80</v>
      </c>
      <c r="J465" s="2" t="s">
        <v>76</v>
      </c>
      <c r="K465" s="2" t="s">
        <v>84</v>
      </c>
      <c r="L465" s="2" t="s">
        <v>130</v>
      </c>
      <c r="M465" s="2">
        <v>14</v>
      </c>
      <c r="N465" s="7">
        <v>20</v>
      </c>
      <c r="O465" s="2">
        <v>10</v>
      </c>
      <c r="P465" s="7">
        <v>252</v>
      </c>
      <c r="Q465" s="2">
        <v>1</v>
      </c>
      <c r="R465" s="2" t="s">
        <v>41</v>
      </c>
      <c r="S465" s="2" t="s">
        <v>50</v>
      </c>
      <c r="T465" s="2" t="s">
        <v>90</v>
      </c>
      <c r="U465" s="2">
        <v>9365182725</v>
      </c>
      <c r="V465" s="2" t="s">
        <v>52</v>
      </c>
    </row>
    <row r="466" spans="1:22" x14ac:dyDescent="0.3">
      <c r="A466" s="2" t="s">
        <v>607</v>
      </c>
      <c r="B466" s="2" t="s">
        <v>55</v>
      </c>
      <c r="C466" s="2" t="s">
        <v>24</v>
      </c>
      <c r="D466" s="3">
        <v>46004</v>
      </c>
      <c r="E466" s="3">
        <v>46005</v>
      </c>
      <c r="F466" s="2" t="s">
        <v>125</v>
      </c>
      <c r="G466" s="2" t="s">
        <v>58</v>
      </c>
      <c r="H466" s="3">
        <v>36729</v>
      </c>
      <c r="I466" s="2" t="s">
        <v>48</v>
      </c>
      <c r="J466" s="2" t="s">
        <v>28</v>
      </c>
      <c r="K466" s="2" t="s">
        <v>29</v>
      </c>
      <c r="L466" s="2" t="s">
        <v>30</v>
      </c>
      <c r="M466" s="2">
        <v>11</v>
      </c>
      <c r="N466" s="7">
        <v>2200</v>
      </c>
      <c r="O466" s="2">
        <v>15</v>
      </c>
      <c r="P466" s="7">
        <v>20570</v>
      </c>
      <c r="Q466" s="2">
        <v>4</v>
      </c>
      <c r="R466" s="2" t="s">
        <v>41</v>
      </c>
      <c r="S466" s="2" t="s">
        <v>42</v>
      </c>
      <c r="T466" s="2" t="s">
        <v>61</v>
      </c>
      <c r="U466" s="2">
        <v>9937119494</v>
      </c>
      <c r="V466" s="2" t="s">
        <v>53</v>
      </c>
    </row>
    <row r="467" spans="1:22" x14ac:dyDescent="0.3">
      <c r="A467" s="2" t="s">
        <v>608</v>
      </c>
      <c r="B467" s="2" t="s">
        <v>63</v>
      </c>
      <c r="C467" s="2" t="s">
        <v>46</v>
      </c>
      <c r="D467" s="3">
        <v>45870</v>
      </c>
      <c r="E467" s="3">
        <v>45878</v>
      </c>
      <c r="F467" s="2" t="s">
        <v>111</v>
      </c>
      <c r="G467" s="2" t="s">
        <v>58</v>
      </c>
      <c r="H467" s="3">
        <v>31126</v>
      </c>
      <c r="I467" s="2" t="s">
        <v>123</v>
      </c>
      <c r="J467" s="2" t="s">
        <v>38</v>
      </c>
      <c r="K467" s="2" t="s">
        <v>39</v>
      </c>
      <c r="L467" s="2" t="s">
        <v>49</v>
      </c>
      <c r="M467" s="2">
        <v>2</v>
      </c>
      <c r="N467" s="7">
        <v>55000</v>
      </c>
      <c r="O467" s="2">
        <v>0</v>
      </c>
      <c r="P467" s="7">
        <v>110000</v>
      </c>
      <c r="Q467" s="2">
        <v>4</v>
      </c>
      <c r="R467" s="2" t="s">
        <v>41</v>
      </c>
      <c r="S467" s="2" t="s">
        <v>42</v>
      </c>
      <c r="T467" s="2" t="s">
        <v>66</v>
      </c>
      <c r="U467" s="2">
        <v>9828015293</v>
      </c>
      <c r="V467" s="2" t="s">
        <v>53</v>
      </c>
    </row>
    <row r="468" spans="1:22" x14ac:dyDescent="0.3">
      <c r="A468" s="2" t="s">
        <v>609</v>
      </c>
      <c r="B468" s="2" t="s">
        <v>45</v>
      </c>
      <c r="C468" s="2" t="s">
        <v>24</v>
      </c>
      <c r="D468" s="3">
        <v>45658</v>
      </c>
      <c r="E468" s="3">
        <v>45664</v>
      </c>
      <c r="F468" s="2" t="s">
        <v>102</v>
      </c>
      <c r="G468" s="2" t="s">
        <v>26</v>
      </c>
      <c r="H468" s="3">
        <v>32181</v>
      </c>
      <c r="I468" s="2" t="s">
        <v>80</v>
      </c>
      <c r="J468" s="2" t="s">
        <v>76</v>
      </c>
      <c r="K468" s="2" t="s">
        <v>29</v>
      </c>
      <c r="L468" s="2" t="s">
        <v>30</v>
      </c>
      <c r="M468" s="2">
        <v>7</v>
      </c>
      <c r="N468" s="7">
        <v>2200</v>
      </c>
      <c r="O468" s="2">
        <v>5</v>
      </c>
      <c r="P468" s="7">
        <v>14630</v>
      </c>
      <c r="Q468" s="2">
        <v>4</v>
      </c>
      <c r="R468" s="2" t="s">
        <v>60</v>
      </c>
      <c r="S468" s="2" t="s">
        <v>81</v>
      </c>
      <c r="T468" s="2" t="s">
        <v>51</v>
      </c>
      <c r="U468" s="2">
        <v>9864206250</v>
      </c>
      <c r="V468" s="2" t="s">
        <v>53</v>
      </c>
    </row>
    <row r="469" spans="1:22" x14ac:dyDescent="0.3">
      <c r="A469" s="2" t="s">
        <v>610</v>
      </c>
      <c r="B469" s="2" t="s">
        <v>23</v>
      </c>
      <c r="C469" s="2" t="s">
        <v>141</v>
      </c>
      <c r="D469" s="3">
        <v>45755</v>
      </c>
      <c r="E469" s="3">
        <v>45759</v>
      </c>
      <c r="F469" s="2" t="s">
        <v>25</v>
      </c>
      <c r="G469" s="2" t="s">
        <v>26</v>
      </c>
      <c r="H469" s="3">
        <v>35546</v>
      </c>
      <c r="I469" s="2" t="s">
        <v>92</v>
      </c>
      <c r="J469" s="2" t="s">
        <v>76</v>
      </c>
      <c r="K469" s="2" t="s">
        <v>84</v>
      </c>
      <c r="L469" s="2" t="s">
        <v>142</v>
      </c>
      <c r="M469" s="2">
        <v>11</v>
      </c>
      <c r="N469" s="7">
        <v>45</v>
      </c>
      <c r="O469" s="2">
        <v>15</v>
      </c>
      <c r="P469" s="7">
        <v>420.75</v>
      </c>
      <c r="Q469" s="2">
        <v>4</v>
      </c>
      <c r="R469" s="2" t="s">
        <v>60</v>
      </c>
      <c r="S469" s="2" t="s">
        <v>50</v>
      </c>
      <c r="T469" s="2" t="s">
        <v>43</v>
      </c>
      <c r="U469" s="2">
        <v>9519293104</v>
      </c>
      <c r="V469" s="2" t="s">
        <v>52</v>
      </c>
    </row>
    <row r="470" spans="1:22" x14ac:dyDescent="0.3">
      <c r="A470" s="2" t="s">
        <v>611</v>
      </c>
      <c r="B470" s="2" t="s">
        <v>73</v>
      </c>
      <c r="C470" s="2" t="s">
        <v>83</v>
      </c>
      <c r="D470" s="3">
        <v>45767</v>
      </c>
      <c r="E470" s="3">
        <v>45777</v>
      </c>
      <c r="F470" s="2" t="s">
        <v>74</v>
      </c>
      <c r="G470" s="2" t="s">
        <v>26</v>
      </c>
      <c r="H470" s="3">
        <v>37033</v>
      </c>
      <c r="I470" s="2" t="s">
        <v>75</v>
      </c>
      <c r="J470" s="2" t="s">
        <v>76</v>
      </c>
      <c r="K470" s="2" t="s">
        <v>84</v>
      </c>
      <c r="L470" s="2" t="s">
        <v>85</v>
      </c>
      <c r="M470" s="2">
        <v>16</v>
      </c>
      <c r="N470" s="7">
        <v>60</v>
      </c>
      <c r="O470" s="2">
        <v>5</v>
      </c>
      <c r="P470" s="7">
        <v>912</v>
      </c>
      <c r="Q470" s="2">
        <v>2</v>
      </c>
      <c r="R470" s="2" t="s">
        <v>31</v>
      </c>
      <c r="S470" s="2" t="s">
        <v>81</v>
      </c>
      <c r="T470" s="2" t="s">
        <v>94</v>
      </c>
      <c r="U470" s="2">
        <v>9296075245</v>
      </c>
      <c r="V470" s="2" t="s">
        <v>53</v>
      </c>
    </row>
    <row r="471" spans="1:22" x14ac:dyDescent="0.3">
      <c r="A471" s="2" t="s">
        <v>612</v>
      </c>
      <c r="B471" s="2" t="s">
        <v>160</v>
      </c>
      <c r="C471" s="2" t="s">
        <v>46</v>
      </c>
      <c r="D471" s="3">
        <v>45963</v>
      </c>
      <c r="E471" s="3">
        <v>45965</v>
      </c>
      <c r="F471" s="2" t="s">
        <v>179</v>
      </c>
      <c r="G471" s="2" t="s">
        <v>58</v>
      </c>
      <c r="H471" s="3">
        <v>30121</v>
      </c>
      <c r="I471" s="2" t="s">
        <v>80</v>
      </c>
      <c r="J471" s="2" t="s">
        <v>76</v>
      </c>
      <c r="K471" s="2" t="s">
        <v>39</v>
      </c>
      <c r="L471" s="2" t="s">
        <v>49</v>
      </c>
      <c r="M471" s="2">
        <v>18</v>
      </c>
      <c r="N471" s="7">
        <v>55000</v>
      </c>
      <c r="O471" s="2">
        <v>0</v>
      </c>
      <c r="P471" s="7">
        <v>990000</v>
      </c>
      <c r="Q471" s="2">
        <v>5</v>
      </c>
      <c r="R471" s="2" t="s">
        <v>41</v>
      </c>
      <c r="S471" s="2" t="s">
        <v>42</v>
      </c>
      <c r="T471" s="2" t="s">
        <v>162</v>
      </c>
      <c r="U471" s="2">
        <v>9316770206</v>
      </c>
      <c r="V471" s="2" t="s">
        <v>52</v>
      </c>
    </row>
    <row r="472" spans="1:22" x14ac:dyDescent="0.3">
      <c r="A472" s="2" t="s">
        <v>613</v>
      </c>
      <c r="B472" s="2" t="s">
        <v>23</v>
      </c>
      <c r="C472" s="2" t="s">
        <v>56</v>
      </c>
      <c r="D472" s="3">
        <v>45948</v>
      </c>
      <c r="E472" s="3">
        <v>45952</v>
      </c>
      <c r="F472" s="2" t="s">
        <v>25</v>
      </c>
      <c r="G472" s="2" t="s">
        <v>26</v>
      </c>
      <c r="H472" s="3">
        <v>36334</v>
      </c>
      <c r="I472" s="2" t="s">
        <v>48</v>
      </c>
      <c r="J472" s="2" t="s">
        <v>28</v>
      </c>
      <c r="K472" s="2" t="s">
        <v>39</v>
      </c>
      <c r="L472" s="2" t="s">
        <v>59</v>
      </c>
      <c r="M472" s="2">
        <v>17</v>
      </c>
      <c r="N472" s="7">
        <v>1200</v>
      </c>
      <c r="O472" s="2">
        <v>5</v>
      </c>
      <c r="P472" s="7">
        <v>19380</v>
      </c>
      <c r="Q472" s="2">
        <v>1</v>
      </c>
      <c r="R472" s="2" t="s">
        <v>41</v>
      </c>
      <c r="S472" s="2" t="s">
        <v>32</v>
      </c>
      <c r="T472" s="2" t="s">
        <v>43</v>
      </c>
      <c r="U472" s="2">
        <v>9706553861</v>
      </c>
      <c r="V472" s="2" t="s">
        <v>52</v>
      </c>
    </row>
    <row r="473" spans="1:22" x14ac:dyDescent="0.3">
      <c r="A473" s="2" t="s">
        <v>614</v>
      </c>
      <c r="B473" s="2" t="s">
        <v>45</v>
      </c>
      <c r="C473" s="2" t="s">
        <v>46</v>
      </c>
      <c r="D473" s="3">
        <v>45774</v>
      </c>
      <c r="E473" s="3">
        <v>45782</v>
      </c>
      <c r="F473" s="2" t="s">
        <v>102</v>
      </c>
      <c r="G473" s="2" t="s">
        <v>26</v>
      </c>
      <c r="H473" s="3">
        <v>36924</v>
      </c>
      <c r="I473" s="2" t="s">
        <v>80</v>
      </c>
      <c r="J473" s="2" t="s">
        <v>76</v>
      </c>
      <c r="K473" s="2" t="s">
        <v>39</v>
      </c>
      <c r="L473" s="2" t="s">
        <v>49</v>
      </c>
      <c r="M473" s="2">
        <v>11</v>
      </c>
      <c r="N473" s="7">
        <v>55000</v>
      </c>
      <c r="O473" s="2">
        <v>0</v>
      </c>
      <c r="P473" s="7">
        <v>605000</v>
      </c>
      <c r="Q473" s="2">
        <v>2</v>
      </c>
      <c r="R473" s="2" t="s">
        <v>31</v>
      </c>
      <c r="S473" s="2" t="s">
        <v>50</v>
      </c>
      <c r="T473" s="2" t="s">
        <v>51</v>
      </c>
      <c r="U473" s="2">
        <v>9524904662</v>
      </c>
      <c r="V473" s="2" t="s">
        <v>52</v>
      </c>
    </row>
    <row r="474" spans="1:22" x14ac:dyDescent="0.3">
      <c r="A474" s="2" t="s">
        <v>615</v>
      </c>
      <c r="B474" s="2" t="s">
        <v>137</v>
      </c>
      <c r="C474" s="2" t="s">
        <v>113</v>
      </c>
      <c r="D474" s="3">
        <v>45799</v>
      </c>
      <c r="E474" s="3">
        <v>45808</v>
      </c>
      <c r="F474" s="2" t="s">
        <v>138</v>
      </c>
      <c r="G474" s="2" t="s">
        <v>26</v>
      </c>
      <c r="H474" s="3">
        <v>36200</v>
      </c>
      <c r="I474" s="2" t="s">
        <v>37</v>
      </c>
      <c r="J474" s="2" t="s">
        <v>38</v>
      </c>
      <c r="K474" s="2" t="s">
        <v>39</v>
      </c>
      <c r="L474" s="2" t="s">
        <v>115</v>
      </c>
      <c r="M474" s="2">
        <v>20</v>
      </c>
      <c r="N474" s="7">
        <v>700</v>
      </c>
      <c r="O474" s="2">
        <v>20</v>
      </c>
      <c r="P474" s="7">
        <v>11200</v>
      </c>
      <c r="Q474" s="2">
        <v>5</v>
      </c>
      <c r="R474" s="2" t="s">
        <v>41</v>
      </c>
      <c r="S474" s="2" t="s">
        <v>50</v>
      </c>
      <c r="T474" s="2" t="s">
        <v>139</v>
      </c>
      <c r="U474" s="2">
        <v>9577624596</v>
      </c>
      <c r="V474" s="2" t="s">
        <v>34</v>
      </c>
    </row>
    <row r="475" spans="1:22" x14ac:dyDescent="0.3">
      <c r="A475" s="2" t="s">
        <v>616</v>
      </c>
      <c r="B475" s="2" t="s">
        <v>55</v>
      </c>
      <c r="C475" s="2" t="s">
        <v>128</v>
      </c>
      <c r="D475" s="3">
        <v>46050</v>
      </c>
      <c r="E475" s="3">
        <v>46061</v>
      </c>
      <c r="F475" s="2" t="s">
        <v>125</v>
      </c>
      <c r="G475" s="2" t="s">
        <v>58</v>
      </c>
      <c r="H475" s="3">
        <v>32269</v>
      </c>
      <c r="I475" s="2" t="s">
        <v>37</v>
      </c>
      <c r="J475" s="2" t="s">
        <v>38</v>
      </c>
      <c r="K475" s="2" t="s">
        <v>84</v>
      </c>
      <c r="L475" s="2" t="s">
        <v>130</v>
      </c>
      <c r="M475" s="2">
        <v>5</v>
      </c>
      <c r="N475" s="7">
        <v>20</v>
      </c>
      <c r="O475" s="2">
        <v>5</v>
      </c>
      <c r="P475" s="7">
        <v>95</v>
      </c>
      <c r="Q475" s="2">
        <v>4</v>
      </c>
      <c r="R475" s="2" t="s">
        <v>31</v>
      </c>
      <c r="S475" s="2" t="s">
        <v>42</v>
      </c>
      <c r="T475" s="2" t="s">
        <v>61</v>
      </c>
      <c r="U475" s="2">
        <v>9898452436</v>
      </c>
      <c r="V475" s="2" t="s">
        <v>53</v>
      </c>
    </row>
    <row r="476" spans="1:22" x14ac:dyDescent="0.3">
      <c r="A476" s="2" t="s">
        <v>617</v>
      </c>
      <c r="B476" s="2" t="s">
        <v>160</v>
      </c>
      <c r="C476" s="2" t="s">
        <v>46</v>
      </c>
      <c r="D476" s="3">
        <v>45692</v>
      </c>
      <c r="E476" s="3">
        <v>45699</v>
      </c>
      <c r="F476" s="2" t="s">
        <v>179</v>
      </c>
      <c r="G476" s="2" t="s">
        <v>58</v>
      </c>
      <c r="H476" s="3">
        <v>27437</v>
      </c>
      <c r="I476" s="2" t="s">
        <v>75</v>
      </c>
      <c r="J476" s="2" t="s">
        <v>76</v>
      </c>
      <c r="K476" s="2" t="s">
        <v>39</v>
      </c>
      <c r="L476" s="2" t="s">
        <v>49</v>
      </c>
      <c r="M476" s="2">
        <v>13</v>
      </c>
      <c r="N476" s="7">
        <v>55000</v>
      </c>
      <c r="O476" s="2">
        <v>5</v>
      </c>
      <c r="P476" s="7">
        <v>679250</v>
      </c>
      <c r="Q476" s="2">
        <v>1</v>
      </c>
      <c r="R476" s="2" t="s">
        <v>41</v>
      </c>
      <c r="S476" s="2" t="s">
        <v>42</v>
      </c>
      <c r="T476" s="2" t="s">
        <v>162</v>
      </c>
      <c r="U476" s="2">
        <v>9960757012</v>
      </c>
      <c r="V476" s="2" t="s">
        <v>52</v>
      </c>
    </row>
    <row r="477" spans="1:22" x14ac:dyDescent="0.3">
      <c r="A477" s="2" t="s">
        <v>618</v>
      </c>
      <c r="B477" s="2" t="s">
        <v>88</v>
      </c>
      <c r="C477" s="2" t="s">
        <v>46</v>
      </c>
      <c r="D477" s="3">
        <v>45766</v>
      </c>
      <c r="E477" s="3">
        <v>45767</v>
      </c>
      <c r="F477" s="2" t="s">
        <v>119</v>
      </c>
      <c r="G477" s="2" t="s">
        <v>58</v>
      </c>
      <c r="H477" s="3">
        <v>37987</v>
      </c>
      <c r="I477" s="2" t="s">
        <v>151</v>
      </c>
      <c r="J477" s="2" t="s">
        <v>152</v>
      </c>
      <c r="K477" s="2" t="s">
        <v>39</v>
      </c>
      <c r="L477" s="2" t="s">
        <v>49</v>
      </c>
      <c r="M477" s="2">
        <v>12</v>
      </c>
      <c r="N477" s="7">
        <v>55000</v>
      </c>
      <c r="O477" s="2">
        <v>5</v>
      </c>
      <c r="P477" s="7">
        <v>627000</v>
      </c>
      <c r="Q477" s="2">
        <v>1</v>
      </c>
      <c r="R477" s="2" t="s">
        <v>41</v>
      </c>
      <c r="S477" s="2" t="s">
        <v>81</v>
      </c>
      <c r="T477" s="2" t="s">
        <v>90</v>
      </c>
      <c r="U477" s="2">
        <v>9331268182</v>
      </c>
      <c r="V477" s="2" t="s">
        <v>53</v>
      </c>
    </row>
    <row r="478" spans="1:22" x14ac:dyDescent="0.3">
      <c r="A478" s="2" t="s">
        <v>619</v>
      </c>
      <c r="B478" s="2" t="s">
        <v>45</v>
      </c>
      <c r="C478" s="2" t="s">
        <v>141</v>
      </c>
      <c r="D478" s="3">
        <v>45678</v>
      </c>
      <c r="E478" s="3">
        <v>45685</v>
      </c>
      <c r="F478" s="2" t="s">
        <v>102</v>
      </c>
      <c r="G478" s="2" t="s">
        <v>26</v>
      </c>
      <c r="H478" s="3">
        <v>37126</v>
      </c>
      <c r="I478" s="2" t="s">
        <v>75</v>
      </c>
      <c r="J478" s="2" t="s">
        <v>76</v>
      </c>
      <c r="K478" s="2" t="s">
        <v>84</v>
      </c>
      <c r="L478" s="2" t="s">
        <v>142</v>
      </c>
      <c r="M478" s="2">
        <v>16</v>
      </c>
      <c r="N478" s="7">
        <v>45</v>
      </c>
      <c r="O478" s="2">
        <v>20</v>
      </c>
      <c r="P478" s="7">
        <v>576</v>
      </c>
      <c r="Q478" s="2">
        <v>2</v>
      </c>
      <c r="R478" s="2" t="s">
        <v>31</v>
      </c>
      <c r="S478" s="2" t="s">
        <v>42</v>
      </c>
      <c r="T478" s="2" t="s">
        <v>51</v>
      </c>
      <c r="U478" s="2">
        <v>9135996862</v>
      </c>
      <c r="V478" s="2" t="s">
        <v>52</v>
      </c>
    </row>
    <row r="479" spans="1:22" x14ac:dyDescent="0.3">
      <c r="A479" s="2" t="s">
        <v>620</v>
      </c>
      <c r="B479" s="2" t="s">
        <v>23</v>
      </c>
      <c r="C479" s="2" t="s">
        <v>56</v>
      </c>
      <c r="D479" s="3">
        <v>45918</v>
      </c>
      <c r="E479" s="3">
        <v>45927</v>
      </c>
      <c r="F479" s="2" t="s">
        <v>25</v>
      </c>
      <c r="G479" s="2" t="s">
        <v>26</v>
      </c>
      <c r="H479" s="3">
        <v>35818</v>
      </c>
      <c r="I479" s="2" t="s">
        <v>48</v>
      </c>
      <c r="J479" s="2" t="s">
        <v>28</v>
      </c>
      <c r="K479" s="2" t="s">
        <v>39</v>
      </c>
      <c r="L479" s="2" t="s">
        <v>59</v>
      </c>
      <c r="M479" s="2">
        <v>5</v>
      </c>
      <c r="N479" s="7">
        <v>1200</v>
      </c>
      <c r="O479" s="2">
        <v>10</v>
      </c>
      <c r="P479" s="7">
        <v>5400</v>
      </c>
      <c r="Q479" s="2">
        <v>1</v>
      </c>
      <c r="R479" s="2" t="s">
        <v>31</v>
      </c>
      <c r="S479" s="2"/>
      <c r="T479" s="2" t="s">
        <v>621</v>
      </c>
      <c r="U479" s="2">
        <v>9540813143</v>
      </c>
      <c r="V479" s="2" t="s">
        <v>34</v>
      </c>
    </row>
    <row r="480" spans="1:22" x14ac:dyDescent="0.3">
      <c r="A480" s="2" t="s">
        <v>622</v>
      </c>
      <c r="B480" s="2" t="s">
        <v>105</v>
      </c>
      <c r="C480" s="2" t="s">
        <v>141</v>
      </c>
      <c r="D480" s="3">
        <v>45949</v>
      </c>
      <c r="E480" s="3">
        <v>45950</v>
      </c>
      <c r="F480" s="2" t="s">
        <v>623</v>
      </c>
      <c r="G480" s="2" t="s">
        <v>26</v>
      </c>
      <c r="H480" s="3">
        <v>38135</v>
      </c>
      <c r="I480" s="2" t="s">
        <v>151</v>
      </c>
      <c r="J480" s="2" t="s">
        <v>152</v>
      </c>
      <c r="K480" s="2" t="s">
        <v>84</v>
      </c>
      <c r="L480" s="2" t="s">
        <v>142</v>
      </c>
      <c r="M480" s="2">
        <v>2</v>
      </c>
      <c r="N480" s="7">
        <v>45</v>
      </c>
      <c r="O480" s="2">
        <v>10</v>
      </c>
      <c r="P480" s="7">
        <v>81</v>
      </c>
      <c r="Q480" s="2">
        <v>4</v>
      </c>
      <c r="R480" s="2" t="s">
        <v>65</v>
      </c>
      <c r="S480" s="2" t="s">
        <v>42</v>
      </c>
      <c r="T480" s="2" t="s">
        <v>109</v>
      </c>
      <c r="U480" s="2">
        <v>9910913552</v>
      </c>
      <c r="V480" s="2" t="s">
        <v>52</v>
      </c>
    </row>
    <row r="481" spans="1:22" x14ac:dyDescent="0.3">
      <c r="A481" s="2" t="s">
        <v>624</v>
      </c>
      <c r="B481" s="2" t="s">
        <v>88</v>
      </c>
      <c r="C481" s="2" t="s">
        <v>36</v>
      </c>
      <c r="D481" s="3">
        <v>46034</v>
      </c>
      <c r="E481" s="3">
        <v>46040</v>
      </c>
      <c r="F481" s="2" t="s">
        <v>119</v>
      </c>
      <c r="G481" s="2" t="s">
        <v>58</v>
      </c>
      <c r="H481" s="3">
        <v>31112</v>
      </c>
      <c r="I481" s="2" t="s">
        <v>92</v>
      </c>
      <c r="J481" s="2" t="s">
        <v>76</v>
      </c>
      <c r="K481" s="2" t="s">
        <v>39</v>
      </c>
      <c r="L481" s="2" t="s">
        <v>40</v>
      </c>
      <c r="M481" s="2">
        <v>3</v>
      </c>
      <c r="N481" s="7">
        <v>12000</v>
      </c>
      <c r="O481" s="2">
        <v>0</v>
      </c>
      <c r="P481" s="7">
        <v>36000</v>
      </c>
      <c r="Q481" s="2">
        <v>2</v>
      </c>
      <c r="R481" s="2" t="s">
        <v>65</v>
      </c>
      <c r="S481" s="2" t="s">
        <v>97</v>
      </c>
      <c r="T481" s="2" t="s">
        <v>90</v>
      </c>
      <c r="U481" s="2">
        <v>9282751683</v>
      </c>
      <c r="V481" s="2" t="s">
        <v>52</v>
      </c>
    </row>
    <row r="482" spans="1:22" x14ac:dyDescent="0.3">
      <c r="A482" s="2" t="s">
        <v>625</v>
      </c>
      <c r="B482" s="2" t="s">
        <v>23</v>
      </c>
      <c r="C482" s="2" t="s">
        <v>36</v>
      </c>
      <c r="D482" s="3">
        <v>45683</v>
      </c>
      <c r="E482" s="3">
        <v>45689</v>
      </c>
      <c r="F482" s="2" t="s">
        <v>70</v>
      </c>
      <c r="G482" s="2" t="s">
        <v>26</v>
      </c>
      <c r="H482" s="3">
        <v>31661</v>
      </c>
      <c r="I482" s="2" t="s">
        <v>48</v>
      </c>
      <c r="J482" s="2" t="s">
        <v>28</v>
      </c>
      <c r="K482" s="2" t="s">
        <v>39</v>
      </c>
      <c r="L482" s="2" t="s">
        <v>40</v>
      </c>
      <c r="M482" s="2">
        <v>3</v>
      </c>
      <c r="N482" s="7">
        <v>12000</v>
      </c>
      <c r="O482" s="2">
        <v>20</v>
      </c>
      <c r="P482" s="7">
        <v>28800</v>
      </c>
      <c r="Q482" s="2">
        <v>3</v>
      </c>
      <c r="R482" s="2" t="s">
        <v>65</v>
      </c>
      <c r="S482" s="2" t="s">
        <v>81</v>
      </c>
      <c r="T482" s="2" t="s">
        <v>43</v>
      </c>
      <c r="U482" s="2">
        <v>9939332058</v>
      </c>
      <c r="V482" s="2" t="s">
        <v>34</v>
      </c>
    </row>
    <row r="483" spans="1:22" x14ac:dyDescent="0.3">
      <c r="A483" s="2" t="s">
        <v>626</v>
      </c>
      <c r="B483" s="2" t="s">
        <v>88</v>
      </c>
      <c r="C483" s="2" t="s">
        <v>106</v>
      </c>
      <c r="D483" s="3">
        <v>46119</v>
      </c>
      <c r="E483" s="3">
        <v>46120</v>
      </c>
      <c r="F483" s="2" t="s">
        <v>119</v>
      </c>
      <c r="G483" s="2" t="s">
        <v>58</v>
      </c>
      <c r="H483" s="3">
        <v>29819</v>
      </c>
      <c r="I483" s="2" t="s">
        <v>151</v>
      </c>
      <c r="J483" s="2" t="s">
        <v>152</v>
      </c>
      <c r="K483" s="2" t="s">
        <v>29</v>
      </c>
      <c r="L483" s="2" t="s">
        <v>108</v>
      </c>
      <c r="M483" s="2">
        <v>9</v>
      </c>
      <c r="N483" s="7">
        <v>8500</v>
      </c>
      <c r="O483" s="2">
        <v>15</v>
      </c>
      <c r="P483" s="7">
        <v>65025</v>
      </c>
      <c r="Q483" s="2">
        <v>5</v>
      </c>
      <c r="R483" s="2" t="s">
        <v>31</v>
      </c>
      <c r="S483" s="2" t="s">
        <v>42</v>
      </c>
      <c r="T483" s="2" t="s">
        <v>90</v>
      </c>
      <c r="U483" s="2">
        <v>9780626473</v>
      </c>
      <c r="V483" s="2" t="s">
        <v>52</v>
      </c>
    </row>
    <row r="484" spans="1:22" x14ac:dyDescent="0.3">
      <c r="A484" s="2" t="s">
        <v>627</v>
      </c>
      <c r="B484" s="2" t="s">
        <v>55</v>
      </c>
      <c r="C484" s="2" t="s">
        <v>113</v>
      </c>
      <c r="D484" s="3">
        <v>45834</v>
      </c>
      <c r="E484" s="3">
        <v>45844</v>
      </c>
      <c r="F484" s="2" t="s">
        <v>628</v>
      </c>
      <c r="G484" s="2" t="s">
        <v>58</v>
      </c>
      <c r="H484" s="3">
        <v>33717</v>
      </c>
      <c r="I484" s="2" t="s">
        <v>151</v>
      </c>
      <c r="J484" s="2" t="s">
        <v>152</v>
      </c>
      <c r="K484" s="2" t="s">
        <v>39</v>
      </c>
      <c r="L484" s="2" t="s">
        <v>115</v>
      </c>
      <c r="M484" s="2">
        <v>17</v>
      </c>
      <c r="N484" s="7">
        <v>700</v>
      </c>
      <c r="O484" s="2">
        <v>0</v>
      </c>
      <c r="P484" s="7">
        <v>11900</v>
      </c>
      <c r="Q484" s="2">
        <v>2</v>
      </c>
      <c r="R484" s="2" t="s">
        <v>31</v>
      </c>
      <c r="S484" s="2" t="s">
        <v>50</v>
      </c>
      <c r="T484" s="2" t="s">
        <v>61</v>
      </c>
      <c r="U484" s="2">
        <v>9347298020</v>
      </c>
      <c r="V484" s="2" t="s">
        <v>53</v>
      </c>
    </row>
    <row r="485" spans="1:22" x14ac:dyDescent="0.3">
      <c r="A485" s="2" t="s">
        <v>629</v>
      </c>
      <c r="B485" s="2" t="s">
        <v>23</v>
      </c>
      <c r="C485" s="2" t="s">
        <v>113</v>
      </c>
      <c r="D485" s="3">
        <v>45846</v>
      </c>
      <c r="E485" s="3">
        <v>45856</v>
      </c>
      <c r="F485" s="2" t="s">
        <v>25</v>
      </c>
      <c r="G485" s="2" t="s">
        <v>26</v>
      </c>
      <c r="H485" s="3">
        <v>33422</v>
      </c>
      <c r="I485" s="2" t="s">
        <v>27</v>
      </c>
      <c r="J485" s="2" t="s">
        <v>28</v>
      </c>
      <c r="K485" s="2" t="s">
        <v>39</v>
      </c>
      <c r="L485" s="2" t="s">
        <v>115</v>
      </c>
      <c r="M485" s="2">
        <v>20</v>
      </c>
      <c r="N485" s="7">
        <v>700</v>
      </c>
      <c r="O485" s="2">
        <v>5</v>
      </c>
      <c r="P485" s="7">
        <v>13300</v>
      </c>
      <c r="Q485" s="2">
        <v>2</v>
      </c>
      <c r="R485" s="2" t="s">
        <v>65</v>
      </c>
      <c r="S485" s="2" t="s">
        <v>32</v>
      </c>
      <c r="T485" s="2" t="s">
        <v>43</v>
      </c>
      <c r="U485" s="2">
        <v>9345328522</v>
      </c>
      <c r="V485" s="2" t="s">
        <v>34</v>
      </c>
    </row>
    <row r="486" spans="1:22" x14ac:dyDescent="0.3">
      <c r="A486" s="2" t="s">
        <v>630</v>
      </c>
      <c r="B486" s="2" t="s">
        <v>160</v>
      </c>
      <c r="C486" s="2" t="s">
        <v>56</v>
      </c>
      <c r="D486" s="3">
        <v>46092</v>
      </c>
      <c r="E486" s="3">
        <v>46102</v>
      </c>
      <c r="F486" s="2" t="s">
        <v>631</v>
      </c>
      <c r="G486" s="2" t="s">
        <v>58</v>
      </c>
      <c r="H486" s="3">
        <v>28526</v>
      </c>
      <c r="I486" s="2" t="s">
        <v>92</v>
      </c>
      <c r="J486" s="2" t="s">
        <v>76</v>
      </c>
      <c r="K486" s="2" t="s">
        <v>39</v>
      </c>
      <c r="L486" s="2" t="s">
        <v>59</v>
      </c>
      <c r="M486" s="2">
        <v>13</v>
      </c>
      <c r="N486" s="7">
        <v>1200</v>
      </c>
      <c r="O486" s="2">
        <v>20</v>
      </c>
      <c r="P486" s="7">
        <v>12480</v>
      </c>
      <c r="Q486" s="2">
        <v>5</v>
      </c>
      <c r="R486" s="2" t="s">
        <v>60</v>
      </c>
      <c r="S486" s="2" t="s">
        <v>81</v>
      </c>
      <c r="T486" s="2" t="s">
        <v>162</v>
      </c>
      <c r="U486" s="2">
        <v>9160310438</v>
      </c>
      <c r="V486" s="2" t="s">
        <v>34</v>
      </c>
    </row>
    <row r="487" spans="1:22" x14ac:dyDescent="0.3">
      <c r="A487" s="2" t="s">
        <v>632</v>
      </c>
      <c r="B487" s="2" t="s">
        <v>73</v>
      </c>
      <c r="C487" s="2" t="s">
        <v>46</v>
      </c>
      <c r="D487" s="3">
        <v>46104</v>
      </c>
      <c r="E487" s="3">
        <v>46110</v>
      </c>
      <c r="F487" s="2" t="s">
        <v>74</v>
      </c>
      <c r="G487" s="2" t="s">
        <v>26</v>
      </c>
      <c r="H487" s="3">
        <v>36359</v>
      </c>
      <c r="I487" s="2" t="s">
        <v>123</v>
      </c>
      <c r="J487" s="2" t="s">
        <v>38</v>
      </c>
      <c r="K487" s="2" t="s">
        <v>39</v>
      </c>
      <c r="L487" s="2" t="s">
        <v>49</v>
      </c>
      <c r="M487" s="2">
        <v>20</v>
      </c>
      <c r="N487" s="7">
        <v>55000</v>
      </c>
      <c r="O487" s="2">
        <v>10</v>
      </c>
      <c r="P487" s="7">
        <v>990000</v>
      </c>
      <c r="Q487" s="2">
        <v>1</v>
      </c>
      <c r="R487" s="2" t="s">
        <v>65</v>
      </c>
      <c r="S487" s="2" t="s">
        <v>32</v>
      </c>
      <c r="T487" s="2" t="s">
        <v>94</v>
      </c>
      <c r="U487" s="2">
        <v>9343776153</v>
      </c>
      <c r="V487" s="2" t="s">
        <v>52</v>
      </c>
    </row>
    <row r="488" spans="1:22" x14ac:dyDescent="0.3">
      <c r="A488" s="2" t="s">
        <v>633</v>
      </c>
      <c r="B488" s="2" t="s">
        <v>137</v>
      </c>
      <c r="C488" s="2" t="s">
        <v>56</v>
      </c>
      <c r="D488" s="3">
        <v>45961</v>
      </c>
      <c r="E488" s="3">
        <v>45966</v>
      </c>
      <c r="F488" s="2" t="s">
        <v>138</v>
      </c>
      <c r="G488" s="2" t="s">
        <v>26</v>
      </c>
      <c r="H488" s="3">
        <v>32236</v>
      </c>
      <c r="I488" s="2" t="s">
        <v>151</v>
      </c>
      <c r="J488" s="2" t="s">
        <v>152</v>
      </c>
      <c r="K488" s="2" t="s">
        <v>39</v>
      </c>
      <c r="L488" s="2" t="s">
        <v>59</v>
      </c>
      <c r="M488" s="2">
        <v>8</v>
      </c>
      <c r="N488" s="7">
        <v>1200</v>
      </c>
      <c r="O488" s="2">
        <v>0</v>
      </c>
      <c r="P488" s="7">
        <v>9600</v>
      </c>
      <c r="Q488" s="2">
        <v>2</v>
      </c>
      <c r="R488" s="2" t="s">
        <v>41</v>
      </c>
      <c r="S488" s="2" t="s">
        <v>97</v>
      </c>
      <c r="T488" s="2" t="s">
        <v>139</v>
      </c>
      <c r="U488" s="2">
        <v>9458599727</v>
      </c>
      <c r="V488" s="2" t="s">
        <v>34</v>
      </c>
    </row>
    <row r="489" spans="1:22" x14ac:dyDescent="0.3">
      <c r="A489" s="2" t="s">
        <v>634</v>
      </c>
      <c r="B489" s="2" t="s">
        <v>45</v>
      </c>
      <c r="C489" s="2" t="s">
        <v>128</v>
      </c>
      <c r="D489" s="3">
        <v>46147</v>
      </c>
      <c r="E489" s="3">
        <v>46151</v>
      </c>
      <c r="F489" s="2" t="s">
        <v>102</v>
      </c>
      <c r="G489" s="2" t="s">
        <v>26</v>
      </c>
      <c r="H489" s="3">
        <v>28805</v>
      </c>
      <c r="I489" s="2" t="s">
        <v>151</v>
      </c>
      <c r="J489" s="2" t="s">
        <v>152</v>
      </c>
      <c r="K489" s="2" t="s">
        <v>84</v>
      </c>
      <c r="L489" s="2" t="s">
        <v>130</v>
      </c>
      <c r="M489" s="2">
        <v>18</v>
      </c>
      <c r="N489" s="7">
        <v>20</v>
      </c>
      <c r="O489" s="2">
        <v>10</v>
      </c>
      <c r="P489" s="7">
        <v>324</v>
      </c>
      <c r="Q489" s="2">
        <v>5</v>
      </c>
      <c r="R489" s="2" t="s">
        <v>60</v>
      </c>
      <c r="S489" s="2"/>
      <c r="T489" s="2" t="s">
        <v>635</v>
      </c>
      <c r="U489" s="2">
        <v>9218660140</v>
      </c>
      <c r="V489" s="2" t="s">
        <v>52</v>
      </c>
    </row>
    <row r="490" spans="1:22" x14ac:dyDescent="0.3">
      <c r="A490" s="2" t="s">
        <v>636</v>
      </c>
      <c r="B490" s="2" t="s">
        <v>105</v>
      </c>
      <c r="C490" s="2" t="s">
        <v>36</v>
      </c>
      <c r="D490" s="3">
        <v>45711</v>
      </c>
      <c r="E490" s="3">
        <v>45723</v>
      </c>
      <c r="F490" s="2" t="s">
        <v>170</v>
      </c>
      <c r="G490" s="2" t="s">
        <v>26</v>
      </c>
      <c r="H490" s="3">
        <v>34426</v>
      </c>
      <c r="I490" s="2" t="s">
        <v>80</v>
      </c>
      <c r="J490" s="2" t="s">
        <v>76</v>
      </c>
      <c r="K490" s="2" t="s">
        <v>39</v>
      </c>
      <c r="L490" s="2" t="s">
        <v>40</v>
      </c>
      <c r="M490" s="2">
        <v>11</v>
      </c>
      <c r="N490" s="7">
        <v>12000</v>
      </c>
      <c r="O490" s="2">
        <v>10</v>
      </c>
      <c r="P490" s="7">
        <v>118800</v>
      </c>
      <c r="Q490" s="2">
        <v>1</v>
      </c>
      <c r="R490" s="2" t="s">
        <v>60</v>
      </c>
      <c r="S490" s="2" t="s">
        <v>42</v>
      </c>
      <c r="T490" s="2" t="s">
        <v>109</v>
      </c>
      <c r="U490" s="2">
        <v>9341979199</v>
      </c>
      <c r="V490" s="2" t="s">
        <v>53</v>
      </c>
    </row>
    <row r="491" spans="1:22" x14ac:dyDescent="0.3">
      <c r="A491" s="2" t="s">
        <v>637</v>
      </c>
      <c r="B491" s="2" t="s">
        <v>160</v>
      </c>
      <c r="C491" s="2" t="s">
        <v>106</v>
      </c>
      <c r="D491" s="3">
        <v>45672</v>
      </c>
      <c r="E491" s="3">
        <v>45674</v>
      </c>
      <c r="F491" s="2" t="s">
        <v>179</v>
      </c>
      <c r="G491" s="2" t="s">
        <v>58</v>
      </c>
      <c r="H491" s="3">
        <v>34098</v>
      </c>
      <c r="I491" s="2" t="s">
        <v>27</v>
      </c>
      <c r="J491" s="2" t="s">
        <v>28</v>
      </c>
      <c r="K491" s="2" t="s">
        <v>29</v>
      </c>
      <c r="L491" s="2" t="s">
        <v>108</v>
      </c>
      <c r="M491" s="2">
        <v>2</v>
      </c>
      <c r="N491" s="7">
        <v>8500</v>
      </c>
      <c r="O491" s="2">
        <v>5</v>
      </c>
      <c r="P491" s="7">
        <v>16150</v>
      </c>
      <c r="Q491" s="2">
        <v>1</v>
      </c>
      <c r="R491" s="2" t="s">
        <v>60</v>
      </c>
      <c r="S491" s="2" t="s">
        <v>50</v>
      </c>
      <c r="T491" s="2" t="s">
        <v>162</v>
      </c>
      <c r="U491" s="2">
        <v>9823080381</v>
      </c>
      <c r="V491" s="2" t="s">
        <v>34</v>
      </c>
    </row>
    <row r="492" spans="1:22" x14ac:dyDescent="0.3">
      <c r="A492" s="2" t="s">
        <v>638</v>
      </c>
      <c r="B492" s="2" t="s">
        <v>73</v>
      </c>
      <c r="C492" s="2" t="s">
        <v>24</v>
      </c>
      <c r="D492" s="3">
        <v>45746</v>
      </c>
      <c r="E492" s="3">
        <v>45755</v>
      </c>
      <c r="F492" s="2" t="s">
        <v>639</v>
      </c>
      <c r="G492" s="2" t="s">
        <v>26</v>
      </c>
      <c r="H492" s="3">
        <v>34526</v>
      </c>
      <c r="I492" s="2" t="s">
        <v>80</v>
      </c>
      <c r="J492" s="2" t="s">
        <v>76</v>
      </c>
      <c r="K492" s="2" t="s">
        <v>29</v>
      </c>
      <c r="L492" s="2" t="s">
        <v>30</v>
      </c>
      <c r="M492" s="2">
        <v>7</v>
      </c>
      <c r="N492" s="7">
        <v>2200</v>
      </c>
      <c r="O492" s="2">
        <v>0</v>
      </c>
      <c r="P492" s="7">
        <v>15400</v>
      </c>
      <c r="Q492" s="2">
        <v>5</v>
      </c>
      <c r="R492" s="2" t="s">
        <v>41</v>
      </c>
      <c r="S492" s="2" t="s">
        <v>32</v>
      </c>
      <c r="T492" s="2" t="s">
        <v>94</v>
      </c>
      <c r="U492" s="2">
        <v>9981183477</v>
      </c>
      <c r="V492" s="2" t="s">
        <v>52</v>
      </c>
    </row>
    <row r="493" spans="1:22" x14ac:dyDescent="0.3">
      <c r="A493" s="2" t="s">
        <v>640</v>
      </c>
      <c r="B493" s="2" t="s">
        <v>63</v>
      </c>
      <c r="C493" s="2" t="s">
        <v>106</v>
      </c>
      <c r="D493" s="3">
        <v>46136</v>
      </c>
      <c r="E493" s="3">
        <v>46144</v>
      </c>
      <c r="F493" s="2" t="s">
        <v>111</v>
      </c>
      <c r="G493" s="2" t="s">
        <v>58</v>
      </c>
      <c r="H493" s="3">
        <v>30304</v>
      </c>
      <c r="I493" s="2" t="s">
        <v>37</v>
      </c>
      <c r="J493" s="2" t="s">
        <v>38</v>
      </c>
      <c r="K493" s="2" t="s">
        <v>29</v>
      </c>
      <c r="L493" s="2" t="s">
        <v>108</v>
      </c>
      <c r="M493" s="2">
        <v>20</v>
      </c>
      <c r="N493" s="7">
        <v>8500</v>
      </c>
      <c r="O493" s="2">
        <v>0</v>
      </c>
      <c r="P493" s="7">
        <v>170000</v>
      </c>
      <c r="Q493" s="2">
        <v>3</v>
      </c>
      <c r="R493" s="2" t="s">
        <v>41</v>
      </c>
      <c r="S493" s="2" t="s">
        <v>42</v>
      </c>
      <c r="T493" s="2" t="s">
        <v>66</v>
      </c>
      <c r="U493" s="2">
        <v>9281596011</v>
      </c>
      <c r="V493" s="2" t="s">
        <v>34</v>
      </c>
    </row>
    <row r="494" spans="1:22" x14ac:dyDescent="0.3">
      <c r="A494" s="2" t="s">
        <v>641</v>
      </c>
      <c r="B494" s="2" t="s">
        <v>88</v>
      </c>
      <c r="C494" s="2" t="s">
        <v>56</v>
      </c>
      <c r="D494" s="3">
        <v>45858</v>
      </c>
      <c r="E494" s="3">
        <v>45867</v>
      </c>
      <c r="F494" s="2" t="s">
        <v>642</v>
      </c>
      <c r="G494" s="2" t="s">
        <v>58</v>
      </c>
      <c r="H494" s="3">
        <v>37197</v>
      </c>
      <c r="I494" s="2" t="s">
        <v>27</v>
      </c>
      <c r="J494" s="2" t="s">
        <v>28</v>
      </c>
      <c r="K494" s="2" t="s">
        <v>39</v>
      </c>
      <c r="L494" s="2" t="s">
        <v>59</v>
      </c>
      <c r="M494" s="2">
        <v>11</v>
      </c>
      <c r="N494" s="7">
        <v>1200</v>
      </c>
      <c r="O494" s="2">
        <v>5</v>
      </c>
      <c r="P494" s="7">
        <v>12540</v>
      </c>
      <c r="Q494" s="2">
        <v>2</v>
      </c>
      <c r="R494" s="2" t="s">
        <v>31</v>
      </c>
      <c r="S494" s="2" t="s">
        <v>32</v>
      </c>
      <c r="T494" s="2" t="s">
        <v>90</v>
      </c>
      <c r="U494" s="2">
        <v>9211734022</v>
      </c>
      <c r="V494" s="2" t="s">
        <v>52</v>
      </c>
    </row>
    <row r="495" spans="1:22" x14ac:dyDescent="0.3">
      <c r="A495" s="2" t="s">
        <v>643</v>
      </c>
      <c r="B495" s="2" t="s">
        <v>63</v>
      </c>
      <c r="C495" s="2" t="s">
        <v>113</v>
      </c>
      <c r="D495" s="3">
        <v>45867</v>
      </c>
      <c r="E495" s="3">
        <v>45870</v>
      </c>
      <c r="F495" s="2" t="s">
        <v>111</v>
      </c>
      <c r="G495" s="2" t="s">
        <v>58</v>
      </c>
      <c r="H495" s="3">
        <v>37182</v>
      </c>
      <c r="I495" s="2" t="s">
        <v>92</v>
      </c>
      <c r="J495" s="2" t="s">
        <v>76</v>
      </c>
      <c r="K495" s="2" t="s">
        <v>39</v>
      </c>
      <c r="L495" s="2" t="s">
        <v>115</v>
      </c>
      <c r="M495" s="2">
        <v>14</v>
      </c>
      <c r="N495" s="7">
        <v>700</v>
      </c>
      <c r="O495" s="2">
        <v>0</v>
      </c>
      <c r="P495" s="7">
        <v>9800</v>
      </c>
      <c r="Q495" s="2">
        <v>2</v>
      </c>
      <c r="R495" s="2" t="s">
        <v>60</v>
      </c>
      <c r="S495" s="2" t="s">
        <v>97</v>
      </c>
      <c r="T495" s="2" t="s">
        <v>66</v>
      </c>
      <c r="U495" s="2">
        <v>9447151666</v>
      </c>
      <c r="V495" s="2" t="s">
        <v>53</v>
      </c>
    </row>
    <row r="496" spans="1:22" x14ac:dyDescent="0.3">
      <c r="A496" s="2" t="s">
        <v>644</v>
      </c>
      <c r="B496" s="2" t="s">
        <v>55</v>
      </c>
      <c r="C496" s="2" t="s">
        <v>56</v>
      </c>
      <c r="D496" s="3">
        <v>45951</v>
      </c>
      <c r="E496" s="3">
        <v>45962</v>
      </c>
      <c r="F496" s="2" t="s">
        <v>125</v>
      </c>
      <c r="G496" s="2" t="s">
        <v>58</v>
      </c>
      <c r="H496" s="3">
        <v>36881</v>
      </c>
      <c r="I496" s="2" t="s">
        <v>80</v>
      </c>
      <c r="J496" s="2" t="s">
        <v>76</v>
      </c>
      <c r="K496" s="2" t="s">
        <v>39</v>
      </c>
      <c r="L496" s="2" t="s">
        <v>59</v>
      </c>
      <c r="M496" s="2">
        <v>16</v>
      </c>
      <c r="N496" s="7">
        <v>1200</v>
      </c>
      <c r="O496" s="2">
        <v>15</v>
      </c>
      <c r="P496" s="7">
        <v>16320</v>
      </c>
      <c r="Q496" s="2">
        <v>4</v>
      </c>
      <c r="R496" s="2" t="s">
        <v>31</v>
      </c>
      <c r="S496" s="2" t="s">
        <v>97</v>
      </c>
      <c r="T496" s="2" t="s">
        <v>61</v>
      </c>
      <c r="U496" s="2">
        <v>9345342793</v>
      </c>
      <c r="V496" s="2" t="s">
        <v>52</v>
      </c>
    </row>
    <row r="497" spans="1:22" x14ac:dyDescent="0.3">
      <c r="A497" s="2" t="s">
        <v>645</v>
      </c>
      <c r="B497" s="2" t="s">
        <v>105</v>
      </c>
      <c r="C497" s="2" t="s">
        <v>24</v>
      </c>
      <c r="D497" s="3">
        <v>46098</v>
      </c>
      <c r="E497" s="3">
        <v>46110</v>
      </c>
      <c r="F497" s="2" t="s">
        <v>646</v>
      </c>
      <c r="G497" s="2" t="s">
        <v>26</v>
      </c>
      <c r="H497" s="3">
        <v>30367</v>
      </c>
      <c r="I497" s="2" t="s">
        <v>123</v>
      </c>
      <c r="J497" s="2" t="s">
        <v>38</v>
      </c>
      <c r="K497" s="2" t="s">
        <v>29</v>
      </c>
      <c r="L497" s="2" t="s">
        <v>30</v>
      </c>
      <c r="M497" s="2">
        <v>20</v>
      </c>
      <c r="N497" s="7">
        <v>2200</v>
      </c>
      <c r="O497" s="2">
        <v>0</v>
      </c>
      <c r="P497" s="7">
        <v>44000</v>
      </c>
      <c r="Q497" s="2">
        <v>5</v>
      </c>
      <c r="R497" s="2" t="s">
        <v>31</v>
      </c>
      <c r="S497" s="2" t="s">
        <v>32</v>
      </c>
      <c r="T497" s="2" t="s">
        <v>109</v>
      </c>
      <c r="U497" s="2">
        <v>9329668173</v>
      </c>
      <c r="V497" s="2" t="s">
        <v>53</v>
      </c>
    </row>
    <row r="498" spans="1:22" x14ac:dyDescent="0.3">
      <c r="A498" s="2" t="s">
        <v>647</v>
      </c>
      <c r="B498" s="2" t="s">
        <v>63</v>
      </c>
      <c r="C498" s="2" t="s">
        <v>36</v>
      </c>
      <c r="D498" s="3">
        <v>45711</v>
      </c>
      <c r="E498" s="3">
        <v>45723</v>
      </c>
      <c r="F498" s="2" t="s">
        <v>111</v>
      </c>
      <c r="G498" s="2" t="s">
        <v>58</v>
      </c>
      <c r="H498" s="3">
        <v>32307</v>
      </c>
      <c r="I498" s="2" t="s">
        <v>123</v>
      </c>
      <c r="J498" s="2" t="s">
        <v>38</v>
      </c>
      <c r="K498" s="2" t="s">
        <v>39</v>
      </c>
      <c r="L498" s="2" t="s">
        <v>40</v>
      </c>
      <c r="M498" s="2">
        <v>12</v>
      </c>
      <c r="N498" s="7">
        <v>12000</v>
      </c>
      <c r="O498" s="2">
        <v>15</v>
      </c>
      <c r="P498" s="7">
        <v>122400</v>
      </c>
      <c r="Q498" s="2">
        <v>5</v>
      </c>
      <c r="R498" s="2" t="s">
        <v>31</v>
      </c>
      <c r="S498" s="2" t="s">
        <v>97</v>
      </c>
      <c r="T498" s="2" t="s">
        <v>66</v>
      </c>
      <c r="U498" s="2">
        <v>9294740227</v>
      </c>
      <c r="V498" s="2" t="s">
        <v>34</v>
      </c>
    </row>
    <row r="499" spans="1:22" x14ac:dyDescent="0.3">
      <c r="A499" s="2" t="s">
        <v>648</v>
      </c>
      <c r="B499" s="2" t="s">
        <v>127</v>
      </c>
      <c r="C499" s="2" t="s">
        <v>56</v>
      </c>
      <c r="D499" s="3">
        <v>46002</v>
      </c>
      <c r="E499" s="3">
        <v>46011</v>
      </c>
      <c r="F499" s="2" t="s">
        <v>129</v>
      </c>
      <c r="G499" s="2" t="s">
        <v>58</v>
      </c>
      <c r="H499" s="3">
        <v>33807</v>
      </c>
      <c r="I499" s="2" t="s">
        <v>37</v>
      </c>
      <c r="J499" s="2" t="s">
        <v>38</v>
      </c>
      <c r="K499" s="2" t="s">
        <v>39</v>
      </c>
      <c r="L499" s="2" t="s">
        <v>59</v>
      </c>
      <c r="M499" s="2">
        <v>3</v>
      </c>
      <c r="N499" s="7">
        <v>1200</v>
      </c>
      <c r="O499" s="2">
        <v>20</v>
      </c>
      <c r="P499" s="7">
        <v>2880</v>
      </c>
      <c r="Q499" s="2">
        <v>2</v>
      </c>
      <c r="R499" s="2" t="s">
        <v>41</v>
      </c>
      <c r="S499" s="2" t="s">
        <v>81</v>
      </c>
      <c r="T499" s="2" t="s">
        <v>305</v>
      </c>
      <c r="U499" s="2">
        <v>9549426303</v>
      </c>
      <c r="V499" s="2" t="s">
        <v>52</v>
      </c>
    </row>
    <row r="500" spans="1:22" x14ac:dyDescent="0.3">
      <c r="A500" s="2" t="s">
        <v>649</v>
      </c>
      <c r="B500" s="2" t="s">
        <v>73</v>
      </c>
      <c r="C500" s="2" t="s">
        <v>46</v>
      </c>
      <c r="D500" s="3">
        <v>45842</v>
      </c>
      <c r="E500" s="3">
        <v>45843</v>
      </c>
      <c r="F500" s="2" t="s">
        <v>74</v>
      </c>
      <c r="G500" s="2" t="s">
        <v>26</v>
      </c>
      <c r="H500" s="3">
        <v>29079</v>
      </c>
      <c r="I500" s="2" t="s">
        <v>75</v>
      </c>
      <c r="J500" s="2" t="s">
        <v>76</v>
      </c>
      <c r="K500" s="2" t="s">
        <v>39</v>
      </c>
      <c r="L500" s="2" t="s">
        <v>650</v>
      </c>
      <c r="M500" s="2">
        <v>6</v>
      </c>
      <c r="N500" s="7">
        <v>55000</v>
      </c>
      <c r="O500" s="2">
        <v>20</v>
      </c>
      <c r="P500" s="7">
        <v>264000</v>
      </c>
      <c r="Q500" s="2">
        <v>3</v>
      </c>
      <c r="R500" s="2" t="s">
        <v>31</v>
      </c>
      <c r="S500" s="2" t="s">
        <v>97</v>
      </c>
      <c r="T500" s="2" t="s">
        <v>94</v>
      </c>
      <c r="U500" s="2">
        <v>9374249303</v>
      </c>
      <c r="V500" s="2" t="s">
        <v>34</v>
      </c>
    </row>
    <row r="501" spans="1:22" x14ac:dyDescent="0.3">
      <c r="A501" s="2" t="s">
        <v>651</v>
      </c>
      <c r="B501" s="2" t="s">
        <v>73</v>
      </c>
      <c r="C501" s="2" t="s">
        <v>68</v>
      </c>
      <c r="D501" s="3">
        <v>45916</v>
      </c>
      <c r="E501" s="3">
        <v>45923</v>
      </c>
      <c r="F501" s="2" t="s">
        <v>74</v>
      </c>
      <c r="G501" s="2" t="s">
        <v>26</v>
      </c>
      <c r="H501" s="3">
        <v>28088</v>
      </c>
      <c r="I501" s="2" t="s">
        <v>48</v>
      </c>
      <c r="J501" s="2" t="s">
        <v>28</v>
      </c>
      <c r="K501" s="2" t="s">
        <v>29</v>
      </c>
      <c r="L501" s="2" t="s">
        <v>71</v>
      </c>
      <c r="M501" s="2">
        <v>20</v>
      </c>
      <c r="N501" s="7">
        <v>3500</v>
      </c>
      <c r="O501" s="2">
        <v>0</v>
      </c>
      <c r="P501" s="7">
        <v>70000</v>
      </c>
      <c r="Q501" s="2">
        <v>1</v>
      </c>
      <c r="R501" s="2" t="s">
        <v>41</v>
      </c>
      <c r="S501" s="2" t="s">
        <v>97</v>
      </c>
      <c r="T501" s="2" t="s">
        <v>94</v>
      </c>
      <c r="U501" s="2">
        <v>9810334941</v>
      </c>
      <c r="V501" s="2" t="s">
        <v>52</v>
      </c>
    </row>
  </sheetData>
  <autoFilter ref="A1:V501"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842CE-3596-48BE-864E-4AFB72C7DB56}">
  <sheetPr codeName="Sheet3"/>
  <dimension ref="A1:F11"/>
  <sheetViews>
    <sheetView workbookViewId="0">
      <selection activeCell="D10" sqref="D10"/>
    </sheetView>
  </sheetViews>
  <sheetFormatPr defaultRowHeight="14.4" x14ac:dyDescent="0.3"/>
  <cols>
    <col min="1" max="1" width="12.6640625" bestFit="1" customWidth="1"/>
    <col min="2" max="2" width="16" bestFit="1" customWidth="1"/>
    <col min="3" max="3" width="15.109375" bestFit="1" customWidth="1"/>
    <col min="4" max="4" width="12.6640625" bestFit="1" customWidth="1"/>
    <col min="5" max="5" width="12" bestFit="1" customWidth="1"/>
    <col min="6" max="6" width="18.77734375" bestFit="1" customWidth="1"/>
  </cols>
  <sheetData>
    <row r="1" spans="1:6" x14ac:dyDescent="0.3">
      <c r="A1" t="s">
        <v>2</v>
      </c>
      <c r="B1" t="s">
        <v>11</v>
      </c>
      <c r="C1" t="s">
        <v>10</v>
      </c>
      <c r="D1" t="s">
        <v>659</v>
      </c>
      <c r="E1" s="8" t="s">
        <v>660</v>
      </c>
      <c r="F1" t="s">
        <v>662</v>
      </c>
    </row>
    <row r="2" spans="1:6" x14ac:dyDescent="0.3">
      <c r="A2" t="s">
        <v>46</v>
      </c>
      <c r="B2" t="s">
        <v>49</v>
      </c>
      <c r="C2" t="s">
        <v>39</v>
      </c>
      <c r="D2" t="s">
        <v>663</v>
      </c>
      <c r="E2" s="8">
        <v>41250</v>
      </c>
      <c r="F2">
        <v>12</v>
      </c>
    </row>
    <row r="3" spans="1:6" x14ac:dyDescent="0.3">
      <c r="A3" t="s">
        <v>113</v>
      </c>
      <c r="B3" t="s">
        <v>115</v>
      </c>
      <c r="C3" t="s">
        <v>39</v>
      </c>
      <c r="D3" t="s">
        <v>663</v>
      </c>
      <c r="E3" s="8">
        <v>525</v>
      </c>
      <c r="F3">
        <v>24</v>
      </c>
    </row>
    <row r="4" spans="1:6" x14ac:dyDescent="0.3">
      <c r="A4" t="s">
        <v>56</v>
      </c>
      <c r="B4" t="s">
        <v>59</v>
      </c>
      <c r="C4" t="s">
        <v>39</v>
      </c>
      <c r="D4" t="s">
        <v>663</v>
      </c>
      <c r="E4" s="8">
        <v>900</v>
      </c>
      <c r="F4">
        <v>6</v>
      </c>
    </row>
    <row r="5" spans="1:6" x14ac:dyDescent="0.3">
      <c r="A5" t="s">
        <v>36</v>
      </c>
      <c r="B5" t="s">
        <v>40</v>
      </c>
      <c r="C5" t="s">
        <v>39</v>
      </c>
      <c r="D5" t="s">
        <v>664</v>
      </c>
      <c r="E5" s="8">
        <v>9000</v>
      </c>
      <c r="F5">
        <v>24</v>
      </c>
    </row>
    <row r="6" spans="1:6" x14ac:dyDescent="0.3">
      <c r="A6" t="s">
        <v>68</v>
      </c>
      <c r="B6" t="s">
        <v>71</v>
      </c>
      <c r="C6" t="s">
        <v>29</v>
      </c>
      <c r="D6" t="s">
        <v>664</v>
      </c>
      <c r="E6" s="8">
        <v>2625</v>
      </c>
      <c r="F6">
        <v>6</v>
      </c>
    </row>
    <row r="7" spans="1:6" x14ac:dyDescent="0.3">
      <c r="A7" t="s">
        <v>24</v>
      </c>
      <c r="B7" t="s">
        <v>30</v>
      </c>
      <c r="C7" t="s">
        <v>29</v>
      </c>
      <c r="D7" t="s">
        <v>664</v>
      </c>
      <c r="E7" s="8">
        <v>1650</v>
      </c>
      <c r="F7">
        <v>24</v>
      </c>
    </row>
    <row r="8" spans="1:6" x14ac:dyDescent="0.3">
      <c r="A8" t="s">
        <v>106</v>
      </c>
      <c r="B8" t="s">
        <v>108</v>
      </c>
      <c r="C8" t="s">
        <v>29</v>
      </c>
      <c r="D8" t="s">
        <v>663</v>
      </c>
      <c r="E8" s="8">
        <v>6375</v>
      </c>
      <c r="F8">
        <v>24</v>
      </c>
    </row>
    <row r="9" spans="1:6" x14ac:dyDescent="0.3">
      <c r="A9" t="s">
        <v>83</v>
      </c>
      <c r="B9" t="s">
        <v>85</v>
      </c>
      <c r="C9" t="s">
        <v>84</v>
      </c>
      <c r="D9" t="s">
        <v>665</v>
      </c>
      <c r="E9" s="8">
        <v>45</v>
      </c>
      <c r="F9">
        <v>12</v>
      </c>
    </row>
    <row r="10" spans="1:6" x14ac:dyDescent="0.3">
      <c r="A10" t="s">
        <v>128</v>
      </c>
      <c r="B10" t="s">
        <v>130</v>
      </c>
      <c r="C10" t="s">
        <v>84</v>
      </c>
      <c r="D10" t="s">
        <v>666</v>
      </c>
      <c r="E10" s="8">
        <v>15</v>
      </c>
      <c r="F10">
        <v>12</v>
      </c>
    </row>
    <row r="11" spans="1:6" x14ac:dyDescent="0.3">
      <c r="A11" t="s">
        <v>141</v>
      </c>
      <c r="B11" t="s">
        <v>142</v>
      </c>
      <c r="C11" t="s">
        <v>84</v>
      </c>
      <c r="D11" t="s">
        <v>663</v>
      </c>
      <c r="E11" s="8">
        <v>33.75</v>
      </c>
      <c r="F11">
        <v>12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DCF39-DE14-4C43-B27F-8E982045DC54}">
  <sheetPr codeName="Sheet4"/>
  <dimension ref="A1:D11"/>
  <sheetViews>
    <sheetView workbookViewId="0">
      <selection activeCell="H9" sqref="H9"/>
    </sheetView>
  </sheetViews>
  <sheetFormatPr defaultRowHeight="14.4" x14ac:dyDescent="0.3"/>
  <cols>
    <col min="1" max="1" width="11.6640625" bestFit="1" customWidth="1"/>
    <col min="2" max="2" width="14.88671875" bestFit="1" customWidth="1"/>
    <col min="3" max="3" width="11.109375" bestFit="1" customWidth="1"/>
    <col min="4" max="4" width="5.21875" bestFit="1" customWidth="1"/>
  </cols>
  <sheetData>
    <row r="1" spans="1:4" x14ac:dyDescent="0.3">
      <c r="A1" s="14" t="s">
        <v>1</v>
      </c>
      <c r="B1" s="15" t="s">
        <v>5</v>
      </c>
      <c r="C1" s="15" t="s">
        <v>667</v>
      </c>
      <c r="D1" s="16" t="s">
        <v>668</v>
      </c>
    </row>
    <row r="2" spans="1:4" x14ac:dyDescent="0.3">
      <c r="A2" s="17" t="s">
        <v>160</v>
      </c>
      <c r="B2" s="18" t="s">
        <v>179</v>
      </c>
      <c r="C2" s="18" t="s">
        <v>669</v>
      </c>
      <c r="D2" s="19" t="s">
        <v>670</v>
      </c>
    </row>
    <row r="3" spans="1:4" x14ac:dyDescent="0.3">
      <c r="A3" s="14" t="s">
        <v>73</v>
      </c>
      <c r="B3" s="15" t="s">
        <v>74</v>
      </c>
      <c r="C3" s="15" t="s">
        <v>671</v>
      </c>
      <c r="D3" s="16" t="s">
        <v>672</v>
      </c>
    </row>
    <row r="4" spans="1:4" x14ac:dyDescent="0.3">
      <c r="A4" s="17" t="s">
        <v>88</v>
      </c>
      <c r="B4" s="18" t="s">
        <v>119</v>
      </c>
      <c r="C4" s="18" t="s">
        <v>673</v>
      </c>
      <c r="D4" s="19" t="s">
        <v>674</v>
      </c>
    </row>
    <row r="5" spans="1:4" x14ac:dyDescent="0.3">
      <c r="A5" s="14" t="s">
        <v>105</v>
      </c>
      <c r="B5" s="15" t="s">
        <v>170</v>
      </c>
      <c r="C5" s="15" t="s">
        <v>673</v>
      </c>
      <c r="D5" s="16" t="s">
        <v>672</v>
      </c>
    </row>
    <row r="6" spans="1:4" x14ac:dyDescent="0.3">
      <c r="A6" s="17" t="s">
        <v>127</v>
      </c>
      <c r="B6" s="18" t="s">
        <v>129</v>
      </c>
      <c r="C6" s="18" t="s">
        <v>673</v>
      </c>
      <c r="D6" s="19" t="s">
        <v>674</v>
      </c>
    </row>
    <row r="7" spans="1:4" x14ac:dyDescent="0.3">
      <c r="A7" s="14" t="s">
        <v>137</v>
      </c>
      <c r="B7" s="15" t="s">
        <v>138</v>
      </c>
      <c r="C7" s="15" t="s">
        <v>673</v>
      </c>
      <c r="D7" s="16" t="s">
        <v>672</v>
      </c>
    </row>
    <row r="8" spans="1:4" x14ac:dyDescent="0.3">
      <c r="A8" s="17" t="s">
        <v>63</v>
      </c>
      <c r="B8" s="18" t="s">
        <v>111</v>
      </c>
      <c r="C8" s="18" t="s">
        <v>669</v>
      </c>
      <c r="D8" s="19" t="s">
        <v>670</v>
      </c>
    </row>
    <row r="9" spans="1:4" x14ac:dyDescent="0.3">
      <c r="A9" s="14" t="s">
        <v>23</v>
      </c>
      <c r="B9" s="15" t="s">
        <v>25</v>
      </c>
      <c r="C9" s="15" t="s">
        <v>669</v>
      </c>
      <c r="D9" s="16" t="s">
        <v>672</v>
      </c>
    </row>
    <row r="10" spans="1:4" x14ac:dyDescent="0.3">
      <c r="A10" s="17" t="s">
        <v>55</v>
      </c>
      <c r="B10" s="18" t="s">
        <v>125</v>
      </c>
      <c r="C10" s="18" t="s">
        <v>671</v>
      </c>
      <c r="D10" s="19" t="s">
        <v>675</v>
      </c>
    </row>
    <row r="11" spans="1:4" x14ac:dyDescent="0.3">
      <c r="A11" s="14" t="s">
        <v>45</v>
      </c>
      <c r="B11" s="15" t="s">
        <v>102</v>
      </c>
      <c r="C11" s="15" t="s">
        <v>669</v>
      </c>
      <c r="D11" s="16" t="s">
        <v>672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dimension ref="A1:G501"/>
  <sheetViews>
    <sheetView workbookViewId="0">
      <selection activeCell="D22" sqref="D22"/>
    </sheetView>
  </sheetViews>
  <sheetFormatPr defaultRowHeight="14.4" x14ac:dyDescent="0.3"/>
  <cols>
    <col min="1" max="1" width="20.88671875" style="11" bestFit="1" customWidth="1"/>
    <col min="2" max="2" width="14.88671875" style="10" bestFit="1" customWidth="1"/>
    <col min="3" max="3" width="14.21875" style="10" bestFit="1" customWidth="1"/>
    <col min="4" max="4" width="25.109375" style="10" bestFit="1" customWidth="1"/>
    <col min="5" max="5" width="12.88671875" style="9" bestFit="1" customWidth="1"/>
    <col min="6" max="6" width="20.6640625" style="9" bestFit="1" customWidth="1"/>
    <col min="7" max="7" width="13.6640625" style="9" bestFit="1" customWidth="1"/>
  </cols>
  <sheetData>
    <row r="1" spans="1:7" x14ac:dyDescent="0.3">
      <c r="A1" s="12" t="s">
        <v>652</v>
      </c>
      <c r="B1" s="4" t="s">
        <v>5</v>
      </c>
      <c r="C1" s="4" t="s">
        <v>653</v>
      </c>
      <c r="D1" s="4" t="s">
        <v>654</v>
      </c>
      <c r="E1" s="13" t="s">
        <v>655</v>
      </c>
      <c r="F1" s="13" t="s">
        <v>656</v>
      </c>
      <c r="G1" s="13" t="s">
        <v>657</v>
      </c>
    </row>
    <row r="2" spans="1:7" x14ac:dyDescent="0.3">
      <c r="A2" s="12" t="str">
        <f>IF(AND(Sales_Data!P2&gt;=100000,Sales_Data!Q2&gt;=4,Sales_Data!V2="Completed",Sales_Data!O2&lt;=10),"Platinum",IF(AND(Sales_Data!P2&gt;=50000,Sales_Data!Q2&gt;=3,Sales_Data!V2="Completed"),"Gold",IF(AND(Sales_Data!P2&lt;50000,Sales_Data!V2="Completed"),"Silver",IF(OR(Sales_Data!Q2&lt;=2,Sales_Data!V2="Canceled"),"Blacklisted","Others"))))</f>
        <v>Silver</v>
      </c>
      <c r="B2" s="4" t="str">
        <f>PROPER(TRIM(Sales_Data!F2))</f>
        <v>Kavya Nair</v>
      </c>
      <c r="C2" s="4" t="str">
        <f>LEFT(B2,3)&amp;RIGHT(Sales_Data!B2,3)&amp;LEFT(Sales_Data!I2,2)</f>
        <v>Kav008Hy</v>
      </c>
      <c r="D2" s="4" t="str">
        <f>IF(ISNUMBER(SEARCH("@",Sales_Data!T2)),LOWER(Sales_Data!T2),"Invalid_Email")</f>
        <v>kavya.nair@company.com</v>
      </c>
      <c r="E2" s="13">
        <f ca="1">DATEDIF(Sales_Data!H2,TODAY(),"Y")</f>
        <v>50</v>
      </c>
      <c r="F2" s="13">
        <f>IFERROR(DATEDIF(Sales_Data!D2,Sales_Data!E2,"D"),"Information_Not_Given")</f>
        <v>4</v>
      </c>
      <c r="G2" s="13" t="str" cm="1">
        <f t="array" ref="G2">_xlfn.IFS(F2&lt;=5,"One_Time",F2&gt;5,"Delayed",F2="Information_Not_given","Pending")</f>
        <v>One_Time</v>
      </c>
    </row>
    <row r="3" spans="1:7" x14ac:dyDescent="0.3">
      <c r="A3" s="12" t="str">
        <f>IF(AND(Sales_Data!P3&gt;=100000,Sales_Data!Q3&gt;=4,Sales_Data!V3="Completed",Sales_Data!O3&lt;=10),"Platinum",IF(AND(Sales_Data!P3&gt;=50000,Sales_Data!Q3&gt;=3,Sales_Data!V3="Completed"),"Gold",IF(AND(Sales_Data!P3&lt;50000,Sales_Data!V3="Completed"),"Silver",IF(OR(Sales_Data!Q3&lt;=2,Sales_Data!V3="Canceled"),"Blacklisted","Others"))))</f>
        <v>Blacklisted</v>
      </c>
      <c r="B3" s="4" t="str">
        <f>PROPER(TRIM(Sales_Data!F3))</f>
        <v>Kavya Nair</v>
      </c>
      <c r="C3" s="4" t="str">
        <f>LEFT(B3,3)&amp;RIGHT(Sales_Data!B3,3)&amp;LEFT(Sales_Data!I3,2)</f>
        <v>Kav008De</v>
      </c>
      <c r="D3" s="4" t="str">
        <f>IF(ISNUMBER(SEARCH("@",Sales_Data!T3)),LOWER(Sales_Data!T3),"Invalid_Email")</f>
        <v>kavya.nair@company.com</v>
      </c>
      <c r="E3" s="13">
        <f ca="1">DATEDIF(Sales_Data!H3,TODAY(),"Y")</f>
        <v>25</v>
      </c>
      <c r="F3" s="13">
        <f>IFERROR(DATEDIF(Sales_Data!D3,Sales_Data!E3,"D"),"Information_Not_Given")</f>
        <v>7</v>
      </c>
      <c r="G3" s="13" t="str" cm="1">
        <f t="array" ref="G3">_xlfn.IFS(F3&lt;=5,"One_Time",F3&gt;5,"Delayed",F3="Information_Not_given","Pending")</f>
        <v>Delayed</v>
      </c>
    </row>
    <row r="4" spans="1:7" x14ac:dyDescent="0.3">
      <c r="A4" s="12" t="str">
        <f>IF(AND(Sales_Data!P4&gt;=100000,Sales_Data!Q4&gt;=4,Sales_Data!V4="Completed",Sales_Data!O4&lt;=10),"Platinum",IF(AND(Sales_Data!P4&gt;=50000,Sales_Data!Q4&gt;=3,Sales_Data!V4="Completed"),"Gold",IF(AND(Sales_Data!P4&lt;50000,Sales_Data!V4="Completed"),"Silver",IF(OR(Sales_Data!Q4&lt;=2,Sales_Data!V4="Canceled"),"Blacklisted","Others"))))</f>
        <v>Others</v>
      </c>
      <c r="B4" s="4" t="str">
        <f>PROPER(TRIM(Sales_Data!F4))</f>
        <v>Pooja Shah</v>
      </c>
      <c r="C4" s="4" t="str">
        <f>LEFT(B4,3)&amp;RIGHT(Sales_Data!B4,3)&amp;LEFT(Sales_Data!I4,2)</f>
        <v>Poo010Be</v>
      </c>
      <c r="D4" s="4" t="str">
        <f>IF(ISNUMBER(SEARCH("@",Sales_Data!T4)),LOWER(Sales_Data!T4),"Invalid_Email")</f>
        <v>pooja.shah@company.com</v>
      </c>
      <c r="E4" s="13">
        <f ca="1">DATEDIF(Sales_Data!H4,TODAY(),"Y")</f>
        <v>32</v>
      </c>
      <c r="F4" s="13">
        <f>IFERROR(DATEDIF(Sales_Data!D4,Sales_Data!E4,"D"),"Information_Not_Given")</f>
        <v>11</v>
      </c>
      <c r="G4" s="13" t="str" cm="1">
        <f t="array" ref="G4">_xlfn.IFS(F4&lt;=5,"One_Time",F4&gt;5,"Delayed",F4="Information_Not_given","Pending")</f>
        <v>Delayed</v>
      </c>
    </row>
    <row r="5" spans="1:7" x14ac:dyDescent="0.3">
      <c r="A5" s="12" t="str">
        <f>IF(AND(Sales_Data!P5&gt;=100000,Sales_Data!Q5&gt;=4,Sales_Data!V5="Completed",Sales_Data!O5&lt;=10),"Platinum",IF(AND(Sales_Data!P5&gt;=50000,Sales_Data!Q5&gt;=3,Sales_Data!V5="Completed"),"Gold",IF(AND(Sales_Data!P5&lt;50000,Sales_Data!V5="Completed"),"Silver",IF(OR(Sales_Data!Q5&lt;=2,Sales_Data!V5="Canceled"),"Blacklisted","Others"))))</f>
        <v>Others</v>
      </c>
      <c r="B5" s="4" t="str">
        <f>PROPER(TRIM(Sales_Data!F5))</f>
        <v>Kavya Nair</v>
      </c>
      <c r="C5" s="4" t="str">
        <f>LEFT(B5,3)&amp;RIGHT(Sales_Data!B5,3)&amp;LEFT(Sales_Data!I5,2)</f>
        <v>Kav008Be</v>
      </c>
      <c r="D5" s="4" t="str">
        <f>IF(ISNUMBER(SEARCH("@",Sales_Data!T5)),LOWER(Sales_Data!T5),"Invalid_Email")</f>
        <v>kavya.nair@company.com</v>
      </c>
      <c r="E5" s="13">
        <f ca="1">DATEDIF(Sales_Data!H5,TODAY(),"Y")</f>
        <v>22</v>
      </c>
      <c r="F5" s="13">
        <f>IFERROR(DATEDIF(Sales_Data!D5,Sales_Data!E5,"D"),"Information_Not_Given")</f>
        <v>12</v>
      </c>
      <c r="G5" s="13" t="str" cm="1">
        <f t="array" ref="G5">_xlfn.IFS(F5&lt;=5,"One_Time",F5&gt;5,"Delayed",F5="Information_Not_given","Pending")</f>
        <v>Delayed</v>
      </c>
    </row>
    <row r="6" spans="1:7" x14ac:dyDescent="0.3">
      <c r="A6" s="12" t="str">
        <f>IF(AND(Sales_Data!P6&gt;=100000,Sales_Data!Q6&gt;=4,Sales_Data!V6="Completed",Sales_Data!O6&lt;=10),"Platinum",IF(AND(Sales_Data!P6&gt;=50000,Sales_Data!Q6&gt;=3,Sales_Data!V6="Completed"),"Gold",IF(AND(Sales_Data!P6&lt;50000,Sales_Data!V6="Completed"),"Silver",IF(OR(Sales_Data!Q6&lt;=2,Sales_Data!V6="Canceled"),"Blacklisted","Others"))))</f>
        <v>Blacklisted</v>
      </c>
      <c r="B6" s="4" t="str">
        <f>PROPER(TRIM(Sales_Data!F6))</f>
        <v>Mohit Verma</v>
      </c>
      <c r="C6" s="4" t="str">
        <f>LEFT(B6,3)&amp;RIGHT(Sales_Data!B6,3)&amp;LEFT(Sales_Data!I6,2)</f>
        <v>Moh009De</v>
      </c>
      <c r="D6" s="4" t="str">
        <f>IF(ISNUMBER(SEARCH("@",Sales_Data!T6)),LOWER(Sales_Data!T6),"Invalid_Email")</f>
        <v>mohit.verma@company.com</v>
      </c>
      <c r="E6" s="13">
        <f ca="1">DATEDIF(Sales_Data!H6,TODAY(),"Y")</f>
        <v>50</v>
      </c>
      <c r="F6" s="13">
        <f>IFERROR(DATEDIF(Sales_Data!D6,Sales_Data!E6,"D"),"Information_Not_Given")</f>
        <v>10</v>
      </c>
      <c r="G6" s="13" t="str" cm="1">
        <f t="array" ref="G6">_xlfn.IFS(F6&lt;=5,"One_Time",F6&gt;5,"Delayed",F6="Information_Not_given","Pending")</f>
        <v>Delayed</v>
      </c>
    </row>
    <row r="7" spans="1:7" x14ac:dyDescent="0.3">
      <c r="A7" s="12" t="str">
        <f>IF(AND(Sales_Data!P7&gt;=100000,Sales_Data!Q7&gt;=4,Sales_Data!V7="Completed",Sales_Data!O7&lt;=10),"Platinum",IF(AND(Sales_Data!P7&gt;=50000,Sales_Data!Q7&gt;=3,Sales_Data!V7="Completed"),"Gold",IF(AND(Sales_Data!P7&lt;50000,Sales_Data!V7="Completed"),"Silver",IF(OR(Sales_Data!Q7&lt;=2,Sales_Data!V7="Canceled"),"Blacklisted","Others"))))</f>
        <v>Silver</v>
      </c>
      <c r="B7" s="4" t="str">
        <f>PROPER(TRIM(Sales_Data!F7))</f>
        <v>Arjun Rao</v>
      </c>
      <c r="C7" s="4" t="str">
        <f>LEFT(B7,3)&amp;RIGHT(Sales_Data!B7,3)&amp;LEFT(Sales_Data!I7,2)</f>
        <v>Arj007Hy</v>
      </c>
      <c r="D7" s="4" t="str">
        <f>IF(ISNUMBER(SEARCH("@",Sales_Data!T7)),LOWER(Sales_Data!T7),"Invalid_Email")</f>
        <v>arjun.rao@company.com</v>
      </c>
      <c r="E7" s="13">
        <f ca="1">DATEDIF(Sales_Data!H7,TODAY(),"Y")</f>
        <v>38</v>
      </c>
      <c r="F7" s="13">
        <f>IFERROR(DATEDIF(Sales_Data!D7,Sales_Data!E7,"D"),"Information_Not_Given")</f>
        <v>8</v>
      </c>
      <c r="G7" s="13" t="str" cm="1">
        <f t="array" ref="G7">_xlfn.IFS(F7&lt;=5,"One_Time",F7&gt;5,"Delayed",F7="Information_Not_given","Pending")</f>
        <v>Delayed</v>
      </c>
    </row>
    <row r="8" spans="1:7" x14ac:dyDescent="0.3">
      <c r="A8" s="12" t="str">
        <f>IF(AND(Sales_Data!P8&gt;=100000,Sales_Data!Q8&gt;=4,Sales_Data!V8="Completed",Sales_Data!O8&lt;=10),"Platinum",IF(AND(Sales_Data!P8&gt;=50000,Sales_Data!Q8&gt;=3,Sales_Data!V8="Completed"),"Gold",IF(AND(Sales_Data!P8&lt;50000,Sales_Data!V8="Completed"),"Silver",IF(OR(Sales_Data!Q8&lt;=2,Sales_Data!V8="Canceled"),"Blacklisted","Others"))))</f>
        <v>Silver</v>
      </c>
      <c r="B8" s="4" t="str">
        <f>PROPER(TRIM(Sales_Data!F8))</f>
        <v>Kavya Nair</v>
      </c>
      <c r="C8" s="4" t="str">
        <f>LEFT(B8,3)&amp;RIGHT(Sales_Data!B8,3)&amp;LEFT(Sales_Data!I8,2)</f>
        <v>Kav008Hy</v>
      </c>
      <c r="D8" s="4" t="str">
        <f>IF(ISNUMBER(SEARCH("@",Sales_Data!T8)),LOWER(Sales_Data!T8),"Invalid_Email")</f>
        <v>kavya.nair@company.com</v>
      </c>
      <c r="E8" s="13">
        <f ca="1">DATEDIF(Sales_Data!H8,TODAY(),"Y")</f>
        <v>23</v>
      </c>
      <c r="F8" s="13" t="str">
        <f>IFERROR(DATEDIF(Sales_Data!D8,Sales_Data!E8,"D"),"Information_Not_Given")</f>
        <v>Information_Not_Given</v>
      </c>
      <c r="G8" s="13" t="str" cm="1">
        <f t="array" ref="G8">_xlfn.IFS(F8&lt;=5,"One_Time",F8&gt;5,"Delayed",F8="Information_Not_given","Pending")</f>
        <v>Delayed</v>
      </c>
    </row>
    <row r="9" spans="1:7" x14ac:dyDescent="0.3">
      <c r="A9" s="12" t="str">
        <f>IF(AND(Sales_Data!P9&gt;=100000,Sales_Data!Q9&gt;=4,Sales_Data!V9="Completed",Sales_Data!O9&lt;=10),"Platinum",IF(AND(Sales_Data!P9&gt;=50000,Sales_Data!Q9&gt;=3,Sales_Data!V9="Completed"),"Gold",IF(AND(Sales_Data!P9&lt;50000,Sales_Data!V9="Completed"),"Silver",IF(OR(Sales_Data!Q9&lt;=2,Sales_Data!V9="Canceled"),"Blacklisted","Others"))))</f>
        <v>Gold</v>
      </c>
      <c r="B9" s="4" t="str">
        <f>PROPER(TRIM(Sales_Data!F9))</f>
        <v>Priya Patel</v>
      </c>
      <c r="C9" s="4" t="str">
        <f>LEFT(B9,3)&amp;RIGHT(Sales_Data!B9,3)&amp;LEFT(Sales_Data!I9,2)</f>
        <v>Pri002Mu</v>
      </c>
      <c r="D9" s="4" t="str">
        <f>IF(ISNUMBER(SEARCH("@",Sales_Data!T9)),LOWER(Sales_Data!T9),"Invalid_Email")</f>
        <v>priya.patel@company.com</v>
      </c>
      <c r="E9" s="13">
        <f ca="1">DATEDIF(Sales_Data!H9,TODAY(),"Y")</f>
        <v>31</v>
      </c>
      <c r="F9" s="13">
        <f>IFERROR(DATEDIF(Sales_Data!D9,Sales_Data!E9,"D"),"Information_Not_Given")</f>
        <v>6</v>
      </c>
      <c r="G9" s="13" t="str" cm="1">
        <f t="array" ref="G9">_xlfn.IFS(F9&lt;=5,"One_Time",F9&gt;5,"Delayed",F9="Information_Not_given","Pending")</f>
        <v>Delayed</v>
      </c>
    </row>
    <row r="10" spans="1:7" x14ac:dyDescent="0.3">
      <c r="A10" s="12" t="str">
        <f>IF(AND(Sales_Data!P10&gt;=100000,Sales_Data!Q10&gt;=4,Sales_Data!V10="Completed",Sales_Data!O10&lt;=10),"Platinum",IF(AND(Sales_Data!P10&gt;=50000,Sales_Data!Q10&gt;=3,Sales_Data!V10="Completed"),"Gold",IF(AND(Sales_Data!P10&lt;50000,Sales_Data!V10="Completed"),"Silver",IF(OR(Sales_Data!Q10&lt;=2,Sales_Data!V10="Canceled"),"Blacklisted","Others"))))</f>
        <v>Silver</v>
      </c>
      <c r="B10" s="4" t="str">
        <f>PROPER(TRIM(Sales_Data!F10))</f>
        <v>Kavya Nair</v>
      </c>
      <c r="C10" s="4" t="str">
        <f>LEFT(B10,3)&amp;RIGHT(Sales_Data!B10,3)&amp;LEFT(Sales_Data!I10,2)</f>
        <v>Kav008Pu</v>
      </c>
      <c r="D10" s="4" t="str">
        <f>IF(ISNUMBER(SEARCH("@",Sales_Data!T10)),LOWER(Sales_Data!T10),"Invalid_Email")</f>
        <v>kavya.nair@company.com</v>
      </c>
      <c r="E10" s="13">
        <f ca="1">DATEDIF(Sales_Data!H10,TODAY(),"Y")</f>
        <v>29</v>
      </c>
      <c r="F10" s="13">
        <f>IFERROR(DATEDIF(Sales_Data!D10,Sales_Data!E10,"D"),"Information_Not_Given")</f>
        <v>2</v>
      </c>
      <c r="G10" s="13" t="str" cm="1">
        <f t="array" ref="G10">_xlfn.IFS(F10&lt;=5,"One_Time",F10&gt;5,"Delayed",F10="Information_Not_given","Pending")</f>
        <v>One_Time</v>
      </c>
    </row>
    <row r="11" spans="1:7" x14ac:dyDescent="0.3">
      <c r="A11" s="12" t="str">
        <f>IF(AND(Sales_Data!P11&gt;=100000,Sales_Data!Q11&gt;=4,Sales_Data!V11="Completed",Sales_Data!O11&lt;=10),"Platinum",IF(AND(Sales_Data!P11&gt;=50000,Sales_Data!Q11&gt;=3,Sales_Data!V11="Completed"),"Gold",IF(AND(Sales_Data!P11&lt;50000,Sales_Data!V11="Completed"),"Silver",IF(OR(Sales_Data!Q11&lt;=2,Sales_Data!V11="Canceled"),"Blacklisted","Others"))))</f>
        <v>Silver</v>
      </c>
      <c r="B11" s="4" t="str">
        <f>PROPER(TRIM(Sales_Data!F11))</f>
        <v>Priya Patel</v>
      </c>
      <c r="C11" s="4" t="str">
        <f>LEFT(B11,3)&amp;RIGHT(Sales_Data!B11,3)&amp;LEFT(Sales_Data!I11,2)</f>
        <v>Pri002Mu</v>
      </c>
      <c r="D11" s="4" t="str">
        <f>IF(ISNUMBER(SEARCH("@",Sales_Data!T11)),LOWER(Sales_Data!T11),"Invalid_Email")</f>
        <v>priya.patel@company.com</v>
      </c>
      <c r="E11" s="13">
        <f ca="1">DATEDIF(Sales_Data!H11,TODAY(),"Y")</f>
        <v>36</v>
      </c>
      <c r="F11" s="13">
        <f>IFERROR(DATEDIF(Sales_Data!D11,Sales_Data!E11,"D"),"Information_Not_Given")</f>
        <v>2</v>
      </c>
      <c r="G11" s="13" t="str" cm="1">
        <f t="array" ref="G11">_xlfn.IFS(F11&lt;=5,"One_Time",F11&gt;5,"Delayed",F11="Information_Not_given","Pending")</f>
        <v>One_Time</v>
      </c>
    </row>
    <row r="12" spans="1:7" x14ac:dyDescent="0.3">
      <c r="A12" s="12" t="str">
        <f>IF(AND(Sales_Data!P12&gt;=100000,Sales_Data!Q12&gt;=4,Sales_Data!V12="Completed",Sales_Data!O12&lt;=10),"Platinum",IF(AND(Sales_Data!P12&gt;=50000,Sales_Data!Q12&gt;=3,Sales_Data!V12="Completed"),"Gold",IF(AND(Sales_Data!P12&lt;50000,Sales_Data!V12="Completed"),"Silver",IF(OR(Sales_Data!Q12&lt;=2,Sales_Data!V12="Canceled"),"Blacklisted","Others"))))</f>
        <v>Blacklisted</v>
      </c>
      <c r="B12" s="4" t="str">
        <f>PROPER(TRIM(Sales_Data!F12))</f>
        <v>Rohit Singh</v>
      </c>
      <c r="C12" s="4" t="str">
        <f>LEFT(B12,3)&amp;RIGHT(Sales_Data!B12,3)&amp;LEFT(Sales_Data!I12,2)</f>
        <v>Roh003De</v>
      </c>
      <c r="D12" s="4" t="str">
        <f>IF(ISNUMBER(SEARCH("@",Sales_Data!T12)),LOWER(Sales_Data!T12),"Invalid_Email")</f>
        <v>rohit.singh@company.com</v>
      </c>
      <c r="E12" s="13">
        <f ca="1">DATEDIF(Sales_Data!H12,TODAY(),"Y")</f>
        <v>44</v>
      </c>
      <c r="F12" s="13">
        <f>IFERROR(DATEDIF(Sales_Data!D12,Sales_Data!E12,"D"),"Information_Not_Given")</f>
        <v>4</v>
      </c>
      <c r="G12" s="13" t="str" cm="1">
        <f t="array" ref="G12">_xlfn.IFS(F12&lt;=5,"One_Time",F12&gt;5,"Delayed",F12="Information_Not_given","Pending")</f>
        <v>One_Time</v>
      </c>
    </row>
    <row r="13" spans="1:7" x14ac:dyDescent="0.3">
      <c r="A13" s="12" t="str">
        <f>IF(AND(Sales_Data!P13&gt;=100000,Sales_Data!Q13&gt;=4,Sales_Data!V13="Completed",Sales_Data!O13&lt;=10),"Platinum",IF(AND(Sales_Data!P13&gt;=50000,Sales_Data!Q13&gt;=3,Sales_Data!V13="Completed"),"Gold",IF(AND(Sales_Data!P13&lt;50000,Sales_Data!V13="Completed"),"Silver",IF(OR(Sales_Data!Q13&lt;=2,Sales_Data!V13="Canceled"),"Blacklisted","Others"))))</f>
        <v>Others</v>
      </c>
      <c r="B13" s="4" t="str">
        <f>PROPER(TRIM(Sales_Data!F13))</f>
        <v>Kavya Nair</v>
      </c>
      <c r="C13" s="4" t="str">
        <f>LEFT(B13,3)&amp;RIGHT(Sales_Data!B13,3)&amp;LEFT(Sales_Data!I13,2)</f>
        <v>Kav008Ah</v>
      </c>
      <c r="D13" s="4" t="str">
        <f>IF(ISNUMBER(SEARCH("@",Sales_Data!T13)),LOWER(Sales_Data!T13),"Invalid_Email")</f>
        <v>kavya.nair@company.com</v>
      </c>
      <c r="E13" s="13">
        <f ca="1">DATEDIF(Sales_Data!H13,TODAY(),"Y")</f>
        <v>44</v>
      </c>
      <c r="F13" s="13">
        <f>IFERROR(DATEDIF(Sales_Data!D13,Sales_Data!E13,"D"),"Information_Not_Given")</f>
        <v>7</v>
      </c>
      <c r="G13" s="13" t="str" cm="1">
        <f t="array" ref="G13">_xlfn.IFS(F13&lt;=5,"One_Time",F13&gt;5,"Delayed",F13="Information_Not_given","Pending")</f>
        <v>Delayed</v>
      </c>
    </row>
    <row r="14" spans="1:7" x14ac:dyDescent="0.3">
      <c r="A14" s="12" t="str">
        <f>IF(AND(Sales_Data!P14&gt;=100000,Sales_Data!Q14&gt;=4,Sales_Data!V14="Completed",Sales_Data!O14&lt;=10),"Platinum",IF(AND(Sales_Data!P14&gt;=50000,Sales_Data!Q14&gt;=3,Sales_Data!V14="Completed"),"Gold",IF(AND(Sales_Data!P14&lt;50000,Sales_Data!V14="Completed"),"Silver",IF(OR(Sales_Data!Q14&lt;=2,Sales_Data!V14="Canceled"),"Blacklisted","Others"))))</f>
        <v>Blacklisted</v>
      </c>
      <c r="B14" s="4" t="str">
        <f>PROPER(TRIM(Sales_Data!F14))</f>
        <v>Priya Patel</v>
      </c>
      <c r="C14" s="4" t="str">
        <f>LEFT(B14,3)&amp;RIGHT(Sales_Data!B14,3)&amp;LEFT(Sales_Data!I14,2)</f>
        <v>Pri002Pu</v>
      </c>
      <c r="D14" s="4" t="str">
        <f>IF(ISNUMBER(SEARCH("@",Sales_Data!T14)),LOWER(Sales_Data!T14),"Invalid_Email")</f>
        <v>priya.patel@company.com</v>
      </c>
      <c r="E14" s="13">
        <f ca="1">DATEDIF(Sales_Data!H14,TODAY(),"Y")</f>
        <v>34</v>
      </c>
      <c r="F14" s="13">
        <f>IFERROR(DATEDIF(Sales_Data!D14,Sales_Data!E14,"D"),"Information_Not_Given")</f>
        <v>5</v>
      </c>
      <c r="G14" s="13" t="str" cm="1">
        <f t="array" ref="G14">_xlfn.IFS(F14&lt;=5,"One_Time",F14&gt;5,"Delayed",F14="Information_Not_given","Pending")</f>
        <v>One_Time</v>
      </c>
    </row>
    <row r="15" spans="1:7" x14ac:dyDescent="0.3">
      <c r="A15" s="12" t="str">
        <f>IF(AND(Sales_Data!P15&gt;=100000,Sales_Data!Q15&gt;=4,Sales_Data!V15="Completed",Sales_Data!O15&lt;=10),"Platinum",IF(AND(Sales_Data!P15&gt;=50000,Sales_Data!Q15&gt;=3,Sales_Data!V15="Completed"),"Gold",IF(AND(Sales_Data!P15&lt;50000,Sales_Data!V15="Completed"),"Silver",IF(OR(Sales_Data!Q15&lt;=2,Sales_Data!V15="Canceled"),"Blacklisted","Others"))))</f>
        <v>Silver</v>
      </c>
      <c r="B15" s="4" t="str">
        <f>PROPER(TRIM(Sales_Data!F15))</f>
        <v>Rohit Singh</v>
      </c>
      <c r="C15" s="4" t="str">
        <f>LEFT(B15,3)&amp;RIGHT(Sales_Data!B15,3)&amp;LEFT(Sales_Data!I15,2)</f>
        <v>Roh003Mu</v>
      </c>
      <c r="D15" s="4" t="str">
        <f>IF(ISNUMBER(SEARCH("@",Sales_Data!T15)),LOWER(Sales_Data!T15),"Invalid_Email")</f>
        <v>rohit.singh@company.com</v>
      </c>
      <c r="E15" s="13">
        <f ca="1">DATEDIF(Sales_Data!H15,TODAY(),"Y")</f>
        <v>24</v>
      </c>
      <c r="F15" s="13">
        <f>IFERROR(DATEDIF(Sales_Data!D15,Sales_Data!E15,"D"),"Information_Not_Given")</f>
        <v>4</v>
      </c>
      <c r="G15" s="13" t="str" cm="1">
        <f t="array" ref="G15">_xlfn.IFS(F15&lt;=5,"One_Time",F15&gt;5,"Delayed",F15="Information_Not_given","Pending")</f>
        <v>One_Time</v>
      </c>
    </row>
    <row r="16" spans="1:7" x14ac:dyDescent="0.3">
      <c r="A16" s="12" t="str">
        <f>IF(AND(Sales_Data!P16&gt;=100000,Sales_Data!Q16&gt;=4,Sales_Data!V16="Completed",Sales_Data!O16&lt;=10),"Platinum",IF(AND(Sales_Data!P16&gt;=50000,Sales_Data!Q16&gt;=3,Sales_Data!V16="Completed"),"Gold",IF(AND(Sales_Data!P16&lt;50000,Sales_Data!V16="Completed"),"Silver",IF(OR(Sales_Data!Q16&lt;=2,Sales_Data!V16="Canceled"),"Blacklisted","Others"))))</f>
        <v>Blacklisted</v>
      </c>
      <c r="B16" s="4" t="str">
        <f>PROPER(TRIM(Sales_Data!F16))</f>
        <v>Kavya Nair</v>
      </c>
      <c r="C16" s="4" t="str">
        <f>LEFT(B16,3)&amp;RIGHT(Sales_Data!B16,3)&amp;LEFT(Sales_Data!I16,2)</f>
        <v>Kav008Mu</v>
      </c>
      <c r="D16" s="4" t="str">
        <f>IF(ISNUMBER(SEARCH("@",Sales_Data!T16)),LOWER(Sales_Data!T16),"Invalid_Email")</f>
        <v>kavya.nair@company.com</v>
      </c>
      <c r="E16" s="13">
        <f ca="1">DATEDIF(Sales_Data!H16,TODAY(),"Y")</f>
        <v>25</v>
      </c>
      <c r="F16" s="13">
        <f>IFERROR(DATEDIF(Sales_Data!D16,Sales_Data!E16,"D"),"Information_Not_Given")</f>
        <v>12</v>
      </c>
      <c r="G16" s="13" t="str" cm="1">
        <f t="array" ref="G16">_xlfn.IFS(F16&lt;=5,"One_Time",F16&gt;5,"Delayed",F16="Information_Not_given","Pending")</f>
        <v>Delayed</v>
      </c>
    </row>
    <row r="17" spans="1:7" x14ac:dyDescent="0.3">
      <c r="A17" s="12" t="str">
        <f>IF(AND(Sales_Data!P17&gt;=100000,Sales_Data!Q17&gt;=4,Sales_Data!V17="Completed",Sales_Data!O17&lt;=10),"Platinum",IF(AND(Sales_Data!P17&gt;=50000,Sales_Data!Q17&gt;=3,Sales_Data!V17="Completed"),"Gold",IF(AND(Sales_Data!P17&lt;50000,Sales_Data!V17="Completed"),"Silver",IF(OR(Sales_Data!Q17&lt;=2,Sales_Data!V17="Canceled"),"Blacklisted","Others"))))</f>
        <v>Silver</v>
      </c>
      <c r="B17" s="4" t="str">
        <f>PROPER(TRIM(Sales_Data!F17))</f>
        <v>Pooja Shah</v>
      </c>
      <c r="C17" s="4" t="str">
        <f>LEFT(B17,3)&amp;RIGHT(Sales_Data!B17,3)&amp;LEFT(Sales_Data!I17,2)</f>
        <v>Poo010Hy</v>
      </c>
      <c r="D17" s="4" t="str">
        <f>IF(ISNUMBER(SEARCH("@",Sales_Data!T17)),LOWER(Sales_Data!T17),"Invalid_Email")</f>
        <v>Invalid_Email</v>
      </c>
      <c r="E17" s="13">
        <f ca="1">DATEDIF(Sales_Data!H17,TODAY(),"Y")</f>
        <v>24</v>
      </c>
      <c r="F17" s="13">
        <f>IFERROR(DATEDIF(Sales_Data!D17,Sales_Data!E17,"D"),"Information_Not_Given")</f>
        <v>3</v>
      </c>
      <c r="G17" s="13" t="str" cm="1">
        <f t="array" ref="G17">_xlfn.IFS(F17&lt;=5,"One_Time",F17&gt;5,"Delayed",F17="Information_Not_given","Pending")</f>
        <v>One_Time</v>
      </c>
    </row>
    <row r="18" spans="1:7" x14ac:dyDescent="0.3">
      <c r="A18" s="12" t="str">
        <f>IF(AND(Sales_Data!P18&gt;=100000,Sales_Data!Q18&gt;=4,Sales_Data!V18="Completed",Sales_Data!O18&lt;=10),"Platinum",IF(AND(Sales_Data!P18&gt;=50000,Sales_Data!Q18&gt;=3,Sales_Data!V18="Completed"),"Gold",IF(AND(Sales_Data!P18&lt;50000,Sales_Data!V18="Completed"),"Silver",IF(OR(Sales_Data!Q18&lt;=2,Sales_Data!V18="Canceled"),"Blacklisted","Others"))))</f>
        <v>Others</v>
      </c>
      <c r="B18" s="4" t="str">
        <f>PROPER(TRIM(Sales_Data!F18))</f>
        <v>Amit Sharma</v>
      </c>
      <c r="C18" s="4" t="str">
        <f>LEFT(B18,3)&amp;RIGHT(Sales_Data!B18,3)&amp;LEFT(Sales_Data!I18,2)</f>
        <v>Ami004Pu</v>
      </c>
      <c r="D18" s="4" t="str">
        <f>IF(ISNUMBER(SEARCH("@",Sales_Data!T18)),LOWER(Sales_Data!T18),"Invalid_Email")</f>
        <v>anita.gupta@company.com</v>
      </c>
      <c r="E18" s="13">
        <f ca="1">DATEDIF(Sales_Data!H18,TODAY(),"Y")</f>
        <v>24</v>
      </c>
      <c r="F18" s="13">
        <f>IFERROR(DATEDIF(Sales_Data!D18,Sales_Data!E18,"D"),"Information_Not_Given")</f>
        <v>9</v>
      </c>
      <c r="G18" s="13" t="str" cm="1">
        <f t="array" ref="G18">_xlfn.IFS(F18&lt;=5,"One_Time",F18&gt;5,"Delayed",F18="Information_Not_given","Pending")</f>
        <v>Delayed</v>
      </c>
    </row>
    <row r="19" spans="1:7" x14ac:dyDescent="0.3">
      <c r="A19" s="12" t="str">
        <f>IF(AND(Sales_Data!P19&gt;=100000,Sales_Data!Q19&gt;=4,Sales_Data!V19="Completed",Sales_Data!O19&lt;=10),"Platinum",IF(AND(Sales_Data!P19&gt;=50000,Sales_Data!Q19&gt;=3,Sales_Data!V19="Completed"),"Gold",IF(AND(Sales_Data!P19&lt;50000,Sales_Data!V19="Completed"),"Silver",IF(OR(Sales_Data!Q19&lt;=2,Sales_Data!V19="Canceled"),"Blacklisted","Others"))))</f>
        <v>Others</v>
      </c>
      <c r="B19" s="4" t="str">
        <f>PROPER(TRIM(Sales_Data!F19))</f>
        <v>Arjun Rao</v>
      </c>
      <c r="C19" s="4" t="str">
        <f>LEFT(B19,3)&amp;RIGHT(Sales_Data!B19,3)&amp;LEFT(Sales_Data!I19,2)</f>
        <v>Arj007Ah</v>
      </c>
      <c r="D19" s="4" t="str">
        <f>IF(ISNUMBER(SEARCH("@",Sales_Data!T19)),LOWER(Sales_Data!T19),"Invalid_Email")</f>
        <v>arjun.rao@company.com</v>
      </c>
      <c r="E19" s="13">
        <f ca="1">DATEDIF(Sales_Data!H19,TODAY(),"Y")</f>
        <v>37</v>
      </c>
      <c r="F19" s="13">
        <f>IFERROR(DATEDIF(Sales_Data!D19,Sales_Data!E19,"D"),"Information_Not_Given")</f>
        <v>5</v>
      </c>
      <c r="G19" s="13" t="str" cm="1">
        <f t="array" ref="G19">_xlfn.IFS(F19&lt;=5,"One_Time",F19&gt;5,"Delayed",F19="Information_Not_given","Pending")</f>
        <v>One_Time</v>
      </c>
    </row>
    <row r="20" spans="1:7" x14ac:dyDescent="0.3">
      <c r="A20" s="12" t="str">
        <f>IF(AND(Sales_Data!P20&gt;=100000,Sales_Data!Q20&gt;=4,Sales_Data!V20="Completed",Sales_Data!O20&lt;=10),"Platinum",IF(AND(Sales_Data!P20&gt;=50000,Sales_Data!Q20&gt;=3,Sales_Data!V20="Completed"),"Gold",IF(AND(Sales_Data!P20&lt;50000,Sales_Data!V20="Completed"),"Silver",IF(OR(Sales_Data!Q20&lt;=2,Sales_Data!V20="Canceled"),"Blacklisted","Others"))))</f>
        <v>Others</v>
      </c>
      <c r="B20" s="4" t="str">
        <f>PROPER(TRIM(Sales_Data!F20))</f>
        <v>Arjun Rao</v>
      </c>
      <c r="C20" s="4" t="str">
        <f>LEFT(B20,3)&amp;RIGHT(Sales_Data!B20,3)&amp;LEFT(Sales_Data!I20,2)</f>
        <v>Arj007Mu</v>
      </c>
      <c r="D20" s="4" t="str">
        <f>IF(ISNUMBER(SEARCH("@",Sales_Data!T20)),LOWER(Sales_Data!T20),"Invalid_Email")</f>
        <v>arjun.rao@company.com</v>
      </c>
      <c r="E20" s="13">
        <f ca="1">DATEDIF(Sales_Data!H20,TODAY(),"Y")</f>
        <v>34</v>
      </c>
      <c r="F20" s="13">
        <f>IFERROR(DATEDIF(Sales_Data!D20,Sales_Data!E20,"D"),"Information_Not_Given")</f>
        <v>3</v>
      </c>
      <c r="G20" s="13" t="str" cm="1">
        <f t="array" ref="G20">_xlfn.IFS(F20&lt;=5,"One_Time",F20&gt;5,"Delayed",F20="Information_Not_given","Pending")</f>
        <v>One_Time</v>
      </c>
    </row>
    <row r="21" spans="1:7" x14ac:dyDescent="0.3">
      <c r="A21" s="12" t="str">
        <f>IF(AND(Sales_Data!P21&gt;=100000,Sales_Data!Q21&gt;=4,Sales_Data!V21="Completed",Sales_Data!O21&lt;=10),"Platinum",IF(AND(Sales_Data!P21&gt;=50000,Sales_Data!Q21&gt;=3,Sales_Data!V21="Completed"),"Gold",IF(AND(Sales_Data!P21&lt;50000,Sales_Data!V21="Completed"),"Silver",IF(OR(Sales_Data!Q21&lt;=2,Sales_Data!V21="Canceled"),"Blacklisted","Others"))))</f>
        <v>Blacklisted</v>
      </c>
      <c r="B21" s="4" t="str">
        <f>PROPER(TRIM(Sales_Data!F21))</f>
        <v>Kavya Nair</v>
      </c>
      <c r="C21" s="4" t="str">
        <f>LEFT(B21,3)&amp;RIGHT(Sales_Data!B21,3)&amp;LEFT(Sales_Data!I21,2)</f>
        <v>Kav008Ah</v>
      </c>
      <c r="D21" s="4" t="str">
        <f>IF(ISNUMBER(SEARCH("@",Sales_Data!T21)),LOWER(Sales_Data!T21),"Invalid_Email")</f>
        <v>kavya.nair@company.com</v>
      </c>
      <c r="E21" s="13">
        <f ca="1">DATEDIF(Sales_Data!H21,TODAY(),"Y")</f>
        <v>36</v>
      </c>
      <c r="F21" s="13">
        <f>IFERROR(DATEDIF(Sales_Data!D21,Sales_Data!E21,"D"),"Information_Not_Given")</f>
        <v>8</v>
      </c>
      <c r="G21" s="13" t="str" cm="1">
        <f t="array" ref="G21">_xlfn.IFS(F21&lt;=5,"One_Time",F21&gt;5,"Delayed",F21="Information_Not_given","Pending")</f>
        <v>Delayed</v>
      </c>
    </row>
    <row r="22" spans="1:7" x14ac:dyDescent="0.3">
      <c r="A22" s="12" t="str">
        <f>IF(AND(Sales_Data!P22&gt;=100000,Sales_Data!Q22&gt;=4,Sales_Data!V22="Completed",Sales_Data!O22&lt;=10),"Platinum",IF(AND(Sales_Data!P22&gt;=50000,Sales_Data!Q22&gt;=3,Sales_Data!V22="Completed"),"Gold",IF(AND(Sales_Data!P22&lt;50000,Sales_Data!V22="Completed"),"Silver",IF(OR(Sales_Data!Q22&lt;=2,Sales_Data!V22="Canceled"),"Blacklisted","Others"))))</f>
        <v>Others</v>
      </c>
      <c r="B22" s="4" t="str">
        <f>PROPER(TRIM(Sales_Data!F22))</f>
        <v>Rohit Singh</v>
      </c>
      <c r="C22" s="4" t="str">
        <f>LEFT(B22,3)&amp;RIGHT(Sales_Data!B22,3)&amp;LEFT(Sales_Data!I22,2)</f>
        <v>Roh003De</v>
      </c>
      <c r="D22" s="4" t="str">
        <f>IF(ISNUMBER(SEARCH("@",Sales_Data!T22)),LOWER(Sales_Data!T22),"Invalid_Email")</f>
        <v>rohit.singh@company.com</v>
      </c>
      <c r="E22" s="13">
        <f ca="1">DATEDIF(Sales_Data!H22,TODAY(),"Y")</f>
        <v>24</v>
      </c>
      <c r="F22" s="13">
        <f>IFERROR(DATEDIF(Sales_Data!D22,Sales_Data!E22,"D"),"Information_Not_Given")</f>
        <v>9</v>
      </c>
      <c r="G22" s="13" t="str" cm="1">
        <f t="array" ref="G22">_xlfn.IFS(F22&lt;=5,"One_Time",F22&gt;5,"Delayed",F22="Information_Not_given","Pending")</f>
        <v>Delayed</v>
      </c>
    </row>
    <row r="23" spans="1:7" x14ac:dyDescent="0.3">
      <c r="A23" s="12" t="str">
        <f>IF(AND(Sales_Data!P23&gt;=100000,Sales_Data!Q23&gt;=4,Sales_Data!V23="Completed",Sales_Data!O23&lt;=10),"Platinum",IF(AND(Sales_Data!P23&gt;=50000,Sales_Data!Q23&gt;=3,Sales_Data!V23="Completed"),"Gold",IF(AND(Sales_Data!P23&lt;50000,Sales_Data!V23="Completed"),"Silver",IF(OR(Sales_Data!Q23&lt;=2,Sales_Data!V23="Canceled"),"Blacklisted","Others"))))</f>
        <v>Others</v>
      </c>
      <c r="B23" s="4" t="str">
        <f>PROPER(TRIM(Sales_Data!F23))</f>
        <v>Kavya Nair</v>
      </c>
      <c r="C23" s="4" t="str">
        <f>LEFT(B23,3)&amp;RIGHT(Sales_Data!B23,3)&amp;LEFT(Sales_Data!I23,2)</f>
        <v>Kav008Be</v>
      </c>
      <c r="D23" s="4" t="str">
        <f>IF(ISNUMBER(SEARCH("@",Sales_Data!T23)),LOWER(Sales_Data!T23),"Invalid_Email")</f>
        <v>kavya.nair@company.com</v>
      </c>
      <c r="E23" s="13">
        <f ca="1">DATEDIF(Sales_Data!H23,TODAY(),"Y")</f>
        <v>21</v>
      </c>
      <c r="F23" s="13">
        <f>IFERROR(DATEDIF(Sales_Data!D23,Sales_Data!E23,"D"),"Information_Not_Given")</f>
        <v>5</v>
      </c>
      <c r="G23" s="13" t="str" cm="1">
        <f t="array" ref="G23">_xlfn.IFS(F23&lt;=5,"One_Time",F23&gt;5,"Delayed",F23="Information_Not_given","Pending")</f>
        <v>One_Time</v>
      </c>
    </row>
    <row r="24" spans="1:7" x14ac:dyDescent="0.3">
      <c r="A24" s="12" t="str">
        <f>IF(AND(Sales_Data!P24&gt;=100000,Sales_Data!Q24&gt;=4,Sales_Data!V24="Completed",Sales_Data!O24&lt;=10),"Platinum",IF(AND(Sales_Data!P24&gt;=50000,Sales_Data!Q24&gt;=3,Sales_Data!V24="Completed"),"Gold",IF(AND(Sales_Data!P24&lt;50000,Sales_Data!V24="Completed"),"Silver",IF(OR(Sales_Data!Q24&lt;=2,Sales_Data!V24="Canceled"),"Blacklisted","Others"))))</f>
        <v>Others</v>
      </c>
      <c r="B24" s="4" t="str">
        <f>PROPER(TRIM(Sales_Data!F24))</f>
        <v>Priya Patel</v>
      </c>
      <c r="C24" s="4" t="str">
        <f>LEFT(B24,3)&amp;RIGHT(Sales_Data!B24,3)&amp;LEFT(Sales_Data!I24,2)</f>
        <v>Pri002Ja</v>
      </c>
      <c r="D24" s="4" t="str">
        <f>IF(ISNUMBER(SEARCH("@",Sales_Data!T24)),LOWER(Sales_Data!T24),"Invalid_Email")</f>
        <v>priya.patel@company.com</v>
      </c>
      <c r="E24" s="13">
        <f ca="1">DATEDIF(Sales_Data!H24,TODAY(),"Y")</f>
        <v>42</v>
      </c>
      <c r="F24" s="13">
        <f>IFERROR(DATEDIF(Sales_Data!D24,Sales_Data!E24,"D"),"Information_Not_Given")</f>
        <v>11</v>
      </c>
      <c r="G24" s="13" t="str" cm="1">
        <f t="array" ref="G24">_xlfn.IFS(F24&lt;=5,"One_Time",F24&gt;5,"Delayed",F24="Information_Not_given","Pending")</f>
        <v>Delayed</v>
      </c>
    </row>
    <row r="25" spans="1:7" x14ac:dyDescent="0.3">
      <c r="A25" s="12" t="str">
        <f>IF(AND(Sales_Data!P25&gt;=100000,Sales_Data!Q25&gt;=4,Sales_Data!V25="Completed",Sales_Data!O25&lt;=10),"Platinum",IF(AND(Sales_Data!P25&gt;=50000,Sales_Data!Q25&gt;=3,Sales_Data!V25="Completed"),"Gold",IF(AND(Sales_Data!P25&lt;50000,Sales_Data!V25="Completed"),"Silver",IF(OR(Sales_Data!Q25&lt;=2,Sales_Data!V25="Canceled"),"Blacklisted","Others"))))</f>
        <v>Blacklisted</v>
      </c>
      <c r="B25" s="4" t="str">
        <f>PROPER(TRIM(Sales_Data!F25))</f>
        <v>Mohit Verma</v>
      </c>
      <c r="C25" s="4" t="str">
        <f>LEFT(B25,3)&amp;RIGHT(Sales_Data!B25,3)&amp;LEFT(Sales_Data!I25,2)</f>
        <v>Moh009Be</v>
      </c>
      <c r="D25" s="4" t="str">
        <f>IF(ISNUMBER(SEARCH("@",Sales_Data!T25)),LOWER(Sales_Data!T25),"Invalid_Email")</f>
        <v>mohit.verma@company.com</v>
      </c>
      <c r="E25" s="13">
        <f ca="1">DATEDIF(Sales_Data!H25,TODAY(),"Y")</f>
        <v>48</v>
      </c>
      <c r="F25" s="13">
        <f>IFERROR(DATEDIF(Sales_Data!D25,Sales_Data!E25,"D"),"Information_Not_Given")</f>
        <v>10</v>
      </c>
      <c r="G25" s="13" t="str" cm="1">
        <f t="array" ref="G25">_xlfn.IFS(F25&lt;=5,"One_Time",F25&gt;5,"Delayed",F25="Information_Not_given","Pending")</f>
        <v>Delayed</v>
      </c>
    </row>
    <row r="26" spans="1:7" x14ac:dyDescent="0.3">
      <c r="A26" s="12" t="str">
        <f>IF(AND(Sales_Data!P26&gt;=100000,Sales_Data!Q26&gt;=4,Sales_Data!V26="Completed",Sales_Data!O26&lt;=10),"Platinum",IF(AND(Sales_Data!P26&gt;=50000,Sales_Data!Q26&gt;=3,Sales_Data!V26="Completed"),"Gold",IF(AND(Sales_Data!P26&lt;50000,Sales_Data!V26="Completed"),"Silver",IF(OR(Sales_Data!Q26&lt;=2,Sales_Data!V26="Canceled"),"Blacklisted","Others"))))</f>
        <v>Others</v>
      </c>
      <c r="B26" s="4" t="str">
        <f>PROPER(TRIM(Sales_Data!F26))</f>
        <v>Vikas Mehta</v>
      </c>
      <c r="C26" s="4" t="str">
        <f>LEFT(B26,3)&amp;RIGHT(Sales_Data!B26,3)&amp;LEFT(Sales_Data!I26,2)</f>
        <v>Vik005Mu</v>
      </c>
      <c r="D26" s="4" t="str">
        <f>IF(ISNUMBER(SEARCH("@",Sales_Data!T26)),LOWER(Sales_Data!T26),"Invalid_Email")</f>
        <v>vikas.mehta@company.com</v>
      </c>
      <c r="E26" s="13">
        <f ca="1">DATEDIF(Sales_Data!H26,TODAY(),"Y")</f>
        <v>35</v>
      </c>
      <c r="F26" s="13">
        <f>IFERROR(DATEDIF(Sales_Data!D26,Sales_Data!E26,"D"),"Information_Not_Given")</f>
        <v>11</v>
      </c>
      <c r="G26" s="13" t="str" cm="1">
        <f t="array" ref="G26">_xlfn.IFS(F26&lt;=5,"One_Time",F26&gt;5,"Delayed",F26="Information_Not_given","Pending")</f>
        <v>Delayed</v>
      </c>
    </row>
    <row r="27" spans="1:7" x14ac:dyDescent="0.3">
      <c r="A27" s="12" t="str">
        <f>IF(AND(Sales_Data!P27&gt;=100000,Sales_Data!Q27&gt;=4,Sales_Data!V27="Completed",Sales_Data!O27&lt;=10),"Platinum",IF(AND(Sales_Data!P27&gt;=50000,Sales_Data!Q27&gt;=3,Sales_Data!V27="Completed"),"Gold",IF(AND(Sales_Data!P27&lt;50000,Sales_Data!V27="Completed"),"Silver",IF(OR(Sales_Data!Q27&lt;=2,Sales_Data!V27="Canceled"),"Blacklisted","Others"))))</f>
        <v>Blacklisted</v>
      </c>
      <c r="B27" s="4" t="str">
        <f>PROPER(TRIM(Sales_Data!F27))</f>
        <v>Arjun Rao</v>
      </c>
      <c r="C27" s="4" t="str">
        <f>LEFT(B27,3)&amp;RIGHT(Sales_Data!B27,3)&amp;LEFT(Sales_Data!I27,2)</f>
        <v>Arj007Mu</v>
      </c>
      <c r="D27" s="4" t="str">
        <f>IF(ISNUMBER(SEARCH("@",Sales_Data!T27)),LOWER(Sales_Data!T27),"Invalid_Email")</f>
        <v>arjun.rao@company.com</v>
      </c>
      <c r="E27" s="13">
        <f ca="1">DATEDIF(Sales_Data!H27,TODAY(),"Y")</f>
        <v>48</v>
      </c>
      <c r="F27" s="13">
        <f>IFERROR(DATEDIF(Sales_Data!D27,Sales_Data!E27,"D"),"Information_Not_Given")</f>
        <v>8</v>
      </c>
      <c r="G27" s="13" t="str" cm="1">
        <f t="array" ref="G27">_xlfn.IFS(F27&lt;=5,"One_Time",F27&gt;5,"Delayed",F27="Information_Not_given","Pending")</f>
        <v>Delayed</v>
      </c>
    </row>
    <row r="28" spans="1:7" x14ac:dyDescent="0.3">
      <c r="A28" s="12" t="str">
        <f>IF(AND(Sales_Data!P28&gt;=100000,Sales_Data!Q28&gt;=4,Sales_Data!V28="Completed",Sales_Data!O28&lt;=10),"Platinum",IF(AND(Sales_Data!P28&gt;=50000,Sales_Data!Q28&gt;=3,Sales_Data!V28="Completed"),"Gold",IF(AND(Sales_Data!P28&lt;50000,Sales_Data!V28="Completed"),"Silver",IF(OR(Sales_Data!Q28&lt;=2,Sales_Data!V28="Canceled"),"Blacklisted","Others"))))</f>
        <v>Others</v>
      </c>
      <c r="B28" s="4" t="str">
        <f>PROPER(TRIM(Sales_Data!F28))</f>
        <v>Mohit Verma</v>
      </c>
      <c r="C28" s="4" t="str">
        <f>LEFT(B28,3)&amp;RIGHT(Sales_Data!B28,3)&amp;LEFT(Sales_Data!I28,2)</f>
        <v>Moh009Ah</v>
      </c>
      <c r="D28" s="4" t="str">
        <f>IF(ISNUMBER(SEARCH("@",Sales_Data!T28)),LOWER(Sales_Data!T28),"Invalid_Email")</f>
        <v>mohit.verma@company.com</v>
      </c>
      <c r="E28" s="13">
        <f ca="1">DATEDIF(Sales_Data!H28,TODAY(),"Y")</f>
        <v>34</v>
      </c>
      <c r="F28" s="13">
        <f>IFERROR(DATEDIF(Sales_Data!D28,Sales_Data!E28,"D"),"Information_Not_Given")</f>
        <v>3</v>
      </c>
      <c r="G28" s="13" t="str" cm="1">
        <f t="array" ref="G28">_xlfn.IFS(F28&lt;=5,"One_Time",F28&gt;5,"Delayed",F28="Information_Not_given","Pending")</f>
        <v>One_Time</v>
      </c>
    </row>
    <row r="29" spans="1:7" x14ac:dyDescent="0.3">
      <c r="A29" s="12" t="str">
        <f>IF(AND(Sales_Data!P29&gt;=100000,Sales_Data!Q29&gt;=4,Sales_Data!V29="Completed",Sales_Data!O29&lt;=10),"Platinum",IF(AND(Sales_Data!P29&gt;=50000,Sales_Data!Q29&gt;=3,Sales_Data!V29="Completed"),"Gold",IF(AND(Sales_Data!P29&lt;50000,Sales_Data!V29="Completed"),"Silver",IF(OR(Sales_Data!Q29&lt;=2,Sales_Data!V29="Canceled"),"Blacklisted","Others"))))</f>
        <v>Silver</v>
      </c>
      <c r="B29" s="4" t="str">
        <f>PROPER(TRIM(Sales_Data!F29))</f>
        <v>Kavya Nair</v>
      </c>
      <c r="C29" s="4" t="str">
        <f>LEFT(B29,3)&amp;RIGHT(Sales_Data!B29,3)&amp;LEFT(Sales_Data!I29,2)</f>
        <v>Kav008Ah</v>
      </c>
      <c r="D29" s="4" t="str">
        <f>IF(ISNUMBER(SEARCH("@",Sales_Data!T29)),LOWER(Sales_Data!T29),"Invalid_Email")</f>
        <v>kavya.nair@company.com</v>
      </c>
      <c r="E29" s="13">
        <f ca="1">DATEDIF(Sales_Data!H29,TODAY(),"Y")</f>
        <v>22</v>
      </c>
      <c r="F29" s="13">
        <f>IFERROR(DATEDIF(Sales_Data!D29,Sales_Data!E29,"D"),"Information_Not_Given")</f>
        <v>7</v>
      </c>
      <c r="G29" s="13" t="str" cm="1">
        <f t="array" ref="G29">_xlfn.IFS(F29&lt;=5,"One_Time",F29&gt;5,"Delayed",F29="Information_Not_given","Pending")</f>
        <v>Delayed</v>
      </c>
    </row>
    <row r="30" spans="1:7" x14ac:dyDescent="0.3">
      <c r="A30" s="12" t="str">
        <f>IF(AND(Sales_Data!P30&gt;=100000,Sales_Data!Q30&gt;=4,Sales_Data!V30="Completed",Sales_Data!O30&lt;=10),"Platinum",IF(AND(Sales_Data!P30&gt;=50000,Sales_Data!Q30&gt;=3,Sales_Data!V30="Completed"),"Gold",IF(AND(Sales_Data!P30&lt;50000,Sales_Data!V30="Completed"),"Silver",IF(OR(Sales_Data!Q30&lt;=2,Sales_Data!V30="Canceled"),"Blacklisted","Others"))))</f>
        <v>Blacklisted</v>
      </c>
      <c r="B30" s="4" t="str">
        <f>PROPER(TRIM(Sales_Data!F30))</f>
        <v>Rohit Singh</v>
      </c>
      <c r="C30" s="4" t="str">
        <f>LEFT(B30,3)&amp;RIGHT(Sales_Data!B30,3)&amp;LEFT(Sales_Data!I30,2)</f>
        <v>Roh003Pu</v>
      </c>
      <c r="D30" s="4" t="str">
        <f>IF(ISNUMBER(SEARCH("@",Sales_Data!T30)),LOWER(Sales_Data!T30),"Invalid_Email")</f>
        <v>rohit.singh@company.com</v>
      </c>
      <c r="E30" s="13">
        <f ca="1">DATEDIF(Sales_Data!H30,TODAY(),"Y")</f>
        <v>25</v>
      </c>
      <c r="F30" s="13">
        <f>IFERROR(DATEDIF(Sales_Data!D30,Sales_Data!E30,"D"),"Information_Not_Given")</f>
        <v>12</v>
      </c>
      <c r="G30" s="13" t="str" cm="1">
        <f t="array" ref="G30">_xlfn.IFS(F30&lt;=5,"One_Time",F30&gt;5,"Delayed",F30="Information_Not_given","Pending")</f>
        <v>Delayed</v>
      </c>
    </row>
    <row r="31" spans="1:7" x14ac:dyDescent="0.3">
      <c r="A31" s="12" t="str">
        <f>IF(AND(Sales_Data!P31&gt;=100000,Sales_Data!Q31&gt;=4,Sales_Data!V31="Completed",Sales_Data!O31&lt;=10),"Platinum",IF(AND(Sales_Data!P31&gt;=50000,Sales_Data!Q31&gt;=3,Sales_Data!V31="Completed"),"Gold",IF(AND(Sales_Data!P31&lt;50000,Sales_Data!V31="Completed"),"Silver",IF(OR(Sales_Data!Q31&lt;=2,Sales_Data!V31="Canceled"),"Blacklisted","Others"))))</f>
        <v>Others</v>
      </c>
      <c r="B31" s="4" t="str">
        <f>PROPER(TRIM(Sales_Data!F31))</f>
        <v>Sneha Joshi</v>
      </c>
      <c r="C31" s="4" t="str">
        <f>LEFT(B31,3)&amp;RIGHT(Sales_Data!B31,3)&amp;LEFT(Sales_Data!I31,2)</f>
        <v>Sne006Pu</v>
      </c>
      <c r="D31" s="4" t="str">
        <f>IF(ISNUMBER(SEARCH("@",Sales_Data!T31)),LOWER(Sales_Data!T31),"Invalid_Email")</f>
        <v>sneha.joshi@company.com</v>
      </c>
      <c r="E31" s="13">
        <f ca="1">DATEDIF(Sales_Data!H31,TODAY(),"Y")</f>
        <v>45</v>
      </c>
      <c r="F31" s="13">
        <f>IFERROR(DATEDIF(Sales_Data!D31,Sales_Data!E31,"D"),"Information_Not_Given")</f>
        <v>5</v>
      </c>
      <c r="G31" s="13" t="str" cm="1">
        <f t="array" ref="G31">_xlfn.IFS(F31&lt;=5,"One_Time",F31&gt;5,"Delayed",F31="Information_Not_given","Pending")</f>
        <v>One_Time</v>
      </c>
    </row>
    <row r="32" spans="1:7" x14ac:dyDescent="0.3">
      <c r="A32" s="12" t="str">
        <f>IF(AND(Sales_Data!P32&gt;=100000,Sales_Data!Q32&gt;=4,Sales_Data!V32="Completed",Sales_Data!O32&lt;=10),"Platinum",IF(AND(Sales_Data!P32&gt;=50000,Sales_Data!Q32&gt;=3,Sales_Data!V32="Completed"),"Gold",IF(AND(Sales_Data!P32&lt;50000,Sales_Data!V32="Completed"),"Silver",IF(OR(Sales_Data!Q32&lt;=2,Sales_Data!V32="Canceled"),"Blacklisted","Others"))))</f>
        <v>Others</v>
      </c>
      <c r="B32" s="4" t="str">
        <f>PROPER(TRIM(Sales_Data!F32))</f>
        <v>Kavya Nair</v>
      </c>
      <c r="C32" s="4" t="str">
        <f>LEFT(B32,3)&amp;RIGHT(Sales_Data!B32,3)&amp;LEFT(Sales_Data!I32,2)</f>
        <v>Kav008Be</v>
      </c>
      <c r="D32" s="4" t="str">
        <f>IF(ISNUMBER(SEARCH("@",Sales_Data!T32)),LOWER(Sales_Data!T32),"Invalid_Email")</f>
        <v>kavya.nair@company.com</v>
      </c>
      <c r="E32" s="13">
        <f ca="1">DATEDIF(Sales_Data!H32,TODAY(),"Y")</f>
        <v>30</v>
      </c>
      <c r="F32" s="13">
        <f>IFERROR(DATEDIF(Sales_Data!D32,Sales_Data!E32,"D"),"Information_Not_Given")</f>
        <v>10</v>
      </c>
      <c r="G32" s="13" t="str" cm="1">
        <f t="array" ref="G32">_xlfn.IFS(F32&lt;=5,"One_Time",F32&gt;5,"Delayed",F32="Information_Not_given","Pending")</f>
        <v>Delayed</v>
      </c>
    </row>
    <row r="33" spans="1:7" x14ac:dyDescent="0.3">
      <c r="A33" s="12" t="str">
        <f>IF(AND(Sales_Data!P33&gt;=100000,Sales_Data!Q33&gt;=4,Sales_Data!V33="Completed",Sales_Data!O33&lt;=10),"Platinum",IF(AND(Sales_Data!P33&gt;=50000,Sales_Data!Q33&gt;=3,Sales_Data!V33="Completed"),"Gold",IF(AND(Sales_Data!P33&lt;50000,Sales_Data!V33="Completed"),"Silver",IF(OR(Sales_Data!Q33&lt;=2,Sales_Data!V33="Canceled"),"Blacklisted","Others"))))</f>
        <v>Others</v>
      </c>
      <c r="B33" s="4" t="str">
        <f>PROPER(TRIM(Sales_Data!F33))</f>
        <v>Priya Patel</v>
      </c>
      <c r="C33" s="4" t="str">
        <f>LEFT(B33,3)&amp;RIGHT(Sales_Data!B33,3)&amp;LEFT(Sales_Data!I33,2)</f>
        <v>Pri002Ah</v>
      </c>
      <c r="D33" s="4" t="str">
        <f>IF(ISNUMBER(SEARCH("@",Sales_Data!T33)),LOWER(Sales_Data!T33),"Invalid_Email")</f>
        <v>priya.patel@company.com</v>
      </c>
      <c r="E33" s="13">
        <f ca="1">DATEDIF(Sales_Data!H33,TODAY(),"Y")</f>
        <v>49</v>
      </c>
      <c r="F33" s="13">
        <f>IFERROR(DATEDIF(Sales_Data!D33,Sales_Data!E33,"D"),"Information_Not_Given")</f>
        <v>12</v>
      </c>
      <c r="G33" s="13" t="str" cm="1">
        <f t="array" ref="G33">_xlfn.IFS(F33&lt;=5,"One_Time",F33&gt;5,"Delayed",F33="Information_Not_given","Pending")</f>
        <v>Delayed</v>
      </c>
    </row>
    <row r="34" spans="1:7" x14ac:dyDescent="0.3">
      <c r="A34" s="12" t="str">
        <f>IF(AND(Sales_Data!P34&gt;=100000,Sales_Data!Q34&gt;=4,Sales_Data!V34="Completed",Sales_Data!O34&lt;=10),"Platinum",IF(AND(Sales_Data!P34&gt;=50000,Sales_Data!Q34&gt;=3,Sales_Data!V34="Completed"),"Gold",IF(AND(Sales_Data!P34&lt;50000,Sales_Data!V34="Completed"),"Silver",IF(OR(Sales_Data!Q34&lt;=2,Sales_Data!V34="Canceled"),"Blacklisted","Others"))))</f>
        <v>Blacklisted</v>
      </c>
      <c r="B34" s="4" t="str">
        <f>PROPER(TRIM(Sales_Data!F34))</f>
        <v>Sneha Joshi</v>
      </c>
      <c r="C34" s="4" t="str">
        <f>LEFT(B34,3)&amp;RIGHT(Sales_Data!B34,3)&amp;LEFT(Sales_Data!I34,2)</f>
        <v>Sne006Be</v>
      </c>
      <c r="D34" s="4" t="str">
        <f>IF(ISNUMBER(SEARCH("@",Sales_Data!T34)),LOWER(Sales_Data!T34),"Invalid_Email")</f>
        <v>sneha.joshi@company.com</v>
      </c>
      <c r="E34" s="13">
        <f ca="1">DATEDIF(Sales_Data!H34,TODAY(),"Y")</f>
        <v>37</v>
      </c>
      <c r="F34" s="13">
        <f>IFERROR(DATEDIF(Sales_Data!D34,Sales_Data!E34,"D"),"Information_Not_Given")</f>
        <v>8</v>
      </c>
      <c r="G34" s="13" t="str" cm="1">
        <f t="array" ref="G34">_xlfn.IFS(F34&lt;=5,"One_Time",F34&gt;5,"Delayed",F34="Information_Not_given","Pending")</f>
        <v>Delayed</v>
      </c>
    </row>
    <row r="35" spans="1:7" x14ac:dyDescent="0.3">
      <c r="A35" s="12" t="str">
        <f>IF(AND(Sales_Data!P35&gt;=100000,Sales_Data!Q35&gt;=4,Sales_Data!V35="Completed",Sales_Data!O35&lt;=10),"Platinum",IF(AND(Sales_Data!P35&gt;=50000,Sales_Data!Q35&gt;=3,Sales_Data!V35="Completed"),"Gold",IF(AND(Sales_Data!P35&lt;50000,Sales_Data!V35="Completed"),"Silver",IF(OR(Sales_Data!Q35&lt;=2,Sales_Data!V35="Canceled"),"Blacklisted","Others"))))</f>
        <v>Blacklisted</v>
      </c>
      <c r="B35" s="4" t="str">
        <f>PROPER(TRIM(Sales_Data!F35))</f>
        <v>Arjun Rao</v>
      </c>
      <c r="C35" s="4" t="str">
        <f>LEFT(B35,3)&amp;RIGHT(Sales_Data!B35,3)&amp;LEFT(Sales_Data!I35,2)</f>
        <v>Arj007Ah</v>
      </c>
      <c r="D35" s="4" t="str">
        <f>IF(ISNUMBER(SEARCH("@",Sales_Data!T35)),LOWER(Sales_Data!T35),"Invalid_Email")</f>
        <v>Invalid_Email</v>
      </c>
      <c r="E35" s="13">
        <f ca="1">DATEDIF(Sales_Data!H35,TODAY(),"Y")</f>
        <v>22</v>
      </c>
      <c r="F35" s="13">
        <f>IFERROR(DATEDIF(Sales_Data!D35,Sales_Data!E35,"D"),"Information_Not_Given")</f>
        <v>10</v>
      </c>
      <c r="G35" s="13" t="str" cm="1">
        <f t="array" ref="G35">_xlfn.IFS(F35&lt;=5,"One_Time",F35&gt;5,"Delayed",F35="Information_Not_given","Pending")</f>
        <v>Delayed</v>
      </c>
    </row>
    <row r="36" spans="1:7" x14ac:dyDescent="0.3">
      <c r="A36" s="12" t="str">
        <f>IF(AND(Sales_Data!P36&gt;=100000,Sales_Data!Q36&gt;=4,Sales_Data!V36="Completed",Sales_Data!O36&lt;=10),"Platinum",IF(AND(Sales_Data!P36&gt;=50000,Sales_Data!Q36&gt;=3,Sales_Data!V36="Completed"),"Gold",IF(AND(Sales_Data!P36&lt;50000,Sales_Data!V36="Completed"),"Silver",IF(OR(Sales_Data!Q36&lt;=2,Sales_Data!V36="Canceled"),"Blacklisted","Others"))))</f>
        <v>Others</v>
      </c>
      <c r="B36" s="4" t="str">
        <f>PROPER(TRIM(Sales_Data!F36))</f>
        <v>Rohit Singh</v>
      </c>
      <c r="C36" s="4" t="str">
        <f>LEFT(B36,3)&amp;RIGHT(Sales_Data!B36,3)&amp;LEFT(Sales_Data!I36,2)</f>
        <v>Roh003Pu</v>
      </c>
      <c r="D36" s="4" t="str">
        <f>IF(ISNUMBER(SEARCH("@",Sales_Data!T36)),LOWER(Sales_Data!T36),"Invalid_Email")</f>
        <v>rohit.singh@company.com</v>
      </c>
      <c r="E36" s="13">
        <f ca="1">DATEDIF(Sales_Data!H36,TODAY(),"Y")</f>
        <v>30</v>
      </c>
      <c r="F36" s="13">
        <f>IFERROR(DATEDIF(Sales_Data!D36,Sales_Data!E36,"D"),"Information_Not_Given")</f>
        <v>10</v>
      </c>
      <c r="G36" s="13" t="str" cm="1">
        <f t="array" ref="G36">_xlfn.IFS(F36&lt;=5,"One_Time",F36&gt;5,"Delayed",F36="Information_Not_given","Pending")</f>
        <v>Delayed</v>
      </c>
    </row>
    <row r="37" spans="1:7" x14ac:dyDescent="0.3">
      <c r="A37" s="12" t="str">
        <f>IF(AND(Sales_Data!P37&gt;=100000,Sales_Data!Q37&gt;=4,Sales_Data!V37="Completed",Sales_Data!O37&lt;=10),"Platinum",IF(AND(Sales_Data!P37&gt;=50000,Sales_Data!Q37&gt;=3,Sales_Data!V37="Completed"),"Gold",IF(AND(Sales_Data!P37&lt;50000,Sales_Data!V37="Completed"),"Silver",IF(OR(Sales_Data!Q37&lt;=2,Sales_Data!V37="Canceled"),"Blacklisted","Others"))))</f>
        <v>Silver</v>
      </c>
      <c r="B37" s="4" t="str">
        <f>PROPER(TRIM(Sales_Data!F37))</f>
        <v>Rohit Singh</v>
      </c>
      <c r="C37" s="4" t="str">
        <f>LEFT(B37,3)&amp;RIGHT(Sales_Data!B37,3)&amp;LEFT(Sales_Data!I37,2)</f>
        <v>Roh003Be</v>
      </c>
      <c r="D37" s="4" t="str">
        <f>IF(ISNUMBER(SEARCH("@",Sales_Data!T37)),LOWER(Sales_Data!T37),"Invalid_Email")</f>
        <v>rohit.singh@company.com</v>
      </c>
      <c r="E37" s="13">
        <f ca="1">DATEDIF(Sales_Data!H37,TODAY(),"Y")</f>
        <v>47</v>
      </c>
      <c r="F37" s="13">
        <f>IFERROR(DATEDIF(Sales_Data!D37,Sales_Data!E37,"D"),"Information_Not_Given")</f>
        <v>7</v>
      </c>
      <c r="G37" s="13" t="str" cm="1">
        <f t="array" ref="G37">_xlfn.IFS(F37&lt;=5,"One_Time",F37&gt;5,"Delayed",F37="Information_Not_given","Pending")</f>
        <v>Delayed</v>
      </c>
    </row>
    <row r="38" spans="1:7" x14ac:dyDescent="0.3">
      <c r="A38" s="12" t="str">
        <f>IF(AND(Sales_Data!P38&gt;=100000,Sales_Data!Q38&gt;=4,Sales_Data!V38="Completed",Sales_Data!O38&lt;=10),"Platinum",IF(AND(Sales_Data!P38&gt;=50000,Sales_Data!Q38&gt;=3,Sales_Data!V38="Completed"),"Gold",IF(AND(Sales_Data!P38&lt;50000,Sales_Data!V38="Completed"),"Silver",IF(OR(Sales_Data!Q38&lt;=2,Sales_Data!V38="Canceled"),"Blacklisted","Others"))))</f>
        <v>Blacklisted</v>
      </c>
      <c r="B38" s="4" t="str">
        <f>PROPER(TRIM(Sales_Data!F38))</f>
        <v>Mohit Verma</v>
      </c>
      <c r="C38" s="4" t="str">
        <f>LEFT(B38,3)&amp;RIGHT(Sales_Data!B38,3)&amp;LEFT(Sales_Data!I38,2)</f>
        <v>Moh009Ko</v>
      </c>
      <c r="D38" s="4" t="str">
        <f>IF(ISNUMBER(SEARCH("@",Sales_Data!T38)),LOWER(Sales_Data!T38),"Invalid_Email")</f>
        <v>mohit.verma@company.com</v>
      </c>
      <c r="E38" s="13">
        <f ca="1">DATEDIF(Sales_Data!H38,TODAY(),"Y")</f>
        <v>46</v>
      </c>
      <c r="F38" s="13">
        <f>IFERROR(DATEDIF(Sales_Data!D38,Sales_Data!E38,"D"),"Information_Not_Given")</f>
        <v>9</v>
      </c>
      <c r="G38" s="13" t="str" cm="1">
        <f t="array" ref="G38">_xlfn.IFS(F38&lt;=5,"One_Time",F38&gt;5,"Delayed",F38="Information_Not_given","Pending")</f>
        <v>Delayed</v>
      </c>
    </row>
    <row r="39" spans="1:7" x14ac:dyDescent="0.3">
      <c r="A39" s="12" t="str">
        <f>IF(AND(Sales_Data!P39&gt;=100000,Sales_Data!Q39&gt;=4,Sales_Data!V39="Completed",Sales_Data!O39&lt;=10),"Platinum",IF(AND(Sales_Data!P39&gt;=50000,Sales_Data!Q39&gt;=3,Sales_Data!V39="Completed"),"Gold",IF(AND(Sales_Data!P39&lt;50000,Sales_Data!V39="Completed"),"Silver",IF(OR(Sales_Data!Q39&lt;=2,Sales_Data!V39="Canceled"),"Blacklisted","Others"))))</f>
        <v>Others</v>
      </c>
      <c r="B39" s="4" t="str">
        <f>PROPER(TRIM(Sales_Data!F39))</f>
        <v>Sneha Joshi</v>
      </c>
      <c r="C39" s="4" t="str">
        <f>LEFT(B39,3)&amp;RIGHT(Sales_Data!B39,3)&amp;LEFT(Sales_Data!I39,2)</f>
        <v>Sne006De</v>
      </c>
      <c r="D39" s="4" t="str">
        <f>IF(ISNUMBER(SEARCH("@",Sales_Data!T39)),LOWER(Sales_Data!T39),"Invalid_Email")</f>
        <v>sneha.joshi@company.com</v>
      </c>
      <c r="E39" s="13">
        <f ca="1">DATEDIF(Sales_Data!H39,TODAY(),"Y")</f>
        <v>46</v>
      </c>
      <c r="F39" s="13">
        <f>IFERROR(DATEDIF(Sales_Data!D39,Sales_Data!E39,"D"),"Information_Not_Given")</f>
        <v>12</v>
      </c>
      <c r="G39" s="13" t="str" cm="1">
        <f t="array" ref="G39">_xlfn.IFS(F39&lt;=5,"One_Time",F39&gt;5,"Delayed",F39="Information_Not_given","Pending")</f>
        <v>Delayed</v>
      </c>
    </row>
    <row r="40" spans="1:7" x14ac:dyDescent="0.3">
      <c r="A40" s="12" t="str">
        <f>IF(AND(Sales_Data!P40&gt;=100000,Sales_Data!Q40&gt;=4,Sales_Data!V40="Completed",Sales_Data!O40&lt;=10),"Platinum",IF(AND(Sales_Data!P40&gt;=50000,Sales_Data!Q40&gt;=3,Sales_Data!V40="Completed"),"Gold",IF(AND(Sales_Data!P40&lt;50000,Sales_Data!V40="Completed"),"Silver",IF(OR(Sales_Data!Q40&lt;=2,Sales_Data!V40="Canceled"),"Blacklisted","Others"))))</f>
        <v>Blacklisted</v>
      </c>
      <c r="B40" s="4" t="str">
        <f>PROPER(TRIM(Sales_Data!F40))</f>
        <v>Kavya Nair</v>
      </c>
      <c r="C40" s="4" t="str">
        <f>LEFT(B40,3)&amp;RIGHT(Sales_Data!B40,3)&amp;LEFT(Sales_Data!I40,2)</f>
        <v>Kav008Pu</v>
      </c>
      <c r="D40" s="4" t="str">
        <f>IF(ISNUMBER(SEARCH("@",Sales_Data!T40)),LOWER(Sales_Data!T40),"Invalid_Email")</f>
        <v>kavya.nair@company.com</v>
      </c>
      <c r="E40" s="13">
        <f ca="1">DATEDIF(Sales_Data!H40,TODAY(),"Y")</f>
        <v>47</v>
      </c>
      <c r="F40" s="13">
        <f>IFERROR(DATEDIF(Sales_Data!D40,Sales_Data!E40,"D"),"Information_Not_Given")</f>
        <v>6</v>
      </c>
      <c r="G40" s="13" t="str" cm="1">
        <f t="array" ref="G40">_xlfn.IFS(F40&lt;=5,"One_Time",F40&gt;5,"Delayed",F40="Information_Not_given","Pending")</f>
        <v>Delayed</v>
      </c>
    </row>
    <row r="41" spans="1:7" x14ac:dyDescent="0.3">
      <c r="A41" s="12" t="str">
        <f>IF(AND(Sales_Data!P41&gt;=100000,Sales_Data!Q41&gt;=4,Sales_Data!V41="Completed",Sales_Data!O41&lt;=10),"Platinum",IF(AND(Sales_Data!P41&gt;=50000,Sales_Data!Q41&gt;=3,Sales_Data!V41="Completed"),"Gold",IF(AND(Sales_Data!P41&lt;50000,Sales_Data!V41="Completed"),"Silver",IF(OR(Sales_Data!Q41&lt;=2,Sales_Data!V41="Canceled"),"Blacklisted","Others"))))</f>
        <v>Blacklisted</v>
      </c>
      <c r="B41" s="4" t="str">
        <f>PROPER(TRIM(Sales_Data!F41))</f>
        <v>Pooja Shah</v>
      </c>
      <c r="C41" s="4" t="str">
        <f>LEFT(B41,3)&amp;RIGHT(Sales_Data!B41,3)&amp;LEFT(Sales_Data!I41,2)</f>
        <v>Poo010Mu</v>
      </c>
      <c r="D41" s="4" t="str">
        <f>IF(ISNUMBER(SEARCH("@",Sales_Data!T41)),LOWER(Sales_Data!T41),"Invalid_Email")</f>
        <v>pooja.shah@company.com</v>
      </c>
      <c r="E41" s="13">
        <f ca="1">DATEDIF(Sales_Data!H41,TODAY(),"Y")</f>
        <v>34</v>
      </c>
      <c r="F41" s="13">
        <f>IFERROR(DATEDIF(Sales_Data!D41,Sales_Data!E41,"D"),"Information_Not_Given")</f>
        <v>10</v>
      </c>
      <c r="G41" s="13" t="str" cm="1">
        <f t="array" ref="G41">_xlfn.IFS(F41&lt;=5,"One_Time",F41&gt;5,"Delayed",F41="Information_Not_given","Pending")</f>
        <v>Delayed</v>
      </c>
    </row>
    <row r="42" spans="1:7" x14ac:dyDescent="0.3">
      <c r="A42" s="12" t="str">
        <f>IF(AND(Sales_Data!P42&gt;=100000,Sales_Data!Q42&gt;=4,Sales_Data!V42="Completed",Sales_Data!O42&lt;=10),"Platinum",IF(AND(Sales_Data!P42&gt;=50000,Sales_Data!Q42&gt;=3,Sales_Data!V42="Completed"),"Gold",IF(AND(Sales_Data!P42&lt;50000,Sales_Data!V42="Completed"),"Silver",IF(OR(Sales_Data!Q42&lt;=2,Sales_Data!V42="Canceled"),"Blacklisted","Others"))))</f>
        <v>Others</v>
      </c>
      <c r="B42" s="4" t="str">
        <f>PROPER(TRIM(Sales_Data!F42))</f>
        <v>Arjun Rao</v>
      </c>
      <c r="C42" s="4" t="str">
        <f>LEFT(B42,3)&amp;RIGHT(Sales_Data!B42,3)&amp;LEFT(Sales_Data!I42,2)</f>
        <v>Arj007Be</v>
      </c>
      <c r="D42" s="4" t="str">
        <f>IF(ISNUMBER(SEARCH("@",Sales_Data!T42)),LOWER(Sales_Data!T42),"Invalid_Email")</f>
        <v>arjun.rao@company.com</v>
      </c>
      <c r="E42" s="13">
        <f ca="1">DATEDIF(Sales_Data!H42,TODAY(),"Y")</f>
        <v>32</v>
      </c>
      <c r="F42" s="13">
        <f>IFERROR(DATEDIF(Sales_Data!D42,Sales_Data!E42,"D"),"Information_Not_Given")</f>
        <v>2</v>
      </c>
      <c r="G42" s="13" t="str" cm="1">
        <f t="array" ref="G42">_xlfn.IFS(F42&lt;=5,"One_Time",F42&gt;5,"Delayed",F42="Information_Not_given","Pending")</f>
        <v>One_Time</v>
      </c>
    </row>
    <row r="43" spans="1:7" x14ac:dyDescent="0.3">
      <c r="A43" s="12" t="str">
        <f>IF(AND(Sales_Data!P43&gt;=100000,Sales_Data!Q43&gt;=4,Sales_Data!V43="Completed",Sales_Data!O43&lt;=10),"Platinum",IF(AND(Sales_Data!P43&gt;=50000,Sales_Data!Q43&gt;=3,Sales_Data!V43="Completed"),"Gold",IF(AND(Sales_Data!P43&lt;50000,Sales_Data!V43="Completed"),"Silver",IF(OR(Sales_Data!Q43&lt;=2,Sales_Data!V43="Canceled"),"Blacklisted","Others"))))</f>
        <v>Blacklisted</v>
      </c>
      <c r="B43" s="4" t="str">
        <f>PROPER(TRIM(Sales_Data!F43))</f>
        <v>Pooja Shah</v>
      </c>
      <c r="C43" s="4" t="str">
        <f>LEFT(B43,3)&amp;RIGHT(Sales_Data!B43,3)&amp;LEFT(Sales_Data!I43,2)</f>
        <v>Poo010Pu</v>
      </c>
      <c r="D43" s="4" t="str">
        <f>IF(ISNUMBER(SEARCH("@",Sales_Data!T43)),LOWER(Sales_Data!T43),"Invalid_Email")</f>
        <v>pooja.shah@company.com</v>
      </c>
      <c r="E43" s="13">
        <f ca="1">DATEDIF(Sales_Data!H43,TODAY(),"Y")</f>
        <v>38</v>
      </c>
      <c r="F43" s="13">
        <f>IFERROR(DATEDIF(Sales_Data!D43,Sales_Data!E43,"D"),"Information_Not_Given")</f>
        <v>12</v>
      </c>
      <c r="G43" s="13" t="str" cm="1">
        <f t="array" ref="G43">_xlfn.IFS(F43&lt;=5,"One_Time",F43&gt;5,"Delayed",F43="Information_Not_given","Pending")</f>
        <v>Delayed</v>
      </c>
    </row>
    <row r="44" spans="1:7" x14ac:dyDescent="0.3">
      <c r="A44" s="12" t="str">
        <f>IF(AND(Sales_Data!P44&gt;=100000,Sales_Data!Q44&gt;=4,Sales_Data!V44="Completed",Sales_Data!O44&lt;=10),"Platinum",IF(AND(Sales_Data!P44&gt;=50000,Sales_Data!Q44&gt;=3,Sales_Data!V44="Completed"),"Gold",IF(AND(Sales_Data!P44&lt;50000,Sales_Data!V44="Completed"),"Silver",IF(OR(Sales_Data!Q44&lt;=2,Sales_Data!V44="Canceled"),"Blacklisted","Others"))))</f>
        <v>Blacklisted</v>
      </c>
      <c r="B44" s="4" t="str">
        <f>PROPER(TRIM(Sales_Data!F44))</f>
        <v>Mohit Verma</v>
      </c>
      <c r="C44" s="4" t="str">
        <f>LEFT(B44,3)&amp;RIGHT(Sales_Data!B44,3)&amp;LEFT(Sales_Data!I44,2)</f>
        <v>Moh009Ja</v>
      </c>
      <c r="D44" s="4" t="str">
        <f>IF(ISNUMBER(SEARCH("@",Sales_Data!T44)),LOWER(Sales_Data!T44),"Invalid_Email")</f>
        <v>mohit.verma@company.com</v>
      </c>
      <c r="E44" s="13">
        <f ca="1">DATEDIF(Sales_Data!H44,TODAY(),"Y")</f>
        <v>25</v>
      </c>
      <c r="F44" s="13">
        <f>IFERROR(DATEDIF(Sales_Data!D44,Sales_Data!E44,"D"),"Information_Not_Given")</f>
        <v>6</v>
      </c>
      <c r="G44" s="13" t="str" cm="1">
        <f t="array" ref="G44">_xlfn.IFS(F44&lt;=5,"One_Time",F44&gt;5,"Delayed",F44="Information_Not_given","Pending")</f>
        <v>Delayed</v>
      </c>
    </row>
    <row r="45" spans="1:7" x14ac:dyDescent="0.3">
      <c r="A45" s="12" t="str">
        <f>IF(AND(Sales_Data!P45&gt;=100000,Sales_Data!Q45&gt;=4,Sales_Data!V45="Completed",Sales_Data!O45&lt;=10),"Platinum",IF(AND(Sales_Data!P45&gt;=50000,Sales_Data!Q45&gt;=3,Sales_Data!V45="Completed"),"Gold",IF(AND(Sales_Data!P45&lt;50000,Sales_Data!V45="Completed"),"Silver",IF(OR(Sales_Data!Q45&lt;=2,Sales_Data!V45="Canceled"),"Blacklisted","Others"))))</f>
        <v>Silver</v>
      </c>
      <c r="B45" s="4" t="str">
        <f>PROPER(TRIM(Sales_Data!F45))</f>
        <v>Amit Sharma</v>
      </c>
      <c r="C45" s="4" t="str">
        <f>LEFT(B45,3)&amp;RIGHT(Sales_Data!B45,3)&amp;LEFT(Sales_Data!I45,2)</f>
        <v>Ami001Pu</v>
      </c>
      <c r="D45" s="4" t="str">
        <f>IF(ISNUMBER(SEARCH("@",Sales_Data!T45)),LOWER(Sales_Data!T45),"Invalid_Email")</f>
        <v>amit.sharma@company.com</v>
      </c>
      <c r="E45" s="13">
        <f ca="1">DATEDIF(Sales_Data!H45,TODAY(),"Y")</f>
        <v>35</v>
      </c>
      <c r="F45" s="13">
        <f>IFERROR(DATEDIF(Sales_Data!D45,Sales_Data!E45,"D"),"Information_Not_Given")</f>
        <v>1</v>
      </c>
      <c r="G45" s="13" t="str" cm="1">
        <f t="array" ref="G45">_xlfn.IFS(F45&lt;=5,"One_Time",F45&gt;5,"Delayed",F45="Information_Not_given","Pending")</f>
        <v>One_Time</v>
      </c>
    </row>
    <row r="46" spans="1:7" x14ac:dyDescent="0.3">
      <c r="A46" s="12" t="str">
        <f>IF(AND(Sales_Data!P46&gt;=100000,Sales_Data!Q46&gt;=4,Sales_Data!V46="Completed",Sales_Data!O46&lt;=10),"Platinum",IF(AND(Sales_Data!P46&gt;=50000,Sales_Data!Q46&gt;=3,Sales_Data!V46="Completed"),"Gold",IF(AND(Sales_Data!P46&lt;50000,Sales_Data!V46="Completed"),"Silver",IF(OR(Sales_Data!Q46&lt;=2,Sales_Data!V46="Canceled"),"Blacklisted","Others"))))</f>
        <v>Others</v>
      </c>
      <c r="B46" s="4" t="str">
        <f>PROPER(TRIM(Sales_Data!F46))</f>
        <v>Sneha Joshi</v>
      </c>
      <c r="C46" s="4" t="str">
        <f>LEFT(B46,3)&amp;RIGHT(Sales_Data!B46,3)&amp;LEFT(Sales_Data!I46,2)</f>
        <v>Sne006Pu</v>
      </c>
      <c r="D46" s="4" t="str">
        <f>IF(ISNUMBER(SEARCH("@",Sales_Data!T46)),LOWER(Sales_Data!T46),"Invalid_Email")</f>
        <v>sneha.joshi@company.com</v>
      </c>
      <c r="E46" s="13">
        <f ca="1">DATEDIF(Sales_Data!H46,TODAY(),"Y")</f>
        <v>37</v>
      </c>
      <c r="F46" s="13">
        <f>IFERROR(DATEDIF(Sales_Data!D46,Sales_Data!E46,"D"),"Information_Not_Given")</f>
        <v>3</v>
      </c>
      <c r="G46" s="13" t="str" cm="1">
        <f t="array" ref="G46">_xlfn.IFS(F46&lt;=5,"One_Time",F46&gt;5,"Delayed",F46="Information_Not_given","Pending")</f>
        <v>One_Time</v>
      </c>
    </row>
    <row r="47" spans="1:7" x14ac:dyDescent="0.3">
      <c r="A47" s="12" t="str">
        <f>IF(AND(Sales_Data!P47&gt;=100000,Sales_Data!Q47&gt;=4,Sales_Data!V47="Completed",Sales_Data!O47&lt;=10),"Platinum",IF(AND(Sales_Data!P47&gt;=50000,Sales_Data!Q47&gt;=3,Sales_Data!V47="Completed"),"Gold",IF(AND(Sales_Data!P47&lt;50000,Sales_Data!V47="Completed"),"Silver",IF(OR(Sales_Data!Q47&lt;=2,Sales_Data!V47="Canceled"),"Blacklisted","Others"))))</f>
        <v>Others</v>
      </c>
      <c r="B47" s="4" t="str">
        <f>PROPER(TRIM(Sales_Data!F47))</f>
        <v>Mohit Verma</v>
      </c>
      <c r="C47" s="4" t="str">
        <f>LEFT(B47,3)&amp;RIGHT(Sales_Data!B47,3)&amp;LEFT(Sales_Data!I47,2)</f>
        <v>Moh009Be</v>
      </c>
      <c r="D47" s="4" t="str">
        <f>IF(ISNUMBER(SEARCH("@",Sales_Data!T47)),LOWER(Sales_Data!T47),"Invalid_Email")</f>
        <v>mohit.verma@company.com</v>
      </c>
      <c r="E47" s="13">
        <f ca="1">DATEDIF(Sales_Data!H47,TODAY(),"Y")</f>
        <v>23</v>
      </c>
      <c r="F47" s="13">
        <f>IFERROR(DATEDIF(Sales_Data!D47,Sales_Data!E47,"D"),"Information_Not_Given")</f>
        <v>10</v>
      </c>
      <c r="G47" s="13" t="str" cm="1">
        <f t="array" ref="G47">_xlfn.IFS(F47&lt;=5,"One_Time",F47&gt;5,"Delayed",F47="Information_Not_given","Pending")</f>
        <v>Delayed</v>
      </c>
    </row>
    <row r="48" spans="1:7" x14ac:dyDescent="0.3">
      <c r="A48" s="12" t="str">
        <f>IF(AND(Sales_Data!P48&gt;=100000,Sales_Data!Q48&gt;=4,Sales_Data!V48="Completed",Sales_Data!O48&lt;=10),"Platinum",IF(AND(Sales_Data!P48&gt;=50000,Sales_Data!Q48&gt;=3,Sales_Data!V48="Completed"),"Gold",IF(AND(Sales_Data!P48&lt;50000,Sales_Data!V48="Completed"),"Silver",IF(OR(Sales_Data!Q48&lt;=2,Sales_Data!V48="Canceled"),"Blacklisted","Others"))))</f>
        <v>Silver</v>
      </c>
      <c r="B48" s="4" t="str">
        <f>PROPER(TRIM(Sales_Data!F48))</f>
        <v>Sneha Joshi</v>
      </c>
      <c r="C48" s="4" t="str">
        <f>LEFT(B48,3)&amp;RIGHT(Sales_Data!B48,3)&amp;LEFT(Sales_Data!I48,2)</f>
        <v>Sne006Pu</v>
      </c>
      <c r="D48" s="4" t="str">
        <f>IF(ISNUMBER(SEARCH("@",Sales_Data!T48)),LOWER(Sales_Data!T48),"Invalid_Email")</f>
        <v>Invalid_Email</v>
      </c>
      <c r="E48" s="13">
        <f ca="1">DATEDIF(Sales_Data!H48,TODAY(),"Y")</f>
        <v>26</v>
      </c>
      <c r="F48" s="13">
        <f>IFERROR(DATEDIF(Sales_Data!D48,Sales_Data!E48,"D"),"Information_Not_Given")</f>
        <v>3</v>
      </c>
      <c r="G48" s="13" t="str" cm="1">
        <f t="array" ref="G48">_xlfn.IFS(F48&lt;=5,"One_Time",F48&gt;5,"Delayed",F48="Information_Not_given","Pending")</f>
        <v>One_Time</v>
      </c>
    </row>
    <row r="49" spans="1:7" x14ac:dyDescent="0.3">
      <c r="A49" s="12" t="str">
        <f>IF(AND(Sales_Data!P49&gt;=100000,Sales_Data!Q49&gt;=4,Sales_Data!V49="Completed",Sales_Data!O49&lt;=10),"Platinum",IF(AND(Sales_Data!P49&gt;=50000,Sales_Data!Q49&gt;=3,Sales_Data!V49="Completed"),"Gold",IF(AND(Sales_Data!P49&lt;50000,Sales_Data!V49="Completed"),"Silver",IF(OR(Sales_Data!Q49&lt;=2,Sales_Data!V49="Canceled"),"Blacklisted","Others"))))</f>
        <v>Silver</v>
      </c>
      <c r="B49" s="4" t="str">
        <f>PROPER(TRIM(Sales_Data!F49))</f>
        <v>Sneha Joshi</v>
      </c>
      <c r="C49" s="4" t="str">
        <f>LEFT(B49,3)&amp;RIGHT(Sales_Data!B49,3)&amp;LEFT(Sales_Data!I49,2)</f>
        <v>Sne006Ja</v>
      </c>
      <c r="D49" s="4" t="str">
        <f>IF(ISNUMBER(SEARCH("@",Sales_Data!T49)),LOWER(Sales_Data!T49),"Invalid_Email")</f>
        <v>sneha.joshi@company.com</v>
      </c>
      <c r="E49" s="13">
        <f ca="1">DATEDIF(Sales_Data!H49,TODAY(),"Y")</f>
        <v>27</v>
      </c>
      <c r="F49" s="13">
        <f>IFERROR(DATEDIF(Sales_Data!D49,Sales_Data!E49,"D"),"Information_Not_Given")</f>
        <v>6</v>
      </c>
      <c r="G49" s="13" t="str" cm="1">
        <f t="array" ref="G49">_xlfn.IFS(F49&lt;=5,"One_Time",F49&gt;5,"Delayed",F49="Information_Not_given","Pending")</f>
        <v>Delayed</v>
      </c>
    </row>
    <row r="50" spans="1:7" x14ac:dyDescent="0.3">
      <c r="A50" s="12" t="str">
        <f>IF(AND(Sales_Data!P50&gt;=100000,Sales_Data!Q50&gt;=4,Sales_Data!V50="Completed",Sales_Data!O50&lt;=10),"Platinum",IF(AND(Sales_Data!P50&gt;=50000,Sales_Data!Q50&gt;=3,Sales_Data!V50="Completed"),"Gold",IF(AND(Sales_Data!P50&lt;50000,Sales_Data!V50="Completed"),"Silver",IF(OR(Sales_Data!Q50&lt;=2,Sales_Data!V50="Canceled"),"Blacklisted","Others"))))</f>
        <v>Blacklisted</v>
      </c>
      <c r="B50" s="4" t="str">
        <f>PROPER(TRIM(Sales_Data!F50))</f>
        <v>Mohit Verma</v>
      </c>
      <c r="C50" s="4" t="str">
        <f>LEFT(B50,3)&amp;RIGHT(Sales_Data!B50,3)&amp;LEFT(Sales_Data!I50,2)</f>
        <v>Moh009De</v>
      </c>
      <c r="D50" s="4" t="str">
        <f>IF(ISNUMBER(SEARCH("@",Sales_Data!T50)),LOWER(Sales_Data!T50),"Invalid_Email")</f>
        <v>mohit.verma@company.com</v>
      </c>
      <c r="E50" s="13">
        <f ca="1">DATEDIF(Sales_Data!H50,TODAY(),"Y")</f>
        <v>30</v>
      </c>
      <c r="F50" s="13" t="str">
        <f>IFERROR(DATEDIF(Sales_Data!D50,Sales_Data!E50,"D"),"Information_Not_Given")</f>
        <v>Information_Not_Given</v>
      </c>
      <c r="G50" s="13" t="str" cm="1">
        <f t="array" ref="G50">_xlfn.IFS(F50&lt;=5,"One_Time",F50&gt;5,"Delayed",F50="Information_Not_given","Pending")</f>
        <v>Delayed</v>
      </c>
    </row>
    <row r="51" spans="1:7" x14ac:dyDescent="0.3">
      <c r="A51" s="12" t="str">
        <f>IF(AND(Sales_Data!P51&gt;=100000,Sales_Data!Q51&gt;=4,Sales_Data!V51="Completed",Sales_Data!O51&lt;=10),"Platinum",IF(AND(Sales_Data!P51&gt;=50000,Sales_Data!Q51&gt;=3,Sales_Data!V51="Completed"),"Gold",IF(AND(Sales_Data!P51&lt;50000,Sales_Data!V51="Completed"),"Silver",IF(OR(Sales_Data!Q51&lt;=2,Sales_Data!V51="Canceled"),"Blacklisted","Others"))))</f>
        <v>Blacklisted</v>
      </c>
      <c r="B51" s="4" t="str">
        <f>PROPER(TRIM(Sales_Data!F51))</f>
        <v>Anita Gupta</v>
      </c>
      <c r="C51" s="4" t="str">
        <f>LEFT(B51,3)&amp;RIGHT(Sales_Data!B51,3)&amp;LEFT(Sales_Data!I51,2)</f>
        <v>Ani004Pu</v>
      </c>
      <c r="D51" s="4" t="str">
        <f>IF(ISNUMBER(SEARCH("@",Sales_Data!T51)),LOWER(Sales_Data!T51),"Invalid_Email")</f>
        <v>anita.gupta@company.com</v>
      </c>
      <c r="E51" s="13">
        <f ca="1">DATEDIF(Sales_Data!H51,TODAY(),"Y")</f>
        <v>39</v>
      </c>
      <c r="F51" s="13">
        <f>IFERROR(DATEDIF(Sales_Data!D51,Sales_Data!E51,"D"),"Information_Not_Given")</f>
        <v>2</v>
      </c>
      <c r="G51" s="13" t="str" cm="1">
        <f t="array" ref="G51">_xlfn.IFS(F51&lt;=5,"One_Time",F51&gt;5,"Delayed",F51="Information_Not_given","Pending")</f>
        <v>One_Time</v>
      </c>
    </row>
    <row r="52" spans="1:7" x14ac:dyDescent="0.3">
      <c r="A52" s="12" t="str">
        <f>IF(AND(Sales_Data!P52&gt;=100000,Sales_Data!Q52&gt;=4,Sales_Data!V52="Completed",Sales_Data!O52&lt;=10),"Platinum",IF(AND(Sales_Data!P52&gt;=50000,Sales_Data!Q52&gt;=3,Sales_Data!V52="Completed"),"Gold",IF(AND(Sales_Data!P52&lt;50000,Sales_Data!V52="Completed"),"Silver",IF(OR(Sales_Data!Q52&lt;=2,Sales_Data!V52="Canceled"),"Blacklisted","Others"))))</f>
        <v>Silver</v>
      </c>
      <c r="B52" s="4" t="str">
        <f>PROPER(TRIM(Sales_Data!F52))</f>
        <v>Pooja Shah</v>
      </c>
      <c r="C52" s="4" t="str">
        <f>LEFT(B52,3)&amp;RIGHT(Sales_Data!B52,3)&amp;LEFT(Sales_Data!I52,2)</f>
        <v>Poo010Be</v>
      </c>
      <c r="D52" s="4" t="str">
        <f>IF(ISNUMBER(SEARCH("@",Sales_Data!T52)),LOWER(Sales_Data!T52),"Invalid_Email")</f>
        <v>pooja.shah@company.com</v>
      </c>
      <c r="E52" s="13">
        <f ca="1">DATEDIF(Sales_Data!H52,TODAY(),"Y")</f>
        <v>47</v>
      </c>
      <c r="F52" s="13">
        <f>IFERROR(DATEDIF(Sales_Data!D52,Sales_Data!E52,"D"),"Information_Not_Given")</f>
        <v>10</v>
      </c>
      <c r="G52" s="13" t="str" cm="1">
        <f t="array" ref="G52">_xlfn.IFS(F52&lt;=5,"One_Time",F52&gt;5,"Delayed",F52="Information_Not_given","Pending")</f>
        <v>Delayed</v>
      </c>
    </row>
    <row r="53" spans="1:7" x14ac:dyDescent="0.3">
      <c r="A53" s="12" t="str">
        <f>IF(AND(Sales_Data!P53&gt;=100000,Sales_Data!Q53&gt;=4,Sales_Data!V53="Completed",Sales_Data!O53&lt;=10),"Platinum",IF(AND(Sales_Data!P53&gt;=50000,Sales_Data!Q53&gt;=3,Sales_Data!V53="Completed"),"Gold",IF(AND(Sales_Data!P53&lt;50000,Sales_Data!V53="Completed"),"Silver",IF(OR(Sales_Data!Q53&lt;=2,Sales_Data!V53="Canceled"),"Blacklisted","Others"))))</f>
        <v>Others</v>
      </c>
      <c r="B53" s="4" t="str">
        <f>PROPER(TRIM(Sales_Data!F53))</f>
        <v>Priya Patel</v>
      </c>
      <c r="C53" s="4" t="str">
        <f>LEFT(B53,3)&amp;RIGHT(Sales_Data!B53,3)&amp;LEFT(Sales_Data!I53,2)</f>
        <v>Pri002Ja</v>
      </c>
      <c r="D53" s="4" t="str">
        <f>IF(ISNUMBER(SEARCH("@",Sales_Data!T53)),LOWER(Sales_Data!T53),"Invalid_Email")</f>
        <v>priya.patel@company.com</v>
      </c>
      <c r="E53" s="13">
        <f ca="1">DATEDIF(Sales_Data!H53,TODAY(),"Y")</f>
        <v>26</v>
      </c>
      <c r="F53" s="13">
        <f>IFERROR(DATEDIF(Sales_Data!D53,Sales_Data!E53,"D"),"Information_Not_Given")</f>
        <v>3</v>
      </c>
      <c r="G53" s="13" t="str" cm="1">
        <f t="array" ref="G53">_xlfn.IFS(F53&lt;=5,"One_Time",F53&gt;5,"Delayed",F53="Information_Not_given","Pending")</f>
        <v>One_Time</v>
      </c>
    </row>
    <row r="54" spans="1:7" x14ac:dyDescent="0.3">
      <c r="A54" s="12" t="str">
        <f>IF(AND(Sales_Data!P54&gt;=100000,Sales_Data!Q54&gt;=4,Sales_Data!V54="Completed",Sales_Data!O54&lt;=10),"Platinum",IF(AND(Sales_Data!P54&gt;=50000,Sales_Data!Q54&gt;=3,Sales_Data!V54="Completed"),"Gold",IF(AND(Sales_Data!P54&lt;50000,Sales_Data!V54="Completed"),"Silver",IF(OR(Sales_Data!Q54&lt;=2,Sales_Data!V54="Canceled"),"Blacklisted","Others"))))</f>
        <v>Blacklisted</v>
      </c>
      <c r="B54" s="4" t="str">
        <f>PROPER(TRIM(Sales_Data!F54))</f>
        <v>Vikas Mehta</v>
      </c>
      <c r="C54" s="4" t="str">
        <f>LEFT(B54,3)&amp;RIGHT(Sales_Data!B54,3)&amp;LEFT(Sales_Data!I54,2)</f>
        <v>Vik005Ko</v>
      </c>
      <c r="D54" s="4" t="str">
        <f>IF(ISNUMBER(SEARCH("@",Sales_Data!T54)),LOWER(Sales_Data!T54),"Invalid_Email")</f>
        <v>vikas.mehta@company.com</v>
      </c>
      <c r="E54" s="13">
        <f ca="1">DATEDIF(Sales_Data!H54,TODAY(),"Y")</f>
        <v>50</v>
      </c>
      <c r="F54" s="13">
        <f>IFERROR(DATEDIF(Sales_Data!D54,Sales_Data!E54,"D"),"Information_Not_Given")</f>
        <v>4</v>
      </c>
      <c r="G54" s="13" t="str" cm="1">
        <f t="array" ref="G54">_xlfn.IFS(F54&lt;=5,"One_Time",F54&gt;5,"Delayed",F54="Information_Not_given","Pending")</f>
        <v>One_Time</v>
      </c>
    </row>
    <row r="55" spans="1:7" x14ac:dyDescent="0.3">
      <c r="A55" s="12" t="str">
        <f>IF(AND(Sales_Data!P55&gt;=100000,Sales_Data!Q55&gt;=4,Sales_Data!V55="Completed",Sales_Data!O55&lt;=10),"Platinum",IF(AND(Sales_Data!P55&gt;=50000,Sales_Data!Q55&gt;=3,Sales_Data!V55="Completed"),"Gold",IF(AND(Sales_Data!P55&lt;50000,Sales_Data!V55="Completed"),"Silver",IF(OR(Sales_Data!Q55&lt;=2,Sales_Data!V55="Canceled"),"Blacklisted","Others"))))</f>
        <v>Others</v>
      </c>
      <c r="B55" s="4" t="str">
        <f>PROPER(TRIM(Sales_Data!F55))</f>
        <v>Kavya Nair</v>
      </c>
      <c r="C55" s="4" t="str">
        <f>LEFT(B55,3)&amp;RIGHT(Sales_Data!B55,3)&amp;LEFT(Sales_Data!I55,2)</f>
        <v>Kav008Ja</v>
      </c>
      <c r="D55" s="4" t="str">
        <f>IF(ISNUMBER(SEARCH("@",Sales_Data!T55)),LOWER(Sales_Data!T55),"Invalid_Email")</f>
        <v>kavya.nair@company.com</v>
      </c>
      <c r="E55" s="13">
        <f ca="1">DATEDIF(Sales_Data!H55,TODAY(),"Y")</f>
        <v>51</v>
      </c>
      <c r="F55" s="13">
        <f>IFERROR(DATEDIF(Sales_Data!D55,Sales_Data!E55,"D"),"Information_Not_Given")</f>
        <v>9</v>
      </c>
      <c r="G55" s="13" t="str" cm="1">
        <f t="array" ref="G55">_xlfn.IFS(F55&lt;=5,"One_Time",F55&gt;5,"Delayed",F55="Information_Not_given","Pending")</f>
        <v>Delayed</v>
      </c>
    </row>
    <row r="56" spans="1:7" x14ac:dyDescent="0.3">
      <c r="A56" s="12" t="str">
        <f>IF(AND(Sales_Data!P56&gt;=100000,Sales_Data!Q56&gt;=4,Sales_Data!V56="Completed",Sales_Data!O56&lt;=10),"Platinum",IF(AND(Sales_Data!P56&gt;=50000,Sales_Data!Q56&gt;=3,Sales_Data!V56="Completed"),"Gold",IF(AND(Sales_Data!P56&lt;50000,Sales_Data!V56="Completed"),"Silver",IF(OR(Sales_Data!Q56&lt;=2,Sales_Data!V56="Canceled"),"Blacklisted","Others"))))</f>
        <v>Others</v>
      </c>
      <c r="B56" s="4" t="str">
        <f>PROPER(TRIM(Sales_Data!F56))</f>
        <v>Rohit Singh</v>
      </c>
      <c r="C56" s="4" t="str">
        <f>LEFT(B56,3)&amp;RIGHT(Sales_Data!B56,3)&amp;LEFT(Sales_Data!I56,2)</f>
        <v>Roh003Ah</v>
      </c>
      <c r="D56" s="4" t="str">
        <f>IF(ISNUMBER(SEARCH("@",Sales_Data!T56)),LOWER(Sales_Data!T56),"Invalid_Email")</f>
        <v>rohit.singh@company.com</v>
      </c>
      <c r="E56" s="13">
        <f ca="1">DATEDIF(Sales_Data!H56,TODAY(),"Y")</f>
        <v>49</v>
      </c>
      <c r="F56" s="13">
        <f>IFERROR(DATEDIF(Sales_Data!D56,Sales_Data!E56,"D"),"Information_Not_Given")</f>
        <v>5</v>
      </c>
      <c r="G56" s="13" t="str" cm="1">
        <f t="array" ref="G56">_xlfn.IFS(F56&lt;=5,"One_Time",F56&gt;5,"Delayed",F56="Information_Not_given","Pending")</f>
        <v>One_Time</v>
      </c>
    </row>
    <row r="57" spans="1:7" x14ac:dyDescent="0.3">
      <c r="A57" s="12" t="str">
        <f>IF(AND(Sales_Data!P57&gt;=100000,Sales_Data!Q57&gt;=4,Sales_Data!V57="Completed",Sales_Data!O57&lt;=10),"Platinum",IF(AND(Sales_Data!P57&gt;=50000,Sales_Data!Q57&gt;=3,Sales_Data!V57="Completed"),"Gold",IF(AND(Sales_Data!P57&lt;50000,Sales_Data!V57="Completed"),"Silver",IF(OR(Sales_Data!Q57&lt;=2,Sales_Data!V57="Canceled"),"Blacklisted","Others"))))</f>
        <v>Blacklisted</v>
      </c>
      <c r="B57" s="4" t="str">
        <f>PROPER(TRIM(Sales_Data!F57))</f>
        <v>Amit Sharma</v>
      </c>
      <c r="C57" s="4" t="str">
        <f>LEFT(B57,3)&amp;RIGHT(Sales_Data!B57,3)&amp;LEFT(Sales_Data!I57,2)</f>
        <v>Ami001Ja</v>
      </c>
      <c r="D57" s="4" t="str">
        <f>IF(ISNUMBER(SEARCH("@",Sales_Data!T57)),LOWER(Sales_Data!T57),"Invalid_Email")</f>
        <v>amit.sharma@company.com</v>
      </c>
      <c r="E57" s="13">
        <f ca="1">DATEDIF(Sales_Data!H57,TODAY(),"Y")</f>
        <v>46</v>
      </c>
      <c r="F57" s="13">
        <f>IFERROR(DATEDIF(Sales_Data!D57,Sales_Data!E57,"D"),"Information_Not_Given")</f>
        <v>1</v>
      </c>
      <c r="G57" s="13" t="str" cm="1">
        <f t="array" ref="G57">_xlfn.IFS(F57&lt;=5,"One_Time",F57&gt;5,"Delayed",F57="Information_Not_given","Pending")</f>
        <v>One_Time</v>
      </c>
    </row>
    <row r="58" spans="1:7" x14ac:dyDescent="0.3">
      <c r="A58" s="12" t="str">
        <f>IF(AND(Sales_Data!P58&gt;=100000,Sales_Data!Q58&gt;=4,Sales_Data!V58="Completed",Sales_Data!O58&lt;=10),"Platinum",IF(AND(Sales_Data!P58&gt;=50000,Sales_Data!Q58&gt;=3,Sales_Data!V58="Completed"),"Gold",IF(AND(Sales_Data!P58&lt;50000,Sales_Data!V58="Completed"),"Silver",IF(OR(Sales_Data!Q58&lt;=2,Sales_Data!V58="Canceled"),"Blacklisted","Others"))))</f>
        <v>Others</v>
      </c>
      <c r="B58" s="4" t="str">
        <f>PROPER(TRIM(Sales_Data!F58))</f>
        <v>Amit Sharma</v>
      </c>
      <c r="C58" s="4" t="str">
        <f>LEFT(B58,3)&amp;RIGHT(Sales_Data!B58,3)&amp;LEFT(Sales_Data!I58,2)</f>
        <v>Ami001Be</v>
      </c>
      <c r="D58" s="4" t="str">
        <f>IF(ISNUMBER(SEARCH("@",Sales_Data!T58)),LOWER(Sales_Data!T58),"Invalid_Email")</f>
        <v>Invalid_Email</v>
      </c>
      <c r="E58" s="13">
        <f ca="1">DATEDIF(Sales_Data!H58,TODAY(),"Y")</f>
        <v>47</v>
      </c>
      <c r="F58" s="13">
        <f>IFERROR(DATEDIF(Sales_Data!D58,Sales_Data!E58,"D"),"Information_Not_Given")</f>
        <v>6</v>
      </c>
      <c r="G58" s="13" t="str" cm="1">
        <f t="array" ref="G58">_xlfn.IFS(F58&lt;=5,"One_Time",F58&gt;5,"Delayed",F58="Information_Not_given","Pending")</f>
        <v>Delayed</v>
      </c>
    </row>
    <row r="59" spans="1:7" x14ac:dyDescent="0.3">
      <c r="A59" s="12" t="str">
        <f>IF(AND(Sales_Data!P59&gt;=100000,Sales_Data!Q59&gt;=4,Sales_Data!V59="Completed",Sales_Data!O59&lt;=10),"Platinum",IF(AND(Sales_Data!P59&gt;=50000,Sales_Data!Q59&gt;=3,Sales_Data!V59="Completed"),"Gold",IF(AND(Sales_Data!P59&lt;50000,Sales_Data!V59="Completed"),"Silver",IF(OR(Sales_Data!Q59&lt;=2,Sales_Data!V59="Canceled"),"Blacklisted","Others"))))</f>
        <v>Blacklisted</v>
      </c>
      <c r="B59" s="4" t="str">
        <f>PROPER(TRIM(Sales_Data!F59))</f>
        <v>Rohit Singh</v>
      </c>
      <c r="C59" s="4" t="str">
        <f>LEFT(B59,3)&amp;RIGHT(Sales_Data!B59,3)&amp;LEFT(Sales_Data!I59,2)</f>
        <v>Roh003De</v>
      </c>
      <c r="D59" s="4" t="str">
        <f>IF(ISNUMBER(SEARCH("@",Sales_Data!T59)),LOWER(Sales_Data!T59),"Invalid_Email")</f>
        <v>rohit.singh@company.com</v>
      </c>
      <c r="E59" s="13">
        <f ca="1">DATEDIF(Sales_Data!H59,TODAY(),"Y")</f>
        <v>51</v>
      </c>
      <c r="F59" s="13">
        <f>IFERROR(DATEDIF(Sales_Data!D59,Sales_Data!E59,"D"),"Information_Not_Given")</f>
        <v>6</v>
      </c>
      <c r="G59" s="13" t="str" cm="1">
        <f t="array" ref="G59">_xlfn.IFS(F59&lt;=5,"One_Time",F59&gt;5,"Delayed",F59="Information_Not_given","Pending")</f>
        <v>Delayed</v>
      </c>
    </row>
    <row r="60" spans="1:7" x14ac:dyDescent="0.3">
      <c r="A60" s="12" t="str">
        <f>IF(AND(Sales_Data!P60&gt;=100000,Sales_Data!Q60&gt;=4,Sales_Data!V60="Completed",Sales_Data!O60&lt;=10),"Platinum",IF(AND(Sales_Data!P60&gt;=50000,Sales_Data!Q60&gt;=3,Sales_Data!V60="Completed"),"Gold",IF(AND(Sales_Data!P60&lt;50000,Sales_Data!V60="Completed"),"Silver",IF(OR(Sales_Data!Q60&lt;=2,Sales_Data!V60="Canceled"),"Blacklisted","Others"))))</f>
        <v>Silver</v>
      </c>
      <c r="B60" s="4" t="str">
        <f>PROPER(TRIM(Sales_Data!F60))</f>
        <v>Arjun Rao</v>
      </c>
      <c r="C60" s="4" t="str">
        <f>LEFT(B60,3)&amp;RIGHT(Sales_Data!B60,3)&amp;LEFT(Sales_Data!I60,2)</f>
        <v>Arj007Ja</v>
      </c>
      <c r="D60" s="4" t="str">
        <f>IF(ISNUMBER(SEARCH("@",Sales_Data!T60)),LOWER(Sales_Data!T60),"Invalid_Email")</f>
        <v>arjun.rao@company.com</v>
      </c>
      <c r="E60" s="13">
        <f ca="1">DATEDIF(Sales_Data!H60,TODAY(),"Y")</f>
        <v>37</v>
      </c>
      <c r="F60" s="13">
        <f>IFERROR(DATEDIF(Sales_Data!D60,Sales_Data!E60,"D"),"Information_Not_Given")</f>
        <v>11</v>
      </c>
      <c r="G60" s="13" t="str" cm="1">
        <f t="array" ref="G60">_xlfn.IFS(F60&lt;=5,"One_Time",F60&gt;5,"Delayed",F60="Information_Not_given","Pending")</f>
        <v>Delayed</v>
      </c>
    </row>
    <row r="61" spans="1:7" x14ac:dyDescent="0.3">
      <c r="A61" s="12" t="str">
        <f>IF(AND(Sales_Data!P61&gt;=100000,Sales_Data!Q61&gt;=4,Sales_Data!V61="Completed",Sales_Data!O61&lt;=10),"Platinum",IF(AND(Sales_Data!P61&gt;=50000,Sales_Data!Q61&gt;=3,Sales_Data!V61="Completed"),"Gold",IF(AND(Sales_Data!P61&lt;50000,Sales_Data!V61="Completed"),"Silver",IF(OR(Sales_Data!Q61&lt;=2,Sales_Data!V61="Canceled"),"Blacklisted","Others"))))</f>
        <v>Blacklisted</v>
      </c>
      <c r="B61" s="4" t="str">
        <f>PROPER(TRIM(Sales_Data!F61))</f>
        <v>Vikas Mehta</v>
      </c>
      <c r="C61" s="4" t="str">
        <f>LEFT(B61,3)&amp;RIGHT(Sales_Data!B61,3)&amp;LEFT(Sales_Data!I61,2)</f>
        <v>Vik005Ja</v>
      </c>
      <c r="D61" s="4" t="str">
        <f>IF(ISNUMBER(SEARCH("@",Sales_Data!T61)),LOWER(Sales_Data!T61),"Invalid_Email")</f>
        <v>vikas.mehta@company.com</v>
      </c>
      <c r="E61" s="13">
        <f ca="1">DATEDIF(Sales_Data!H61,TODAY(),"Y")</f>
        <v>47</v>
      </c>
      <c r="F61" s="13">
        <f>IFERROR(DATEDIF(Sales_Data!D61,Sales_Data!E61,"D"),"Information_Not_Given")</f>
        <v>1</v>
      </c>
      <c r="G61" s="13" t="str" cm="1">
        <f t="array" ref="G61">_xlfn.IFS(F61&lt;=5,"One_Time",F61&gt;5,"Delayed",F61="Information_Not_given","Pending")</f>
        <v>One_Time</v>
      </c>
    </row>
    <row r="62" spans="1:7" x14ac:dyDescent="0.3">
      <c r="A62" s="12" t="str">
        <f>IF(AND(Sales_Data!P62&gt;=100000,Sales_Data!Q62&gt;=4,Sales_Data!V62="Completed",Sales_Data!O62&lt;=10),"Platinum",IF(AND(Sales_Data!P62&gt;=50000,Sales_Data!Q62&gt;=3,Sales_Data!V62="Completed"),"Gold",IF(AND(Sales_Data!P62&lt;50000,Sales_Data!V62="Completed"),"Silver",IF(OR(Sales_Data!Q62&lt;=2,Sales_Data!V62="Canceled"),"Blacklisted","Others"))))</f>
        <v>Silver</v>
      </c>
      <c r="B62" s="4" t="str">
        <f>PROPER(TRIM(Sales_Data!F62))</f>
        <v>Kavya Nair</v>
      </c>
      <c r="C62" s="4" t="str">
        <f>LEFT(B62,3)&amp;RIGHT(Sales_Data!B62,3)&amp;LEFT(Sales_Data!I62,2)</f>
        <v>Kav008De</v>
      </c>
      <c r="D62" s="4" t="str">
        <f>IF(ISNUMBER(SEARCH("@",Sales_Data!T62)),LOWER(Sales_Data!T62),"Invalid_Email")</f>
        <v>kavya.nair@company.com</v>
      </c>
      <c r="E62" s="13">
        <f ca="1">DATEDIF(Sales_Data!H62,TODAY(),"Y")</f>
        <v>22</v>
      </c>
      <c r="F62" s="13">
        <f>IFERROR(DATEDIF(Sales_Data!D62,Sales_Data!E62,"D"),"Information_Not_Given")</f>
        <v>10</v>
      </c>
      <c r="G62" s="13" t="str" cm="1">
        <f t="array" ref="G62">_xlfn.IFS(F62&lt;=5,"One_Time",F62&gt;5,"Delayed",F62="Information_Not_given","Pending")</f>
        <v>Delayed</v>
      </c>
    </row>
    <row r="63" spans="1:7" x14ac:dyDescent="0.3">
      <c r="A63" s="12" t="str">
        <f>IF(AND(Sales_Data!P63&gt;=100000,Sales_Data!Q63&gt;=4,Sales_Data!V63="Completed",Sales_Data!O63&lt;=10),"Platinum",IF(AND(Sales_Data!P63&gt;=50000,Sales_Data!Q63&gt;=3,Sales_Data!V63="Completed"),"Gold",IF(AND(Sales_Data!P63&lt;50000,Sales_Data!V63="Completed"),"Silver",IF(OR(Sales_Data!Q63&lt;=2,Sales_Data!V63="Canceled"),"Blacklisted","Others"))))</f>
        <v>Others</v>
      </c>
      <c r="B63" s="4" t="str">
        <f>PROPER(TRIM(Sales_Data!F63))</f>
        <v>Priya Patel</v>
      </c>
      <c r="C63" s="4" t="str">
        <f>LEFT(B63,3)&amp;RIGHT(Sales_Data!B63,3)&amp;LEFT(Sales_Data!I63,2)</f>
        <v>Pri002Pu</v>
      </c>
      <c r="D63" s="4" t="str">
        <f>IF(ISNUMBER(SEARCH("@",Sales_Data!T63)),LOWER(Sales_Data!T63),"Invalid_Email")</f>
        <v>priya.patel@company.com</v>
      </c>
      <c r="E63" s="13">
        <f ca="1">DATEDIF(Sales_Data!H63,TODAY(),"Y")</f>
        <v>42</v>
      </c>
      <c r="F63" s="13">
        <f>IFERROR(DATEDIF(Sales_Data!D63,Sales_Data!E63,"D"),"Information_Not_Given")</f>
        <v>9</v>
      </c>
      <c r="G63" s="13" t="str" cm="1">
        <f t="array" ref="G63">_xlfn.IFS(F63&lt;=5,"One_Time",F63&gt;5,"Delayed",F63="Information_Not_given","Pending")</f>
        <v>Delayed</v>
      </c>
    </row>
    <row r="64" spans="1:7" x14ac:dyDescent="0.3">
      <c r="A64" s="12" t="str">
        <f>IF(AND(Sales_Data!P64&gt;=100000,Sales_Data!Q64&gt;=4,Sales_Data!V64="Completed",Sales_Data!O64&lt;=10),"Platinum",IF(AND(Sales_Data!P64&gt;=50000,Sales_Data!Q64&gt;=3,Sales_Data!V64="Completed"),"Gold",IF(AND(Sales_Data!P64&lt;50000,Sales_Data!V64="Completed"),"Silver",IF(OR(Sales_Data!Q64&lt;=2,Sales_Data!V64="Canceled"),"Blacklisted","Others"))))</f>
        <v>Others</v>
      </c>
      <c r="B64" s="4" t="str">
        <f>PROPER(TRIM(Sales_Data!F64))</f>
        <v>Pooja Shah</v>
      </c>
      <c r="C64" s="4" t="str">
        <f>LEFT(B64,3)&amp;RIGHT(Sales_Data!B64,3)&amp;LEFT(Sales_Data!I64,2)</f>
        <v>Poo010Mu</v>
      </c>
      <c r="D64" s="4" t="str">
        <f>IF(ISNUMBER(SEARCH("@",Sales_Data!T64)),LOWER(Sales_Data!T64),"Invalid_Email")</f>
        <v>pooja.shah@company.com</v>
      </c>
      <c r="E64" s="13">
        <f ca="1">DATEDIF(Sales_Data!H64,TODAY(),"Y")</f>
        <v>30</v>
      </c>
      <c r="F64" s="13">
        <f>IFERROR(DATEDIF(Sales_Data!D64,Sales_Data!E64,"D"),"Information_Not_Given")</f>
        <v>7</v>
      </c>
      <c r="G64" s="13" t="str" cm="1">
        <f t="array" ref="G64">_xlfn.IFS(F64&lt;=5,"One_Time",F64&gt;5,"Delayed",F64="Information_Not_given","Pending")</f>
        <v>Delayed</v>
      </c>
    </row>
    <row r="65" spans="1:7" x14ac:dyDescent="0.3">
      <c r="A65" s="12" t="str">
        <f>IF(AND(Sales_Data!P65&gt;=100000,Sales_Data!Q65&gt;=4,Sales_Data!V65="Completed",Sales_Data!O65&lt;=10),"Platinum",IF(AND(Sales_Data!P65&gt;=50000,Sales_Data!Q65&gt;=3,Sales_Data!V65="Completed"),"Gold",IF(AND(Sales_Data!P65&lt;50000,Sales_Data!V65="Completed"),"Silver",IF(OR(Sales_Data!Q65&lt;=2,Sales_Data!V65="Canceled"),"Blacklisted","Others"))))</f>
        <v>Silver</v>
      </c>
      <c r="B65" s="4" t="str">
        <f>PROPER(TRIM(Sales_Data!F65))</f>
        <v>Sneha Joshi</v>
      </c>
      <c r="C65" s="4" t="str">
        <f>LEFT(B65,3)&amp;RIGHT(Sales_Data!B65,3)&amp;LEFT(Sales_Data!I65,2)</f>
        <v>Sne006Ah</v>
      </c>
      <c r="D65" s="4" t="str">
        <f>IF(ISNUMBER(SEARCH("@",Sales_Data!T65)),LOWER(Sales_Data!T65),"Invalid_Email")</f>
        <v>sneha.joshi@company.com</v>
      </c>
      <c r="E65" s="13">
        <f ca="1">DATEDIF(Sales_Data!H65,TODAY(),"Y")</f>
        <v>23</v>
      </c>
      <c r="F65" s="13">
        <f>IFERROR(DATEDIF(Sales_Data!D65,Sales_Data!E65,"D"),"Information_Not_Given")</f>
        <v>4</v>
      </c>
      <c r="G65" s="13" t="str" cm="1">
        <f t="array" ref="G65">_xlfn.IFS(F65&lt;=5,"One_Time",F65&gt;5,"Delayed",F65="Information_Not_given","Pending")</f>
        <v>One_Time</v>
      </c>
    </row>
    <row r="66" spans="1:7" x14ac:dyDescent="0.3">
      <c r="A66" s="12" t="str">
        <f>IF(AND(Sales_Data!P66&gt;=100000,Sales_Data!Q66&gt;=4,Sales_Data!V66="Completed",Sales_Data!O66&lt;=10),"Platinum",IF(AND(Sales_Data!P66&gt;=50000,Sales_Data!Q66&gt;=3,Sales_Data!V66="Completed"),"Gold",IF(AND(Sales_Data!P66&lt;50000,Sales_Data!V66="Completed"),"Silver",IF(OR(Sales_Data!Q66&lt;=2,Sales_Data!V66="Canceled"),"Blacklisted","Others"))))</f>
        <v>Blacklisted</v>
      </c>
      <c r="B66" s="4" t="str">
        <f>PROPER(TRIM(Sales_Data!F66))</f>
        <v>Pooja Shah</v>
      </c>
      <c r="C66" s="4" t="str">
        <f>LEFT(B66,3)&amp;RIGHT(Sales_Data!B66,3)&amp;LEFT(Sales_Data!I66,2)</f>
        <v>Poo010Ko</v>
      </c>
      <c r="D66" s="4" t="str">
        <f>IF(ISNUMBER(SEARCH("@",Sales_Data!T66)),LOWER(Sales_Data!T66),"Invalid_Email")</f>
        <v>pooja.shah@company.com</v>
      </c>
      <c r="E66" s="13">
        <f ca="1">DATEDIF(Sales_Data!H66,TODAY(),"Y")</f>
        <v>34</v>
      </c>
      <c r="F66" s="13">
        <f>IFERROR(DATEDIF(Sales_Data!D66,Sales_Data!E66,"D"),"Information_Not_Given")</f>
        <v>3</v>
      </c>
      <c r="G66" s="13" t="str" cm="1">
        <f t="array" ref="G66">_xlfn.IFS(F66&lt;=5,"One_Time",F66&gt;5,"Delayed",F66="Information_Not_given","Pending")</f>
        <v>One_Time</v>
      </c>
    </row>
    <row r="67" spans="1:7" x14ac:dyDescent="0.3">
      <c r="A67" s="12" t="str">
        <f>IF(AND(Sales_Data!P67&gt;=100000,Sales_Data!Q67&gt;=4,Sales_Data!V67="Completed",Sales_Data!O67&lt;=10),"Platinum",IF(AND(Sales_Data!P67&gt;=50000,Sales_Data!Q67&gt;=3,Sales_Data!V67="Completed"),"Gold",IF(AND(Sales_Data!P67&lt;50000,Sales_Data!V67="Completed"),"Silver",IF(OR(Sales_Data!Q67&lt;=2,Sales_Data!V67="Canceled"),"Blacklisted","Others"))))</f>
        <v>Silver</v>
      </c>
      <c r="B67" s="4" t="str">
        <f>PROPER(TRIM(Sales_Data!F67))</f>
        <v>Priya Patel</v>
      </c>
      <c r="C67" s="4" t="str">
        <f>LEFT(B67,3)&amp;RIGHT(Sales_Data!B67,3)&amp;LEFT(Sales_Data!I67,2)</f>
        <v>Pri002Ko</v>
      </c>
      <c r="D67" s="4" t="str">
        <f>IF(ISNUMBER(SEARCH("@",Sales_Data!T67)),LOWER(Sales_Data!T67),"Invalid_Email")</f>
        <v>priya.patel@company.com</v>
      </c>
      <c r="E67" s="13">
        <f ca="1">DATEDIF(Sales_Data!H67,TODAY(),"Y")</f>
        <v>40</v>
      </c>
      <c r="F67" s="13">
        <f>IFERROR(DATEDIF(Sales_Data!D67,Sales_Data!E67,"D"),"Information_Not_Given")</f>
        <v>1</v>
      </c>
      <c r="G67" s="13" t="str" cm="1">
        <f t="array" ref="G67">_xlfn.IFS(F67&lt;=5,"One_Time",F67&gt;5,"Delayed",F67="Information_Not_given","Pending")</f>
        <v>One_Time</v>
      </c>
    </row>
    <row r="68" spans="1:7" x14ac:dyDescent="0.3">
      <c r="A68" s="12" t="str">
        <f>IF(AND(Sales_Data!P68&gt;=100000,Sales_Data!Q68&gt;=4,Sales_Data!V68="Completed",Sales_Data!O68&lt;=10),"Platinum",IF(AND(Sales_Data!P68&gt;=50000,Sales_Data!Q68&gt;=3,Sales_Data!V68="Completed"),"Gold",IF(AND(Sales_Data!P68&lt;50000,Sales_Data!V68="Completed"),"Silver",IF(OR(Sales_Data!Q68&lt;=2,Sales_Data!V68="Canceled"),"Blacklisted","Others"))))</f>
        <v>Others</v>
      </c>
      <c r="B68" s="4" t="str">
        <f>PROPER(TRIM(Sales_Data!F68))</f>
        <v>Kavya Nair</v>
      </c>
      <c r="C68" s="4" t="str">
        <f>LEFT(B68,3)&amp;RIGHT(Sales_Data!B68,3)&amp;LEFT(Sales_Data!I68,2)</f>
        <v>Kav008De</v>
      </c>
      <c r="D68" s="4" t="str">
        <f>IF(ISNUMBER(SEARCH("@",Sales_Data!T68)),LOWER(Sales_Data!T68),"Invalid_Email")</f>
        <v>kavya.nair@company.com</v>
      </c>
      <c r="E68" s="13">
        <f ca="1">DATEDIF(Sales_Data!H68,TODAY(),"Y")</f>
        <v>41</v>
      </c>
      <c r="F68" s="13">
        <f>IFERROR(DATEDIF(Sales_Data!D68,Sales_Data!E68,"D"),"Information_Not_Given")</f>
        <v>4</v>
      </c>
      <c r="G68" s="13" t="str" cm="1">
        <f t="array" ref="G68">_xlfn.IFS(F68&lt;=5,"One_Time",F68&gt;5,"Delayed",F68="Information_Not_given","Pending")</f>
        <v>One_Time</v>
      </c>
    </row>
    <row r="69" spans="1:7" x14ac:dyDescent="0.3">
      <c r="A69" s="12" t="str">
        <f>IF(AND(Sales_Data!P69&gt;=100000,Sales_Data!Q69&gt;=4,Sales_Data!V69="Completed",Sales_Data!O69&lt;=10),"Platinum",IF(AND(Sales_Data!P69&gt;=50000,Sales_Data!Q69&gt;=3,Sales_Data!V69="Completed"),"Gold",IF(AND(Sales_Data!P69&lt;50000,Sales_Data!V69="Completed"),"Silver",IF(OR(Sales_Data!Q69&lt;=2,Sales_Data!V69="Canceled"),"Blacklisted","Others"))))</f>
        <v>Blacklisted</v>
      </c>
      <c r="B69" s="4" t="str">
        <f>PROPER(TRIM(Sales_Data!F69))</f>
        <v>Sneha Joshi</v>
      </c>
      <c r="C69" s="4" t="str">
        <f>LEFT(B69,3)&amp;RIGHT(Sales_Data!B69,3)&amp;LEFT(Sales_Data!I69,2)</f>
        <v>Sne006Hy</v>
      </c>
      <c r="D69" s="4" t="str">
        <f>IF(ISNUMBER(SEARCH("@",Sales_Data!T69)),LOWER(Sales_Data!T69),"Invalid_Email")</f>
        <v>sneha.joshi@company.com</v>
      </c>
      <c r="E69" s="13">
        <f ca="1">DATEDIF(Sales_Data!H69,TODAY(),"Y")</f>
        <v>47</v>
      </c>
      <c r="F69" s="13">
        <f>IFERROR(DATEDIF(Sales_Data!D69,Sales_Data!E69,"D"),"Information_Not_Given")</f>
        <v>5</v>
      </c>
      <c r="G69" s="13" t="str" cm="1">
        <f t="array" ref="G69">_xlfn.IFS(F69&lt;=5,"One_Time",F69&gt;5,"Delayed",F69="Information_Not_given","Pending")</f>
        <v>One_Time</v>
      </c>
    </row>
    <row r="70" spans="1:7" x14ac:dyDescent="0.3">
      <c r="A70" s="12" t="str">
        <f>IF(AND(Sales_Data!P70&gt;=100000,Sales_Data!Q70&gt;=4,Sales_Data!V70="Completed",Sales_Data!O70&lt;=10),"Platinum",IF(AND(Sales_Data!P70&gt;=50000,Sales_Data!Q70&gt;=3,Sales_Data!V70="Completed"),"Gold",IF(AND(Sales_Data!P70&lt;50000,Sales_Data!V70="Completed"),"Silver",IF(OR(Sales_Data!Q70&lt;=2,Sales_Data!V70="Canceled"),"Blacklisted","Others"))))</f>
        <v>Silver</v>
      </c>
      <c r="B70" s="4" t="str">
        <f>PROPER(TRIM(Sales_Data!F70))</f>
        <v>Pooja Shah</v>
      </c>
      <c r="C70" s="4" t="str">
        <f>LEFT(B70,3)&amp;RIGHT(Sales_Data!B70,3)&amp;LEFT(Sales_Data!I70,2)</f>
        <v>Poo010Ja</v>
      </c>
      <c r="D70" s="4" t="str">
        <f>IF(ISNUMBER(SEARCH("@",Sales_Data!T70)),LOWER(Sales_Data!T70),"Invalid_Email")</f>
        <v>pooja.shah@company.com</v>
      </c>
      <c r="E70" s="13">
        <f ca="1">DATEDIF(Sales_Data!H70,TODAY(),"Y")</f>
        <v>49</v>
      </c>
      <c r="F70" s="13">
        <f>IFERROR(DATEDIF(Sales_Data!D70,Sales_Data!E70,"D"),"Information_Not_Given")</f>
        <v>5</v>
      </c>
      <c r="G70" s="13" t="str" cm="1">
        <f t="array" ref="G70">_xlfn.IFS(F70&lt;=5,"One_Time",F70&gt;5,"Delayed",F70="Information_Not_given","Pending")</f>
        <v>One_Time</v>
      </c>
    </row>
    <row r="71" spans="1:7" x14ac:dyDescent="0.3">
      <c r="A71" s="12" t="str">
        <f>IF(AND(Sales_Data!P71&gt;=100000,Sales_Data!Q71&gt;=4,Sales_Data!V71="Completed",Sales_Data!O71&lt;=10),"Platinum",IF(AND(Sales_Data!P71&gt;=50000,Sales_Data!Q71&gt;=3,Sales_Data!V71="Completed"),"Gold",IF(AND(Sales_Data!P71&lt;50000,Sales_Data!V71="Completed"),"Silver",IF(OR(Sales_Data!Q71&lt;=2,Sales_Data!V71="Canceled"),"Blacklisted","Others"))))</f>
        <v>Blacklisted</v>
      </c>
      <c r="B71" s="4" t="str">
        <f>PROPER(TRIM(Sales_Data!F71))</f>
        <v>Kavya Nair</v>
      </c>
      <c r="C71" s="4" t="str">
        <f>LEFT(B71,3)&amp;RIGHT(Sales_Data!B71,3)&amp;LEFT(Sales_Data!I71,2)</f>
        <v>Kav008Be</v>
      </c>
      <c r="D71" s="4" t="str">
        <f>IF(ISNUMBER(SEARCH("@",Sales_Data!T71)),LOWER(Sales_Data!T71),"Invalid_Email")</f>
        <v>kavya.nair@company.com</v>
      </c>
      <c r="E71" s="13">
        <f ca="1">DATEDIF(Sales_Data!H71,TODAY(),"Y")</f>
        <v>26</v>
      </c>
      <c r="F71" s="13">
        <f>IFERROR(DATEDIF(Sales_Data!D71,Sales_Data!E71,"D"),"Information_Not_Given")</f>
        <v>3</v>
      </c>
      <c r="G71" s="13" t="str" cm="1">
        <f t="array" ref="G71">_xlfn.IFS(F71&lt;=5,"One_Time",F71&gt;5,"Delayed",F71="Information_Not_given","Pending")</f>
        <v>One_Time</v>
      </c>
    </row>
    <row r="72" spans="1:7" x14ac:dyDescent="0.3">
      <c r="A72" s="12" t="str">
        <f>IF(AND(Sales_Data!P72&gt;=100000,Sales_Data!Q72&gt;=4,Sales_Data!V72="Completed",Sales_Data!O72&lt;=10),"Platinum",IF(AND(Sales_Data!P72&gt;=50000,Sales_Data!Q72&gt;=3,Sales_Data!V72="Completed"),"Gold",IF(AND(Sales_Data!P72&lt;50000,Sales_Data!V72="Completed"),"Silver",IF(OR(Sales_Data!Q72&lt;=2,Sales_Data!V72="Canceled"),"Blacklisted","Others"))))</f>
        <v>Blacklisted</v>
      </c>
      <c r="B72" s="4" t="str">
        <f>PROPER(TRIM(Sales_Data!F72))</f>
        <v>Anita Gupta</v>
      </c>
      <c r="C72" s="4" t="str">
        <f>LEFT(B72,3)&amp;RIGHT(Sales_Data!B72,3)&amp;LEFT(Sales_Data!I72,2)</f>
        <v>Ani004Mu</v>
      </c>
      <c r="D72" s="4" t="str">
        <f>IF(ISNUMBER(SEARCH("@",Sales_Data!T72)),LOWER(Sales_Data!T72),"Invalid_Email")</f>
        <v>anita.gupta@company.com</v>
      </c>
      <c r="E72" s="13">
        <f ca="1">DATEDIF(Sales_Data!H72,TODAY(),"Y")</f>
        <v>39</v>
      </c>
      <c r="F72" s="13">
        <f>IFERROR(DATEDIF(Sales_Data!D72,Sales_Data!E72,"D"),"Information_Not_Given")</f>
        <v>10</v>
      </c>
      <c r="G72" s="13" t="str" cm="1">
        <f t="array" ref="G72">_xlfn.IFS(F72&lt;=5,"One_Time",F72&gt;5,"Delayed",F72="Information_Not_given","Pending")</f>
        <v>Delayed</v>
      </c>
    </row>
    <row r="73" spans="1:7" x14ac:dyDescent="0.3">
      <c r="A73" s="12" t="str">
        <f>IF(AND(Sales_Data!P73&gt;=100000,Sales_Data!Q73&gt;=4,Sales_Data!V73="Completed",Sales_Data!O73&lt;=10),"Platinum",IF(AND(Sales_Data!P73&gt;=50000,Sales_Data!Q73&gt;=3,Sales_Data!V73="Completed"),"Gold",IF(AND(Sales_Data!P73&lt;50000,Sales_Data!V73="Completed"),"Silver",IF(OR(Sales_Data!Q73&lt;=2,Sales_Data!V73="Canceled"),"Blacklisted","Others"))))</f>
        <v>Blacklisted</v>
      </c>
      <c r="B73" s="4" t="str">
        <f>PROPER(TRIM(Sales_Data!F73))</f>
        <v>Rohit Singh</v>
      </c>
      <c r="C73" s="4" t="str">
        <f>LEFT(B73,3)&amp;RIGHT(Sales_Data!B73,3)&amp;LEFT(Sales_Data!I73,2)</f>
        <v>Roh003Be</v>
      </c>
      <c r="D73" s="4" t="str">
        <f>IF(ISNUMBER(SEARCH("@",Sales_Data!T73)),LOWER(Sales_Data!T73),"Invalid_Email")</f>
        <v>rohit.singh@company.com</v>
      </c>
      <c r="E73" s="13">
        <f ca="1">DATEDIF(Sales_Data!H73,TODAY(),"Y")</f>
        <v>42</v>
      </c>
      <c r="F73" s="13">
        <f>IFERROR(DATEDIF(Sales_Data!D73,Sales_Data!E73,"D"),"Information_Not_Given")</f>
        <v>6</v>
      </c>
      <c r="G73" s="13" t="str" cm="1">
        <f t="array" ref="G73">_xlfn.IFS(F73&lt;=5,"One_Time",F73&gt;5,"Delayed",F73="Information_Not_given","Pending")</f>
        <v>Delayed</v>
      </c>
    </row>
    <row r="74" spans="1:7" x14ac:dyDescent="0.3">
      <c r="A74" s="12" t="str">
        <f>IF(AND(Sales_Data!P74&gt;=100000,Sales_Data!Q74&gt;=4,Sales_Data!V74="Completed",Sales_Data!O74&lt;=10),"Platinum",IF(AND(Sales_Data!P74&gt;=50000,Sales_Data!Q74&gt;=3,Sales_Data!V74="Completed"),"Gold",IF(AND(Sales_Data!P74&lt;50000,Sales_Data!V74="Completed"),"Silver",IF(OR(Sales_Data!Q74&lt;=2,Sales_Data!V74="Canceled"),"Blacklisted","Others"))))</f>
        <v>Others</v>
      </c>
      <c r="B74" s="4" t="str">
        <f>PROPER(TRIM(Sales_Data!F74))</f>
        <v>Kavya Nair</v>
      </c>
      <c r="C74" s="4" t="str">
        <f>LEFT(B74,3)&amp;RIGHT(Sales_Data!B74,3)&amp;LEFT(Sales_Data!I74,2)</f>
        <v>Kav008Ja</v>
      </c>
      <c r="D74" s="4" t="str">
        <f>IF(ISNUMBER(SEARCH("@",Sales_Data!T74)),LOWER(Sales_Data!T74),"Invalid_Email")</f>
        <v>kavya.nair@company.com</v>
      </c>
      <c r="E74" s="13">
        <f ca="1">DATEDIF(Sales_Data!H74,TODAY(),"Y")</f>
        <v>45</v>
      </c>
      <c r="F74" s="13">
        <f>IFERROR(DATEDIF(Sales_Data!D74,Sales_Data!E74,"D"),"Information_Not_Given")</f>
        <v>10</v>
      </c>
      <c r="G74" s="13" t="str" cm="1">
        <f t="array" ref="G74">_xlfn.IFS(F74&lt;=5,"One_Time",F74&gt;5,"Delayed",F74="Information_Not_given","Pending")</f>
        <v>Delayed</v>
      </c>
    </row>
    <row r="75" spans="1:7" x14ac:dyDescent="0.3">
      <c r="A75" s="12" t="str">
        <f>IF(AND(Sales_Data!P75&gt;=100000,Sales_Data!Q75&gt;=4,Sales_Data!V75="Completed",Sales_Data!O75&lt;=10),"Platinum",IF(AND(Sales_Data!P75&gt;=50000,Sales_Data!Q75&gt;=3,Sales_Data!V75="Completed"),"Gold",IF(AND(Sales_Data!P75&lt;50000,Sales_Data!V75="Completed"),"Silver",IF(OR(Sales_Data!Q75&lt;=2,Sales_Data!V75="Canceled"),"Blacklisted","Others"))))</f>
        <v>Silver</v>
      </c>
      <c r="B75" s="4" t="str">
        <f>PROPER(TRIM(Sales_Data!F75))</f>
        <v>Pooja Shah</v>
      </c>
      <c r="C75" s="4" t="str">
        <f>LEFT(B75,3)&amp;RIGHT(Sales_Data!B75,3)&amp;LEFT(Sales_Data!I75,2)</f>
        <v>Poo010</v>
      </c>
      <c r="D75" s="4" t="str">
        <f>IF(ISNUMBER(SEARCH("@",Sales_Data!T75)),LOWER(Sales_Data!T75),"Invalid_Email")</f>
        <v>pooja.shah@company.com</v>
      </c>
      <c r="E75" s="13">
        <f ca="1">DATEDIF(Sales_Data!H75,TODAY(),"Y")</f>
        <v>46</v>
      </c>
      <c r="F75" s="13">
        <f>IFERROR(DATEDIF(Sales_Data!D75,Sales_Data!E75,"D"),"Information_Not_Given")</f>
        <v>12</v>
      </c>
      <c r="G75" s="13" t="str" cm="1">
        <f t="array" ref="G75">_xlfn.IFS(F75&lt;=5,"One_Time",F75&gt;5,"Delayed",F75="Information_Not_given","Pending")</f>
        <v>Delayed</v>
      </c>
    </row>
    <row r="76" spans="1:7" x14ac:dyDescent="0.3">
      <c r="A76" s="12" t="str">
        <f>IF(AND(Sales_Data!P76&gt;=100000,Sales_Data!Q76&gt;=4,Sales_Data!V76="Completed",Sales_Data!O76&lt;=10),"Platinum",IF(AND(Sales_Data!P76&gt;=50000,Sales_Data!Q76&gt;=3,Sales_Data!V76="Completed"),"Gold",IF(AND(Sales_Data!P76&lt;50000,Sales_Data!V76="Completed"),"Silver",IF(OR(Sales_Data!Q76&lt;=2,Sales_Data!V76="Canceled"),"Blacklisted","Others"))))</f>
        <v>Silver</v>
      </c>
      <c r="B76" s="4" t="str">
        <f>PROPER(TRIM(Sales_Data!F76))</f>
        <v>Rohit Singh</v>
      </c>
      <c r="C76" s="4" t="str">
        <f>LEFT(B76,3)&amp;RIGHT(Sales_Data!B76,3)&amp;LEFT(Sales_Data!I76,2)</f>
        <v>Roh003Pu</v>
      </c>
      <c r="D76" s="4" t="str">
        <f>IF(ISNUMBER(SEARCH("@",Sales_Data!T76)),LOWER(Sales_Data!T76),"Invalid_Email")</f>
        <v>rohit.singh@company.com</v>
      </c>
      <c r="E76" s="13">
        <f ca="1">DATEDIF(Sales_Data!H76,TODAY(),"Y")</f>
        <v>43</v>
      </c>
      <c r="F76" s="13">
        <f>IFERROR(DATEDIF(Sales_Data!D76,Sales_Data!E76,"D"),"Information_Not_Given")</f>
        <v>2</v>
      </c>
      <c r="G76" s="13" t="str" cm="1">
        <f t="array" ref="G76">_xlfn.IFS(F76&lt;=5,"One_Time",F76&gt;5,"Delayed",F76="Information_Not_given","Pending")</f>
        <v>One_Time</v>
      </c>
    </row>
    <row r="77" spans="1:7" x14ac:dyDescent="0.3">
      <c r="A77" s="12" t="str">
        <f>IF(AND(Sales_Data!P77&gt;=100000,Sales_Data!Q77&gt;=4,Sales_Data!V77="Completed",Sales_Data!O77&lt;=10),"Platinum",IF(AND(Sales_Data!P77&gt;=50000,Sales_Data!Q77&gt;=3,Sales_Data!V77="Completed"),"Gold",IF(AND(Sales_Data!P77&lt;50000,Sales_Data!V77="Completed"),"Silver",IF(OR(Sales_Data!Q77&lt;=2,Sales_Data!V77="Canceled"),"Blacklisted","Others"))))</f>
        <v>Silver</v>
      </c>
      <c r="B77" s="4" t="str">
        <f>PROPER(TRIM(Sales_Data!F77))</f>
        <v>Kavya Nair</v>
      </c>
      <c r="C77" s="4" t="str">
        <f>LEFT(B77,3)&amp;RIGHT(Sales_Data!B77,3)&amp;LEFT(Sales_Data!I77,2)</f>
        <v>Kav008Be</v>
      </c>
      <c r="D77" s="4" t="str">
        <f>IF(ISNUMBER(SEARCH("@",Sales_Data!T77)),LOWER(Sales_Data!T77),"Invalid_Email")</f>
        <v>kavya.nair@company.com</v>
      </c>
      <c r="E77" s="13">
        <f ca="1">DATEDIF(Sales_Data!H77,TODAY(),"Y")</f>
        <v>46</v>
      </c>
      <c r="F77" s="13">
        <f>IFERROR(DATEDIF(Sales_Data!D77,Sales_Data!E77,"D"),"Information_Not_Given")</f>
        <v>10</v>
      </c>
      <c r="G77" s="13" t="str" cm="1">
        <f t="array" ref="G77">_xlfn.IFS(F77&lt;=5,"One_Time",F77&gt;5,"Delayed",F77="Information_Not_given","Pending")</f>
        <v>Delayed</v>
      </c>
    </row>
    <row r="78" spans="1:7" x14ac:dyDescent="0.3">
      <c r="A78" s="12" t="str">
        <f>IF(AND(Sales_Data!P78&gt;=100000,Sales_Data!Q78&gt;=4,Sales_Data!V78="Completed",Sales_Data!O78&lt;=10),"Platinum",IF(AND(Sales_Data!P78&gt;=50000,Sales_Data!Q78&gt;=3,Sales_Data!V78="Completed"),"Gold",IF(AND(Sales_Data!P78&lt;50000,Sales_Data!V78="Completed"),"Silver",IF(OR(Sales_Data!Q78&lt;=2,Sales_Data!V78="Canceled"),"Blacklisted","Others"))))</f>
        <v>Others</v>
      </c>
      <c r="B78" s="4" t="str">
        <f>PROPER(TRIM(Sales_Data!F78))</f>
        <v>Arjun Rao</v>
      </c>
      <c r="C78" s="4" t="str">
        <f>LEFT(B78,3)&amp;RIGHT(Sales_Data!B78,3)&amp;LEFT(Sales_Data!I78,2)</f>
        <v>Arj007De</v>
      </c>
      <c r="D78" s="4" t="str">
        <f>IF(ISNUMBER(SEARCH("@",Sales_Data!T78)),LOWER(Sales_Data!T78),"Invalid_Email")</f>
        <v>arjun.rao@company.com</v>
      </c>
      <c r="E78" s="13">
        <f ca="1">DATEDIF(Sales_Data!H78,TODAY(),"Y")</f>
        <v>45</v>
      </c>
      <c r="F78" s="13">
        <f>IFERROR(DATEDIF(Sales_Data!D78,Sales_Data!E78,"D"),"Information_Not_Given")</f>
        <v>2</v>
      </c>
      <c r="G78" s="13" t="str" cm="1">
        <f t="array" ref="G78">_xlfn.IFS(F78&lt;=5,"One_Time",F78&gt;5,"Delayed",F78="Information_Not_given","Pending")</f>
        <v>One_Time</v>
      </c>
    </row>
    <row r="79" spans="1:7" x14ac:dyDescent="0.3">
      <c r="A79" s="12" t="str">
        <f>IF(AND(Sales_Data!P79&gt;=100000,Sales_Data!Q79&gt;=4,Sales_Data!V79="Completed",Sales_Data!O79&lt;=10),"Platinum",IF(AND(Sales_Data!P79&gt;=50000,Sales_Data!Q79&gt;=3,Sales_Data!V79="Completed"),"Gold",IF(AND(Sales_Data!P79&lt;50000,Sales_Data!V79="Completed"),"Silver",IF(OR(Sales_Data!Q79&lt;=2,Sales_Data!V79="Canceled"),"Blacklisted","Others"))))</f>
        <v>Silver</v>
      </c>
      <c r="B79" s="4" t="str">
        <f>PROPER(TRIM(Sales_Data!F79))</f>
        <v>Vikas Mehta</v>
      </c>
      <c r="C79" s="4" t="str">
        <f>LEFT(B79,3)&amp;RIGHT(Sales_Data!B79,3)&amp;LEFT(Sales_Data!I79,2)</f>
        <v>Vik005Be</v>
      </c>
      <c r="D79" s="4" t="str">
        <f>IF(ISNUMBER(SEARCH("@",Sales_Data!T79)),LOWER(Sales_Data!T79),"Invalid_Email")</f>
        <v>vikas.mehta@company.com</v>
      </c>
      <c r="E79" s="13">
        <f ca="1">DATEDIF(Sales_Data!H79,TODAY(),"Y")</f>
        <v>41</v>
      </c>
      <c r="F79" s="13">
        <f>IFERROR(DATEDIF(Sales_Data!D79,Sales_Data!E79,"D"),"Information_Not_Given")</f>
        <v>9</v>
      </c>
      <c r="G79" s="13" t="str" cm="1">
        <f t="array" ref="G79">_xlfn.IFS(F79&lt;=5,"One_Time",F79&gt;5,"Delayed",F79="Information_Not_given","Pending")</f>
        <v>Delayed</v>
      </c>
    </row>
    <row r="80" spans="1:7" x14ac:dyDescent="0.3">
      <c r="A80" s="12" t="str">
        <f>IF(AND(Sales_Data!P80&gt;=100000,Sales_Data!Q80&gt;=4,Sales_Data!V80="Completed",Sales_Data!O80&lt;=10),"Platinum",IF(AND(Sales_Data!P80&gt;=50000,Sales_Data!Q80&gt;=3,Sales_Data!V80="Completed"),"Gold",IF(AND(Sales_Data!P80&lt;50000,Sales_Data!V80="Completed"),"Silver",IF(OR(Sales_Data!Q80&lt;=2,Sales_Data!V80="Canceled"),"Blacklisted","Others"))))</f>
        <v>Others</v>
      </c>
      <c r="B80" s="4" t="str">
        <f>PROPER(TRIM(Sales_Data!F80))</f>
        <v>Mohit Verma</v>
      </c>
      <c r="C80" s="4" t="str">
        <f>LEFT(B80,3)&amp;RIGHT(Sales_Data!B80,3)&amp;LEFT(Sales_Data!I80,2)</f>
        <v>Moh009Mu</v>
      </c>
      <c r="D80" s="4" t="str">
        <f>IF(ISNUMBER(SEARCH("@",Sales_Data!T80)),LOWER(Sales_Data!T80),"Invalid_Email")</f>
        <v>mohit.verma@company.com</v>
      </c>
      <c r="E80" s="13">
        <f ca="1">DATEDIF(Sales_Data!H80,TODAY(),"Y")</f>
        <v>27</v>
      </c>
      <c r="F80" s="13">
        <f>IFERROR(DATEDIF(Sales_Data!D80,Sales_Data!E80,"D"),"Information_Not_Given")</f>
        <v>1</v>
      </c>
      <c r="G80" s="13" t="str" cm="1">
        <f t="array" ref="G80">_xlfn.IFS(F80&lt;=5,"One_Time",F80&gt;5,"Delayed",F80="Information_Not_given","Pending")</f>
        <v>One_Time</v>
      </c>
    </row>
    <row r="81" spans="1:7" x14ac:dyDescent="0.3">
      <c r="A81" s="12" t="str">
        <f>IF(AND(Sales_Data!P81&gt;=100000,Sales_Data!Q81&gt;=4,Sales_Data!V81="Completed",Sales_Data!O81&lt;=10),"Platinum",IF(AND(Sales_Data!P81&gt;=50000,Sales_Data!Q81&gt;=3,Sales_Data!V81="Completed"),"Gold",IF(AND(Sales_Data!P81&lt;50000,Sales_Data!V81="Completed"),"Silver",IF(OR(Sales_Data!Q81&lt;=2,Sales_Data!V81="Canceled"),"Blacklisted","Others"))))</f>
        <v>Silver</v>
      </c>
      <c r="B81" s="4" t="str">
        <f>PROPER(TRIM(Sales_Data!F81))</f>
        <v>Rohit Singh</v>
      </c>
      <c r="C81" s="4" t="str">
        <f>LEFT(B81,3)&amp;RIGHT(Sales_Data!B81,3)&amp;LEFT(Sales_Data!I81,2)</f>
        <v>Roh003Pu</v>
      </c>
      <c r="D81" s="4" t="str">
        <f>IF(ISNUMBER(SEARCH("@",Sales_Data!T81)),LOWER(Sales_Data!T81),"Invalid_Email")</f>
        <v>rohit.singh@company.com</v>
      </c>
      <c r="E81" s="13">
        <f ca="1">DATEDIF(Sales_Data!H81,TODAY(),"Y")</f>
        <v>43</v>
      </c>
      <c r="F81" s="13">
        <f>IFERROR(DATEDIF(Sales_Data!D81,Sales_Data!E81,"D"),"Information_Not_Given")</f>
        <v>4</v>
      </c>
      <c r="G81" s="13" t="str" cm="1">
        <f t="array" ref="G81">_xlfn.IFS(F81&lt;=5,"One_Time",F81&gt;5,"Delayed",F81="Information_Not_given","Pending")</f>
        <v>One_Time</v>
      </c>
    </row>
    <row r="82" spans="1:7" x14ac:dyDescent="0.3">
      <c r="A82" s="12" t="str">
        <f>IF(AND(Sales_Data!P82&gt;=100000,Sales_Data!Q82&gt;=4,Sales_Data!V82="Completed",Sales_Data!O82&lt;=10),"Platinum",IF(AND(Sales_Data!P82&gt;=50000,Sales_Data!Q82&gt;=3,Sales_Data!V82="Completed"),"Gold",IF(AND(Sales_Data!P82&lt;50000,Sales_Data!V82="Completed"),"Silver",IF(OR(Sales_Data!Q82&lt;=2,Sales_Data!V82="Canceled"),"Blacklisted","Others"))))</f>
        <v>Others</v>
      </c>
      <c r="B82" s="4" t="str">
        <f>PROPER(TRIM(Sales_Data!F82))</f>
        <v>Amit Sharma</v>
      </c>
      <c r="C82" s="4" t="str">
        <f>LEFT(B82,3)&amp;RIGHT(Sales_Data!B82,3)&amp;LEFT(Sales_Data!I82,2)</f>
        <v>Ami001Pu</v>
      </c>
      <c r="D82" s="4" t="str">
        <f>IF(ISNUMBER(SEARCH("@",Sales_Data!T82)),LOWER(Sales_Data!T82),"Invalid_Email")</f>
        <v>amit.sharma@company.com</v>
      </c>
      <c r="E82" s="13">
        <f ca="1">DATEDIF(Sales_Data!H82,TODAY(),"Y")</f>
        <v>37</v>
      </c>
      <c r="F82" s="13">
        <f>IFERROR(DATEDIF(Sales_Data!D82,Sales_Data!E82,"D"),"Information_Not_Given")</f>
        <v>6</v>
      </c>
      <c r="G82" s="13" t="str" cm="1">
        <f t="array" ref="G82">_xlfn.IFS(F82&lt;=5,"One_Time",F82&gt;5,"Delayed",F82="Information_Not_given","Pending")</f>
        <v>Delayed</v>
      </c>
    </row>
    <row r="83" spans="1:7" x14ac:dyDescent="0.3">
      <c r="A83" s="12" t="str">
        <f>IF(AND(Sales_Data!P83&gt;=100000,Sales_Data!Q83&gt;=4,Sales_Data!V83="Completed",Sales_Data!O83&lt;=10),"Platinum",IF(AND(Sales_Data!P83&gt;=50000,Sales_Data!Q83&gt;=3,Sales_Data!V83="Completed"),"Gold",IF(AND(Sales_Data!P83&lt;50000,Sales_Data!V83="Completed"),"Silver",IF(OR(Sales_Data!Q83&lt;=2,Sales_Data!V83="Canceled"),"Blacklisted","Others"))))</f>
        <v>Others</v>
      </c>
      <c r="B83" s="4" t="str">
        <f>PROPER(TRIM(Sales_Data!F83))</f>
        <v>Vikas Mehta</v>
      </c>
      <c r="C83" s="4" t="str">
        <f>LEFT(B83,3)&amp;RIGHT(Sales_Data!B83,3)&amp;LEFT(Sales_Data!I83,2)</f>
        <v>Vik005Ko</v>
      </c>
      <c r="D83" s="4" t="str">
        <f>IF(ISNUMBER(SEARCH("@",Sales_Data!T83)),LOWER(Sales_Data!T83),"Invalid_Email")</f>
        <v>vikas.mehta@company.com</v>
      </c>
      <c r="E83" s="13">
        <f ca="1">DATEDIF(Sales_Data!H83,TODAY(),"Y")</f>
        <v>44</v>
      </c>
      <c r="F83" s="13">
        <f>IFERROR(DATEDIF(Sales_Data!D83,Sales_Data!E83,"D"),"Information_Not_Given")</f>
        <v>8</v>
      </c>
      <c r="G83" s="13" t="str" cm="1">
        <f t="array" ref="G83">_xlfn.IFS(F83&lt;=5,"One_Time",F83&gt;5,"Delayed",F83="Information_Not_given","Pending")</f>
        <v>Delayed</v>
      </c>
    </row>
    <row r="84" spans="1:7" x14ac:dyDescent="0.3">
      <c r="A84" s="12" t="str">
        <f>IF(AND(Sales_Data!P84&gt;=100000,Sales_Data!Q84&gt;=4,Sales_Data!V84="Completed",Sales_Data!O84&lt;=10),"Platinum",IF(AND(Sales_Data!P84&gt;=50000,Sales_Data!Q84&gt;=3,Sales_Data!V84="Completed"),"Gold",IF(AND(Sales_Data!P84&lt;50000,Sales_Data!V84="Completed"),"Silver",IF(OR(Sales_Data!Q84&lt;=2,Sales_Data!V84="Canceled"),"Blacklisted","Others"))))</f>
        <v>Silver</v>
      </c>
      <c r="B84" s="4" t="str">
        <f>PROPER(TRIM(Sales_Data!F84))</f>
        <v>Rohit Singh</v>
      </c>
      <c r="C84" s="4" t="str">
        <f>LEFT(B84,3)&amp;RIGHT(Sales_Data!B84,3)&amp;LEFT(Sales_Data!I84,2)</f>
        <v>Roh003Mu</v>
      </c>
      <c r="D84" s="4" t="str">
        <f>IF(ISNUMBER(SEARCH("@",Sales_Data!T84)),LOWER(Sales_Data!T84),"Invalid_Email")</f>
        <v>rohit.singh@company.com</v>
      </c>
      <c r="E84" s="13">
        <f ca="1">DATEDIF(Sales_Data!H84,TODAY(),"Y")</f>
        <v>25</v>
      </c>
      <c r="F84" s="13">
        <f>IFERROR(DATEDIF(Sales_Data!D84,Sales_Data!E84,"D"),"Information_Not_Given")</f>
        <v>8</v>
      </c>
      <c r="G84" s="13" t="str" cm="1">
        <f t="array" ref="G84">_xlfn.IFS(F84&lt;=5,"One_Time",F84&gt;5,"Delayed",F84="Information_Not_given","Pending")</f>
        <v>Delayed</v>
      </c>
    </row>
    <row r="85" spans="1:7" x14ac:dyDescent="0.3">
      <c r="A85" s="12" t="str">
        <f>IF(AND(Sales_Data!P85&gt;=100000,Sales_Data!Q85&gt;=4,Sales_Data!V85="Completed",Sales_Data!O85&lt;=10),"Platinum",IF(AND(Sales_Data!P85&gt;=50000,Sales_Data!Q85&gt;=3,Sales_Data!V85="Completed"),"Gold",IF(AND(Sales_Data!P85&lt;50000,Sales_Data!V85="Completed"),"Silver",IF(OR(Sales_Data!Q85&lt;=2,Sales_Data!V85="Canceled"),"Blacklisted","Others"))))</f>
        <v>Others</v>
      </c>
      <c r="B85" s="4" t="str">
        <f>PROPER(TRIM(Sales_Data!F85))</f>
        <v>Rohit Singh</v>
      </c>
      <c r="C85" s="4" t="str">
        <f>LEFT(B85,3)&amp;RIGHT(Sales_Data!B85,3)&amp;LEFT(Sales_Data!I85,2)</f>
        <v>Roh003Hy</v>
      </c>
      <c r="D85" s="4" t="str">
        <f>IF(ISNUMBER(SEARCH("@",Sales_Data!T85)),LOWER(Sales_Data!T85),"Invalid_Email")</f>
        <v>rohit.singh@company.com</v>
      </c>
      <c r="E85" s="13">
        <f ca="1">DATEDIF(Sales_Data!H85,TODAY(),"Y")</f>
        <v>43</v>
      </c>
      <c r="F85" s="13">
        <f>IFERROR(DATEDIF(Sales_Data!D85,Sales_Data!E85,"D"),"Information_Not_Given")</f>
        <v>3</v>
      </c>
      <c r="G85" s="13" t="str" cm="1">
        <f t="array" ref="G85">_xlfn.IFS(F85&lt;=5,"One_Time",F85&gt;5,"Delayed",F85="Information_Not_given","Pending")</f>
        <v>One_Time</v>
      </c>
    </row>
    <row r="86" spans="1:7" x14ac:dyDescent="0.3">
      <c r="A86" s="12" t="str">
        <f>IF(AND(Sales_Data!P86&gt;=100000,Sales_Data!Q86&gt;=4,Sales_Data!V86="Completed",Sales_Data!O86&lt;=10),"Platinum",IF(AND(Sales_Data!P86&gt;=50000,Sales_Data!Q86&gt;=3,Sales_Data!V86="Completed"),"Gold",IF(AND(Sales_Data!P86&lt;50000,Sales_Data!V86="Completed"),"Silver",IF(OR(Sales_Data!Q86&lt;=2,Sales_Data!V86="Canceled"),"Blacklisted","Others"))))</f>
        <v>Blacklisted</v>
      </c>
      <c r="B86" s="4" t="str">
        <f>PROPER(TRIM(Sales_Data!F86))</f>
        <v>Kavya Nair</v>
      </c>
      <c r="C86" s="4" t="str">
        <f>LEFT(B86,3)&amp;RIGHT(Sales_Data!B86,3)&amp;LEFT(Sales_Data!I86,2)</f>
        <v>Kav008Mu</v>
      </c>
      <c r="D86" s="4" t="str">
        <f>IF(ISNUMBER(SEARCH("@",Sales_Data!T86)),LOWER(Sales_Data!T86),"Invalid_Email")</f>
        <v>kavya.nair@company.com</v>
      </c>
      <c r="E86" s="13">
        <f ca="1">DATEDIF(Sales_Data!H86,TODAY(),"Y")</f>
        <v>33</v>
      </c>
      <c r="F86" s="13">
        <f>IFERROR(DATEDIF(Sales_Data!D86,Sales_Data!E86,"D"),"Information_Not_Given")</f>
        <v>1</v>
      </c>
      <c r="G86" s="13" t="str" cm="1">
        <f t="array" ref="G86">_xlfn.IFS(F86&lt;=5,"One_Time",F86&gt;5,"Delayed",F86="Information_Not_given","Pending")</f>
        <v>One_Time</v>
      </c>
    </row>
    <row r="87" spans="1:7" x14ac:dyDescent="0.3">
      <c r="A87" s="12" t="str">
        <f>IF(AND(Sales_Data!P87&gt;=100000,Sales_Data!Q87&gt;=4,Sales_Data!V87="Completed",Sales_Data!O87&lt;=10),"Platinum",IF(AND(Sales_Data!P87&gt;=50000,Sales_Data!Q87&gt;=3,Sales_Data!V87="Completed"),"Gold",IF(AND(Sales_Data!P87&lt;50000,Sales_Data!V87="Completed"),"Silver",IF(OR(Sales_Data!Q87&lt;=2,Sales_Data!V87="Canceled"),"Blacklisted","Others"))))</f>
        <v>Blacklisted</v>
      </c>
      <c r="B87" s="4" t="str">
        <f>PROPER(TRIM(Sales_Data!F87))</f>
        <v>Arjun Rao</v>
      </c>
      <c r="C87" s="4" t="str">
        <f>LEFT(B87,3)&amp;RIGHT(Sales_Data!B87,3)&amp;LEFT(Sales_Data!I87,2)</f>
        <v>Arj007Ah</v>
      </c>
      <c r="D87" s="4" t="str">
        <f>IF(ISNUMBER(SEARCH("@",Sales_Data!T87)),LOWER(Sales_Data!T87),"Invalid_Email")</f>
        <v>arjun.rao@company.com</v>
      </c>
      <c r="E87" s="13">
        <f ca="1">DATEDIF(Sales_Data!H87,TODAY(),"Y")</f>
        <v>31</v>
      </c>
      <c r="F87" s="13">
        <f>IFERROR(DATEDIF(Sales_Data!D87,Sales_Data!E87,"D"),"Information_Not_Given")</f>
        <v>11</v>
      </c>
      <c r="G87" s="13" t="str" cm="1">
        <f t="array" ref="G87">_xlfn.IFS(F87&lt;=5,"One_Time",F87&gt;5,"Delayed",F87="Information_Not_given","Pending")</f>
        <v>Delayed</v>
      </c>
    </row>
    <row r="88" spans="1:7" x14ac:dyDescent="0.3">
      <c r="A88" s="12" t="str">
        <f>IF(AND(Sales_Data!P88&gt;=100000,Sales_Data!Q88&gt;=4,Sales_Data!V88="Completed",Sales_Data!O88&lt;=10),"Platinum",IF(AND(Sales_Data!P88&gt;=50000,Sales_Data!Q88&gt;=3,Sales_Data!V88="Completed"),"Gold",IF(AND(Sales_Data!P88&lt;50000,Sales_Data!V88="Completed"),"Silver",IF(OR(Sales_Data!Q88&lt;=2,Sales_Data!V88="Canceled"),"Blacklisted","Others"))))</f>
        <v>Others</v>
      </c>
      <c r="B88" s="4" t="str">
        <f>PROPER(TRIM(Sales_Data!F88))</f>
        <v>Sneha Joshi</v>
      </c>
      <c r="C88" s="4" t="str">
        <f>LEFT(B88,3)&amp;RIGHT(Sales_Data!B88,3)&amp;LEFT(Sales_Data!I88,2)</f>
        <v>Sne006Pu</v>
      </c>
      <c r="D88" s="4" t="str">
        <f>IF(ISNUMBER(SEARCH("@",Sales_Data!T88)),LOWER(Sales_Data!T88),"Invalid_Email")</f>
        <v>sneha.joshi@company.com</v>
      </c>
      <c r="E88" s="13">
        <f ca="1">DATEDIF(Sales_Data!H88,TODAY(),"Y")</f>
        <v>25</v>
      </c>
      <c r="F88" s="13">
        <f>IFERROR(DATEDIF(Sales_Data!D88,Sales_Data!E88,"D"),"Information_Not_Given")</f>
        <v>8</v>
      </c>
      <c r="G88" s="13" t="str" cm="1">
        <f t="array" ref="G88">_xlfn.IFS(F88&lt;=5,"One_Time",F88&gt;5,"Delayed",F88="Information_Not_given","Pending")</f>
        <v>Delayed</v>
      </c>
    </row>
    <row r="89" spans="1:7" x14ac:dyDescent="0.3">
      <c r="A89" s="12" t="str">
        <f>IF(AND(Sales_Data!P89&gt;=100000,Sales_Data!Q89&gt;=4,Sales_Data!V89="Completed",Sales_Data!O89&lt;=10),"Platinum",IF(AND(Sales_Data!P89&gt;=50000,Sales_Data!Q89&gt;=3,Sales_Data!V89="Completed"),"Gold",IF(AND(Sales_Data!P89&lt;50000,Sales_Data!V89="Completed"),"Silver",IF(OR(Sales_Data!Q89&lt;=2,Sales_Data!V89="Canceled"),"Blacklisted","Others"))))</f>
        <v>Others</v>
      </c>
      <c r="B89" s="4" t="str">
        <f>PROPER(TRIM(Sales_Data!F89))</f>
        <v>Priya Patel</v>
      </c>
      <c r="C89" s="4" t="str">
        <f>LEFT(B89,3)&amp;RIGHT(Sales_Data!B89,3)&amp;LEFT(Sales_Data!I89,2)</f>
        <v>Pri002Ah</v>
      </c>
      <c r="D89" s="4" t="str">
        <f>IF(ISNUMBER(SEARCH("@",Sales_Data!T89)),LOWER(Sales_Data!T89),"Invalid_Email")</f>
        <v>priya.patel@company.com</v>
      </c>
      <c r="E89" s="13">
        <f ca="1">DATEDIF(Sales_Data!H89,TODAY(),"Y")</f>
        <v>27</v>
      </c>
      <c r="F89" s="13">
        <f>IFERROR(DATEDIF(Sales_Data!D89,Sales_Data!E89,"D"),"Information_Not_Given")</f>
        <v>10</v>
      </c>
      <c r="G89" s="13" t="str" cm="1">
        <f t="array" ref="G89">_xlfn.IFS(F89&lt;=5,"One_Time",F89&gt;5,"Delayed",F89="Information_Not_given","Pending")</f>
        <v>Delayed</v>
      </c>
    </row>
    <row r="90" spans="1:7" x14ac:dyDescent="0.3">
      <c r="A90" s="12" t="str">
        <f>IF(AND(Sales_Data!P90&gt;=100000,Sales_Data!Q90&gt;=4,Sales_Data!V90="Completed",Sales_Data!O90&lt;=10),"Platinum",IF(AND(Sales_Data!P90&gt;=50000,Sales_Data!Q90&gt;=3,Sales_Data!V90="Completed"),"Gold",IF(AND(Sales_Data!P90&lt;50000,Sales_Data!V90="Completed"),"Silver",IF(OR(Sales_Data!Q90&lt;=2,Sales_Data!V90="Canceled"),"Blacklisted","Others"))))</f>
        <v>Gold</v>
      </c>
      <c r="B90" s="4" t="str">
        <f>PROPER(TRIM(Sales_Data!F90))</f>
        <v>Amit Sharma</v>
      </c>
      <c r="C90" s="4" t="str">
        <f>LEFT(B90,3)&amp;RIGHT(Sales_Data!B90,3)&amp;LEFT(Sales_Data!I90,2)</f>
        <v>Ami001Ah</v>
      </c>
      <c r="D90" s="4" t="str">
        <f>IF(ISNUMBER(SEARCH("@",Sales_Data!T90)),LOWER(Sales_Data!T90),"Invalid_Email")</f>
        <v>amit.sharma@company.com</v>
      </c>
      <c r="E90" s="13">
        <f ca="1">DATEDIF(Sales_Data!H90,TODAY(),"Y")</f>
        <v>24</v>
      </c>
      <c r="F90" s="13">
        <f>IFERROR(DATEDIF(Sales_Data!D90,Sales_Data!E90,"D"),"Information_Not_Given")</f>
        <v>9</v>
      </c>
      <c r="G90" s="13" t="str" cm="1">
        <f t="array" ref="G90">_xlfn.IFS(F90&lt;=5,"One_Time",F90&gt;5,"Delayed",F90="Information_Not_given","Pending")</f>
        <v>Delayed</v>
      </c>
    </row>
    <row r="91" spans="1:7" x14ac:dyDescent="0.3">
      <c r="A91" s="12" t="str">
        <f>IF(AND(Sales_Data!P91&gt;=100000,Sales_Data!Q91&gt;=4,Sales_Data!V91="Completed",Sales_Data!O91&lt;=10),"Platinum",IF(AND(Sales_Data!P91&gt;=50000,Sales_Data!Q91&gt;=3,Sales_Data!V91="Completed"),"Gold",IF(AND(Sales_Data!P91&lt;50000,Sales_Data!V91="Completed"),"Silver",IF(OR(Sales_Data!Q91&lt;=2,Sales_Data!V91="Canceled"),"Blacklisted","Others"))))</f>
        <v>Others</v>
      </c>
      <c r="B91" s="4" t="str">
        <f>PROPER(TRIM(Sales_Data!F91))</f>
        <v>Kavya Nair</v>
      </c>
      <c r="C91" s="4" t="str">
        <f>LEFT(B91,3)&amp;RIGHT(Sales_Data!B91,3)&amp;LEFT(Sales_Data!I91,2)</f>
        <v>Kav008Pu</v>
      </c>
      <c r="D91" s="4" t="str">
        <f>IF(ISNUMBER(SEARCH("@",Sales_Data!T91)),LOWER(Sales_Data!T91),"Invalid_Email")</f>
        <v>kavya.nair@company.com</v>
      </c>
      <c r="E91" s="13">
        <f ca="1">DATEDIF(Sales_Data!H91,TODAY(),"Y")</f>
        <v>34</v>
      </c>
      <c r="F91" s="13">
        <f>IFERROR(DATEDIF(Sales_Data!D91,Sales_Data!E91,"D"),"Information_Not_Given")</f>
        <v>8</v>
      </c>
      <c r="G91" s="13" t="str" cm="1">
        <f t="array" ref="G91">_xlfn.IFS(F91&lt;=5,"One_Time",F91&gt;5,"Delayed",F91="Information_Not_given","Pending")</f>
        <v>Delayed</v>
      </c>
    </row>
    <row r="92" spans="1:7" x14ac:dyDescent="0.3">
      <c r="A92" s="12" t="str">
        <f>IF(AND(Sales_Data!P92&gt;=100000,Sales_Data!Q92&gt;=4,Sales_Data!V92="Completed",Sales_Data!O92&lt;=10),"Platinum",IF(AND(Sales_Data!P92&gt;=50000,Sales_Data!Q92&gt;=3,Sales_Data!V92="Completed"),"Gold",IF(AND(Sales_Data!P92&lt;50000,Sales_Data!V92="Completed"),"Silver",IF(OR(Sales_Data!Q92&lt;=2,Sales_Data!V92="Canceled"),"Blacklisted","Others"))))</f>
        <v>Blacklisted</v>
      </c>
      <c r="B92" s="4" t="str">
        <f>PROPER(TRIM(Sales_Data!F92))</f>
        <v>Pooja Shah</v>
      </c>
      <c r="C92" s="4" t="str">
        <f>LEFT(B92,3)&amp;RIGHT(Sales_Data!B92,3)&amp;LEFT(Sales_Data!I92,2)</f>
        <v>Poo010Ja</v>
      </c>
      <c r="D92" s="4" t="str">
        <f>IF(ISNUMBER(SEARCH("@",Sales_Data!T92)),LOWER(Sales_Data!T92),"Invalid_Email")</f>
        <v>pooja.shah@company.com</v>
      </c>
      <c r="E92" s="13">
        <f ca="1">DATEDIF(Sales_Data!H92,TODAY(),"Y")</f>
        <v>30</v>
      </c>
      <c r="F92" s="13">
        <f>IFERROR(DATEDIF(Sales_Data!D92,Sales_Data!E92,"D"),"Information_Not_Given")</f>
        <v>3</v>
      </c>
      <c r="G92" s="13" t="str" cm="1">
        <f t="array" ref="G92">_xlfn.IFS(F92&lt;=5,"One_Time",F92&gt;5,"Delayed",F92="Information_Not_given","Pending")</f>
        <v>One_Time</v>
      </c>
    </row>
    <row r="93" spans="1:7" x14ac:dyDescent="0.3">
      <c r="A93" s="12" t="str">
        <f>IF(AND(Sales_Data!P93&gt;=100000,Sales_Data!Q93&gt;=4,Sales_Data!V93="Completed",Sales_Data!O93&lt;=10),"Platinum",IF(AND(Sales_Data!P93&gt;=50000,Sales_Data!Q93&gt;=3,Sales_Data!V93="Completed"),"Gold",IF(AND(Sales_Data!P93&lt;50000,Sales_Data!V93="Completed"),"Silver",IF(OR(Sales_Data!Q93&lt;=2,Sales_Data!V93="Canceled"),"Blacklisted","Others"))))</f>
        <v>Silver</v>
      </c>
      <c r="B93" s="4" t="str">
        <f>PROPER(TRIM(Sales_Data!F93))</f>
        <v>Pooja Shah</v>
      </c>
      <c r="C93" s="4" t="str">
        <f>LEFT(B93,3)&amp;RIGHT(Sales_Data!B93,3)&amp;LEFT(Sales_Data!I93,2)</f>
        <v>Poo010Hy</v>
      </c>
      <c r="D93" s="4" t="str">
        <f>IF(ISNUMBER(SEARCH("@",Sales_Data!T93)),LOWER(Sales_Data!T93),"Invalid_Email")</f>
        <v>pooja.shah@company.com</v>
      </c>
      <c r="E93" s="13">
        <f ca="1">DATEDIF(Sales_Data!H93,TODAY(),"Y")</f>
        <v>43</v>
      </c>
      <c r="F93" s="13">
        <f>IFERROR(DATEDIF(Sales_Data!D93,Sales_Data!E93,"D"),"Information_Not_Given")</f>
        <v>1</v>
      </c>
      <c r="G93" s="13" t="str" cm="1">
        <f t="array" ref="G93">_xlfn.IFS(F93&lt;=5,"One_Time",F93&gt;5,"Delayed",F93="Information_Not_given","Pending")</f>
        <v>One_Time</v>
      </c>
    </row>
    <row r="94" spans="1:7" x14ac:dyDescent="0.3">
      <c r="A94" s="12" t="str">
        <f>IF(AND(Sales_Data!P94&gt;=100000,Sales_Data!Q94&gt;=4,Sales_Data!V94="Completed",Sales_Data!O94&lt;=10),"Platinum",IF(AND(Sales_Data!P94&gt;=50000,Sales_Data!Q94&gt;=3,Sales_Data!V94="Completed"),"Gold",IF(AND(Sales_Data!P94&lt;50000,Sales_Data!V94="Completed"),"Silver",IF(OR(Sales_Data!Q94&lt;=2,Sales_Data!V94="Canceled"),"Blacklisted","Others"))))</f>
        <v>Others</v>
      </c>
      <c r="B94" s="4" t="str">
        <f>PROPER(TRIM(Sales_Data!F94))</f>
        <v>Kavya Nair</v>
      </c>
      <c r="C94" s="4" t="str">
        <f>LEFT(B94,3)&amp;RIGHT(Sales_Data!B94,3)&amp;LEFT(Sales_Data!I94,2)</f>
        <v>Kav008Be</v>
      </c>
      <c r="D94" s="4" t="str">
        <f>IF(ISNUMBER(SEARCH("@",Sales_Data!T94)),LOWER(Sales_Data!T94),"Invalid_Email")</f>
        <v>kavya.nair@company.com</v>
      </c>
      <c r="E94" s="13">
        <f ca="1">DATEDIF(Sales_Data!H94,TODAY(),"Y")</f>
        <v>42</v>
      </c>
      <c r="F94" s="13">
        <f>IFERROR(DATEDIF(Sales_Data!D94,Sales_Data!E94,"D"),"Information_Not_Given")</f>
        <v>4</v>
      </c>
      <c r="G94" s="13" t="str" cm="1">
        <f t="array" ref="G94">_xlfn.IFS(F94&lt;=5,"One_Time",F94&gt;5,"Delayed",F94="Information_Not_given","Pending")</f>
        <v>One_Time</v>
      </c>
    </row>
    <row r="95" spans="1:7" x14ac:dyDescent="0.3">
      <c r="A95" s="12" t="str">
        <f>IF(AND(Sales_Data!P95&gt;=100000,Sales_Data!Q95&gt;=4,Sales_Data!V95="Completed",Sales_Data!O95&lt;=10),"Platinum",IF(AND(Sales_Data!P95&gt;=50000,Sales_Data!Q95&gt;=3,Sales_Data!V95="Completed"),"Gold",IF(AND(Sales_Data!P95&lt;50000,Sales_Data!V95="Completed"),"Silver",IF(OR(Sales_Data!Q95&lt;=2,Sales_Data!V95="Canceled"),"Blacklisted","Others"))))</f>
        <v>Others</v>
      </c>
      <c r="B95" s="4" t="str">
        <f>PROPER(TRIM(Sales_Data!F95))</f>
        <v>Anita Gupta</v>
      </c>
      <c r="C95" s="4" t="str">
        <f>LEFT(B95,3)&amp;RIGHT(Sales_Data!B95,3)&amp;LEFT(Sales_Data!I95,2)</f>
        <v>Ani004De</v>
      </c>
      <c r="D95" s="4" t="str">
        <f>IF(ISNUMBER(SEARCH("@",Sales_Data!T95)),LOWER(Sales_Data!T95),"Invalid_Email")</f>
        <v>anita.gupta@company.com</v>
      </c>
      <c r="E95" s="13">
        <f ca="1">DATEDIF(Sales_Data!H95,TODAY(),"Y")</f>
        <v>32</v>
      </c>
      <c r="F95" s="13">
        <f>IFERROR(DATEDIF(Sales_Data!D95,Sales_Data!E95,"D"),"Information_Not_Given")</f>
        <v>6</v>
      </c>
      <c r="G95" s="13" t="str" cm="1">
        <f t="array" ref="G95">_xlfn.IFS(F95&lt;=5,"One_Time",F95&gt;5,"Delayed",F95="Information_Not_given","Pending")</f>
        <v>Delayed</v>
      </c>
    </row>
    <row r="96" spans="1:7" x14ac:dyDescent="0.3">
      <c r="A96" s="12" t="str">
        <f>IF(AND(Sales_Data!P96&gt;=100000,Sales_Data!Q96&gt;=4,Sales_Data!V96="Completed",Sales_Data!O96&lt;=10),"Platinum",IF(AND(Sales_Data!P96&gt;=50000,Sales_Data!Q96&gt;=3,Sales_Data!V96="Completed"),"Gold",IF(AND(Sales_Data!P96&lt;50000,Sales_Data!V96="Completed"),"Silver",IF(OR(Sales_Data!Q96&lt;=2,Sales_Data!V96="Canceled"),"Blacklisted","Others"))))</f>
        <v>Silver</v>
      </c>
      <c r="B96" s="4" t="str">
        <f>PROPER(TRIM(Sales_Data!F96))</f>
        <v>Amit Sharma</v>
      </c>
      <c r="C96" s="4" t="str">
        <f>LEFT(B96,3)&amp;RIGHT(Sales_Data!B96,3)&amp;LEFT(Sales_Data!I96,2)</f>
        <v>Ami001De</v>
      </c>
      <c r="D96" s="4" t="str">
        <f>IF(ISNUMBER(SEARCH("@",Sales_Data!T96)),LOWER(Sales_Data!T96),"Invalid_Email")</f>
        <v>amit.sharma@company.com</v>
      </c>
      <c r="E96" s="13">
        <f ca="1">DATEDIF(Sales_Data!H96,TODAY(),"Y")</f>
        <v>35</v>
      </c>
      <c r="F96" s="13">
        <f>IFERROR(DATEDIF(Sales_Data!D96,Sales_Data!E96,"D"),"Information_Not_Given")</f>
        <v>3</v>
      </c>
      <c r="G96" s="13" t="str" cm="1">
        <f t="array" ref="G96">_xlfn.IFS(F96&lt;=5,"One_Time",F96&gt;5,"Delayed",F96="Information_Not_given","Pending")</f>
        <v>One_Time</v>
      </c>
    </row>
    <row r="97" spans="1:7" x14ac:dyDescent="0.3">
      <c r="A97" s="12" t="str">
        <f>IF(AND(Sales_Data!P97&gt;=100000,Sales_Data!Q97&gt;=4,Sales_Data!V97="Completed",Sales_Data!O97&lt;=10),"Platinum",IF(AND(Sales_Data!P97&gt;=50000,Sales_Data!Q97&gt;=3,Sales_Data!V97="Completed"),"Gold",IF(AND(Sales_Data!P97&lt;50000,Sales_Data!V97="Completed"),"Silver",IF(OR(Sales_Data!Q97&lt;=2,Sales_Data!V97="Canceled"),"Blacklisted","Others"))))</f>
        <v>Others</v>
      </c>
      <c r="B97" s="4" t="str">
        <f>PROPER(TRIM(Sales_Data!F97))</f>
        <v>Priya Patel</v>
      </c>
      <c r="C97" s="4" t="str">
        <f>LEFT(B97,3)&amp;RIGHT(Sales_Data!B97,3)&amp;LEFT(Sales_Data!I97,2)</f>
        <v>Pri002Ko</v>
      </c>
      <c r="D97" s="4" t="str">
        <f>IF(ISNUMBER(SEARCH("@",Sales_Data!T97)),LOWER(Sales_Data!T97),"Invalid_Email")</f>
        <v>priya.patel@company.com</v>
      </c>
      <c r="E97" s="13">
        <f ca="1">DATEDIF(Sales_Data!H97,TODAY(),"Y")</f>
        <v>39</v>
      </c>
      <c r="F97" s="13">
        <f>IFERROR(DATEDIF(Sales_Data!D97,Sales_Data!E97,"D"),"Information_Not_Given")</f>
        <v>3</v>
      </c>
      <c r="G97" s="13" t="str" cm="1">
        <f t="array" ref="G97">_xlfn.IFS(F97&lt;=5,"One_Time",F97&gt;5,"Delayed",F97="Information_Not_given","Pending")</f>
        <v>One_Time</v>
      </c>
    </row>
    <row r="98" spans="1:7" x14ac:dyDescent="0.3">
      <c r="A98" s="12" t="str">
        <f>IF(AND(Sales_Data!P98&gt;=100000,Sales_Data!Q98&gt;=4,Sales_Data!V98="Completed",Sales_Data!O98&lt;=10),"Platinum",IF(AND(Sales_Data!P98&gt;=50000,Sales_Data!Q98&gt;=3,Sales_Data!V98="Completed"),"Gold",IF(AND(Sales_Data!P98&lt;50000,Sales_Data!V98="Completed"),"Silver",IF(OR(Sales_Data!Q98&lt;=2,Sales_Data!V98="Canceled"),"Blacklisted","Others"))))</f>
        <v>Gold</v>
      </c>
      <c r="B98" s="4" t="str">
        <f>PROPER(TRIM(Sales_Data!F98))</f>
        <v>Sneha Joshi</v>
      </c>
      <c r="C98" s="4" t="str">
        <f>LEFT(B98,3)&amp;RIGHT(Sales_Data!B98,3)&amp;LEFT(Sales_Data!I98,2)</f>
        <v>Sne006Ah</v>
      </c>
      <c r="D98" s="4" t="str">
        <f>IF(ISNUMBER(SEARCH("@",Sales_Data!T98)),LOWER(Sales_Data!T98),"Invalid_Email")</f>
        <v>sneha.joshi@company.com</v>
      </c>
      <c r="E98" s="13">
        <f ca="1">DATEDIF(Sales_Data!H98,TODAY(),"Y")</f>
        <v>43</v>
      </c>
      <c r="F98" s="13">
        <f>IFERROR(DATEDIF(Sales_Data!D98,Sales_Data!E98,"D"),"Information_Not_Given")</f>
        <v>9</v>
      </c>
      <c r="G98" s="13" t="str" cm="1">
        <f t="array" ref="G98">_xlfn.IFS(F98&lt;=5,"One_Time",F98&gt;5,"Delayed",F98="Information_Not_given","Pending")</f>
        <v>Delayed</v>
      </c>
    </row>
    <row r="99" spans="1:7" x14ac:dyDescent="0.3">
      <c r="A99" s="12" t="str">
        <f>IF(AND(Sales_Data!P99&gt;=100000,Sales_Data!Q99&gt;=4,Sales_Data!V99="Completed",Sales_Data!O99&lt;=10),"Platinum",IF(AND(Sales_Data!P99&gt;=50000,Sales_Data!Q99&gt;=3,Sales_Data!V99="Completed"),"Gold",IF(AND(Sales_Data!P99&lt;50000,Sales_Data!V99="Completed"),"Silver",IF(OR(Sales_Data!Q99&lt;=2,Sales_Data!V99="Canceled"),"Blacklisted","Others"))))</f>
        <v>Blacklisted</v>
      </c>
      <c r="B99" s="4" t="str">
        <f>PROPER(TRIM(Sales_Data!F99))</f>
        <v>Amit Sharma</v>
      </c>
      <c r="C99" s="4" t="str">
        <f>LEFT(B99,3)&amp;RIGHT(Sales_Data!B99,3)&amp;LEFT(Sales_Data!I99,2)</f>
        <v>Ami001Pu</v>
      </c>
      <c r="D99" s="4" t="str">
        <f>IF(ISNUMBER(SEARCH("@",Sales_Data!T99)),LOWER(Sales_Data!T99),"Invalid_Email")</f>
        <v>amit.sharma@company.com</v>
      </c>
      <c r="E99" s="13">
        <f ca="1">DATEDIF(Sales_Data!H99,TODAY(),"Y")</f>
        <v>37</v>
      </c>
      <c r="F99" s="13">
        <f>IFERROR(DATEDIF(Sales_Data!D99,Sales_Data!E99,"D"),"Information_Not_Given")</f>
        <v>10</v>
      </c>
      <c r="G99" s="13" t="str" cm="1">
        <f t="array" ref="G99">_xlfn.IFS(F99&lt;=5,"One_Time",F99&gt;5,"Delayed",F99="Information_Not_given","Pending")</f>
        <v>Delayed</v>
      </c>
    </row>
    <row r="100" spans="1:7" x14ac:dyDescent="0.3">
      <c r="A100" s="12" t="str">
        <f>IF(AND(Sales_Data!P100&gt;=100000,Sales_Data!Q100&gt;=4,Sales_Data!V100="Completed",Sales_Data!O100&lt;=10),"Platinum",IF(AND(Sales_Data!P100&gt;=50000,Sales_Data!Q100&gt;=3,Sales_Data!V100="Completed"),"Gold",IF(AND(Sales_Data!P100&lt;50000,Sales_Data!V100="Completed"),"Silver",IF(OR(Sales_Data!Q100&lt;=2,Sales_Data!V100="Canceled"),"Blacklisted","Others"))))</f>
        <v>Others</v>
      </c>
      <c r="B100" s="4" t="str">
        <f>PROPER(TRIM(Sales_Data!F100))</f>
        <v>Anita Gupta</v>
      </c>
      <c r="C100" s="4" t="str">
        <f>LEFT(B100,3)&amp;RIGHT(Sales_Data!B100,3)&amp;LEFT(Sales_Data!I100,2)</f>
        <v>Ani004De</v>
      </c>
      <c r="D100" s="4" t="str">
        <f>IF(ISNUMBER(SEARCH("@",Sales_Data!T100)),LOWER(Sales_Data!T100),"Invalid_Email")</f>
        <v>anita.gupta@company.com</v>
      </c>
      <c r="E100" s="13">
        <f ca="1">DATEDIF(Sales_Data!H100,TODAY(),"Y")</f>
        <v>39</v>
      </c>
      <c r="F100" s="13">
        <f>IFERROR(DATEDIF(Sales_Data!D100,Sales_Data!E100,"D"),"Information_Not_Given")</f>
        <v>2</v>
      </c>
      <c r="G100" s="13" t="str" cm="1">
        <f t="array" ref="G100">_xlfn.IFS(F100&lt;=5,"One_Time",F100&gt;5,"Delayed",F100="Information_Not_given","Pending")</f>
        <v>One_Time</v>
      </c>
    </row>
    <row r="101" spans="1:7" x14ac:dyDescent="0.3">
      <c r="A101" s="12" t="str">
        <f>IF(AND(Sales_Data!P101&gt;=100000,Sales_Data!Q101&gt;=4,Sales_Data!V101="Completed",Sales_Data!O101&lt;=10),"Platinum",IF(AND(Sales_Data!P101&gt;=50000,Sales_Data!Q101&gt;=3,Sales_Data!V101="Completed"),"Gold",IF(AND(Sales_Data!P101&lt;50000,Sales_Data!V101="Completed"),"Silver",IF(OR(Sales_Data!Q101&lt;=2,Sales_Data!V101="Canceled"),"Blacklisted","Others"))))</f>
        <v>Silver</v>
      </c>
      <c r="B101" s="4" t="str">
        <f>PROPER(TRIM(Sales_Data!F101))</f>
        <v>Arjun Rao</v>
      </c>
      <c r="C101" s="4" t="str">
        <f>LEFT(B101,3)&amp;RIGHT(Sales_Data!B101,3)&amp;LEFT(Sales_Data!I101,2)</f>
        <v>Arj007Be</v>
      </c>
      <c r="D101" s="4" t="str">
        <f>IF(ISNUMBER(SEARCH("@",Sales_Data!T101)),LOWER(Sales_Data!T101),"Invalid_Email")</f>
        <v>arjun.rao@company.com</v>
      </c>
      <c r="E101" s="13">
        <f ca="1">DATEDIF(Sales_Data!H101,TODAY(),"Y")</f>
        <v>44</v>
      </c>
      <c r="F101" s="13">
        <f>IFERROR(DATEDIF(Sales_Data!D101,Sales_Data!E101,"D"),"Information_Not_Given")</f>
        <v>3</v>
      </c>
      <c r="G101" s="13" t="str" cm="1">
        <f t="array" ref="G101">_xlfn.IFS(F101&lt;=5,"One_Time",F101&gt;5,"Delayed",F101="Information_Not_given","Pending")</f>
        <v>One_Time</v>
      </c>
    </row>
    <row r="102" spans="1:7" x14ac:dyDescent="0.3">
      <c r="A102" s="12" t="str">
        <f>IF(AND(Sales_Data!P102&gt;=100000,Sales_Data!Q102&gt;=4,Sales_Data!V102="Completed",Sales_Data!O102&lt;=10),"Platinum",IF(AND(Sales_Data!P102&gt;=50000,Sales_Data!Q102&gt;=3,Sales_Data!V102="Completed"),"Gold",IF(AND(Sales_Data!P102&lt;50000,Sales_Data!V102="Completed"),"Silver",IF(OR(Sales_Data!Q102&lt;=2,Sales_Data!V102="Canceled"),"Blacklisted","Others"))))</f>
        <v>Silver</v>
      </c>
      <c r="B102" s="4" t="str">
        <f>PROPER(TRIM(Sales_Data!F102))</f>
        <v>Rohit Singh</v>
      </c>
      <c r="C102" s="4" t="str">
        <f>LEFT(B102,3)&amp;RIGHT(Sales_Data!B102,3)&amp;LEFT(Sales_Data!I102,2)</f>
        <v>Roh003Ko</v>
      </c>
      <c r="D102" s="4" t="str">
        <f>IF(ISNUMBER(SEARCH("@",Sales_Data!T102)),LOWER(Sales_Data!T102),"Invalid_Email")</f>
        <v>rohit.singh@company.com</v>
      </c>
      <c r="E102" s="13">
        <f ca="1">DATEDIF(Sales_Data!H102,TODAY(),"Y")</f>
        <v>40</v>
      </c>
      <c r="F102" s="13">
        <f>IFERROR(DATEDIF(Sales_Data!D102,Sales_Data!E102,"D"),"Information_Not_Given")</f>
        <v>8</v>
      </c>
      <c r="G102" s="13" t="str" cm="1">
        <f t="array" ref="G102">_xlfn.IFS(F102&lt;=5,"One_Time",F102&gt;5,"Delayed",F102="Information_Not_given","Pending")</f>
        <v>Delayed</v>
      </c>
    </row>
    <row r="103" spans="1:7" x14ac:dyDescent="0.3">
      <c r="A103" s="12" t="str">
        <f>IF(AND(Sales_Data!P103&gt;=100000,Sales_Data!Q103&gt;=4,Sales_Data!V103="Completed",Sales_Data!O103&lt;=10),"Platinum",IF(AND(Sales_Data!P103&gt;=50000,Sales_Data!Q103&gt;=3,Sales_Data!V103="Completed"),"Gold",IF(AND(Sales_Data!P103&lt;50000,Sales_Data!V103="Completed"),"Silver",IF(OR(Sales_Data!Q103&lt;=2,Sales_Data!V103="Canceled"),"Blacklisted","Others"))))</f>
        <v>Silver</v>
      </c>
      <c r="B103" s="4" t="str">
        <f>PROPER(TRIM(Sales_Data!F103))</f>
        <v>Amit Sharma</v>
      </c>
      <c r="C103" s="4" t="str">
        <f>LEFT(B103,3)&amp;RIGHT(Sales_Data!B103,3)&amp;LEFT(Sales_Data!I103,2)</f>
        <v>Ami001Ah</v>
      </c>
      <c r="D103" s="4" t="str">
        <f>IF(ISNUMBER(SEARCH("@",Sales_Data!T103)),LOWER(Sales_Data!T103),"Invalid_Email")</f>
        <v>amit.sharma@company.com</v>
      </c>
      <c r="E103" s="13">
        <f ca="1">DATEDIF(Sales_Data!H103,TODAY(),"Y")</f>
        <v>39</v>
      </c>
      <c r="F103" s="13">
        <f>IFERROR(DATEDIF(Sales_Data!D103,Sales_Data!E103,"D"),"Information_Not_Given")</f>
        <v>9</v>
      </c>
      <c r="G103" s="13" t="str" cm="1">
        <f t="array" ref="G103">_xlfn.IFS(F103&lt;=5,"One_Time",F103&gt;5,"Delayed",F103="Information_Not_given","Pending")</f>
        <v>Delayed</v>
      </c>
    </row>
    <row r="104" spans="1:7" x14ac:dyDescent="0.3">
      <c r="A104" s="12" t="str">
        <f>IF(AND(Sales_Data!P104&gt;=100000,Sales_Data!Q104&gt;=4,Sales_Data!V104="Completed",Sales_Data!O104&lt;=10),"Platinum",IF(AND(Sales_Data!P104&gt;=50000,Sales_Data!Q104&gt;=3,Sales_Data!V104="Completed"),"Gold",IF(AND(Sales_Data!P104&lt;50000,Sales_Data!V104="Completed"),"Silver",IF(OR(Sales_Data!Q104&lt;=2,Sales_Data!V104="Canceled"),"Blacklisted","Others"))))</f>
        <v>Blacklisted</v>
      </c>
      <c r="B104" s="4" t="str">
        <f>PROPER(TRIM(Sales_Data!F104))</f>
        <v>Amit Sharma</v>
      </c>
      <c r="C104" s="4" t="str">
        <f>LEFT(B104,3)&amp;RIGHT(Sales_Data!B104,3)&amp;LEFT(Sales_Data!I104,2)</f>
        <v>Ami001Pu</v>
      </c>
      <c r="D104" s="4" t="str">
        <f>IF(ISNUMBER(SEARCH("@",Sales_Data!T104)),LOWER(Sales_Data!T104),"Invalid_Email")</f>
        <v>amit.sharma@company.com</v>
      </c>
      <c r="E104" s="13">
        <f ca="1">DATEDIF(Sales_Data!H104,TODAY(),"Y")</f>
        <v>22</v>
      </c>
      <c r="F104" s="13">
        <f>IFERROR(DATEDIF(Sales_Data!D104,Sales_Data!E104,"D"),"Information_Not_Given")</f>
        <v>8</v>
      </c>
      <c r="G104" s="13" t="str" cm="1">
        <f t="array" ref="G104">_xlfn.IFS(F104&lt;=5,"One_Time",F104&gt;5,"Delayed",F104="Information_Not_given","Pending")</f>
        <v>Delayed</v>
      </c>
    </row>
    <row r="105" spans="1:7" x14ac:dyDescent="0.3">
      <c r="A105" s="12" t="str">
        <f>IF(AND(Sales_Data!P105&gt;=100000,Sales_Data!Q105&gt;=4,Sales_Data!V105="Completed",Sales_Data!O105&lt;=10),"Platinum",IF(AND(Sales_Data!P105&gt;=50000,Sales_Data!Q105&gt;=3,Sales_Data!V105="Completed"),"Gold",IF(AND(Sales_Data!P105&lt;50000,Sales_Data!V105="Completed"),"Silver",IF(OR(Sales_Data!Q105&lt;=2,Sales_Data!V105="Canceled"),"Blacklisted","Others"))))</f>
        <v>Silver</v>
      </c>
      <c r="B105" s="4" t="str">
        <f>PROPER(TRIM(Sales_Data!F105))</f>
        <v>Sneha Joshi</v>
      </c>
      <c r="C105" s="4" t="str">
        <f>LEFT(B105,3)&amp;RIGHT(Sales_Data!B105,3)&amp;LEFT(Sales_Data!I105,2)</f>
        <v>Sne006Be</v>
      </c>
      <c r="D105" s="4" t="str">
        <f>IF(ISNUMBER(SEARCH("@",Sales_Data!T105)),LOWER(Sales_Data!T105),"Invalid_Email")</f>
        <v>sneha.joshi@company.com</v>
      </c>
      <c r="E105" s="13">
        <f ca="1">DATEDIF(Sales_Data!H105,TODAY(),"Y")</f>
        <v>25</v>
      </c>
      <c r="F105" s="13">
        <f>IFERROR(DATEDIF(Sales_Data!D105,Sales_Data!E105,"D"),"Information_Not_Given")</f>
        <v>7</v>
      </c>
      <c r="G105" s="13" t="str" cm="1">
        <f t="array" ref="G105">_xlfn.IFS(F105&lt;=5,"One_Time",F105&gt;5,"Delayed",F105="Information_Not_given","Pending")</f>
        <v>Delayed</v>
      </c>
    </row>
    <row r="106" spans="1:7" x14ac:dyDescent="0.3">
      <c r="A106" s="12" t="str">
        <f>IF(AND(Sales_Data!P106&gt;=100000,Sales_Data!Q106&gt;=4,Sales_Data!V106="Completed",Sales_Data!O106&lt;=10),"Platinum",IF(AND(Sales_Data!P106&gt;=50000,Sales_Data!Q106&gt;=3,Sales_Data!V106="Completed"),"Gold",IF(AND(Sales_Data!P106&lt;50000,Sales_Data!V106="Completed"),"Silver",IF(OR(Sales_Data!Q106&lt;=2,Sales_Data!V106="Canceled"),"Blacklisted","Others"))))</f>
        <v>Others</v>
      </c>
      <c r="B106" s="4" t="str">
        <f>PROPER(TRIM(Sales_Data!F106))</f>
        <v>Arjun Rao</v>
      </c>
      <c r="C106" s="4" t="str">
        <f>LEFT(B106,3)&amp;RIGHT(Sales_Data!B106,3)&amp;LEFT(Sales_Data!I106,2)</f>
        <v>Arj007Mu</v>
      </c>
      <c r="D106" s="4" t="str">
        <f>IF(ISNUMBER(SEARCH("@",Sales_Data!T106)),LOWER(Sales_Data!T106),"Invalid_Email")</f>
        <v>arjun.rao@company.com</v>
      </c>
      <c r="E106" s="13">
        <f ca="1">DATEDIF(Sales_Data!H106,TODAY(),"Y")</f>
        <v>30</v>
      </c>
      <c r="F106" s="13">
        <f>IFERROR(DATEDIF(Sales_Data!D106,Sales_Data!E106,"D"),"Information_Not_Given")</f>
        <v>1</v>
      </c>
      <c r="G106" s="13" t="str" cm="1">
        <f t="array" ref="G106">_xlfn.IFS(F106&lt;=5,"One_Time",F106&gt;5,"Delayed",F106="Information_Not_given","Pending")</f>
        <v>One_Time</v>
      </c>
    </row>
    <row r="107" spans="1:7" x14ac:dyDescent="0.3">
      <c r="A107" s="12" t="str">
        <f>IF(AND(Sales_Data!P107&gt;=100000,Sales_Data!Q107&gt;=4,Sales_Data!V107="Completed",Sales_Data!O107&lt;=10),"Platinum",IF(AND(Sales_Data!P107&gt;=50000,Sales_Data!Q107&gt;=3,Sales_Data!V107="Completed"),"Gold",IF(AND(Sales_Data!P107&lt;50000,Sales_Data!V107="Completed"),"Silver",IF(OR(Sales_Data!Q107&lt;=2,Sales_Data!V107="Canceled"),"Blacklisted","Others"))))</f>
        <v>Others</v>
      </c>
      <c r="B107" s="4" t="str">
        <f>PROPER(TRIM(Sales_Data!F107))</f>
        <v>Pooja Shah</v>
      </c>
      <c r="C107" s="4" t="str">
        <f>LEFT(B107,3)&amp;RIGHT(Sales_Data!B107,3)&amp;LEFT(Sales_Data!I107,2)</f>
        <v>Poo010De</v>
      </c>
      <c r="D107" s="4" t="str">
        <f>IF(ISNUMBER(SEARCH("@",Sales_Data!T107)),LOWER(Sales_Data!T107),"Invalid_Email")</f>
        <v>pooja.shah@company.com</v>
      </c>
      <c r="E107" s="13">
        <f ca="1">DATEDIF(Sales_Data!H107,TODAY(),"Y")</f>
        <v>47</v>
      </c>
      <c r="F107" s="13">
        <f>IFERROR(DATEDIF(Sales_Data!D107,Sales_Data!E107,"D"),"Information_Not_Given")</f>
        <v>4</v>
      </c>
      <c r="G107" s="13" t="str" cm="1">
        <f t="array" ref="G107">_xlfn.IFS(F107&lt;=5,"One_Time",F107&gt;5,"Delayed",F107="Information_Not_given","Pending")</f>
        <v>One_Time</v>
      </c>
    </row>
    <row r="108" spans="1:7" x14ac:dyDescent="0.3">
      <c r="A108" s="12" t="str">
        <f>IF(AND(Sales_Data!P108&gt;=100000,Sales_Data!Q108&gt;=4,Sales_Data!V108="Completed",Sales_Data!O108&lt;=10),"Platinum",IF(AND(Sales_Data!P108&gt;=50000,Sales_Data!Q108&gt;=3,Sales_Data!V108="Completed"),"Gold",IF(AND(Sales_Data!P108&lt;50000,Sales_Data!V108="Completed"),"Silver",IF(OR(Sales_Data!Q108&lt;=2,Sales_Data!V108="Canceled"),"Blacklisted","Others"))))</f>
        <v>Blacklisted</v>
      </c>
      <c r="B108" s="4" t="str">
        <f>PROPER(TRIM(Sales_Data!F108))</f>
        <v>Priya Patel</v>
      </c>
      <c r="C108" s="4" t="str">
        <f>LEFT(B108,3)&amp;RIGHT(Sales_Data!B108,3)&amp;LEFT(Sales_Data!I108,2)</f>
        <v>Pri002De</v>
      </c>
      <c r="D108" s="4" t="str">
        <f>IF(ISNUMBER(SEARCH("@",Sales_Data!T108)),LOWER(Sales_Data!T108),"Invalid_Email")</f>
        <v>priya.patel@company.com</v>
      </c>
      <c r="E108" s="13">
        <f ca="1">DATEDIF(Sales_Data!H108,TODAY(),"Y")</f>
        <v>40</v>
      </c>
      <c r="F108" s="13">
        <f>IFERROR(DATEDIF(Sales_Data!D108,Sales_Data!E108,"D"),"Information_Not_Given")</f>
        <v>1</v>
      </c>
      <c r="G108" s="13" t="str" cm="1">
        <f t="array" ref="G108">_xlfn.IFS(F108&lt;=5,"One_Time",F108&gt;5,"Delayed",F108="Information_Not_given","Pending")</f>
        <v>One_Time</v>
      </c>
    </row>
    <row r="109" spans="1:7" x14ac:dyDescent="0.3">
      <c r="A109" s="12" t="str">
        <f>IF(AND(Sales_Data!P109&gt;=100000,Sales_Data!Q109&gt;=4,Sales_Data!V109="Completed",Sales_Data!O109&lt;=10),"Platinum",IF(AND(Sales_Data!P109&gt;=50000,Sales_Data!Q109&gt;=3,Sales_Data!V109="Completed"),"Gold",IF(AND(Sales_Data!P109&lt;50000,Sales_Data!V109="Completed"),"Silver",IF(OR(Sales_Data!Q109&lt;=2,Sales_Data!V109="Canceled"),"Blacklisted","Others"))))</f>
        <v>Others</v>
      </c>
      <c r="B109" s="4" t="str">
        <f>PROPER(TRIM(Sales_Data!F109))</f>
        <v>Vikas Mehta</v>
      </c>
      <c r="C109" s="4" t="str">
        <f>LEFT(B109,3)&amp;RIGHT(Sales_Data!B109,3)&amp;LEFT(Sales_Data!I109,2)</f>
        <v>Vik005Mu</v>
      </c>
      <c r="D109" s="4" t="str">
        <f>IF(ISNUMBER(SEARCH("@",Sales_Data!T109)),LOWER(Sales_Data!T109),"Invalid_Email")</f>
        <v>vikas.mehta@company.com</v>
      </c>
      <c r="E109" s="13">
        <f ca="1">DATEDIF(Sales_Data!H109,TODAY(),"Y")</f>
        <v>34</v>
      </c>
      <c r="F109" s="13">
        <f>IFERROR(DATEDIF(Sales_Data!D109,Sales_Data!E109,"D"),"Information_Not_Given")</f>
        <v>5</v>
      </c>
      <c r="G109" s="13" t="str" cm="1">
        <f t="array" ref="G109">_xlfn.IFS(F109&lt;=5,"One_Time",F109&gt;5,"Delayed",F109="Information_Not_given","Pending")</f>
        <v>One_Time</v>
      </c>
    </row>
    <row r="110" spans="1:7" x14ac:dyDescent="0.3">
      <c r="A110" s="12" t="str">
        <f>IF(AND(Sales_Data!P110&gt;=100000,Sales_Data!Q110&gt;=4,Sales_Data!V110="Completed",Sales_Data!O110&lt;=10),"Platinum",IF(AND(Sales_Data!P110&gt;=50000,Sales_Data!Q110&gt;=3,Sales_Data!V110="Completed"),"Gold",IF(AND(Sales_Data!P110&lt;50000,Sales_Data!V110="Completed"),"Silver",IF(OR(Sales_Data!Q110&lt;=2,Sales_Data!V110="Canceled"),"Blacklisted","Others"))))</f>
        <v>Silver</v>
      </c>
      <c r="B110" s="4" t="str">
        <f>PROPER(TRIM(Sales_Data!F110))</f>
        <v>Arjun Rao</v>
      </c>
      <c r="C110" s="4" t="str">
        <f>LEFT(B110,3)&amp;RIGHT(Sales_Data!B110,3)&amp;LEFT(Sales_Data!I110,2)</f>
        <v>Arj007Ja</v>
      </c>
      <c r="D110" s="4" t="str">
        <f>IF(ISNUMBER(SEARCH("@",Sales_Data!T110)),LOWER(Sales_Data!T110),"Invalid_Email")</f>
        <v>arjun.rao@company.com</v>
      </c>
      <c r="E110" s="13">
        <f ca="1">DATEDIF(Sales_Data!H110,TODAY(),"Y")</f>
        <v>33</v>
      </c>
      <c r="F110" s="13">
        <f>IFERROR(DATEDIF(Sales_Data!D110,Sales_Data!E110,"D"),"Information_Not_Given")</f>
        <v>2</v>
      </c>
      <c r="G110" s="13" t="str" cm="1">
        <f t="array" ref="G110">_xlfn.IFS(F110&lt;=5,"One_Time",F110&gt;5,"Delayed",F110="Information_Not_given","Pending")</f>
        <v>One_Time</v>
      </c>
    </row>
    <row r="111" spans="1:7" x14ac:dyDescent="0.3">
      <c r="A111" s="12" t="str">
        <f>IF(AND(Sales_Data!P111&gt;=100000,Sales_Data!Q111&gt;=4,Sales_Data!V111="Completed",Sales_Data!O111&lt;=10),"Platinum",IF(AND(Sales_Data!P111&gt;=50000,Sales_Data!Q111&gt;=3,Sales_Data!V111="Completed"),"Gold",IF(AND(Sales_Data!P111&lt;50000,Sales_Data!V111="Completed"),"Silver",IF(OR(Sales_Data!Q111&lt;=2,Sales_Data!V111="Canceled"),"Blacklisted","Others"))))</f>
        <v>Others</v>
      </c>
      <c r="B111" s="4" t="str">
        <f>PROPER(TRIM(Sales_Data!F111))</f>
        <v>Vikas Mehta</v>
      </c>
      <c r="C111" s="4" t="str">
        <f>LEFT(B111,3)&amp;RIGHT(Sales_Data!B111,3)&amp;LEFT(Sales_Data!I111,2)</f>
        <v>Vik005Be</v>
      </c>
      <c r="D111" s="4" t="str">
        <f>IF(ISNUMBER(SEARCH("@",Sales_Data!T111)),LOWER(Sales_Data!T111),"Invalid_Email")</f>
        <v>vikas.mehta@company.com</v>
      </c>
      <c r="E111" s="13">
        <f ca="1">DATEDIF(Sales_Data!H111,TODAY(),"Y")</f>
        <v>49</v>
      </c>
      <c r="F111" s="13">
        <f>IFERROR(DATEDIF(Sales_Data!D111,Sales_Data!E111,"D"),"Information_Not_Given")</f>
        <v>8</v>
      </c>
      <c r="G111" s="13" t="str" cm="1">
        <f t="array" ref="G111">_xlfn.IFS(F111&lt;=5,"One_Time",F111&gt;5,"Delayed",F111="Information_Not_given","Pending")</f>
        <v>Delayed</v>
      </c>
    </row>
    <row r="112" spans="1:7" x14ac:dyDescent="0.3">
      <c r="A112" s="12" t="str">
        <f>IF(AND(Sales_Data!P112&gt;=100000,Sales_Data!Q112&gt;=4,Sales_Data!V112="Completed",Sales_Data!O112&lt;=10),"Platinum",IF(AND(Sales_Data!P112&gt;=50000,Sales_Data!Q112&gt;=3,Sales_Data!V112="Completed"),"Gold",IF(AND(Sales_Data!P112&lt;50000,Sales_Data!V112="Completed"),"Silver",IF(OR(Sales_Data!Q112&lt;=2,Sales_Data!V112="Canceled"),"Blacklisted","Others"))))</f>
        <v>Blacklisted</v>
      </c>
      <c r="B112" s="4" t="str">
        <f>PROPER(TRIM(Sales_Data!F112))</f>
        <v>Rohit Singh</v>
      </c>
      <c r="C112" s="4" t="str">
        <f>LEFT(B112,3)&amp;RIGHT(Sales_Data!B112,3)&amp;LEFT(Sales_Data!I112,2)</f>
        <v>Roh003Hy</v>
      </c>
      <c r="D112" s="4" t="str">
        <f>IF(ISNUMBER(SEARCH("@",Sales_Data!T112)),LOWER(Sales_Data!T112),"Invalid_Email")</f>
        <v>rohit.singh@company.com</v>
      </c>
      <c r="E112" s="13">
        <f ca="1">DATEDIF(Sales_Data!H112,TODAY(),"Y")</f>
        <v>41</v>
      </c>
      <c r="F112" s="13">
        <f>IFERROR(DATEDIF(Sales_Data!D112,Sales_Data!E112,"D"),"Information_Not_Given")</f>
        <v>6</v>
      </c>
      <c r="G112" s="13" t="str" cm="1">
        <f t="array" ref="G112">_xlfn.IFS(F112&lt;=5,"One_Time",F112&gt;5,"Delayed",F112="Information_Not_given","Pending")</f>
        <v>Delayed</v>
      </c>
    </row>
    <row r="113" spans="1:7" x14ac:dyDescent="0.3">
      <c r="A113" s="12" t="str">
        <f>IF(AND(Sales_Data!P113&gt;=100000,Sales_Data!Q113&gt;=4,Sales_Data!V113="Completed",Sales_Data!O113&lt;=10),"Platinum",IF(AND(Sales_Data!P113&gt;=50000,Sales_Data!Q113&gt;=3,Sales_Data!V113="Completed"),"Gold",IF(AND(Sales_Data!P113&lt;50000,Sales_Data!V113="Completed"),"Silver",IF(OR(Sales_Data!Q113&lt;=2,Sales_Data!V113="Canceled"),"Blacklisted","Others"))))</f>
        <v>Silver</v>
      </c>
      <c r="B113" s="4" t="str">
        <f>PROPER(TRIM(Sales_Data!F113))</f>
        <v>Rohit Singh</v>
      </c>
      <c r="C113" s="4" t="str">
        <f>LEFT(B113,3)&amp;RIGHT(Sales_Data!B113,3)&amp;LEFT(Sales_Data!I113,2)</f>
        <v>Roh003Ko</v>
      </c>
      <c r="D113" s="4" t="str">
        <f>IF(ISNUMBER(SEARCH("@",Sales_Data!T113)),LOWER(Sales_Data!T113),"Invalid_Email")</f>
        <v>rohit.singh@company.com</v>
      </c>
      <c r="E113" s="13">
        <f ca="1">DATEDIF(Sales_Data!H113,TODAY(),"Y")</f>
        <v>25</v>
      </c>
      <c r="F113" s="13">
        <f>IFERROR(DATEDIF(Sales_Data!D113,Sales_Data!E113,"D"),"Information_Not_Given")</f>
        <v>9</v>
      </c>
      <c r="G113" s="13" t="str" cm="1">
        <f t="array" ref="G113">_xlfn.IFS(F113&lt;=5,"One_Time",F113&gt;5,"Delayed",F113="Information_Not_given","Pending")</f>
        <v>Delayed</v>
      </c>
    </row>
    <row r="114" spans="1:7" x14ac:dyDescent="0.3">
      <c r="A114" s="12" t="str">
        <f>IF(AND(Sales_Data!P114&gt;=100000,Sales_Data!Q114&gt;=4,Sales_Data!V114="Completed",Sales_Data!O114&lt;=10),"Platinum",IF(AND(Sales_Data!P114&gt;=50000,Sales_Data!Q114&gt;=3,Sales_Data!V114="Completed"),"Gold",IF(AND(Sales_Data!P114&lt;50000,Sales_Data!V114="Completed"),"Silver",IF(OR(Sales_Data!Q114&lt;=2,Sales_Data!V114="Canceled"),"Blacklisted","Others"))))</f>
        <v>Blacklisted</v>
      </c>
      <c r="B114" s="4" t="str">
        <f>PROPER(TRIM(Sales_Data!F114))</f>
        <v>Pooja Shah</v>
      </c>
      <c r="C114" s="4" t="str">
        <f>LEFT(B114,3)&amp;RIGHT(Sales_Data!B114,3)&amp;LEFT(Sales_Data!I114,2)</f>
        <v>Poo010Hy</v>
      </c>
      <c r="D114" s="4" t="str">
        <f>IF(ISNUMBER(SEARCH("@",Sales_Data!T114)),LOWER(Sales_Data!T114),"Invalid_Email")</f>
        <v>pooja.shah@company.com</v>
      </c>
      <c r="E114" s="13">
        <f ca="1">DATEDIF(Sales_Data!H114,TODAY(),"Y")</f>
        <v>40</v>
      </c>
      <c r="F114" s="13">
        <f>IFERROR(DATEDIF(Sales_Data!D114,Sales_Data!E114,"D"),"Information_Not_Given")</f>
        <v>7</v>
      </c>
      <c r="G114" s="13" t="str" cm="1">
        <f t="array" ref="G114">_xlfn.IFS(F114&lt;=5,"One_Time",F114&gt;5,"Delayed",F114="Information_Not_given","Pending")</f>
        <v>Delayed</v>
      </c>
    </row>
    <row r="115" spans="1:7" x14ac:dyDescent="0.3">
      <c r="A115" s="12" t="str">
        <f>IF(AND(Sales_Data!P115&gt;=100000,Sales_Data!Q115&gt;=4,Sales_Data!V115="Completed",Sales_Data!O115&lt;=10),"Platinum",IF(AND(Sales_Data!P115&gt;=50000,Sales_Data!Q115&gt;=3,Sales_Data!V115="Completed"),"Gold",IF(AND(Sales_Data!P115&lt;50000,Sales_Data!V115="Completed"),"Silver",IF(OR(Sales_Data!Q115&lt;=2,Sales_Data!V115="Canceled"),"Blacklisted","Others"))))</f>
        <v>Silver</v>
      </c>
      <c r="B115" s="4" t="str">
        <f>PROPER(TRIM(Sales_Data!F115))</f>
        <v>Vikas Mehta</v>
      </c>
      <c r="C115" s="4" t="str">
        <f>LEFT(B115,3)&amp;RIGHT(Sales_Data!B115,3)&amp;LEFT(Sales_Data!I115,2)</f>
        <v>Vik005Pu</v>
      </c>
      <c r="D115" s="4" t="str">
        <f>IF(ISNUMBER(SEARCH("@",Sales_Data!T115)),LOWER(Sales_Data!T115),"Invalid_Email")</f>
        <v>vikas.mehta@company.com</v>
      </c>
      <c r="E115" s="13">
        <f ca="1">DATEDIF(Sales_Data!H115,TODAY(),"Y")</f>
        <v>36</v>
      </c>
      <c r="F115" s="13">
        <f>IFERROR(DATEDIF(Sales_Data!D115,Sales_Data!E115,"D"),"Information_Not_Given")</f>
        <v>5</v>
      </c>
      <c r="G115" s="13" t="str" cm="1">
        <f t="array" ref="G115">_xlfn.IFS(F115&lt;=5,"One_Time",F115&gt;5,"Delayed",F115="Information_Not_given","Pending")</f>
        <v>One_Time</v>
      </c>
    </row>
    <row r="116" spans="1:7" x14ac:dyDescent="0.3">
      <c r="A116" s="12" t="str">
        <f>IF(AND(Sales_Data!P116&gt;=100000,Sales_Data!Q116&gt;=4,Sales_Data!V116="Completed",Sales_Data!O116&lt;=10),"Platinum",IF(AND(Sales_Data!P116&gt;=50000,Sales_Data!Q116&gt;=3,Sales_Data!V116="Completed"),"Gold",IF(AND(Sales_Data!P116&lt;50000,Sales_Data!V116="Completed"),"Silver",IF(OR(Sales_Data!Q116&lt;=2,Sales_Data!V116="Canceled"),"Blacklisted","Others"))))</f>
        <v>Silver</v>
      </c>
      <c r="B116" s="4" t="str">
        <f>PROPER(TRIM(Sales_Data!F116))</f>
        <v>Pooja Shah</v>
      </c>
      <c r="C116" s="4" t="str">
        <f>LEFT(B116,3)&amp;RIGHT(Sales_Data!B116,3)&amp;LEFT(Sales_Data!I116,2)</f>
        <v>Poo010Ko</v>
      </c>
      <c r="D116" s="4" t="str">
        <f>IF(ISNUMBER(SEARCH("@",Sales_Data!T116)),LOWER(Sales_Data!T116),"Invalid_Email")</f>
        <v>pooja.shah@company.com</v>
      </c>
      <c r="E116" s="13">
        <f ca="1">DATEDIF(Sales_Data!H116,TODAY(),"Y")</f>
        <v>32</v>
      </c>
      <c r="F116" s="13">
        <f>IFERROR(DATEDIF(Sales_Data!D116,Sales_Data!E116,"D"),"Information_Not_Given")</f>
        <v>11</v>
      </c>
      <c r="G116" s="13" t="str" cm="1">
        <f t="array" ref="G116">_xlfn.IFS(F116&lt;=5,"One_Time",F116&gt;5,"Delayed",F116="Information_Not_given","Pending")</f>
        <v>Delayed</v>
      </c>
    </row>
    <row r="117" spans="1:7" x14ac:dyDescent="0.3">
      <c r="A117" s="12" t="str">
        <f>IF(AND(Sales_Data!P117&gt;=100000,Sales_Data!Q117&gt;=4,Sales_Data!V117="Completed",Sales_Data!O117&lt;=10),"Platinum",IF(AND(Sales_Data!P117&gt;=50000,Sales_Data!Q117&gt;=3,Sales_Data!V117="Completed"),"Gold",IF(AND(Sales_Data!P117&lt;50000,Sales_Data!V117="Completed"),"Silver",IF(OR(Sales_Data!Q117&lt;=2,Sales_Data!V117="Canceled"),"Blacklisted","Others"))))</f>
        <v>Silver</v>
      </c>
      <c r="B117" s="4" t="str">
        <f>PROPER(TRIM(Sales_Data!F117))</f>
        <v>Anita Gupta</v>
      </c>
      <c r="C117" s="4" t="str">
        <f>LEFT(B117,3)&amp;RIGHT(Sales_Data!B117,3)&amp;LEFT(Sales_Data!I117,2)</f>
        <v>Ani004De</v>
      </c>
      <c r="D117" s="4" t="str">
        <f>IF(ISNUMBER(SEARCH("@",Sales_Data!T117)),LOWER(Sales_Data!T117),"Invalid_Email")</f>
        <v>anita.gupta@company.com</v>
      </c>
      <c r="E117" s="13">
        <f ca="1">DATEDIF(Sales_Data!H117,TODAY(),"Y")</f>
        <v>34</v>
      </c>
      <c r="F117" s="13">
        <f>IFERROR(DATEDIF(Sales_Data!D117,Sales_Data!E117,"D"),"Information_Not_Given")</f>
        <v>4</v>
      </c>
      <c r="G117" s="13" t="str" cm="1">
        <f t="array" ref="G117">_xlfn.IFS(F117&lt;=5,"One_Time",F117&gt;5,"Delayed",F117="Information_Not_given","Pending")</f>
        <v>One_Time</v>
      </c>
    </row>
    <row r="118" spans="1:7" x14ac:dyDescent="0.3">
      <c r="A118" s="12" t="str">
        <f>IF(AND(Sales_Data!P118&gt;=100000,Sales_Data!Q118&gt;=4,Sales_Data!V118="Completed",Sales_Data!O118&lt;=10),"Platinum",IF(AND(Sales_Data!P118&gt;=50000,Sales_Data!Q118&gt;=3,Sales_Data!V118="Completed"),"Gold",IF(AND(Sales_Data!P118&lt;50000,Sales_Data!V118="Completed"),"Silver",IF(OR(Sales_Data!Q118&lt;=2,Sales_Data!V118="Canceled"),"Blacklisted","Others"))))</f>
        <v>Others</v>
      </c>
      <c r="B118" s="4" t="str">
        <f>PROPER(TRIM(Sales_Data!F118))</f>
        <v>Priya Patel</v>
      </c>
      <c r="C118" s="4" t="str">
        <f>LEFT(B118,3)&amp;RIGHT(Sales_Data!B118,3)&amp;LEFT(Sales_Data!I118,2)</f>
        <v>Pri002Be</v>
      </c>
      <c r="D118" s="4" t="str">
        <f>IF(ISNUMBER(SEARCH("@",Sales_Data!T118)),LOWER(Sales_Data!T118),"Invalid_Email")</f>
        <v>priya.patel@company.com</v>
      </c>
      <c r="E118" s="13">
        <f ca="1">DATEDIF(Sales_Data!H118,TODAY(),"Y")</f>
        <v>46</v>
      </c>
      <c r="F118" s="13">
        <f>IFERROR(DATEDIF(Sales_Data!D118,Sales_Data!E118,"D"),"Information_Not_Given")</f>
        <v>7</v>
      </c>
      <c r="G118" s="13" t="str" cm="1">
        <f t="array" ref="G118">_xlfn.IFS(F118&lt;=5,"One_Time",F118&gt;5,"Delayed",F118="Information_Not_given","Pending")</f>
        <v>Delayed</v>
      </c>
    </row>
    <row r="119" spans="1:7" x14ac:dyDescent="0.3">
      <c r="A119" s="12" t="str">
        <f>IF(AND(Sales_Data!P119&gt;=100000,Sales_Data!Q119&gt;=4,Sales_Data!V119="Completed",Sales_Data!O119&lt;=10),"Platinum",IF(AND(Sales_Data!P119&gt;=50000,Sales_Data!Q119&gt;=3,Sales_Data!V119="Completed"),"Gold",IF(AND(Sales_Data!P119&lt;50000,Sales_Data!V119="Completed"),"Silver",IF(OR(Sales_Data!Q119&lt;=2,Sales_Data!V119="Canceled"),"Blacklisted","Others"))))</f>
        <v>Silver</v>
      </c>
      <c r="B119" s="4" t="str">
        <f>PROPER(TRIM(Sales_Data!F119))</f>
        <v>Amit Sharma</v>
      </c>
      <c r="C119" s="4" t="str">
        <f>LEFT(B119,3)&amp;RIGHT(Sales_Data!B119,3)&amp;LEFT(Sales_Data!I119,2)</f>
        <v>Ami001Pu</v>
      </c>
      <c r="D119" s="4" t="str">
        <f>IF(ISNUMBER(SEARCH("@",Sales_Data!T119)),LOWER(Sales_Data!T119),"Invalid_Email")</f>
        <v>amit.sharma@company.com</v>
      </c>
      <c r="E119" s="13">
        <f ca="1">DATEDIF(Sales_Data!H119,TODAY(),"Y")</f>
        <v>31</v>
      </c>
      <c r="F119" s="13">
        <f>IFERROR(DATEDIF(Sales_Data!D119,Sales_Data!E119,"D"),"Information_Not_Given")</f>
        <v>11</v>
      </c>
      <c r="G119" s="13" t="str" cm="1">
        <f t="array" ref="G119">_xlfn.IFS(F119&lt;=5,"One_Time",F119&gt;5,"Delayed",F119="Information_Not_given","Pending")</f>
        <v>Delayed</v>
      </c>
    </row>
    <row r="120" spans="1:7" x14ac:dyDescent="0.3">
      <c r="A120" s="12" t="str">
        <f>IF(AND(Sales_Data!P120&gt;=100000,Sales_Data!Q120&gt;=4,Sales_Data!V120="Completed",Sales_Data!O120&lt;=10),"Platinum",IF(AND(Sales_Data!P120&gt;=50000,Sales_Data!Q120&gt;=3,Sales_Data!V120="Completed"),"Gold",IF(AND(Sales_Data!P120&lt;50000,Sales_Data!V120="Completed"),"Silver",IF(OR(Sales_Data!Q120&lt;=2,Sales_Data!V120="Canceled"),"Blacklisted","Others"))))</f>
        <v>Others</v>
      </c>
      <c r="B120" s="4" t="str">
        <f>PROPER(TRIM(Sales_Data!F120))</f>
        <v>Mohit Verma</v>
      </c>
      <c r="C120" s="4" t="str">
        <f>LEFT(B120,3)&amp;RIGHT(Sales_Data!B120,3)&amp;LEFT(Sales_Data!I120,2)</f>
        <v>Moh009Ah</v>
      </c>
      <c r="D120" s="4" t="str">
        <f>IF(ISNUMBER(SEARCH("@",Sales_Data!T120)),LOWER(Sales_Data!T120),"Invalid_Email")</f>
        <v>mohit.verma@company.com</v>
      </c>
      <c r="E120" s="13">
        <f ca="1">DATEDIF(Sales_Data!H120,TODAY(),"Y")</f>
        <v>38</v>
      </c>
      <c r="F120" s="13">
        <f>IFERROR(DATEDIF(Sales_Data!D120,Sales_Data!E120,"D"),"Information_Not_Given")</f>
        <v>3</v>
      </c>
      <c r="G120" s="13" t="str" cm="1">
        <f t="array" ref="G120">_xlfn.IFS(F120&lt;=5,"One_Time",F120&gt;5,"Delayed",F120="Information_Not_given","Pending")</f>
        <v>One_Time</v>
      </c>
    </row>
    <row r="121" spans="1:7" x14ac:dyDescent="0.3">
      <c r="A121" s="12" t="str">
        <f>IF(AND(Sales_Data!P121&gt;=100000,Sales_Data!Q121&gt;=4,Sales_Data!V121="Completed",Sales_Data!O121&lt;=10),"Platinum",IF(AND(Sales_Data!P121&gt;=50000,Sales_Data!Q121&gt;=3,Sales_Data!V121="Completed"),"Gold",IF(AND(Sales_Data!P121&lt;50000,Sales_Data!V121="Completed"),"Silver",IF(OR(Sales_Data!Q121&lt;=2,Sales_Data!V121="Canceled"),"Blacklisted","Others"))))</f>
        <v>Blacklisted</v>
      </c>
      <c r="B121" s="4" t="str">
        <f>PROPER(TRIM(Sales_Data!F121))</f>
        <v>Priya Patel</v>
      </c>
      <c r="C121" s="4" t="str">
        <f>LEFT(B121,3)&amp;RIGHT(Sales_Data!B121,3)&amp;LEFT(Sales_Data!I121,2)</f>
        <v>Pri002Ja</v>
      </c>
      <c r="D121" s="4" t="str">
        <f>IF(ISNUMBER(SEARCH("@",Sales_Data!T121)),LOWER(Sales_Data!T121),"Invalid_Email")</f>
        <v>priya.patel@company.com</v>
      </c>
      <c r="E121" s="13">
        <f ca="1">DATEDIF(Sales_Data!H121,TODAY(),"Y")</f>
        <v>37</v>
      </c>
      <c r="F121" s="13">
        <f>IFERROR(DATEDIF(Sales_Data!D121,Sales_Data!E121,"D"),"Information_Not_Given")</f>
        <v>11</v>
      </c>
      <c r="G121" s="13" t="str" cm="1">
        <f t="array" ref="G121">_xlfn.IFS(F121&lt;=5,"One_Time",F121&gt;5,"Delayed",F121="Information_Not_given","Pending")</f>
        <v>Delayed</v>
      </c>
    </row>
    <row r="122" spans="1:7" x14ac:dyDescent="0.3">
      <c r="A122" s="12" t="str">
        <f>IF(AND(Sales_Data!P122&gt;=100000,Sales_Data!Q122&gt;=4,Sales_Data!V122="Completed",Sales_Data!O122&lt;=10),"Platinum",IF(AND(Sales_Data!P122&gt;=50000,Sales_Data!Q122&gt;=3,Sales_Data!V122="Completed"),"Gold",IF(AND(Sales_Data!P122&lt;50000,Sales_Data!V122="Completed"),"Silver",IF(OR(Sales_Data!Q122&lt;=2,Sales_Data!V122="Canceled"),"Blacklisted","Others"))))</f>
        <v>Gold</v>
      </c>
      <c r="B122" s="4" t="str">
        <f>PROPER(TRIM(Sales_Data!F122))</f>
        <v>Rohit Singh</v>
      </c>
      <c r="C122" s="4" t="str">
        <f>LEFT(B122,3)&amp;RIGHT(Sales_Data!B122,3)&amp;LEFT(Sales_Data!I122,2)</f>
        <v>Roh003Pu</v>
      </c>
      <c r="D122" s="4" t="str">
        <f>IF(ISNUMBER(SEARCH("@",Sales_Data!T122)),LOWER(Sales_Data!T122),"Invalid_Email")</f>
        <v>rohit.singh@company.com</v>
      </c>
      <c r="E122" s="13">
        <f ca="1">DATEDIF(Sales_Data!H122,TODAY(),"Y")</f>
        <v>32</v>
      </c>
      <c r="F122" s="13">
        <f>IFERROR(DATEDIF(Sales_Data!D122,Sales_Data!E122,"D"),"Information_Not_Given")</f>
        <v>2</v>
      </c>
      <c r="G122" s="13" t="str" cm="1">
        <f t="array" ref="G122">_xlfn.IFS(F122&lt;=5,"One_Time",F122&gt;5,"Delayed",F122="Information_Not_given","Pending")</f>
        <v>One_Time</v>
      </c>
    </row>
    <row r="123" spans="1:7" x14ac:dyDescent="0.3">
      <c r="A123" s="12" t="str">
        <f>IF(AND(Sales_Data!P123&gt;=100000,Sales_Data!Q123&gt;=4,Sales_Data!V123="Completed",Sales_Data!O123&lt;=10),"Platinum",IF(AND(Sales_Data!P123&gt;=50000,Sales_Data!Q123&gt;=3,Sales_Data!V123="Completed"),"Gold",IF(AND(Sales_Data!P123&lt;50000,Sales_Data!V123="Completed"),"Silver",IF(OR(Sales_Data!Q123&lt;=2,Sales_Data!V123="Canceled"),"Blacklisted","Others"))))</f>
        <v>Others</v>
      </c>
      <c r="B123" s="4" t="str">
        <f>PROPER(TRIM(Sales_Data!F123))</f>
        <v>Arjun Rao</v>
      </c>
      <c r="C123" s="4" t="str">
        <f>LEFT(B123,3)&amp;RIGHT(Sales_Data!B123,3)&amp;LEFT(Sales_Data!I123,2)</f>
        <v>Arj007Be</v>
      </c>
      <c r="D123" s="4" t="str">
        <f>IF(ISNUMBER(SEARCH("@",Sales_Data!T123)),LOWER(Sales_Data!T123),"Invalid_Email")</f>
        <v>arjun.rao@company.com</v>
      </c>
      <c r="E123" s="13">
        <f ca="1">DATEDIF(Sales_Data!H123,TODAY(),"Y")</f>
        <v>26</v>
      </c>
      <c r="F123" s="13">
        <f>IFERROR(DATEDIF(Sales_Data!D123,Sales_Data!E123,"D"),"Information_Not_Given")</f>
        <v>10</v>
      </c>
      <c r="G123" s="13" t="str" cm="1">
        <f t="array" ref="G123">_xlfn.IFS(F123&lt;=5,"One_Time",F123&gt;5,"Delayed",F123="Information_Not_given","Pending")</f>
        <v>Delayed</v>
      </c>
    </row>
    <row r="124" spans="1:7" x14ac:dyDescent="0.3">
      <c r="A124" s="12" t="str">
        <f>IF(AND(Sales_Data!P124&gt;=100000,Sales_Data!Q124&gt;=4,Sales_Data!V124="Completed",Sales_Data!O124&lt;=10),"Platinum",IF(AND(Sales_Data!P124&gt;=50000,Sales_Data!Q124&gt;=3,Sales_Data!V124="Completed"),"Gold",IF(AND(Sales_Data!P124&lt;50000,Sales_Data!V124="Completed"),"Silver",IF(OR(Sales_Data!Q124&lt;=2,Sales_Data!V124="Canceled"),"Blacklisted","Others"))))</f>
        <v>Others</v>
      </c>
      <c r="B124" s="4" t="str">
        <f>PROPER(TRIM(Sales_Data!F124))</f>
        <v>Amit Sharma</v>
      </c>
      <c r="C124" s="4" t="str">
        <f>LEFT(B124,3)&amp;RIGHT(Sales_Data!B124,3)&amp;LEFT(Sales_Data!I124,2)</f>
        <v>Ami001Ja</v>
      </c>
      <c r="D124" s="4" t="str">
        <f>IF(ISNUMBER(SEARCH("@",Sales_Data!T124)),LOWER(Sales_Data!T124),"Invalid_Email")</f>
        <v>amit.sharma@company.com</v>
      </c>
      <c r="E124" s="13">
        <f ca="1">DATEDIF(Sales_Data!H124,TODAY(),"Y")</f>
        <v>40</v>
      </c>
      <c r="F124" s="13">
        <f>IFERROR(DATEDIF(Sales_Data!D124,Sales_Data!E124,"D"),"Information_Not_Given")</f>
        <v>1</v>
      </c>
      <c r="G124" s="13" t="str" cm="1">
        <f t="array" ref="G124">_xlfn.IFS(F124&lt;=5,"One_Time",F124&gt;5,"Delayed",F124="Information_Not_given","Pending")</f>
        <v>One_Time</v>
      </c>
    </row>
    <row r="125" spans="1:7" x14ac:dyDescent="0.3">
      <c r="A125" s="12" t="str">
        <f>IF(AND(Sales_Data!P125&gt;=100000,Sales_Data!Q125&gt;=4,Sales_Data!V125="Completed",Sales_Data!O125&lt;=10),"Platinum",IF(AND(Sales_Data!P125&gt;=50000,Sales_Data!Q125&gt;=3,Sales_Data!V125="Completed"),"Gold",IF(AND(Sales_Data!P125&lt;50000,Sales_Data!V125="Completed"),"Silver",IF(OR(Sales_Data!Q125&lt;=2,Sales_Data!V125="Canceled"),"Blacklisted","Others"))))</f>
        <v>Silver</v>
      </c>
      <c r="B125" s="4" t="str">
        <f>PROPER(TRIM(Sales_Data!F125))</f>
        <v>Anita Gupta</v>
      </c>
      <c r="C125" s="4" t="str">
        <f>LEFT(B125,3)&amp;RIGHT(Sales_Data!B125,3)&amp;LEFT(Sales_Data!I125,2)</f>
        <v>Ani004Mu</v>
      </c>
      <c r="D125" s="4" t="str">
        <f>IF(ISNUMBER(SEARCH("@",Sales_Data!T125)),LOWER(Sales_Data!T125),"Invalid_Email")</f>
        <v>anita.gupta@company.com</v>
      </c>
      <c r="E125" s="13">
        <f ca="1">DATEDIF(Sales_Data!H125,TODAY(),"Y")</f>
        <v>40</v>
      </c>
      <c r="F125" s="13">
        <f>IFERROR(DATEDIF(Sales_Data!D125,Sales_Data!E125,"D"),"Information_Not_Given")</f>
        <v>6</v>
      </c>
      <c r="G125" s="13" t="str" cm="1">
        <f t="array" ref="G125">_xlfn.IFS(F125&lt;=5,"One_Time",F125&gt;5,"Delayed",F125="Information_Not_given","Pending")</f>
        <v>Delayed</v>
      </c>
    </row>
    <row r="126" spans="1:7" x14ac:dyDescent="0.3">
      <c r="A126" s="12" t="str">
        <f>IF(AND(Sales_Data!P126&gt;=100000,Sales_Data!Q126&gt;=4,Sales_Data!V126="Completed",Sales_Data!O126&lt;=10),"Platinum",IF(AND(Sales_Data!P126&gt;=50000,Sales_Data!Q126&gt;=3,Sales_Data!V126="Completed"),"Gold",IF(AND(Sales_Data!P126&lt;50000,Sales_Data!V126="Completed"),"Silver",IF(OR(Sales_Data!Q126&lt;=2,Sales_Data!V126="Canceled"),"Blacklisted","Others"))))</f>
        <v>Others</v>
      </c>
      <c r="B126" s="4" t="str">
        <f>PROPER(TRIM(Sales_Data!F126))</f>
        <v>Priya Patel</v>
      </c>
      <c r="C126" s="4" t="str">
        <f>LEFT(B126,3)&amp;RIGHT(Sales_Data!B126,3)&amp;LEFT(Sales_Data!I126,2)</f>
        <v>Pri002De</v>
      </c>
      <c r="D126" s="4" t="str">
        <f>IF(ISNUMBER(SEARCH("@",Sales_Data!T126)),LOWER(Sales_Data!T126),"Invalid_Email")</f>
        <v>priya.patel@company.com</v>
      </c>
      <c r="E126" s="13">
        <f ca="1">DATEDIF(Sales_Data!H126,TODAY(),"Y")</f>
        <v>35</v>
      </c>
      <c r="F126" s="13">
        <f>IFERROR(DATEDIF(Sales_Data!D126,Sales_Data!E126,"D"),"Information_Not_Given")</f>
        <v>10</v>
      </c>
      <c r="G126" s="13" t="str" cm="1">
        <f t="array" ref="G126">_xlfn.IFS(F126&lt;=5,"One_Time",F126&gt;5,"Delayed",F126="Information_Not_given","Pending")</f>
        <v>Delayed</v>
      </c>
    </row>
    <row r="127" spans="1:7" x14ac:dyDescent="0.3">
      <c r="A127" s="12" t="str">
        <f>IF(AND(Sales_Data!P127&gt;=100000,Sales_Data!Q127&gt;=4,Sales_Data!V127="Completed",Sales_Data!O127&lt;=10),"Platinum",IF(AND(Sales_Data!P127&gt;=50000,Sales_Data!Q127&gt;=3,Sales_Data!V127="Completed"),"Gold",IF(AND(Sales_Data!P127&lt;50000,Sales_Data!V127="Completed"),"Silver",IF(OR(Sales_Data!Q127&lt;=2,Sales_Data!V127="Canceled"),"Blacklisted","Others"))))</f>
        <v>Silver</v>
      </c>
      <c r="B127" s="4" t="str">
        <f>PROPER(TRIM(Sales_Data!F127))</f>
        <v>Anita Gupta</v>
      </c>
      <c r="C127" s="4" t="str">
        <f>LEFT(B127,3)&amp;RIGHT(Sales_Data!B127,3)&amp;LEFT(Sales_Data!I127,2)</f>
        <v>Ani004Be</v>
      </c>
      <c r="D127" s="4" t="str">
        <f>IF(ISNUMBER(SEARCH("@",Sales_Data!T127)),LOWER(Sales_Data!T127),"Invalid_Email")</f>
        <v>anita.gupta@company.com</v>
      </c>
      <c r="E127" s="13">
        <f ca="1">DATEDIF(Sales_Data!H127,TODAY(),"Y")</f>
        <v>45</v>
      </c>
      <c r="F127" s="13">
        <f>IFERROR(DATEDIF(Sales_Data!D127,Sales_Data!E127,"D"),"Information_Not_Given")</f>
        <v>4</v>
      </c>
      <c r="G127" s="13" t="str" cm="1">
        <f t="array" ref="G127">_xlfn.IFS(F127&lt;=5,"One_Time",F127&gt;5,"Delayed",F127="Information_Not_given","Pending")</f>
        <v>One_Time</v>
      </c>
    </row>
    <row r="128" spans="1:7" x14ac:dyDescent="0.3">
      <c r="A128" s="12" t="str">
        <f>IF(AND(Sales_Data!P128&gt;=100000,Sales_Data!Q128&gt;=4,Sales_Data!V128="Completed",Sales_Data!O128&lt;=10),"Platinum",IF(AND(Sales_Data!P128&gt;=50000,Sales_Data!Q128&gt;=3,Sales_Data!V128="Completed"),"Gold",IF(AND(Sales_Data!P128&lt;50000,Sales_Data!V128="Completed"),"Silver",IF(OR(Sales_Data!Q128&lt;=2,Sales_Data!V128="Canceled"),"Blacklisted","Others"))))</f>
        <v>Others</v>
      </c>
      <c r="B128" s="4" t="str">
        <f>PROPER(TRIM(Sales_Data!F128))</f>
        <v>Rohit Singh</v>
      </c>
      <c r="C128" s="4" t="str">
        <f>LEFT(B128,3)&amp;RIGHT(Sales_Data!B128,3)&amp;LEFT(Sales_Data!I128,2)</f>
        <v>Roh003Be</v>
      </c>
      <c r="D128" s="4" t="str">
        <f>IF(ISNUMBER(SEARCH("@",Sales_Data!T128)),LOWER(Sales_Data!T128),"Invalid_Email")</f>
        <v>rohit.singh@company.com</v>
      </c>
      <c r="E128" s="13">
        <f ca="1">DATEDIF(Sales_Data!H128,TODAY(),"Y")</f>
        <v>22</v>
      </c>
      <c r="F128" s="13">
        <f>IFERROR(DATEDIF(Sales_Data!D128,Sales_Data!E128,"D"),"Information_Not_Given")</f>
        <v>6</v>
      </c>
      <c r="G128" s="13" t="str" cm="1">
        <f t="array" ref="G128">_xlfn.IFS(F128&lt;=5,"One_Time",F128&gt;5,"Delayed",F128="Information_Not_given","Pending")</f>
        <v>Delayed</v>
      </c>
    </row>
    <row r="129" spans="1:7" x14ac:dyDescent="0.3">
      <c r="A129" s="12" t="str">
        <f>IF(AND(Sales_Data!P129&gt;=100000,Sales_Data!Q129&gt;=4,Sales_Data!V129="Completed",Sales_Data!O129&lt;=10),"Platinum",IF(AND(Sales_Data!P129&gt;=50000,Sales_Data!Q129&gt;=3,Sales_Data!V129="Completed"),"Gold",IF(AND(Sales_Data!P129&lt;50000,Sales_Data!V129="Completed"),"Silver",IF(OR(Sales_Data!Q129&lt;=2,Sales_Data!V129="Canceled"),"Blacklisted","Others"))))</f>
        <v>Silver</v>
      </c>
      <c r="B129" s="4" t="str">
        <f>PROPER(TRIM(Sales_Data!F129))</f>
        <v>Sneha Joshi</v>
      </c>
      <c r="C129" s="4" t="str">
        <f>LEFT(B129,3)&amp;RIGHT(Sales_Data!B129,3)&amp;LEFT(Sales_Data!I129,2)</f>
        <v>Sne006Ja</v>
      </c>
      <c r="D129" s="4" t="str">
        <f>IF(ISNUMBER(SEARCH("@",Sales_Data!T129)),LOWER(Sales_Data!T129),"Invalid_Email")</f>
        <v>sneha.joshi@company.com</v>
      </c>
      <c r="E129" s="13">
        <f ca="1">DATEDIF(Sales_Data!H129,TODAY(),"Y")</f>
        <v>42</v>
      </c>
      <c r="F129" s="13">
        <f>IFERROR(DATEDIF(Sales_Data!D129,Sales_Data!E129,"D"),"Information_Not_Given")</f>
        <v>1</v>
      </c>
      <c r="G129" s="13" t="str" cm="1">
        <f t="array" ref="G129">_xlfn.IFS(F129&lt;=5,"One_Time",F129&gt;5,"Delayed",F129="Information_Not_given","Pending")</f>
        <v>One_Time</v>
      </c>
    </row>
    <row r="130" spans="1:7" x14ac:dyDescent="0.3">
      <c r="A130" s="12" t="str">
        <f>IF(AND(Sales_Data!P130&gt;=100000,Sales_Data!Q130&gt;=4,Sales_Data!V130="Completed",Sales_Data!O130&lt;=10),"Platinum",IF(AND(Sales_Data!P130&gt;=50000,Sales_Data!Q130&gt;=3,Sales_Data!V130="Completed"),"Gold",IF(AND(Sales_Data!P130&lt;50000,Sales_Data!V130="Completed"),"Silver",IF(OR(Sales_Data!Q130&lt;=2,Sales_Data!V130="Canceled"),"Blacklisted","Others"))))</f>
        <v>Others</v>
      </c>
      <c r="B130" s="4" t="str">
        <f>PROPER(TRIM(Sales_Data!F130))</f>
        <v>Priya Patel</v>
      </c>
      <c r="C130" s="4" t="str">
        <f>LEFT(B130,3)&amp;RIGHT(Sales_Data!B130,3)&amp;LEFT(Sales_Data!I130,2)</f>
        <v>Pri002Be</v>
      </c>
      <c r="D130" s="4" t="str">
        <f>IF(ISNUMBER(SEARCH("@",Sales_Data!T130)),LOWER(Sales_Data!T130),"Invalid_Email")</f>
        <v>priya.patel@company.com</v>
      </c>
      <c r="E130" s="13">
        <f ca="1">DATEDIF(Sales_Data!H130,TODAY(),"Y")</f>
        <v>44</v>
      </c>
      <c r="F130" s="13">
        <f>IFERROR(DATEDIF(Sales_Data!D130,Sales_Data!E130,"D"),"Information_Not_Given")</f>
        <v>5</v>
      </c>
      <c r="G130" s="13" t="str" cm="1">
        <f t="array" ref="G130">_xlfn.IFS(F130&lt;=5,"One_Time",F130&gt;5,"Delayed",F130="Information_Not_given","Pending")</f>
        <v>One_Time</v>
      </c>
    </row>
    <row r="131" spans="1:7" x14ac:dyDescent="0.3">
      <c r="A131" s="12" t="str">
        <f>IF(AND(Sales_Data!P131&gt;=100000,Sales_Data!Q131&gt;=4,Sales_Data!V131="Completed",Sales_Data!O131&lt;=10),"Platinum",IF(AND(Sales_Data!P131&gt;=50000,Sales_Data!Q131&gt;=3,Sales_Data!V131="Completed"),"Gold",IF(AND(Sales_Data!P131&lt;50000,Sales_Data!V131="Completed"),"Silver",IF(OR(Sales_Data!Q131&lt;=2,Sales_Data!V131="Canceled"),"Blacklisted","Others"))))</f>
        <v>Others</v>
      </c>
      <c r="B131" s="4" t="str">
        <f>PROPER(TRIM(Sales_Data!F131))</f>
        <v>Sneha Joshi</v>
      </c>
      <c r="C131" s="4" t="str">
        <f>LEFT(B131,3)&amp;RIGHT(Sales_Data!B131,3)&amp;LEFT(Sales_Data!I131,2)</f>
        <v>Sne006Pu</v>
      </c>
      <c r="D131" s="4" t="str">
        <f>IF(ISNUMBER(SEARCH("@",Sales_Data!T131)),LOWER(Sales_Data!T131),"Invalid_Email")</f>
        <v>sneha.joshi@company.com</v>
      </c>
      <c r="E131" s="13">
        <f ca="1">DATEDIF(Sales_Data!H131,TODAY(),"Y")</f>
        <v>33</v>
      </c>
      <c r="F131" s="13">
        <f>IFERROR(DATEDIF(Sales_Data!D131,Sales_Data!E131,"D"),"Information_Not_Given")</f>
        <v>8</v>
      </c>
      <c r="G131" s="13" t="str" cm="1">
        <f t="array" ref="G131">_xlfn.IFS(F131&lt;=5,"One_Time",F131&gt;5,"Delayed",F131="Information_Not_given","Pending")</f>
        <v>Delayed</v>
      </c>
    </row>
    <row r="132" spans="1:7" x14ac:dyDescent="0.3">
      <c r="A132" s="12" t="str">
        <f>IF(AND(Sales_Data!P132&gt;=100000,Sales_Data!Q132&gt;=4,Sales_Data!V132="Completed",Sales_Data!O132&lt;=10),"Platinum",IF(AND(Sales_Data!P132&gt;=50000,Sales_Data!Q132&gt;=3,Sales_Data!V132="Completed"),"Gold",IF(AND(Sales_Data!P132&lt;50000,Sales_Data!V132="Completed"),"Silver",IF(OR(Sales_Data!Q132&lt;=2,Sales_Data!V132="Canceled"),"Blacklisted","Others"))))</f>
        <v>Others</v>
      </c>
      <c r="B132" s="4" t="str">
        <f>PROPER(TRIM(Sales_Data!F132))</f>
        <v>Anita Gupta</v>
      </c>
      <c r="C132" s="4" t="str">
        <f>LEFT(B132,3)&amp;RIGHT(Sales_Data!B132,3)&amp;LEFT(Sales_Data!I132,2)</f>
        <v>Ani004Be</v>
      </c>
      <c r="D132" s="4" t="str">
        <f>IF(ISNUMBER(SEARCH("@",Sales_Data!T132)),LOWER(Sales_Data!T132),"Invalid_Email")</f>
        <v>anita.gupta@company.com</v>
      </c>
      <c r="E132" s="13">
        <f ca="1">DATEDIF(Sales_Data!H132,TODAY(),"Y")</f>
        <v>23</v>
      </c>
      <c r="F132" s="13">
        <f>IFERROR(DATEDIF(Sales_Data!D132,Sales_Data!E132,"D"),"Information_Not_Given")</f>
        <v>3</v>
      </c>
      <c r="G132" s="13" t="str" cm="1">
        <f t="array" ref="G132">_xlfn.IFS(F132&lt;=5,"One_Time",F132&gt;5,"Delayed",F132="Information_Not_given","Pending")</f>
        <v>One_Time</v>
      </c>
    </row>
    <row r="133" spans="1:7" x14ac:dyDescent="0.3">
      <c r="A133" s="12" t="str">
        <f>IF(AND(Sales_Data!P133&gt;=100000,Sales_Data!Q133&gt;=4,Sales_Data!V133="Completed",Sales_Data!O133&lt;=10),"Platinum",IF(AND(Sales_Data!P133&gt;=50000,Sales_Data!Q133&gt;=3,Sales_Data!V133="Completed"),"Gold",IF(AND(Sales_Data!P133&lt;50000,Sales_Data!V133="Completed"),"Silver",IF(OR(Sales_Data!Q133&lt;=2,Sales_Data!V133="Canceled"),"Blacklisted","Others"))))</f>
        <v>Silver</v>
      </c>
      <c r="B133" s="4" t="str">
        <f>PROPER(TRIM(Sales_Data!F133))</f>
        <v>Priya Patel</v>
      </c>
      <c r="C133" s="4" t="str">
        <f>LEFT(B133,3)&amp;RIGHT(Sales_Data!B133,3)&amp;LEFT(Sales_Data!I133,2)</f>
        <v>Pri002De</v>
      </c>
      <c r="D133" s="4" t="str">
        <f>IF(ISNUMBER(SEARCH("@",Sales_Data!T133)),LOWER(Sales_Data!T133),"Invalid_Email")</f>
        <v>priya.patel@company.com</v>
      </c>
      <c r="E133" s="13">
        <f ca="1">DATEDIF(Sales_Data!H133,TODAY(),"Y")</f>
        <v>36</v>
      </c>
      <c r="F133" s="13">
        <f>IFERROR(DATEDIF(Sales_Data!D133,Sales_Data!E133,"D"),"Information_Not_Given")</f>
        <v>5</v>
      </c>
      <c r="G133" s="13" t="str" cm="1">
        <f t="array" ref="G133">_xlfn.IFS(F133&lt;=5,"One_Time",F133&gt;5,"Delayed",F133="Information_Not_given","Pending")</f>
        <v>One_Time</v>
      </c>
    </row>
    <row r="134" spans="1:7" x14ac:dyDescent="0.3">
      <c r="A134" s="12" t="str">
        <f>IF(AND(Sales_Data!P134&gt;=100000,Sales_Data!Q134&gt;=4,Sales_Data!V134="Completed",Sales_Data!O134&lt;=10),"Platinum",IF(AND(Sales_Data!P134&gt;=50000,Sales_Data!Q134&gt;=3,Sales_Data!V134="Completed"),"Gold",IF(AND(Sales_Data!P134&lt;50000,Sales_Data!V134="Completed"),"Silver",IF(OR(Sales_Data!Q134&lt;=2,Sales_Data!V134="Canceled"),"Blacklisted","Others"))))</f>
        <v>Gold</v>
      </c>
      <c r="B134" s="4" t="str">
        <f>PROPER(TRIM(Sales_Data!F134))</f>
        <v>Mohit Verma</v>
      </c>
      <c r="C134" s="4" t="str">
        <f>LEFT(B134,3)&amp;RIGHT(Sales_Data!B134,3)&amp;LEFT(Sales_Data!I134,2)</f>
        <v>Moh009Pu</v>
      </c>
      <c r="D134" s="4" t="str">
        <f>IF(ISNUMBER(SEARCH("@",Sales_Data!T134)),LOWER(Sales_Data!T134),"Invalid_Email")</f>
        <v>mohit.verma@company.com</v>
      </c>
      <c r="E134" s="13">
        <f ca="1">DATEDIF(Sales_Data!H134,TODAY(),"Y")</f>
        <v>31</v>
      </c>
      <c r="F134" s="13">
        <f>IFERROR(DATEDIF(Sales_Data!D134,Sales_Data!E134,"D"),"Information_Not_Given")</f>
        <v>6</v>
      </c>
      <c r="G134" s="13" t="str" cm="1">
        <f t="array" ref="G134">_xlfn.IFS(F134&lt;=5,"One_Time",F134&gt;5,"Delayed",F134="Information_Not_given","Pending")</f>
        <v>Delayed</v>
      </c>
    </row>
    <row r="135" spans="1:7" x14ac:dyDescent="0.3">
      <c r="A135" s="12" t="str">
        <f>IF(AND(Sales_Data!P135&gt;=100000,Sales_Data!Q135&gt;=4,Sales_Data!V135="Completed",Sales_Data!O135&lt;=10),"Platinum",IF(AND(Sales_Data!P135&gt;=50000,Sales_Data!Q135&gt;=3,Sales_Data!V135="Completed"),"Gold",IF(AND(Sales_Data!P135&lt;50000,Sales_Data!V135="Completed"),"Silver",IF(OR(Sales_Data!Q135&lt;=2,Sales_Data!V135="Canceled"),"Blacklisted","Others"))))</f>
        <v>Silver</v>
      </c>
      <c r="B135" s="4" t="str">
        <f>PROPER(TRIM(Sales_Data!F135))</f>
        <v>Mohit Verma</v>
      </c>
      <c r="C135" s="4" t="str">
        <f>LEFT(B135,3)&amp;RIGHT(Sales_Data!B135,3)&amp;LEFT(Sales_Data!I135,2)</f>
        <v>Moh009Hy</v>
      </c>
      <c r="D135" s="4" t="str">
        <f>IF(ISNUMBER(SEARCH("@",Sales_Data!T135)),LOWER(Sales_Data!T135),"Invalid_Email")</f>
        <v>mohit.verma@company.com</v>
      </c>
      <c r="E135" s="13">
        <f ca="1">DATEDIF(Sales_Data!H135,TODAY(),"Y")</f>
        <v>32</v>
      </c>
      <c r="F135" s="13">
        <f>IFERROR(DATEDIF(Sales_Data!D135,Sales_Data!E135,"D"),"Information_Not_Given")</f>
        <v>9</v>
      </c>
      <c r="G135" s="13" t="str" cm="1">
        <f t="array" ref="G135">_xlfn.IFS(F135&lt;=5,"One_Time",F135&gt;5,"Delayed",F135="Information_Not_given","Pending")</f>
        <v>Delayed</v>
      </c>
    </row>
    <row r="136" spans="1:7" x14ac:dyDescent="0.3">
      <c r="A136" s="12" t="str">
        <f>IF(AND(Sales_Data!P136&gt;=100000,Sales_Data!Q136&gt;=4,Sales_Data!V136="Completed",Sales_Data!O136&lt;=10),"Platinum",IF(AND(Sales_Data!P136&gt;=50000,Sales_Data!Q136&gt;=3,Sales_Data!V136="Completed"),"Gold",IF(AND(Sales_Data!P136&lt;50000,Sales_Data!V136="Completed"),"Silver",IF(OR(Sales_Data!Q136&lt;=2,Sales_Data!V136="Canceled"),"Blacklisted","Others"))))</f>
        <v>Others</v>
      </c>
      <c r="B136" s="4" t="str">
        <f>PROPER(TRIM(Sales_Data!F136))</f>
        <v>Pooja Shah</v>
      </c>
      <c r="C136" s="4" t="str">
        <f>LEFT(B136,3)&amp;RIGHT(Sales_Data!B136,3)&amp;LEFT(Sales_Data!I136,2)</f>
        <v>Poo010De</v>
      </c>
      <c r="D136" s="4" t="str">
        <f>IF(ISNUMBER(SEARCH("@",Sales_Data!T136)),LOWER(Sales_Data!T136),"Invalid_Email")</f>
        <v>pooja.shah@company.com</v>
      </c>
      <c r="E136" s="13">
        <f ca="1">DATEDIF(Sales_Data!H136,TODAY(),"Y")</f>
        <v>23</v>
      </c>
      <c r="F136" s="13">
        <f>IFERROR(DATEDIF(Sales_Data!D136,Sales_Data!E136,"D"),"Information_Not_Given")</f>
        <v>12</v>
      </c>
      <c r="G136" s="13" t="str" cm="1">
        <f t="array" ref="G136">_xlfn.IFS(F136&lt;=5,"One_Time",F136&gt;5,"Delayed",F136="Information_Not_given","Pending")</f>
        <v>Delayed</v>
      </c>
    </row>
    <row r="137" spans="1:7" x14ac:dyDescent="0.3">
      <c r="A137" s="12" t="str">
        <f>IF(AND(Sales_Data!P137&gt;=100000,Sales_Data!Q137&gt;=4,Sales_Data!V137="Completed",Sales_Data!O137&lt;=10),"Platinum",IF(AND(Sales_Data!P137&gt;=50000,Sales_Data!Q137&gt;=3,Sales_Data!V137="Completed"),"Gold",IF(AND(Sales_Data!P137&lt;50000,Sales_Data!V137="Completed"),"Silver",IF(OR(Sales_Data!Q137&lt;=2,Sales_Data!V137="Canceled"),"Blacklisted","Others"))))</f>
        <v>Others</v>
      </c>
      <c r="B137" s="4" t="str">
        <f>PROPER(TRIM(Sales_Data!F137))</f>
        <v>Mohit Verma</v>
      </c>
      <c r="C137" s="4" t="str">
        <f>LEFT(B137,3)&amp;RIGHT(Sales_Data!B137,3)&amp;LEFT(Sales_Data!I137,2)</f>
        <v>Moh009Hy</v>
      </c>
      <c r="D137" s="4" t="str">
        <f>IF(ISNUMBER(SEARCH("@",Sales_Data!T137)),LOWER(Sales_Data!T137),"Invalid_Email")</f>
        <v>mohit.verma@company.com</v>
      </c>
      <c r="E137" s="13">
        <f ca="1">DATEDIF(Sales_Data!H137,TODAY(),"Y")</f>
        <v>29</v>
      </c>
      <c r="F137" s="13">
        <f>IFERROR(DATEDIF(Sales_Data!D137,Sales_Data!E137,"D"),"Information_Not_Given")</f>
        <v>2</v>
      </c>
      <c r="G137" s="13" t="str" cm="1">
        <f t="array" ref="G137">_xlfn.IFS(F137&lt;=5,"One_Time",F137&gt;5,"Delayed",F137="Information_Not_given","Pending")</f>
        <v>One_Time</v>
      </c>
    </row>
    <row r="138" spans="1:7" x14ac:dyDescent="0.3">
      <c r="A138" s="12" t="str">
        <f>IF(AND(Sales_Data!P138&gt;=100000,Sales_Data!Q138&gt;=4,Sales_Data!V138="Completed",Sales_Data!O138&lt;=10),"Platinum",IF(AND(Sales_Data!P138&gt;=50000,Sales_Data!Q138&gt;=3,Sales_Data!V138="Completed"),"Gold",IF(AND(Sales_Data!P138&lt;50000,Sales_Data!V138="Completed"),"Silver",IF(OR(Sales_Data!Q138&lt;=2,Sales_Data!V138="Canceled"),"Blacklisted","Others"))))</f>
        <v>Others</v>
      </c>
      <c r="B138" s="4" t="str">
        <f>PROPER(TRIM(Sales_Data!F138))</f>
        <v>Kavya Nair</v>
      </c>
      <c r="C138" s="4" t="str">
        <f>LEFT(B138,3)&amp;RIGHT(Sales_Data!B138,3)&amp;LEFT(Sales_Data!I138,2)</f>
        <v>Kav008Be</v>
      </c>
      <c r="D138" s="4" t="str">
        <f>IF(ISNUMBER(SEARCH("@",Sales_Data!T138)),LOWER(Sales_Data!T138),"Invalid_Email")</f>
        <v>kavya.nair@company.com</v>
      </c>
      <c r="E138" s="13">
        <f ca="1">DATEDIF(Sales_Data!H138,TODAY(),"Y")</f>
        <v>47</v>
      </c>
      <c r="F138" s="13">
        <f>IFERROR(DATEDIF(Sales_Data!D138,Sales_Data!E138,"D"),"Information_Not_Given")</f>
        <v>7</v>
      </c>
      <c r="G138" s="13" t="str" cm="1">
        <f t="array" ref="G138">_xlfn.IFS(F138&lt;=5,"One_Time",F138&gt;5,"Delayed",F138="Information_Not_given","Pending")</f>
        <v>Delayed</v>
      </c>
    </row>
    <row r="139" spans="1:7" x14ac:dyDescent="0.3">
      <c r="A139" s="12" t="str">
        <f>IF(AND(Sales_Data!P139&gt;=100000,Sales_Data!Q139&gt;=4,Sales_Data!V139="Completed",Sales_Data!O139&lt;=10),"Platinum",IF(AND(Sales_Data!P139&gt;=50000,Sales_Data!Q139&gt;=3,Sales_Data!V139="Completed"),"Gold",IF(AND(Sales_Data!P139&lt;50000,Sales_Data!V139="Completed"),"Silver",IF(OR(Sales_Data!Q139&lt;=2,Sales_Data!V139="Canceled"),"Blacklisted","Others"))))</f>
        <v>Blacklisted</v>
      </c>
      <c r="B139" s="4" t="str">
        <f>PROPER(TRIM(Sales_Data!F139))</f>
        <v>Amit Sharma</v>
      </c>
      <c r="C139" s="4" t="str">
        <f>LEFT(B139,3)&amp;RIGHT(Sales_Data!B139,3)&amp;LEFT(Sales_Data!I139,2)</f>
        <v>Ami001Ah</v>
      </c>
      <c r="D139" s="4" t="str">
        <f>IF(ISNUMBER(SEARCH("@",Sales_Data!T139)),LOWER(Sales_Data!T139),"Invalid_Email")</f>
        <v>amit.sharma@company.com</v>
      </c>
      <c r="E139" s="13">
        <f ca="1">DATEDIF(Sales_Data!H139,TODAY(),"Y")</f>
        <v>23</v>
      </c>
      <c r="F139" s="13">
        <f>IFERROR(DATEDIF(Sales_Data!D139,Sales_Data!E139,"D"),"Information_Not_Given")</f>
        <v>5</v>
      </c>
      <c r="G139" s="13" t="str" cm="1">
        <f t="array" ref="G139">_xlfn.IFS(F139&lt;=5,"One_Time",F139&gt;5,"Delayed",F139="Information_Not_given","Pending")</f>
        <v>One_Time</v>
      </c>
    </row>
    <row r="140" spans="1:7" x14ac:dyDescent="0.3">
      <c r="A140" s="12" t="str">
        <f>IF(AND(Sales_Data!P140&gt;=100000,Sales_Data!Q140&gt;=4,Sales_Data!V140="Completed",Sales_Data!O140&lt;=10),"Platinum",IF(AND(Sales_Data!P140&gt;=50000,Sales_Data!Q140&gt;=3,Sales_Data!V140="Completed"),"Gold",IF(AND(Sales_Data!P140&lt;50000,Sales_Data!V140="Completed"),"Silver",IF(OR(Sales_Data!Q140&lt;=2,Sales_Data!V140="Canceled"),"Blacklisted","Others"))))</f>
        <v>Silver</v>
      </c>
      <c r="B140" s="4" t="str">
        <f>PROPER(TRIM(Sales_Data!F140))</f>
        <v>Vikas Mehta</v>
      </c>
      <c r="C140" s="4" t="str">
        <f>LEFT(B140,3)&amp;RIGHT(Sales_Data!B140,3)&amp;LEFT(Sales_Data!I140,2)</f>
        <v>Vik005De</v>
      </c>
      <c r="D140" s="4" t="str">
        <f>IF(ISNUMBER(SEARCH("@",Sales_Data!T140)),LOWER(Sales_Data!T140),"Invalid_Email")</f>
        <v>vikas.mehta@company.com</v>
      </c>
      <c r="E140" s="13">
        <f ca="1">DATEDIF(Sales_Data!H140,TODAY(),"Y")</f>
        <v>41</v>
      </c>
      <c r="F140" s="13">
        <f>IFERROR(DATEDIF(Sales_Data!D140,Sales_Data!E140,"D"),"Information_Not_Given")</f>
        <v>1</v>
      </c>
      <c r="G140" s="13" t="str" cm="1">
        <f t="array" ref="G140">_xlfn.IFS(F140&lt;=5,"One_Time",F140&gt;5,"Delayed",F140="Information_Not_given","Pending")</f>
        <v>One_Time</v>
      </c>
    </row>
    <row r="141" spans="1:7" x14ac:dyDescent="0.3">
      <c r="A141" s="12" t="str">
        <f>IF(AND(Sales_Data!P141&gt;=100000,Sales_Data!Q141&gt;=4,Sales_Data!V141="Completed",Sales_Data!O141&lt;=10),"Platinum",IF(AND(Sales_Data!P141&gt;=50000,Sales_Data!Q141&gt;=3,Sales_Data!V141="Completed"),"Gold",IF(AND(Sales_Data!P141&lt;50000,Sales_Data!V141="Completed"),"Silver",IF(OR(Sales_Data!Q141&lt;=2,Sales_Data!V141="Canceled"),"Blacklisted","Others"))))</f>
        <v>Blacklisted</v>
      </c>
      <c r="B141" s="4" t="str">
        <f>PROPER(TRIM(Sales_Data!F141))</f>
        <v>Arjun Rao</v>
      </c>
      <c r="C141" s="4" t="str">
        <f>LEFT(B141,3)&amp;RIGHT(Sales_Data!B141,3)&amp;LEFT(Sales_Data!I141,2)</f>
        <v>Arj007Ah</v>
      </c>
      <c r="D141" s="4" t="str">
        <f>IF(ISNUMBER(SEARCH("@",Sales_Data!T141)),LOWER(Sales_Data!T141),"Invalid_Email")</f>
        <v>arjun.rao@company.com</v>
      </c>
      <c r="E141" s="13">
        <f ca="1">DATEDIF(Sales_Data!H141,TODAY(),"Y")</f>
        <v>38</v>
      </c>
      <c r="F141" s="13">
        <f>IFERROR(DATEDIF(Sales_Data!D141,Sales_Data!E141,"D"),"Information_Not_Given")</f>
        <v>8</v>
      </c>
      <c r="G141" s="13" t="str" cm="1">
        <f t="array" ref="G141">_xlfn.IFS(F141&lt;=5,"One_Time",F141&gt;5,"Delayed",F141="Information_Not_given","Pending")</f>
        <v>Delayed</v>
      </c>
    </row>
    <row r="142" spans="1:7" x14ac:dyDescent="0.3">
      <c r="A142" s="12" t="str">
        <f>IF(AND(Sales_Data!P142&gt;=100000,Sales_Data!Q142&gt;=4,Sales_Data!V142="Completed",Sales_Data!O142&lt;=10),"Platinum",IF(AND(Sales_Data!P142&gt;=50000,Sales_Data!Q142&gt;=3,Sales_Data!V142="Completed"),"Gold",IF(AND(Sales_Data!P142&lt;50000,Sales_Data!V142="Completed"),"Silver",IF(OR(Sales_Data!Q142&lt;=2,Sales_Data!V142="Canceled"),"Blacklisted","Others"))))</f>
        <v>Gold</v>
      </c>
      <c r="B142" s="4" t="str">
        <f>PROPER(TRIM(Sales_Data!F142))</f>
        <v>Pooja Shah</v>
      </c>
      <c r="C142" s="4" t="str">
        <f>LEFT(B142,3)&amp;RIGHT(Sales_Data!B142,3)&amp;LEFT(Sales_Data!I142,2)</f>
        <v>Poo010Pu</v>
      </c>
      <c r="D142" s="4" t="str">
        <f>IF(ISNUMBER(SEARCH("@",Sales_Data!T142)),LOWER(Sales_Data!T142),"Invalid_Email")</f>
        <v>pooja.shah@company.com</v>
      </c>
      <c r="E142" s="13">
        <f ca="1">DATEDIF(Sales_Data!H142,TODAY(),"Y")</f>
        <v>47</v>
      </c>
      <c r="F142" s="13">
        <f>IFERROR(DATEDIF(Sales_Data!D142,Sales_Data!E142,"D"),"Information_Not_Given")</f>
        <v>7</v>
      </c>
      <c r="G142" s="13" t="str" cm="1">
        <f t="array" ref="G142">_xlfn.IFS(F142&lt;=5,"One_Time",F142&gt;5,"Delayed",F142="Information_Not_given","Pending")</f>
        <v>Delayed</v>
      </c>
    </row>
    <row r="143" spans="1:7" x14ac:dyDescent="0.3">
      <c r="A143" s="12" t="str">
        <f>IF(AND(Sales_Data!P143&gt;=100000,Sales_Data!Q143&gt;=4,Sales_Data!V143="Completed",Sales_Data!O143&lt;=10),"Platinum",IF(AND(Sales_Data!P143&gt;=50000,Sales_Data!Q143&gt;=3,Sales_Data!V143="Completed"),"Gold",IF(AND(Sales_Data!P143&lt;50000,Sales_Data!V143="Completed"),"Silver",IF(OR(Sales_Data!Q143&lt;=2,Sales_Data!V143="Canceled"),"Blacklisted","Others"))))</f>
        <v>Others</v>
      </c>
      <c r="B143" s="4" t="str">
        <f>PROPER(TRIM(Sales_Data!F143))</f>
        <v>Arjun Rao</v>
      </c>
      <c r="C143" s="4" t="str">
        <f>LEFT(B143,3)&amp;RIGHT(Sales_Data!B143,3)&amp;LEFT(Sales_Data!I143,2)</f>
        <v>Arj007Pu</v>
      </c>
      <c r="D143" s="4" t="str">
        <f>IF(ISNUMBER(SEARCH("@",Sales_Data!T143)),LOWER(Sales_Data!T143),"Invalid_Email")</f>
        <v>arjun.rao@company.com</v>
      </c>
      <c r="E143" s="13">
        <f ca="1">DATEDIF(Sales_Data!H143,TODAY(),"Y")</f>
        <v>40</v>
      </c>
      <c r="F143" s="13">
        <f>IFERROR(DATEDIF(Sales_Data!D143,Sales_Data!E143,"D"),"Information_Not_Given")</f>
        <v>10</v>
      </c>
      <c r="G143" s="13" t="str" cm="1">
        <f t="array" ref="G143">_xlfn.IFS(F143&lt;=5,"One_Time",F143&gt;5,"Delayed",F143="Information_Not_given","Pending")</f>
        <v>Delayed</v>
      </c>
    </row>
    <row r="144" spans="1:7" x14ac:dyDescent="0.3">
      <c r="A144" s="12" t="str">
        <f>IF(AND(Sales_Data!P144&gt;=100000,Sales_Data!Q144&gt;=4,Sales_Data!V144="Completed",Sales_Data!O144&lt;=10),"Platinum",IF(AND(Sales_Data!P144&gt;=50000,Sales_Data!Q144&gt;=3,Sales_Data!V144="Completed"),"Gold",IF(AND(Sales_Data!P144&lt;50000,Sales_Data!V144="Completed"),"Silver",IF(OR(Sales_Data!Q144&lt;=2,Sales_Data!V144="Canceled"),"Blacklisted","Others"))))</f>
        <v>Blacklisted</v>
      </c>
      <c r="B144" s="4" t="str">
        <f>PROPER(TRIM(Sales_Data!F144))</f>
        <v>Arjun Rao</v>
      </c>
      <c r="C144" s="4" t="str">
        <f>LEFT(B144,3)&amp;RIGHT(Sales_Data!B144,3)&amp;LEFT(Sales_Data!I144,2)</f>
        <v>Arj007Pu</v>
      </c>
      <c r="D144" s="4" t="str">
        <f>IF(ISNUMBER(SEARCH("@",Sales_Data!T144)),LOWER(Sales_Data!T144),"Invalid_Email")</f>
        <v>arjun.rao@company.com</v>
      </c>
      <c r="E144" s="13">
        <f ca="1">DATEDIF(Sales_Data!H144,TODAY(),"Y")</f>
        <v>49</v>
      </c>
      <c r="F144" s="13">
        <f>IFERROR(DATEDIF(Sales_Data!D144,Sales_Data!E144,"D"),"Information_Not_Given")</f>
        <v>7</v>
      </c>
      <c r="G144" s="13" t="str" cm="1">
        <f t="array" ref="G144">_xlfn.IFS(F144&lt;=5,"One_Time",F144&gt;5,"Delayed",F144="Information_Not_given","Pending")</f>
        <v>Delayed</v>
      </c>
    </row>
    <row r="145" spans="1:7" x14ac:dyDescent="0.3">
      <c r="A145" s="12" t="str">
        <f>IF(AND(Sales_Data!P145&gt;=100000,Sales_Data!Q145&gt;=4,Sales_Data!V145="Completed",Sales_Data!O145&lt;=10),"Platinum",IF(AND(Sales_Data!P145&gt;=50000,Sales_Data!Q145&gt;=3,Sales_Data!V145="Completed"),"Gold",IF(AND(Sales_Data!P145&lt;50000,Sales_Data!V145="Completed"),"Silver",IF(OR(Sales_Data!Q145&lt;=2,Sales_Data!V145="Canceled"),"Blacklisted","Others"))))</f>
        <v>Silver</v>
      </c>
      <c r="B145" s="4" t="str">
        <f>PROPER(TRIM(Sales_Data!F145))</f>
        <v>Vikas Mehta</v>
      </c>
      <c r="C145" s="4" t="str">
        <f>LEFT(B145,3)&amp;RIGHT(Sales_Data!B145,3)&amp;LEFT(Sales_Data!I145,2)</f>
        <v>Vik005Hy</v>
      </c>
      <c r="D145" s="4" t="str">
        <f>IF(ISNUMBER(SEARCH("@",Sales_Data!T145)),LOWER(Sales_Data!T145),"Invalid_Email")</f>
        <v>vikas.mehta@company.com</v>
      </c>
      <c r="E145" s="13">
        <f ca="1">DATEDIF(Sales_Data!H145,TODAY(),"Y")</f>
        <v>43</v>
      </c>
      <c r="F145" s="13">
        <f>IFERROR(DATEDIF(Sales_Data!D145,Sales_Data!E145,"D"),"Information_Not_Given")</f>
        <v>1</v>
      </c>
      <c r="G145" s="13" t="str" cm="1">
        <f t="array" ref="G145">_xlfn.IFS(F145&lt;=5,"One_Time",F145&gt;5,"Delayed",F145="Information_Not_given","Pending")</f>
        <v>One_Time</v>
      </c>
    </row>
    <row r="146" spans="1:7" x14ac:dyDescent="0.3">
      <c r="A146" s="12" t="str">
        <f>IF(AND(Sales_Data!P146&gt;=100000,Sales_Data!Q146&gt;=4,Sales_Data!V146="Completed",Sales_Data!O146&lt;=10),"Platinum",IF(AND(Sales_Data!P146&gt;=50000,Sales_Data!Q146&gt;=3,Sales_Data!V146="Completed"),"Gold",IF(AND(Sales_Data!P146&lt;50000,Sales_Data!V146="Completed"),"Silver",IF(OR(Sales_Data!Q146&lt;=2,Sales_Data!V146="Canceled"),"Blacklisted","Others"))))</f>
        <v>Blacklisted</v>
      </c>
      <c r="B146" s="4" t="str">
        <f>PROPER(TRIM(Sales_Data!F146))</f>
        <v>Pooja Shah</v>
      </c>
      <c r="C146" s="4" t="str">
        <f>LEFT(B146,3)&amp;RIGHT(Sales_Data!B146,3)&amp;LEFT(Sales_Data!I146,2)</f>
        <v>Poo010Mu</v>
      </c>
      <c r="D146" s="4" t="str">
        <f>IF(ISNUMBER(SEARCH("@",Sales_Data!T146)),LOWER(Sales_Data!T146),"Invalid_Email")</f>
        <v>pooja.shah@company.com</v>
      </c>
      <c r="E146" s="13">
        <f ca="1">DATEDIF(Sales_Data!H146,TODAY(),"Y")</f>
        <v>48</v>
      </c>
      <c r="F146" s="13">
        <f>IFERROR(DATEDIF(Sales_Data!D146,Sales_Data!E146,"D"),"Information_Not_Given")</f>
        <v>11</v>
      </c>
      <c r="G146" s="13" t="str" cm="1">
        <f t="array" ref="G146">_xlfn.IFS(F146&lt;=5,"One_Time",F146&gt;5,"Delayed",F146="Information_Not_given","Pending")</f>
        <v>Delayed</v>
      </c>
    </row>
    <row r="147" spans="1:7" x14ac:dyDescent="0.3">
      <c r="A147" s="12" t="str">
        <f>IF(AND(Sales_Data!P147&gt;=100000,Sales_Data!Q147&gt;=4,Sales_Data!V147="Completed",Sales_Data!O147&lt;=10),"Platinum",IF(AND(Sales_Data!P147&gt;=50000,Sales_Data!Q147&gt;=3,Sales_Data!V147="Completed"),"Gold",IF(AND(Sales_Data!P147&lt;50000,Sales_Data!V147="Completed"),"Silver",IF(OR(Sales_Data!Q147&lt;=2,Sales_Data!V147="Canceled"),"Blacklisted","Others"))))</f>
        <v>Others</v>
      </c>
      <c r="B147" s="4" t="str">
        <f>PROPER(TRIM(Sales_Data!F147))</f>
        <v>Mohit Verma</v>
      </c>
      <c r="C147" s="4" t="str">
        <f>LEFT(B147,3)&amp;RIGHT(Sales_Data!B147,3)&amp;LEFT(Sales_Data!I147,2)</f>
        <v>Moh009De</v>
      </c>
      <c r="D147" s="4" t="str">
        <f>IF(ISNUMBER(SEARCH("@",Sales_Data!T147)),LOWER(Sales_Data!T147),"Invalid_Email")</f>
        <v>mohit.verma@company.com</v>
      </c>
      <c r="E147" s="13">
        <f ca="1">DATEDIF(Sales_Data!H147,TODAY(),"Y")</f>
        <v>43</v>
      </c>
      <c r="F147" s="13">
        <f>IFERROR(DATEDIF(Sales_Data!D147,Sales_Data!E147,"D"),"Information_Not_Given")</f>
        <v>3</v>
      </c>
      <c r="G147" s="13" t="str" cm="1">
        <f t="array" ref="G147">_xlfn.IFS(F147&lt;=5,"One_Time",F147&gt;5,"Delayed",F147="Information_Not_given","Pending")</f>
        <v>One_Time</v>
      </c>
    </row>
    <row r="148" spans="1:7" x14ac:dyDescent="0.3">
      <c r="A148" s="12" t="str">
        <f>IF(AND(Sales_Data!P148&gt;=100000,Sales_Data!Q148&gt;=4,Sales_Data!V148="Completed",Sales_Data!O148&lt;=10),"Platinum",IF(AND(Sales_Data!P148&gt;=50000,Sales_Data!Q148&gt;=3,Sales_Data!V148="Completed"),"Gold",IF(AND(Sales_Data!P148&lt;50000,Sales_Data!V148="Completed"),"Silver",IF(OR(Sales_Data!Q148&lt;=2,Sales_Data!V148="Canceled"),"Blacklisted","Others"))))</f>
        <v>Others</v>
      </c>
      <c r="B148" s="4" t="str">
        <f>PROPER(TRIM(Sales_Data!F148))</f>
        <v>Rohit Singh</v>
      </c>
      <c r="C148" s="4" t="str">
        <f>LEFT(B148,3)&amp;RIGHT(Sales_Data!B148,3)&amp;LEFT(Sales_Data!I148,2)</f>
        <v>Roh003Pu</v>
      </c>
      <c r="D148" s="4" t="str">
        <f>IF(ISNUMBER(SEARCH("@",Sales_Data!T148)),LOWER(Sales_Data!T148),"Invalid_Email")</f>
        <v>rohit.singh@company.com</v>
      </c>
      <c r="E148" s="13">
        <f ca="1">DATEDIF(Sales_Data!H148,TODAY(),"Y")</f>
        <v>38</v>
      </c>
      <c r="F148" s="13">
        <f>IFERROR(DATEDIF(Sales_Data!D148,Sales_Data!E148,"D"),"Information_Not_Given")</f>
        <v>7</v>
      </c>
      <c r="G148" s="13" t="str" cm="1">
        <f t="array" ref="G148">_xlfn.IFS(F148&lt;=5,"One_Time",F148&gt;5,"Delayed",F148="Information_Not_given","Pending")</f>
        <v>Delayed</v>
      </c>
    </row>
    <row r="149" spans="1:7" x14ac:dyDescent="0.3">
      <c r="A149" s="12" t="str">
        <f>IF(AND(Sales_Data!P149&gt;=100000,Sales_Data!Q149&gt;=4,Sales_Data!V149="Completed",Sales_Data!O149&lt;=10),"Platinum",IF(AND(Sales_Data!P149&gt;=50000,Sales_Data!Q149&gt;=3,Sales_Data!V149="Completed"),"Gold",IF(AND(Sales_Data!P149&lt;50000,Sales_Data!V149="Completed"),"Silver",IF(OR(Sales_Data!Q149&lt;=2,Sales_Data!V149="Canceled"),"Blacklisted","Others"))))</f>
        <v>Silver</v>
      </c>
      <c r="B149" s="4" t="str">
        <f>PROPER(TRIM(Sales_Data!F149))</f>
        <v>Sneha Joshi</v>
      </c>
      <c r="C149" s="4" t="str">
        <f>LEFT(B149,3)&amp;RIGHT(Sales_Data!B149,3)&amp;LEFT(Sales_Data!I149,2)</f>
        <v>Sne006Ko</v>
      </c>
      <c r="D149" s="4" t="str">
        <f>IF(ISNUMBER(SEARCH("@",Sales_Data!T149)),LOWER(Sales_Data!T149),"Invalid_Email")</f>
        <v>sneha.joshi@company.com</v>
      </c>
      <c r="E149" s="13">
        <f ca="1">DATEDIF(Sales_Data!H149,TODAY(),"Y")</f>
        <v>23</v>
      </c>
      <c r="F149" s="13">
        <f>IFERROR(DATEDIF(Sales_Data!D149,Sales_Data!E149,"D"),"Information_Not_Given")</f>
        <v>11</v>
      </c>
      <c r="G149" s="13" t="str" cm="1">
        <f t="array" ref="G149">_xlfn.IFS(F149&lt;=5,"One_Time",F149&gt;5,"Delayed",F149="Information_Not_given","Pending")</f>
        <v>Delayed</v>
      </c>
    </row>
    <row r="150" spans="1:7" x14ac:dyDescent="0.3">
      <c r="A150" s="12" t="str">
        <f>IF(AND(Sales_Data!P150&gt;=100000,Sales_Data!Q150&gt;=4,Sales_Data!V150="Completed",Sales_Data!O150&lt;=10),"Platinum",IF(AND(Sales_Data!P150&gt;=50000,Sales_Data!Q150&gt;=3,Sales_Data!V150="Completed"),"Gold",IF(AND(Sales_Data!P150&lt;50000,Sales_Data!V150="Completed"),"Silver",IF(OR(Sales_Data!Q150&lt;=2,Sales_Data!V150="Canceled"),"Blacklisted","Others"))))</f>
        <v>Silver</v>
      </c>
      <c r="B150" s="4" t="str">
        <f>PROPER(TRIM(Sales_Data!F150))</f>
        <v>Priya Patel</v>
      </c>
      <c r="C150" s="4" t="str">
        <f>LEFT(B150,3)&amp;RIGHT(Sales_Data!B150,3)&amp;LEFT(Sales_Data!I150,2)</f>
        <v>Pri002Ja</v>
      </c>
      <c r="D150" s="4" t="str">
        <f>IF(ISNUMBER(SEARCH("@",Sales_Data!T150)),LOWER(Sales_Data!T150),"Invalid_Email")</f>
        <v>priya.patel@company.com</v>
      </c>
      <c r="E150" s="13">
        <f ca="1">DATEDIF(Sales_Data!H150,TODAY(),"Y")</f>
        <v>24</v>
      </c>
      <c r="F150" s="13">
        <f>IFERROR(DATEDIF(Sales_Data!D150,Sales_Data!E150,"D"),"Information_Not_Given")</f>
        <v>11</v>
      </c>
      <c r="G150" s="13" t="str" cm="1">
        <f t="array" ref="G150">_xlfn.IFS(F150&lt;=5,"One_Time",F150&gt;5,"Delayed",F150="Information_Not_given","Pending")</f>
        <v>Delayed</v>
      </c>
    </row>
    <row r="151" spans="1:7" x14ac:dyDescent="0.3">
      <c r="A151" s="12" t="str">
        <f>IF(AND(Sales_Data!P151&gt;=100000,Sales_Data!Q151&gt;=4,Sales_Data!V151="Completed",Sales_Data!O151&lt;=10),"Platinum",IF(AND(Sales_Data!P151&gt;=50000,Sales_Data!Q151&gt;=3,Sales_Data!V151="Completed"),"Gold",IF(AND(Sales_Data!P151&lt;50000,Sales_Data!V151="Completed"),"Silver",IF(OR(Sales_Data!Q151&lt;=2,Sales_Data!V151="Canceled"),"Blacklisted","Others"))))</f>
        <v>Others</v>
      </c>
      <c r="B151" s="4" t="str">
        <f>PROPER(TRIM(Sales_Data!F151))</f>
        <v>Rohit Singh</v>
      </c>
      <c r="C151" s="4" t="str">
        <f>LEFT(B151,3)&amp;RIGHT(Sales_Data!B151,3)&amp;LEFT(Sales_Data!I151,2)</f>
        <v>Roh003Pu</v>
      </c>
      <c r="D151" s="4" t="str">
        <f>IF(ISNUMBER(SEARCH("@",Sales_Data!T151)),LOWER(Sales_Data!T151),"Invalid_Email")</f>
        <v>rohit.singh@company.com</v>
      </c>
      <c r="E151" s="13">
        <f ca="1">DATEDIF(Sales_Data!H151,TODAY(),"Y")</f>
        <v>51</v>
      </c>
      <c r="F151" s="13">
        <f>IFERROR(DATEDIF(Sales_Data!D151,Sales_Data!E151,"D"),"Information_Not_Given")</f>
        <v>6</v>
      </c>
      <c r="G151" s="13" t="str" cm="1">
        <f t="array" ref="G151">_xlfn.IFS(F151&lt;=5,"One_Time",F151&gt;5,"Delayed",F151="Information_Not_given","Pending")</f>
        <v>Delayed</v>
      </c>
    </row>
    <row r="152" spans="1:7" x14ac:dyDescent="0.3">
      <c r="A152" s="12" t="str">
        <f>IF(AND(Sales_Data!P152&gt;=100000,Sales_Data!Q152&gt;=4,Sales_Data!V152="Completed",Sales_Data!O152&lt;=10),"Platinum",IF(AND(Sales_Data!P152&gt;=50000,Sales_Data!Q152&gt;=3,Sales_Data!V152="Completed"),"Gold",IF(AND(Sales_Data!P152&lt;50000,Sales_Data!V152="Completed"),"Silver",IF(OR(Sales_Data!Q152&lt;=2,Sales_Data!V152="Canceled"),"Blacklisted","Others"))))</f>
        <v>Others</v>
      </c>
      <c r="B152" s="4" t="str">
        <f>PROPER(TRIM(Sales_Data!F152))</f>
        <v>Pooja Shah</v>
      </c>
      <c r="C152" s="4" t="str">
        <f>LEFT(B152,3)&amp;RIGHT(Sales_Data!B152,3)&amp;LEFT(Sales_Data!I152,2)</f>
        <v>Poo010De</v>
      </c>
      <c r="D152" s="4" t="str">
        <f>IF(ISNUMBER(SEARCH("@",Sales_Data!T152)),LOWER(Sales_Data!T152),"Invalid_Email")</f>
        <v>pooja.shah@company.com</v>
      </c>
      <c r="E152" s="13">
        <f ca="1">DATEDIF(Sales_Data!H152,TODAY(),"Y")</f>
        <v>34</v>
      </c>
      <c r="F152" s="13">
        <f>IFERROR(DATEDIF(Sales_Data!D152,Sales_Data!E152,"D"),"Information_Not_Given")</f>
        <v>12</v>
      </c>
      <c r="G152" s="13" t="str" cm="1">
        <f t="array" ref="G152">_xlfn.IFS(F152&lt;=5,"One_Time",F152&gt;5,"Delayed",F152="Information_Not_given","Pending")</f>
        <v>Delayed</v>
      </c>
    </row>
    <row r="153" spans="1:7" x14ac:dyDescent="0.3">
      <c r="A153" s="12" t="str">
        <f>IF(AND(Sales_Data!P153&gt;=100000,Sales_Data!Q153&gt;=4,Sales_Data!V153="Completed",Sales_Data!O153&lt;=10),"Platinum",IF(AND(Sales_Data!P153&gt;=50000,Sales_Data!Q153&gt;=3,Sales_Data!V153="Completed"),"Gold",IF(AND(Sales_Data!P153&lt;50000,Sales_Data!V153="Completed"),"Silver",IF(OR(Sales_Data!Q153&lt;=2,Sales_Data!V153="Canceled"),"Blacklisted","Others"))))</f>
        <v>Blacklisted</v>
      </c>
      <c r="B153" s="4" t="str">
        <f>PROPER(TRIM(Sales_Data!F153))</f>
        <v>Kavya Nair</v>
      </c>
      <c r="C153" s="4" t="str">
        <f>LEFT(B153,3)&amp;RIGHT(Sales_Data!B153,3)&amp;LEFT(Sales_Data!I153,2)</f>
        <v>Kav008Be</v>
      </c>
      <c r="D153" s="4" t="str">
        <f>IF(ISNUMBER(SEARCH("@",Sales_Data!T153)),LOWER(Sales_Data!T153),"Invalid_Email")</f>
        <v>kavya.nair@company.com</v>
      </c>
      <c r="E153" s="13">
        <f ca="1">DATEDIF(Sales_Data!H153,TODAY(),"Y")</f>
        <v>28</v>
      </c>
      <c r="F153" s="13">
        <f>IFERROR(DATEDIF(Sales_Data!D153,Sales_Data!E153,"D"),"Information_Not_Given")</f>
        <v>8</v>
      </c>
      <c r="G153" s="13" t="str" cm="1">
        <f t="array" ref="G153">_xlfn.IFS(F153&lt;=5,"One_Time",F153&gt;5,"Delayed",F153="Information_Not_given","Pending")</f>
        <v>Delayed</v>
      </c>
    </row>
    <row r="154" spans="1:7" x14ac:dyDescent="0.3">
      <c r="A154" s="12" t="str">
        <f>IF(AND(Sales_Data!P154&gt;=100000,Sales_Data!Q154&gt;=4,Sales_Data!V154="Completed",Sales_Data!O154&lt;=10),"Platinum",IF(AND(Sales_Data!P154&gt;=50000,Sales_Data!Q154&gt;=3,Sales_Data!V154="Completed"),"Gold",IF(AND(Sales_Data!P154&lt;50000,Sales_Data!V154="Completed"),"Silver",IF(OR(Sales_Data!Q154&lt;=2,Sales_Data!V154="Canceled"),"Blacklisted","Others"))))</f>
        <v>Blacklisted</v>
      </c>
      <c r="B154" s="4" t="str">
        <f>PROPER(TRIM(Sales_Data!F154))</f>
        <v>Priya Patel</v>
      </c>
      <c r="C154" s="4" t="str">
        <f>LEFT(B154,3)&amp;RIGHT(Sales_Data!B154,3)&amp;LEFT(Sales_Data!I154,2)</f>
        <v>Pri002Pu</v>
      </c>
      <c r="D154" s="4" t="str">
        <f>IF(ISNUMBER(SEARCH("@",Sales_Data!T154)),LOWER(Sales_Data!T154),"Invalid_Email")</f>
        <v>priya.patel@company.com</v>
      </c>
      <c r="E154" s="13">
        <f ca="1">DATEDIF(Sales_Data!H154,TODAY(),"Y")</f>
        <v>30</v>
      </c>
      <c r="F154" s="13">
        <f>IFERROR(DATEDIF(Sales_Data!D154,Sales_Data!E154,"D"),"Information_Not_Given")</f>
        <v>5</v>
      </c>
      <c r="G154" s="13" t="str" cm="1">
        <f t="array" ref="G154">_xlfn.IFS(F154&lt;=5,"One_Time",F154&gt;5,"Delayed",F154="Information_Not_given","Pending")</f>
        <v>One_Time</v>
      </c>
    </row>
    <row r="155" spans="1:7" x14ac:dyDescent="0.3">
      <c r="A155" s="12" t="str">
        <f>IF(AND(Sales_Data!P155&gt;=100000,Sales_Data!Q155&gt;=4,Sales_Data!V155="Completed",Sales_Data!O155&lt;=10),"Platinum",IF(AND(Sales_Data!P155&gt;=50000,Sales_Data!Q155&gt;=3,Sales_Data!V155="Completed"),"Gold",IF(AND(Sales_Data!P155&lt;50000,Sales_Data!V155="Completed"),"Silver",IF(OR(Sales_Data!Q155&lt;=2,Sales_Data!V155="Canceled"),"Blacklisted","Others"))))</f>
        <v>Blacklisted</v>
      </c>
      <c r="B155" s="4" t="str">
        <f>PROPER(TRIM(Sales_Data!F155))</f>
        <v>Vikas Mehta</v>
      </c>
      <c r="C155" s="4" t="str">
        <f>LEFT(B155,3)&amp;RIGHT(Sales_Data!B155,3)&amp;LEFT(Sales_Data!I155,2)</f>
        <v>Vik005Pu</v>
      </c>
      <c r="D155" s="4" t="str">
        <f>IF(ISNUMBER(SEARCH("@",Sales_Data!T155)),LOWER(Sales_Data!T155),"Invalid_Email")</f>
        <v>vikas.mehta@company.com</v>
      </c>
      <c r="E155" s="13">
        <f ca="1">DATEDIF(Sales_Data!H155,TODAY(),"Y")</f>
        <v>30</v>
      </c>
      <c r="F155" s="13">
        <f>IFERROR(DATEDIF(Sales_Data!D155,Sales_Data!E155,"D"),"Information_Not_Given")</f>
        <v>10</v>
      </c>
      <c r="G155" s="13" t="str" cm="1">
        <f t="array" ref="G155">_xlfn.IFS(F155&lt;=5,"One_Time",F155&gt;5,"Delayed",F155="Information_Not_given","Pending")</f>
        <v>Delayed</v>
      </c>
    </row>
    <row r="156" spans="1:7" x14ac:dyDescent="0.3">
      <c r="A156" s="12" t="str">
        <f>IF(AND(Sales_Data!P156&gt;=100000,Sales_Data!Q156&gt;=4,Sales_Data!V156="Completed",Sales_Data!O156&lt;=10),"Platinum",IF(AND(Sales_Data!P156&gt;=50000,Sales_Data!Q156&gt;=3,Sales_Data!V156="Completed"),"Gold",IF(AND(Sales_Data!P156&lt;50000,Sales_Data!V156="Completed"),"Silver",IF(OR(Sales_Data!Q156&lt;=2,Sales_Data!V156="Canceled"),"Blacklisted","Others"))))</f>
        <v>Silver</v>
      </c>
      <c r="B156" s="4" t="str">
        <f>PROPER(TRIM(Sales_Data!F156))</f>
        <v>Kavya Nair</v>
      </c>
      <c r="C156" s="4" t="str">
        <f>LEFT(B156,3)&amp;RIGHT(Sales_Data!B156,3)&amp;LEFT(Sales_Data!I156,2)</f>
        <v>Kav008De</v>
      </c>
      <c r="D156" s="4" t="str">
        <f>IF(ISNUMBER(SEARCH("@",Sales_Data!T156)),LOWER(Sales_Data!T156),"Invalid_Email")</f>
        <v>kavya.nair@company.com</v>
      </c>
      <c r="E156" s="13">
        <f ca="1">DATEDIF(Sales_Data!H156,TODAY(),"Y")</f>
        <v>50</v>
      </c>
      <c r="F156" s="13">
        <f>IFERROR(DATEDIF(Sales_Data!D156,Sales_Data!E156,"D"),"Information_Not_Given")</f>
        <v>1</v>
      </c>
      <c r="G156" s="13" t="str" cm="1">
        <f t="array" ref="G156">_xlfn.IFS(F156&lt;=5,"One_Time",F156&gt;5,"Delayed",F156="Information_Not_given","Pending")</f>
        <v>One_Time</v>
      </c>
    </row>
    <row r="157" spans="1:7" x14ac:dyDescent="0.3">
      <c r="A157" s="12" t="str">
        <f>IF(AND(Sales_Data!P157&gt;=100000,Sales_Data!Q157&gt;=4,Sales_Data!V157="Completed",Sales_Data!O157&lt;=10),"Platinum",IF(AND(Sales_Data!P157&gt;=50000,Sales_Data!Q157&gt;=3,Sales_Data!V157="Completed"),"Gold",IF(AND(Sales_Data!P157&lt;50000,Sales_Data!V157="Completed"),"Silver",IF(OR(Sales_Data!Q157&lt;=2,Sales_Data!V157="Canceled"),"Blacklisted","Others"))))</f>
        <v>Others</v>
      </c>
      <c r="B157" s="4" t="str">
        <f>PROPER(TRIM(Sales_Data!F157))</f>
        <v>Pooja Shah</v>
      </c>
      <c r="C157" s="4" t="str">
        <f>LEFT(B157,3)&amp;RIGHT(Sales_Data!B157,3)&amp;LEFT(Sales_Data!I157,2)</f>
        <v>Poo010Hy</v>
      </c>
      <c r="D157" s="4" t="str">
        <f>IF(ISNUMBER(SEARCH("@",Sales_Data!T157)),LOWER(Sales_Data!T157),"Invalid_Email")</f>
        <v>pooja.shah@company.com</v>
      </c>
      <c r="E157" s="13">
        <f ca="1">DATEDIF(Sales_Data!H157,TODAY(),"Y")</f>
        <v>42</v>
      </c>
      <c r="F157" s="13">
        <f>IFERROR(DATEDIF(Sales_Data!D157,Sales_Data!E157,"D"),"Information_Not_Given")</f>
        <v>3</v>
      </c>
      <c r="G157" s="13" t="str" cm="1">
        <f t="array" ref="G157">_xlfn.IFS(F157&lt;=5,"One_Time",F157&gt;5,"Delayed",F157="Information_Not_given","Pending")</f>
        <v>One_Time</v>
      </c>
    </row>
    <row r="158" spans="1:7" x14ac:dyDescent="0.3">
      <c r="A158" s="12" t="str">
        <f>IF(AND(Sales_Data!P158&gt;=100000,Sales_Data!Q158&gt;=4,Sales_Data!V158="Completed",Sales_Data!O158&lt;=10),"Platinum",IF(AND(Sales_Data!P158&gt;=50000,Sales_Data!Q158&gt;=3,Sales_Data!V158="Completed"),"Gold",IF(AND(Sales_Data!P158&lt;50000,Sales_Data!V158="Completed"),"Silver",IF(OR(Sales_Data!Q158&lt;=2,Sales_Data!V158="Canceled"),"Blacklisted","Others"))))</f>
        <v>Blacklisted</v>
      </c>
      <c r="B158" s="4" t="str">
        <f>PROPER(TRIM(Sales_Data!F158))</f>
        <v>Vikas Mehta</v>
      </c>
      <c r="C158" s="4" t="str">
        <f>LEFT(B158,3)&amp;RIGHT(Sales_Data!B158,3)&amp;LEFT(Sales_Data!I158,2)</f>
        <v>Vik005Ko</v>
      </c>
      <c r="D158" s="4" t="str">
        <f>IF(ISNUMBER(SEARCH("@",Sales_Data!T158)),LOWER(Sales_Data!T158),"Invalid_Email")</f>
        <v>vikas.mehta@company.com</v>
      </c>
      <c r="E158" s="13">
        <f ca="1">DATEDIF(Sales_Data!H158,TODAY(),"Y")</f>
        <v>28</v>
      </c>
      <c r="F158" s="13">
        <f>IFERROR(DATEDIF(Sales_Data!D158,Sales_Data!E158,"D"),"Information_Not_Given")</f>
        <v>10</v>
      </c>
      <c r="G158" s="13" t="str" cm="1">
        <f t="array" ref="G158">_xlfn.IFS(F158&lt;=5,"One_Time",F158&gt;5,"Delayed",F158="Information_Not_given","Pending")</f>
        <v>Delayed</v>
      </c>
    </row>
    <row r="159" spans="1:7" x14ac:dyDescent="0.3">
      <c r="A159" s="12" t="str">
        <f>IF(AND(Sales_Data!P159&gt;=100000,Sales_Data!Q159&gt;=4,Sales_Data!V159="Completed",Sales_Data!O159&lt;=10),"Platinum",IF(AND(Sales_Data!P159&gt;=50000,Sales_Data!Q159&gt;=3,Sales_Data!V159="Completed"),"Gold",IF(AND(Sales_Data!P159&lt;50000,Sales_Data!V159="Completed"),"Silver",IF(OR(Sales_Data!Q159&lt;=2,Sales_Data!V159="Canceled"),"Blacklisted","Others"))))</f>
        <v>Silver</v>
      </c>
      <c r="B159" s="4" t="str">
        <f>PROPER(TRIM(Sales_Data!F159))</f>
        <v>Amit Sharma</v>
      </c>
      <c r="C159" s="4" t="str">
        <f>LEFT(B159,3)&amp;RIGHT(Sales_Data!B159,3)&amp;LEFT(Sales_Data!I159,2)</f>
        <v>Ami001Hy</v>
      </c>
      <c r="D159" s="4" t="str">
        <f>IF(ISNUMBER(SEARCH("@",Sales_Data!T159)),LOWER(Sales_Data!T159),"Invalid_Email")</f>
        <v>amit.sharma@company.com</v>
      </c>
      <c r="E159" s="13">
        <f ca="1">DATEDIF(Sales_Data!H159,TODAY(),"Y")</f>
        <v>25</v>
      </c>
      <c r="F159" s="13">
        <f>IFERROR(DATEDIF(Sales_Data!D159,Sales_Data!E159,"D"),"Information_Not_Given")</f>
        <v>2</v>
      </c>
      <c r="G159" s="13" t="str" cm="1">
        <f t="array" ref="G159">_xlfn.IFS(F159&lt;=5,"One_Time",F159&gt;5,"Delayed",F159="Information_Not_given","Pending")</f>
        <v>One_Time</v>
      </c>
    </row>
    <row r="160" spans="1:7" x14ac:dyDescent="0.3">
      <c r="A160" s="12" t="str">
        <f>IF(AND(Sales_Data!P160&gt;=100000,Sales_Data!Q160&gt;=4,Sales_Data!V160="Completed",Sales_Data!O160&lt;=10),"Platinum",IF(AND(Sales_Data!P160&gt;=50000,Sales_Data!Q160&gt;=3,Sales_Data!V160="Completed"),"Gold",IF(AND(Sales_Data!P160&lt;50000,Sales_Data!V160="Completed"),"Silver",IF(OR(Sales_Data!Q160&lt;=2,Sales_Data!V160="Canceled"),"Blacklisted","Others"))))</f>
        <v>Silver</v>
      </c>
      <c r="B160" s="4" t="str">
        <f>PROPER(TRIM(Sales_Data!F160))</f>
        <v>Mohit Verma</v>
      </c>
      <c r="C160" s="4" t="str">
        <f>LEFT(B160,3)&amp;RIGHT(Sales_Data!B160,3)&amp;LEFT(Sales_Data!I160,2)</f>
        <v>Moh009De</v>
      </c>
      <c r="D160" s="4" t="str">
        <f>IF(ISNUMBER(SEARCH("@",Sales_Data!T160)),LOWER(Sales_Data!T160),"Invalid_Email")</f>
        <v>mohit.verma@company.com</v>
      </c>
      <c r="E160" s="13">
        <f ca="1">DATEDIF(Sales_Data!H160,TODAY(),"Y")</f>
        <v>27</v>
      </c>
      <c r="F160" s="13">
        <f>IFERROR(DATEDIF(Sales_Data!D160,Sales_Data!E160,"D"),"Information_Not_Given")</f>
        <v>10</v>
      </c>
      <c r="G160" s="13" t="str" cm="1">
        <f t="array" ref="G160">_xlfn.IFS(F160&lt;=5,"One_Time",F160&gt;5,"Delayed",F160="Information_Not_given","Pending")</f>
        <v>Delayed</v>
      </c>
    </row>
    <row r="161" spans="1:7" x14ac:dyDescent="0.3">
      <c r="A161" s="12" t="str">
        <f>IF(AND(Sales_Data!P161&gt;=100000,Sales_Data!Q161&gt;=4,Sales_Data!V161="Completed",Sales_Data!O161&lt;=10),"Platinum",IF(AND(Sales_Data!P161&gt;=50000,Sales_Data!Q161&gt;=3,Sales_Data!V161="Completed"),"Gold",IF(AND(Sales_Data!P161&lt;50000,Sales_Data!V161="Completed"),"Silver",IF(OR(Sales_Data!Q161&lt;=2,Sales_Data!V161="Canceled"),"Blacklisted","Others"))))</f>
        <v>Blacklisted</v>
      </c>
      <c r="B161" s="4" t="str">
        <f>PROPER(TRIM(Sales_Data!F161))</f>
        <v>Vikas Mehta</v>
      </c>
      <c r="C161" s="4" t="str">
        <f>LEFT(B161,3)&amp;RIGHT(Sales_Data!B161,3)&amp;LEFT(Sales_Data!I161,2)</f>
        <v>Vik005Ja</v>
      </c>
      <c r="D161" s="4" t="str">
        <f>IF(ISNUMBER(SEARCH("@",Sales_Data!T161)),LOWER(Sales_Data!T161),"Invalid_Email")</f>
        <v>vikas.mehta@company.com</v>
      </c>
      <c r="E161" s="13">
        <f ca="1">DATEDIF(Sales_Data!H161,TODAY(),"Y")</f>
        <v>30</v>
      </c>
      <c r="F161" s="13">
        <f>IFERROR(DATEDIF(Sales_Data!D161,Sales_Data!E161,"D"),"Information_Not_Given")</f>
        <v>3</v>
      </c>
      <c r="G161" s="13" t="str" cm="1">
        <f t="array" ref="G161">_xlfn.IFS(F161&lt;=5,"One_Time",F161&gt;5,"Delayed",F161="Information_Not_given","Pending")</f>
        <v>One_Time</v>
      </c>
    </row>
    <row r="162" spans="1:7" x14ac:dyDescent="0.3">
      <c r="A162" s="12" t="str">
        <f>IF(AND(Sales_Data!P162&gt;=100000,Sales_Data!Q162&gt;=4,Sales_Data!V162="Completed",Sales_Data!O162&lt;=10),"Platinum",IF(AND(Sales_Data!P162&gt;=50000,Sales_Data!Q162&gt;=3,Sales_Data!V162="Completed"),"Gold",IF(AND(Sales_Data!P162&lt;50000,Sales_Data!V162="Completed"),"Silver",IF(OR(Sales_Data!Q162&lt;=2,Sales_Data!V162="Canceled"),"Blacklisted","Others"))))</f>
        <v>Others</v>
      </c>
      <c r="B162" s="4" t="str">
        <f>PROPER(TRIM(Sales_Data!F162))</f>
        <v>Amit Sharma</v>
      </c>
      <c r="C162" s="4" t="str">
        <f>LEFT(B162,3)&amp;RIGHT(Sales_Data!B162,3)&amp;LEFT(Sales_Data!I162,2)</f>
        <v>Ami001De</v>
      </c>
      <c r="D162" s="4" t="str">
        <f>IF(ISNUMBER(SEARCH("@",Sales_Data!T162)),LOWER(Sales_Data!T162),"Invalid_Email")</f>
        <v>amit.sharma@company.com</v>
      </c>
      <c r="E162" s="13">
        <f ca="1">DATEDIF(Sales_Data!H162,TODAY(),"Y")</f>
        <v>27</v>
      </c>
      <c r="F162" s="13">
        <f>IFERROR(DATEDIF(Sales_Data!D162,Sales_Data!E162,"D"),"Information_Not_Given")</f>
        <v>4</v>
      </c>
      <c r="G162" s="13" t="str" cm="1">
        <f t="array" ref="G162">_xlfn.IFS(F162&lt;=5,"One_Time",F162&gt;5,"Delayed",F162="Information_Not_given","Pending")</f>
        <v>One_Time</v>
      </c>
    </row>
    <row r="163" spans="1:7" x14ac:dyDescent="0.3">
      <c r="A163" s="12" t="str">
        <f>IF(AND(Sales_Data!P163&gt;=100000,Sales_Data!Q163&gt;=4,Sales_Data!V163="Completed",Sales_Data!O163&lt;=10),"Platinum",IF(AND(Sales_Data!P163&gt;=50000,Sales_Data!Q163&gt;=3,Sales_Data!V163="Completed"),"Gold",IF(AND(Sales_Data!P163&lt;50000,Sales_Data!V163="Completed"),"Silver",IF(OR(Sales_Data!Q163&lt;=2,Sales_Data!V163="Canceled"),"Blacklisted","Others"))))</f>
        <v>Blacklisted</v>
      </c>
      <c r="B163" s="4" t="str">
        <f>PROPER(TRIM(Sales_Data!F163))</f>
        <v>Anita Gupta</v>
      </c>
      <c r="C163" s="4" t="str">
        <f>LEFT(B163,3)&amp;RIGHT(Sales_Data!B163,3)&amp;LEFT(Sales_Data!I163,2)</f>
        <v>Ani004Ko</v>
      </c>
      <c r="D163" s="4" t="str">
        <f>IF(ISNUMBER(SEARCH("@",Sales_Data!T163)),LOWER(Sales_Data!T163),"Invalid_Email")</f>
        <v>anita.gupta@company.com</v>
      </c>
      <c r="E163" s="13">
        <f ca="1">DATEDIF(Sales_Data!H163,TODAY(),"Y")</f>
        <v>25</v>
      </c>
      <c r="F163" s="13">
        <f>IFERROR(DATEDIF(Sales_Data!D163,Sales_Data!E163,"D"),"Information_Not_Given")</f>
        <v>10</v>
      </c>
      <c r="G163" s="13" t="str" cm="1">
        <f t="array" ref="G163">_xlfn.IFS(F163&lt;=5,"One_Time",F163&gt;5,"Delayed",F163="Information_Not_given","Pending")</f>
        <v>Delayed</v>
      </c>
    </row>
    <row r="164" spans="1:7" x14ac:dyDescent="0.3">
      <c r="A164" s="12" t="str">
        <f>IF(AND(Sales_Data!P164&gt;=100000,Sales_Data!Q164&gt;=4,Sales_Data!V164="Completed",Sales_Data!O164&lt;=10),"Platinum",IF(AND(Sales_Data!P164&gt;=50000,Sales_Data!Q164&gt;=3,Sales_Data!V164="Completed"),"Gold",IF(AND(Sales_Data!P164&lt;50000,Sales_Data!V164="Completed"),"Silver",IF(OR(Sales_Data!Q164&lt;=2,Sales_Data!V164="Canceled"),"Blacklisted","Others"))))</f>
        <v>Silver</v>
      </c>
      <c r="B164" s="4" t="str">
        <f>PROPER(TRIM(Sales_Data!F164))</f>
        <v>Anita Gupta</v>
      </c>
      <c r="C164" s="4" t="str">
        <f>LEFT(B164,3)&amp;RIGHT(Sales_Data!B164,3)&amp;LEFT(Sales_Data!I164,2)</f>
        <v>Ani004Pu</v>
      </c>
      <c r="D164" s="4" t="str">
        <f>IF(ISNUMBER(SEARCH("@",Sales_Data!T164)),LOWER(Sales_Data!T164),"Invalid_Email")</f>
        <v>anita.gupta@company.com</v>
      </c>
      <c r="E164" s="13">
        <f ca="1">DATEDIF(Sales_Data!H164,TODAY(),"Y")</f>
        <v>24</v>
      </c>
      <c r="F164" s="13">
        <f>IFERROR(DATEDIF(Sales_Data!D164,Sales_Data!E164,"D"),"Information_Not_Given")</f>
        <v>2</v>
      </c>
      <c r="G164" s="13" t="str" cm="1">
        <f t="array" ref="G164">_xlfn.IFS(F164&lt;=5,"One_Time",F164&gt;5,"Delayed",F164="Information_Not_given","Pending")</f>
        <v>One_Time</v>
      </c>
    </row>
    <row r="165" spans="1:7" x14ac:dyDescent="0.3">
      <c r="A165" s="12" t="str">
        <f>IF(AND(Sales_Data!P165&gt;=100000,Sales_Data!Q165&gt;=4,Sales_Data!V165="Completed",Sales_Data!O165&lt;=10),"Platinum",IF(AND(Sales_Data!P165&gt;=50000,Sales_Data!Q165&gt;=3,Sales_Data!V165="Completed"),"Gold",IF(AND(Sales_Data!P165&lt;50000,Sales_Data!V165="Completed"),"Silver",IF(OR(Sales_Data!Q165&lt;=2,Sales_Data!V165="Canceled"),"Blacklisted","Others"))))</f>
        <v>Silver</v>
      </c>
      <c r="B165" s="4" t="str">
        <f>PROPER(TRIM(Sales_Data!F165))</f>
        <v>Amit Sharma</v>
      </c>
      <c r="C165" s="4" t="str">
        <f>LEFT(B165,3)&amp;RIGHT(Sales_Data!B165,3)&amp;LEFT(Sales_Data!I165,2)</f>
        <v>Ami001Ja</v>
      </c>
      <c r="D165" s="4" t="str">
        <f>IF(ISNUMBER(SEARCH("@",Sales_Data!T165)),LOWER(Sales_Data!T165),"Invalid_Email")</f>
        <v>amit.sharma@company.com</v>
      </c>
      <c r="E165" s="13">
        <f ca="1">DATEDIF(Sales_Data!H165,TODAY(),"Y")</f>
        <v>24</v>
      </c>
      <c r="F165" s="13">
        <f>IFERROR(DATEDIF(Sales_Data!D165,Sales_Data!E165,"D"),"Information_Not_Given")</f>
        <v>9</v>
      </c>
      <c r="G165" s="13" t="str" cm="1">
        <f t="array" ref="G165">_xlfn.IFS(F165&lt;=5,"One_Time",F165&gt;5,"Delayed",F165="Information_Not_given","Pending")</f>
        <v>Delayed</v>
      </c>
    </row>
    <row r="166" spans="1:7" x14ac:dyDescent="0.3">
      <c r="A166" s="12" t="str">
        <f>IF(AND(Sales_Data!P166&gt;=100000,Sales_Data!Q166&gt;=4,Sales_Data!V166="Completed",Sales_Data!O166&lt;=10),"Platinum",IF(AND(Sales_Data!P166&gt;=50000,Sales_Data!Q166&gt;=3,Sales_Data!V166="Completed"),"Gold",IF(AND(Sales_Data!P166&lt;50000,Sales_Data!V166="Completed"),"Silver",IF(OR(Sales_Data!Q166&lt;=2,Sales_Data!V166="Canceled"),"Blacklisted","Others"))))</f>
        <v>Blacklisted</v>
      </c>
      <c r="B166" s="4" t="str">
        <f>PROPER(TRIM(Sales_Data!F166))</f>
        <v>Anita Gupta</v>
      </c>
      <c r="C166" s="4" t="str">
        <f>LEFT(B166,3)&amp;RIGHT(Sales_Data!B166,3)&amp;LEFT(Sales_Data!I166,2)</f>
        <v>Ani004Pu</v>
      </c>
      <c r="D166" s="4" t="str">
        <f>IF(ISNUMBER(SEARCH("@",Sales_Data!T166)),LOWER(Sales_Data!T166),"Invalid_Email")</f>
        <v>anita.gupta@company.com</v>
      </c>
      <c r="E166" s="13">
        <f ca="1">DATEDIF(Sales_Data!H166,TODAY(),"Y")</f>
        <v>46</v>
      </c>
      <c r="F166" s="13">
        <f>IFERROR(DATEDIF(Sales_Data!D166,Sales_Data!E166,"D"),"Information_Not_Given")</f>
        <v>4</v>
      </c>
      <c r="G166" s="13" t="str" cm="1">
        <f t="array" ref="G166">_xlfn.IFS(F166&lt;=5,"One_Time",F166&gt;5,"Delayed",F166="Information_Not_given","Pending")</f>
        <v>One_Time</v>
      </c>
    </row>
    <row r="167" spans="1:7" x14ac:dyDescent="0.3">
      <c r="A167" s="12" t="str">
        <f>IF(AND(Sales_Data!P167&gt;=100000,Sales_Data!Q167&gt;=4,Sales_Data!V167="Completed",Sales_Data!O167&lt;=10),"Platinum",IF(AND(Sales_Data!P167&gt;=50000,Sales_Data!Q167&gt;=3,Sales_Data!V167="Completed"),"Gold",IF(AND(Sales_Data!P167&lt;50000,Sales_Data!V167="Completed"),"Silver",IF(OR(Sales_Data!Q167&lt;=2,Sales_Data!V167="Canceled"),"Blacklisted","Others"))))</f>
        <v>Blacklisted</v>
      </c>
      <c r="B167" s="4" t="str">
        <f>PROPER(TRIM(Sales_Data!F167))</f>
        <v>Anita Gupta</v>
      </c>
      <c r="C167" s="4" t="str">
        <f>LEFT(B167,3)&amp;RIGHT(Sales_Data!B167,3)&amp;LEFT(Sales_Data!I167,2)</f>
        <v>Ani004Ah</v>
      </c>
      <c r="D167" s="4" t="str">
        <f>IF(ISNUMBER(SEARCH("@",Sales_Data!T167)),LOWER(Sales_Data!T167),"Invalid_Email")</f>
        <v>anita.gupta@company.com</v>
      </c>
      <c r="E167" s="13">
        <f ca="1">DATEDIF(Sales_Data!H167,TODAY(),"Y")</f>
        <v>30</v>
      </c>
      <c r="F167" s="13">
        <f>IFERROR(DATEDIF(Sales_Data!D167,Sales_Data!E167,"D"),"Information_Not_Given")</f>
        <v>8</v>
      </c>
      <c r="G167" s="13" t="str" cm="1">
        <f t="array" ref="G167">_xlfn.IFS(F167&lt;=5,"One_Time",F167&gt;5,"Delayed",F167="Information_Not_given","Pending")</f>
        <v>Delayed</v>
      </c>
    </row>
    <row r="168" spans="1:7" x14ac:dyDescent="0.3">
      <c r="A168" s="12" t="str">
        <f>IF(AND(Sales_Data!P168&gt;=100000,Sales_Data!Q168&gt;=4,Sales_Data!V168="Completed",Sales_Data!O168&lt;=10),"Platinum",IF(AND(Sales_Data!P168&gt;=50000,Sales_Data!Q168&gt;=3,Sales_Data!V168="Completed"),"Gold",IF(AND(Sales_Data!P168&lt;50000,Sales_Data!V168="Completed"),"Silver",IF(OR(Sales_Data!Q168&lt;=2,Sales_Data!V168="Canceled"),"Blacklisted","Others"))))</f>
        <v>Blacklisted</v>
      </c>
      <c r="B168" s="4" t="str">
        <f>PROPER(TRIM(Sales_Data!F168))</f>
        <v>Rohit Singh</v>
      </c>
      <c r="C168" s="4" t="str">
        <f>LEFT(B168,3)&amp;RIGHT(Sales_Data!B168,3)&amp;LEFT(Sales_Data!I168,2)</f>
        <v>Roh003Ko</v>
      </c>
      <c r="D168" s="4" t="str">
        <f>IF(ISNUMBER(SEARCH("@",Sales_Data!T168)),LOWER(Sales_Data!T168),"Invalid_Email")</f>
        <v>rohit.singh@company.com</v>
      </c>
      <c r="E168" s="13">
        <f ca="1">DATEDIF(Sales_Data!H168,TODAY(),"Y")</f>
        <v>40</v>
      </c>
      <c r="F168" s="13">
        <f>IFERROR(DATEDIF(Sales_Data!D168,Sales_Data!E168,"D"),"Information_Not_Given")</f>
        <v>11</v>
      </c>
      <c r="G168" s="13" t="str" cm="1">
        <f t="array" ref="G168">_xlfn.IFS(F168&lt;=5,"One_Time",F168&gt;5,"Delayed",F168="Information_Not_given","Pending")</f>
        <v>Delayed</v>
      </c>
    </row>
    <row r="169" spans="1:7" x14ac:dyDescent="0.3">
      <c r="A169" s="12" t="str">
        <f>IF(AND(Sales_Data!P169&gt;=100000,Sales_Data!Q169&gt;=4,Sales_Data!V169="Completed",Sales_Data!O169&lt;=10),"Platinum",IF(AND(Sales_Data!P169&gt;=50000,Sales_Data!Q169&gt;=3,Sales_Data!V169="Completed"),"Gold",IF(AND(Sales_Data!P169&lt;50000,Sales_Data!V169="Completed"),"Silver",IF(OR(Sales_Data!Q169&lt;=2,Sales_Data!V169="Canceled"),"Blacklisted","Others"))))</f>
        <v>Others</v>
      </c>
      <c r="B169" s="4" t="str">
        <f>PROPER(TRIM(Sales_Data!F169))</f>
        <v>Amit Sharma</v>
      </c>
      <c r="C169" s="4" t="str">
        <f>LEFT(B169,3)&amp;RIGHT(Sales_Data!B169,3)&amp;LEFT(Sales_Data!I169,2)</f>
        <v>Ami001Be</v>
      </c>
      <c r="D169" s="4" t="str">
        <f>IF(ISNUMBER(SEARCH("@",Sales_Data!T169)),LOWER(Sales_Data!T169),"Invalid_Email")</f>
        <v>amit.sharma@company.com</v>
      </c>
      <c r="E169" s="13">
        <f ca="1">DATEDIF(Sales_Data!H169,TODAY(),"Y")</f>
        <v>37</v>
      </c>
      <c r="F169" s="13">
        <f>IFERROR(DATEDIF(Sales_Data!D169,Sales_Data!E169,"D"),"Information_Not_Given")</f>
        <v>4</v>
      </c>
      <c r="G169" s="13" t="str" cm="1">
        <f t="array" ref="G169">_xlfn.IFS(F169&lt;=5,"One_Time",F169&gt;5,"Delayed",F169="Information_Not_given","Pending")</f>
        <v>One_Time</v>
      </c>
    </row>
    <row r="170" spans="1:7" x14ac:dyDescent="0.3">
      <c r="A170" s="12" t="str">
        <f>IF(AND(Sales_Data!P170&gt;=100000,Sales_Data!Q170&gt;=4,Sales_Data!V170="Completed",Sales_Data!O170&lt;=10),"Platinum",IF(AND(Sales_Data!P170&gt;=50000,Sales_Data!Q170&gt;=3,Sales_Data!V170="Completed"),"Gold",IF(AND(Sales_Data!P170&lt;50000,Sales_Data!V170="Completed"),"Silver",IF(OR(Sales_Data!Q170&lt;=2,Sales_Data!V170="Canceled"),"Blacklisted","Others"))))</f>
        <v>Others</v>
      </c>
      <c r="B170" s="4" t="str">
        <f>PROPER(TRIM(Sales_Data!F170))</f>
        <v>Pooja Shah</v>
      </c>
      <c r="C170" s="4" t="str">
        <f>LEFT(B170,3)&amp;RIGHT(Sales_Data!B170,3)&amp;LEFT(Sales_Data!I170,2)</f>
        <v>Poo010Mu</v>
      </c>
      <c r="D170" s="4" t="str">
        <f>IF(ISNUMBER(SEARCH("@",Sales_Data!T170)),LOWER(Sales_Data!T170),"Invalid_Email")</f>
        <v>pooja.shah@company.com</v>
      </c>
      <c r="E170" s="13">
        <f ca="1">DATEDIF(Sales_Data!H170,TODAY(),"Y")</f>
        <v>37</v>
      </c>
      <c r="F170" s="13">
        <f>IFERROR(DATEDIF(Sales_Data!D170,Sales_Data!E170,"D"),"Information_Not_Given")</f>
        <v>8</v>
      </c>
      <c r="G170" s="13" t="str" cm="1">
        <f t="array" ref="G170">_xlfn.IFS(F170&lt;=5,"One_Time",F170&gt;5,"Delayed",F170="Information_Not_given","Pending")</f>
        <v>Delayed</v>
      </c>
    </row>
    <row r="171" spans="1:7" x14ac:dyDescent="0.3">
      <c r="A171" s="12" t="str">
        <f>IF(AND(Sales_Data!P171&gt;=100000,Sales_Data!Q171&gt;=4,Sales_Data!V171="Completed",Sales_Data!O171&lt;=10),"Platinum",IF(AND(Sales_Data!P171&gt;=50000,Sales_Data!Q171&gt;=3,Sales_Data!V171="Completed"),"Gold",IF(AND(Sales_Data!P171&lt;50000,Sales_Data!V171="Completed"),"Silver",IF(OR(Sales_Data!Q171&lt;=2,Sales_Data!V171="Canceled"),"Blacklisted","Others"))))</f>
        <v>Blacklisted</v>
      </c>
      <c r="B171" s="4" t="str">
        <f>PROPER(TRIM(Sales_Data!F171))</f>
        <v>Sneha Joshi</v>
      </c>
      <c r="C171" s="4" t="str">
        <f>LEFT(B171,3)&amp;RIGHT(Sales_Data!B171,3)&amp;LEFT(Sales_Data!I171,2)</f>
        <v>Sne006Hy</v>
      </c>
      <c r="D171" s="4" t="str">
        <f>IF(ISNUMBER(SEARCH("@",Sales_Data!T171)),LOWER(Sales_Data!T171),"Invalid_Email")</f>
        <v>sneha.joshi@company.com</v>
      </c>
      <c r="E171" s="13">
        <f ca="1">DATEDIF(Sales_Data!H171,TODAY(),"Y")</f>
        <v>29</v>
      </c>
      <c r="F171" s="13">
        <f>IFERROR(DATEDIF(Sales_Data!D171,Sales_Data!E171,"D"),"Information_Not_Given")</f>
        <v>1</v>
      </c>
      <c r="G171" s="13" t="str" cm="1">
        <f t="array" ref="G171">_xlfn.IFS(F171&lt;=5,"One_Time",F171&gt;5,"Delayed",F171="Information_Not_given","Pending")</f>
        <v>One_Time</v>
      </c>
    </row>
    <row r="172" spans="1:7" x14ac:dyDescent="0.3">
      <c r="A172" s="12" t="str">
        <f>IF(AND(Sales_Data!P172&gt;=100000,Sales_Data!Q172&gt;=4,Sales_Data!V172="Completed",Sales_Data!O172&lt;=10),"Platinum",IF(AND(Sales_Data!P172&gt;=50000,Sales_Data!Q172&gt;=3,Sales_Data!V172="Completed"),"Gold",IF(AND(Sales_Data!P172&lt;50000,Sales_Data!V172="Completed"),"Silver",IF(OR(Sales_Data!Q172&lt;=2,Sales_Data!V172="Canceled"),"Blacklisted","Others"))))</f>
        <v>Platinum</v>
      </c>
      <c r="B172" s="4" t="str">
        <f>PROPER(TRIM(Sales_Data!F172))</f>
        <v>Rohit Singh</v>
      </c>
      <c r="C172" s="4" t="str">
        <f>LEFT(B172,3)&amp;RIGHT(Sales_Data!B172,3)&amp;LEFT(Sales_Data!I172,2)</f>
        <v>Roh003Ah</v>
      </c>
      <c r="D172" s="4" t="str">
        <f>IF(ISNUMBER(SEARCH("@",Sales_Data!T172)),LOWER(Sales_Data!T172),"Invalid_Email")</f>
        <v>rohit.singh@company.com</v>
      </c>
      <c r="E172" s="13">
        <f ca="1">DATEDIF(Sales_Data!H172,TODAY(),"Y")</f>
        <v>39</v>
      </c>
      <c r="F172" s="13">
        <f>IFERROR(DATEDIF(Sales_Data!D172,Sales_Data!E172,"D"),"Information_Not_Given")</f>
        <v>6</v>
      </c>
      <c r="G172" s="13" t="str" cm="1">
        <f t="array" ref="G172">_xlfn.IFS(F172&lt;=5,"One_Time",F172&gt;5,"Delayed",F172="Information_Not_given","Pending")</f>
        <v>Delayed</v>
      </c>
    </row>
    <row r="173" spans="1:7" x14ac:dyDescent="0.3">
      <c r="A173" s="12" t="str">
        <f>IF(AND(Sales_Data!P173&gt;=100000,Sales_Data!Q173&gt;=4,Sales_Data!V173="Completed",Sales_Data!O173&lt;=10),"Platinum",IF(AND(Sales_Data!P173&gt;=50000,Sales_Data!Q173&gt;=3,Sales_Data!V173="Completed"),"Gold",IF(AND(Sales_Data!P173&lt;50000,Sales_Data!V173="Completed"),"Silver",IF(OR(Sales_Data!Q173&lt;=2,Sales_Data!V173="Canceled"),"Blacklisted","Others"))))</f>
        <v>Blacklisted</v>
      </c>
      <c r="B173" s="4" t="str">
        <f>PROPER(TRIM(Sales_Data!F173))</f>
        <v>Vikas Mehta</v>
      </c>
      <c r="C173" s="4" t="str">
        <f>LEFT(B173,3)&amp;RIGHT(Sales_Data!B173,3)&amp;LEFT(Sales_Data!I173,2)</f>
        <v>Vik005Ah</v>
      </c>
      <c r="D173" s="4" t="str">
        <f>IF(ISNUMBER(SEARCH("@",Sales_Data!T173)),LOWER(Sales_Data!T173),"Invalid_Email")</f>
        <v>vikas.mehta@company.com</v>
      </c>
      <c r="E173" s="13">
        <f ca="1">DATEDIF(Sales_Data!H173,TODAY(),"Y")</f>
        <v>23</v>
      </c>
      <c r="F173" s="13">
        <f>IFERROR(DATEDIF(Sales_Data!D173,Sales_Data!E173,"D"),"Information_Not_Given")</f>
        <v>1</v>
      </c>
      <c r="G173" s="13" t="str" cm="1">
        <f t="array" ref="G173">_xlfn.IFS(F173&lt;=5,"One_Time",F173&gt;5,"Delayed",F173="Information_Not_given","Pending")</f>
        <v>One_Time</v>
      </c>
    </row>
    <row r="174" spans="1:7" x14ac:dyDescent="0.3">
      <c r="A174" s="12" t="str">
        <f>IF(AND(Sales_Data!P174&gt;=100000,Sales_Data!Q174&gt;=4,Sales_Data!V174="Completed",Sales_Data!O174&lt;=10),"Platinum",IF(AND(Sales_Data!P174&gt;=50000,Sales_Data!Q174&gt;=3,Sales_Data!V174="Completed"),"Gold",IF(AND(Sales_Data!P174&lt;50000,Sales_Data!V174="Completed"),"Silver",IF(OR(Sales_Data!Q174&lt;=2,Sales_Data!V174="Canceled"),"Blacklisted","Others"))))</f>
        <v>Others</v>
      </c>
      <c r="B174" s="4" t="str">
        <f>PROPER(TRIM(Sales_Data!F174))</f>
        <v>Kavya Nair</v>
      </c>
      <c r="C174" s="4" t="str">
        <f>LEFT(B174,3)&amp;RIGHT(Sales_Data!B174,3)&amp;LEFT(Sales_Data!I174,2)</f>
        <v>Kav008Ja</v>
      </c>
      <c r="D174" s="4" t="str">
        <f>IF(ISNUMBER(SEARCH("@",Sales_Data!T174)),LOWER(Sales_Data!T174),"Invalid_Email")</f>
        <v>kavya.nair@company.com</v>
      </c>
      <c r="E174" s="13">
        <f ca="1">DATEDIF(Sales_Data!H174,TODAY(),"Y")</f>
        <v>40</v>
      </c>
      <c r="F174" s="13">
        <f>IFERROR(DATEDIF(Sales_Data!D174,Sales_Data!E174,"D"),"Information_Not_Given")</f>
        <v>11</v>
      </c>
      <c r="G174" s="13" t="str" cm="1">
        <f t="array" ref="G174">_xlfn.IFS(F174&lt;=5,"One_Time",F174&gt;5,"Delayed",F174="Information_Not_given","Pending")</f>
        <v>Delayed</v>
      </c>
    </row>
    <row r="175" spans="1:7" x14ac:dyDescent="0.3">
      <c r="A175" s="12" t="str">
        <f>IF(AND(Sales_Data!P175&gt;=100000,Sales_Data!Q175&gt;=4,Sales_Data!V175="Completed",Sales_Data!O175&lt;=10),"Platinum",IF(AND(Sales_Data!P175&gt;=50000,Sales_Data!Q175&gt;=3,Sales_Data!V175="Completed"),"Gold",IF(AND(Sales_Data!P175&lt;50000,Sales_Data!V175="Completed"),"Silver",IF(OR(Sales_Data!Q175&lt;=2,Sales_Data!V175="Canceled"),"Blacklisted","Others"))))</f>
        <v>Blacklisted</v>
      </c>
      <c r="B175" s="4" t="str">
        <f>PROPER(TRIM(Sales_Data!F175))</f>
        <v>Vikas Mehta</v>
      </c>
      <c r="C175" s="4" t="str">
        <f>LEFT(B175,3)&amp;RIGHT(Sales_Data!B175,3)&amp;LEFT(Sales_Data!I175,2)</f>
        <v>Vik005Ja</v>
      </c>
      <c r="D175" s="4" t="str">
        <f>IF(ISNUMBER(SEARCH("@",Sales_Data!T175)),LOWER(Sales_Data!T175),"Invalid_Email")</f>
        <v>Invalid_Email</v>
      </c>
      <c r="E175" s="13">
        <f ca="1">DATEDIF(Sales_Data!H175,TODAY(),"Y")</f>
        <v>40</v>
      </c>
      <c r="F175" s="13">
        <f>IFERROR(DATEDIF(Sales_Data!D175,Sales_Data!E175,"D"),"Information_Not_Given")</f>
        <v>2</v>
      </c>
      <c r="G175" s="13" t="str" cm="1">
        <f t="array" ref="G175">_xlfn.IFS(F175&lt;=5,"One_Time",F175&gt;5,"Delayed",F175="Information_Not_given","Pending")</f>
        <v>One_Time</v>
      </c>
    </row>
    <row r="176" spans="1:7" x14ac:dyDescent="0.3">
      <c r="A176" s="12" t="str">
        <f>IF(AND(Sales_Data!P176&gt;=100000,Sales_Data!Q176&gt;=4,Sales_Data!V176="Completed",Sales_Data!O176&lt;=10),"Platinum",IF(AND(Sales_Data!P176&gt;=50000,Sales_Data!Q176&gt;=3,Sales_Data!V176="Completed"),"Gold",IF(AND(Sales_Data!P176&lt;50000,Sales_Data!V176="Completed"),"Silver",IF(OR(Sales_Data!Q176&lt;=2,Sales_Data!V176="Canceled"),"Blacklisted","Others"))))</f>
        <v>Others</v>
      </c>
      <c r="B176" s="4" t="str">
        <f>PROPER(TRIM(Sales_Data!F176))</f>
        <v>Sneha Joshi</v>
      </c>
      <c r="C176" s="4" t="str">
        <f>LEFT(B176,3)&amp;RIGHT(Sales_Data!B176,3)&amp;LEFT(Sales_Data!I176,2)</f>
        <v>Sne006Pu</v>
      </c>
      <c r="D176" s="4" t="str">
        <f>IF(ISNUMBER(SEARCH("@",Sales_Data!T176)),LOWER(Sales_Data!T176),"Invalid_Email")</f>
        <v>sneha.joshi@company.com</v>
      </c>
      <c r="E176" s="13">
        <f ca="1">DATEDIF(Sales_Data!H176,TODAY(),"Y")</f>
        <v>38</v>
      </c>
      <c r="F176" s="13">
        <f>IFERROR(DATEDIF(Sales_Data!D176,Sales_Data!E176,"D"),"Information_Not_Given")</f>
        <v>11</v>
      </c>
      <c r="G176" s="13" t="str" cm="1">
        <f t="array" ref="G176">_xlfn.IFS(F176&lt;=5,"One_Time",F176&gt;5,"Delayed",F176="Information_Not_given","Pending")</f>
        <v>Delayed</v>
      </c>
    </row>
    <row r="177" spans="1:7" x14ac:dyDescent="0.3">
      <c r="A177" s="12" t="str">
        <f>IF(AND(Sales_Data!P177&gt;=100000,Sales_Data!Q177&gt;=4,Sales_Data!V177="Completed",Sales_Data!O177&lt;=10),"Platinum",IF(AND(Sales_Data!P177&gt;=50000,Sales_Data!Q177&gt;=3,Sales_Data!V177="Completed"),"Gold",IF(AND(Sales_Data!P177&lt;50000,Sales_Data!V177="Completed"),"Silver",IF(OR(Sales_Data!Q177&lt;=2,Sales_Data!V177="Canceled"),"Blacklisted","Others"))))</f>
        <v>Others</v>
      </c>
      <c r="B177" s="4" t="str">
        <f>PROPER(TRIM(Sales_Data!F177))</f>
        <v>Kavya Nair</v>
      </c>
      <c r="C177" s="4" t="str">
        <f>LEFT(B177,3)&amp;RIGHT(Sales_Data!B177,3)&amp;LEFT(Sales_Data!I177,2)</f>
        <v>Kav008Pu</v>
      </c>
      <c r="D177" s="4" t="str">
        <f>IF(ISNUMBER(SEARCH("@",Sales_Data!T177)),LOWER(Sales_Data!T177),"Invalid_Email")</f>
        <v>kavya.nair@company.com</v>
      </c>
      <c r="E177" s="13">
        <f ca="1">DATEDIF(Sales_Data!H177,TODAY(),"Y")</f>
        <v>33</v>
      </c>
      <c r="F177" s="13">
        <f>IFERROR(DATEDIF(Sales_Data!D177,Sales_Data!E177,"D"),"Information_Not_Given")</f>
        <v>12</v>
      </c>
      <c r="G177" s="13" t="str" cm="1">
        <f t="array" ref="G177">_xlfn.IFS(F177&lt;=5,"One_Time",F177&gt;5,"Delayed",F177="Information_Not_given","Pending")</f>
        <v>Delayed</v>
      </c>
    </row>
    <row r="178" spans="1:7" x14ac:dyDescent="0.3">
      <c r="A178" s="12" t="str">
        <f>IF(AND(Sales_Data!P178&gt;=100000,Sales_Data!Q178&gt;=4,Sales_Data!V178="Completed",Sales_Data!O178&lt;=10),"Platinum",IF(AND(Sales_Data!P178&gt;=50000,Sales_Data!Q178&gt;=3,Sales_Data!V178="Completed"),"Gold",IF(AND(Sales_Data!P178&lt;50000,Sales_Data!V178="Completed"),"Silver",IF(OR(Sales_Data!Q178&lt;=2,Sales_Data!V178="Canceled"),"Blacklisted","Others"))))</f>
        <v>Silver</v>
      </c>
      <c r="B178" s="4" t="str">
        <f>PROPER(TRIM(Sales_Data!F178))</f>
        <v>Sneha Joshi</v>
      </c>
      <c r="C178" s="4" t="str">
        <f>LEFT(B178,3)&amp;RIGHT(Sales_Data!B178,3)&amp;LEFT(Sales_Data!I178,2)</f>
        <v>Sne006Ah</v>
      </c>
      <c r="D178" s="4" t="str">
        <f>IF(ISNUMBER(SEARCH("@",Sales_Data!T178)),LOWER(Sales_Data!T178),"Invalid_Email")</f>
        <v>sneha.joshi@company.com</v>
      </c>
      <c r="E178" s="13">
        <f ca="1">DATEDIF(Sales_Data!H178,TODAY(),"Y")</f>
        <v>22</v>
      </c>
      <c r="F178" s="13">
        <f>IFERROR(DATEDIF(Sales_Data!D178,Sales_Data!E178,"D"),"Information_Not_Given")</f>
        <v>1</v>
      </c>
      <c r="G178" s="13" t="str" cm="1">
        <f t="array" ref="G178">_xlfn.IFS(F178&lt;=5,"One_Time",F178&gt;5,"Delayed",F178="Information_Not_given","Pending")</f>
        <v>One_Time</v>
      </c>
    </row>
    <row r="179" spans="1:7" x14ac:dyDescent="0.3">
      <c r="A179" s="12" t="str">
        <f>IF(AND(Sales_Data!P179&gt;=100000,Sales_Data!Q179&gt;=4,Sales_Data!V179="Completed",Sales_Data!O179&lt;=10),"Platinum",IF(AND(Sales_Data!P179&gt;=50000,Sales_Data!Q179&gt;=3,Sales_Data!V179="Completed"),"Gold",IF(AND(Sales_Data!P179&lt;50000,Sales_Data!V179="Completed"),"Silver",IF(OR(Sales_Data!Q179&lt;=2,Sales_Data!V179="Canceled"),"Blacklisted","Others"))))</f>
        <v>Silver</v>
      </c>
      <c r="B179" s="4" t="str">
        <f>PROPER(TRIM(Sales_Data!F179))</f>
        <v>Anita Gupta</v>
      </c>
      <c r="C179" s="4" t="str">
        <f>LEFT(B179,3)&amp;RIGHT(Sales_Data!B179,3)&amp;LEFT(Sales_Data!I179,2)</f>
        <v>Ani004De</v>
      </c>
      <c r="D179" s="4" t="str">
        <f>IF(ISNUMBER(SEARCH("@",Sales_Data!T179)),LOWER(Sales_Data!T179),"Invalid_Email")</f>
        <v>anita.gupta@company.com</v>
      </c>
      <c r="E179" s="13">
        <f ca="1">DATEDIF(Sales_Data!H179,TODAY(),"Y")</f>
        <v>33</v>
      </c>
      <c r="F179" s="13">
        <f>IFERROR(DATEDIF(Sales_Data!D179,Sales_Data!E179,"D"),"Information_Not_Given")</f>
        <v>7</v>
      </c>
      <c r="G179" s="13" t="str" cm="1">
        <f t="array" ref="G179">_xlfn.IFS(F179&lt;=5,"One_Time",F179&gt;5,"Delayed",F179="Information_Not_given","Pending")</f>
        <v>Delayed</v>
      </c>
    </row>
    <row r="180" spans="1:7" x14ac:dyDescent="0.3">
      <c r="A180" s="12" t="str">
        <f>IF(AND(Sales_Data!P180&gt;=100000,Sales_Data!Q180&gt;=4,Sales_Data!V180="Completed",Sales_Data!O180&lt;=10),"Platinum",IF(AND(Sales_Data!P180&gt;=50000,Sales_Data!Q180&gt;=3,Sales_Data!V180="Completed"),"Gold",IF(AND(Sales_Data!P180&lt;50000,Sales_Data!V180="Completed"),"Silver",IF(OR(Sales_Data!Q180&lt;=2,Sales_Data!V180="Canceled"),"Blacklisted","Others"))))</f>
        <v>Others</v>
      </c>
      <c r="B180" s="4" t="str">
        <f>PROPER(TRIM(Sales_Data!F180))</f>
        <v>Priya Patel</v>
      </c>
      <c r="C180" s="4" t="str">
        <f>LEFT(B180,3)&amp;RIGHT(Sales_Data!B180,3)&amp;LEFT(Sales_Data!I180,2)</f>
        <v>Pri005Ko</v>
      </c>
      <c r="D180" s="4" t="str">
        <f>IF(ISNUMBER(SEARCH("@",Sales_Data!T180)),LOWER(Sales_Data!T180),"Invalid_Email")</f>
        <v>vikas.mehta@company.com</v>
      </c>
      <c r="E180" s="13">
        <f ca="1">DATEDIF(Sales_Data!H180,TODAY(),"Y")</f>
        <v>25</v>
      </c>
      <c r="F180" s="13">
        <f>IFERROR(DATEDIF(Sales_Data!D180,Sales_Data!E180,"D"),"Information_Not_Given")</f>
        <v>4</v>
      </c>
      <c r="G180" s="13" t="str" cm="1">
        <f t="array" ref="G180">_xlfn.IFS(F180&lt;=5,"One_Time",F180&gt;5,"Delayed",F180="Information_Not_given","Pending")</f>
        <v>One_Time</v>
      </c>
    </row>
    <row r="181" spans="1:7" x14ac:dyDescent="0.3">
      <c r="A181" s="12" t="str">
        <f>IF(AND(Sales_Data!P181&gt;=100000,Sales_Data!Q181&gt;=4,Sales_Data!V181="Completed",Sales_Data!O181&lt;=10),"Platinum",IF(AND(Sales_Data!P181&gt;=50000,Sales_Data!Q181&gt;=3,Sales_Data!V181="Completed"),"Gold",IF(AND(Sales_Data!P181&lt;50000,Sales_Data!V181="Completed"),"Silver",IF(OR(Sales_Data!Q181&lt;=2,Sales_Data!V181="Canceled"),"Blacklisted","Others"))))</f>
        <v>Others</v>
      </c>
      <c r="B181" s="4" t="str">
        <f>PROPER(TRIM(Sales_Data!F181))</f>
        <v>Kavya Nair</v>
      </c>
      <c r="C181" s="4" t="str">
        <f>LEFT(B181,3)&amp;RIGHT(Sales_Data!B181,3)&amp;LEFT(Sales_Data!I181,2)</f>
        <v>Kav008Hy</v>
      </c>
      <c r="D181" s="4" t="str">
        <f>IF(ISNUMBER(SEARCH("@",Sales_Data!T181)),LOWER(Sales_Data!T181),"Invalid_Email")</f>
        <v>kavya.nair@company.com</v>
      </c>
      <c r="E181" s="13">
        <f ca="1">DATEDIF(Sales_Data!H181,TODAY(),"Y")</f>
        <v>44</v>
      </c>
      <c r="F181" s="13">
        <f>IFERROR(DATEDIF(Sales_Data!D181,Sales_Data!E181,"D"),"Information_Not_Given")</f>
        <v>12</v>
      </c>
      <c r="G181" s="13" t="str" cm="1">
        <f t="array" ref="G181">_xlfn.IFS(F181&lt;=5,"One_Time",F181&gt;5,"Delayed",F181="Information_Not_given","Pending")</f>
        <v>Delayed</v>
      </c>
    </row>
    <row r="182" spans="1:7" x14ac:dyDescent="0.3">
      <c r="A182" s="12" t="str">
        <f>IF(AND(Sales_Data!P182&gt;=100000,Sales_Data!Q182&gt;=4,Sales_Data!V182="Completed",Sales_Data!O182&lt;=10),"Platinum",IF(AND(Sales_Data!P182&gt;=50000,Sales_Data!Q182&gt;=3,Sales_Data!V182="Completed"),"Gold",IF(AND(Sales_Data!P182&lt;50000,Sales_Data!V182="Completed"),"Silver",IF(OR(Sales_Data!Q182&lt;=2,Sales_Data!V182="Canceled"),"Blacklisted","Others"))))</f>
        <v>Blacklisted</v>
      </c>
      <c r="B182" s="4" t="str">
        <f>PROPER(TRIM(Sales_Data!F182))</f>
        <v>Priya Patel</v>
      </c>
      <c r="C182" s="4" t="str">
        <f>LEFT(B182,3)&amp;RIGHT(Sales_Data!B182,3)&amp;LEFT(Sales_Data!I182,2)</f>
        <v>Pri002Ah</v>
      </c>
      <c r="D182" s="4" t="str">
        <f>IF(ISNUMBER(SEARCH("@",Sales_Data!T182)),LOWER(Sales_Data!T182),"Invalid_Email")</f>
        <v>priya.patel@company.com</v>
      </c>
      <c r="E182" s="13">
        <f ca="1">DATEDIF(Sales_Data!H182,TODAY(),"Y")</f>
        <v>46</v>
      </c>
      <c r="F182" s="13">
        <f>IFERROR(DATEDIF(Sales_Data!D182,Sales_Data!E182,"D"),"Information_Not_Given")</f>
        <v>4</v>
      </c>
      <c r="G182" s="13" t="str" cm="1">
        <f t="array" ref="G182">_xlfn.IFS(F182&lt;=5,"One_Time",F182&gt;5,"Delayed",F182="Information_Not_given","Pending")</f>
        <v>One_Time</v>
      </c>
    </row>
    <row r="183" spans="1:7" x14ac:dyDescent="0.3">
      <c r="A183" s="12" t="str">
        <f>IF(AND(Sales_Data!P183&gt;=100000,Sales_Data!Q183&gt;=4,Sales_Data!V183="Completed",Sales_Data!O183&lt;=10),"Platinum",IF(AND(Sales_Data!P183&gt;=50000,Sales_Data!Q183&gt;=3,Sales_Data!V183="Completed"),"Gold",IF(AND(Sales_Data!P183&lt;50000,Sales_Data!V183="Completed"),"Silver",IF(OR(Sales_Data!Q183&lt;=2,Sales_Data!V183="Canceled"),"Blacklisted","Others"))))</f>
        <v>Others</v>
      </c>
      <c r="B183" s="4" t="str">
        <f>PROPER(TRIM(Sales_Data!F183))</f>
        <v>Sneha Joshi</v>
      </c>
      <c r="C183" s="4" t="str">
        <f>LEFT(B183,3)&amp;RIGHT(Sales_Data!B183,3)&amp;LEFT(Sales_Data!I183,2)</f>
        <v>Sne006Ja</v>
      </c>
      <c r="D183" s="4" t="str">
        <f>IF(ISNUMBER(SEARCH("@",Sales_Data!T183)),LOWER(Sales_Data!T183),"Invalid_Email")</f>
        <v>sneha.joshi@company.com</v>
      </c>
      <c r="E183" s="13">
        <f ca="1">DATEDIF(Sales_Data!H183,TODAY(),"Y")</f>
        <v>38</v>
      </c>
      <c r="F183" s="13">
        <f>IFERROR(DATEDIF(Sales_Data!D183,Sales_Data!E183,"D"),"Information_Not_Given")</f>
        <v>2</v>
      </c>
      <c r="G183" s="13" t="str" cm="1">
        <f t="array" ref="G183">_xlfn.IFS(F183&lt;=5,"One_Time",F183&gt;5,"Delayed",F183="Information_Not_given","Pending")</f>
        <v>One_Time</v>
      </c>
    </row>
    <row r="184" spans="1:7" x14ac:dyDescent="0.3">
      <c r="A184" s="12" t="str">
        <f>IF(AND(Sales_Data!P184&gt;=100000,Sales_Data!Q184&gt;=4,Sales_Data!V184="Completed",Sales_Data!O184&lt;=10),"Platinum",IF(AND(Sales_Data!P184&gt;=50000,Sales_Data!Q184&gt;=3,Sales_Data!V184="Completed"),"Gold",IF(AND(Sales_Data!P184&lt;50000,Sales_Data!V184="Completed"),"Silver",IF(OR(Sales_Data!Q184&lt;=2,Sales_Data!V184="Canceled"),"Blacklisted","Others"))))</f>
        <v>Silver</v>
      </c>
      <c r="B184" s="4" t="str">
        <f>PROPER(TRIM(Sales_Data!F184))</f>
        <v>Priya Patel</v>
      </c>
      <c r="C184" s="4" t="str">
        <f>LEFT(B184,3)&amp;RIGHT(Sales_Data!B184,3)&amp;LEFT(Sales_Data!I184,2)</f>
        <v>Pri002Be</v>
      </c>
      <c r="D184" s="4" t="str">
        <f>IF(ISNUMBER(SEARCH("@",Sales_Data!T184)),LOWER(Sales_Data!T184),"Invalid_Email")</f>
        <v>priya.patel@company.com</v>
      </c>
      <c r="E184" s="13">
        <f ca="1">DATEDIF(Sales_Data!H184,TODAY(),"Y")</f>
        <v>38</v>
      </c>
      <c r="F184" s="13">
        <f>IFERROR(DATEDIF(Sales_Data!D184,Sales_Data!E184,"D"),"Information_Not_Given")</f>
        <v>11</v>
      </c>
      <c r="G184" s="13" t="str" cm="1">
        <f t="array" ref="G184">_xlfn.IFS(F184&lt;=5,"One_Time",F184&gt;5,"Delayed",F184="Information_Not_given","Pending")</f>
        <v>Delayed</v>
      </c>
    </row>
    <row r="185" spans="1:7" x14ac:dyDescent="0.3">
      <c r="A185" s="12" t="str">
        <f>IF(AND(Sales_Data!P185&gt;=100000,Sales_Data!Q185&gt;=4,Sales_Data!V185="Completed",Sales_Data!O185&lt;=10),"Platinum",IF(AND(Sales_Data!P185&gt;=50000,Sales_Data!Q185&gt;=3,Sales_Data!V185="Completed"),"Gold",IF(AND(Sales_Data!P185&lt;50000,Sales_Data!V185="Completed"),"Silver",IF(OR(Sales_Data!Q185&lt;=2,Sales_Data!V185="Canceled"),"Blacklisted","Others"))))</f>
        <v>Others</v>
      </c>
      <c r="B185" s="4" t="str">
        <f>PROPER(TRIM(Sales_Data!F185))</f>
        <v>Mohit Verma</v>
      </c>
      <c r="C185" s="4" t="str">
        <f>LEFT(B185,3)&amp;RIGHT(Sales_Data!B185,3)&amp;LEFT(Sales_Data!I185,2)</f>
        <v>Moh009De</v>
      </c>
      <c r="D185" s="4" t="str">
        <f>IF(ISNUMBER(SEARCH("@",Sales_Data!T185)),LOWER(Sales_Data!T185),"Invalid_Email")</f>
        <v>mohit.verma@company.com</v>
      </c>
      <c r="E185" s="13">
        <f ca="1">DATEDIF(Sales_Data!H185,TODAY(),"Y")</f>
        <v>44</v>
      </c>
      <c r="F185" s="13">
        <f>IFERROR(DATEDIF(Sales_Data!D185,Sales_Data!E185,"D"),"Information_Not_Given")</f>
        <v>9</v>
      </c>
      <c r="G185" s="13" t="str" cm="1">
        <f t="array" ref="G185">_xlfn.IFS(F185&lt;=5,"One_Time",F185&gt;5,"Delayed",F185="Information_Not_given","Pending")</f>
        <v>Delayed</v>
      </c>
    </row>
    <row r="186" spans="1:7" x14ac:dyDescent="0.3">
      <c r="A186" s="12" t="str">
        <f>IF(AND(Sales_Data!P186&gt;=100000,Sales_Data!Q186&gt;=4,Sales_Data!V186="Completed",Sales_Data!O186&lt;=10),"Platinum",IF(AND(Sales_Data!P186&gt;=50000,Sales_Data!Q186&gt;=3,Sales_Data!V186="Completed"),"Gold",IF(AND(Sales_Data!P186&lt;50000,Sales_Data!V186="Completed"),"Silver",IF(OR(Sales_Data!Q186&lt;=2,Sales_Data!V186="Canceled"),"Blacklisted","Others"))))</f>
        <v>Gold</v>
      </c>
      <c r="B186" s="4" t="str">
        <f>PROPER(TRIM(Sales_Data!F186))</f>
        <v>Priya Patel</v>
      </c>
      <c r="C186" s="4" t="str">
        <f>LEFT(B186,3)&amp;RIGHT(Sales_Data!B186,3)&amp;LEFT(Sales_Data!I186,2)</f>
        <v>Pri002Ko</v>
      </c>
      <c r="D186" s="4" t="str">
        <f>IF(ISNUMBER(SEARCH("@",Sales_Data!T186)),LOWER(Sales_Data!T186),"Invalid_Email")</f>
        <v>priya.patel@company.com</v>
      </c>
      <c r="E186" s="13">
        <f ca="1">DATEDIF(Sales_Data!H186,TODAY(),"Y")</f>
        <v>42</v>
      </c>
      <c r="F186" s="13">
        <f>IFERROR(DATEDIF(Sales_Data!D186,Sales_Data!E186,"D"),"Information_Not_Given")</f>
        <v>12</v>
      </c>
      <c r="G186" s="13" t="str" cm="1">
        <f t="array" ref="G186">_xlfn.IFS(F186&lt;=5,"One_Time",F186&gt;5,"Delayed",F186="Information_Not_given","Pending")</f>
        <v>Delayed</v>
      </c>
    </row>
    <row r="187" spans="1:7" x14ac:dyDescent="0.3">
      <c r="A187" s="12" t="str">
        <f>IF(AND(Sales_Data!P187&gt;=100000,Sales_Data!Q187&gt;=4,Sales_Data!V187="Completed",Sales_Data!O187&lt;=10),"Platinum",IF(AND(Sales_Data!P187&gt;=50000,Sales_Data!Q187&gt;=3,Sales_Data!V187="Completed"),"Gold",IF(AND(Sales_Data!P187&lt;50000,Sales_Data!V187="Completed"),"Silver",IF(OR(Sales_Data!Q187&lt;=2,Sales_Data!V187="Canceled"),"Blacklisted","Others"))))</f>
        <v>Silver</v>
      </c>
      <c r="B187" s="4" t="str">
        <f>PROPER(TRIM(Sales_Data!F187))</f>
        <v>Sneha Joshi</v>
      </c>
      <c r="C187" s="4" t="str">
        <f>LEFT(B187,3)&amp;RIGHT(Sales_Data!B187,3)&amp;LEFT(Sales_Data!I187,2)</f>
        <v>Sne006Hy</v>
      </c>
      <c r="D187" s="4" t="str">
        <f>IF(ISNUMBER(SEARCH("@",Sales_Data!T187)),LOWER(Sales_Data!T187),"Invalid_Email")</f>
        <v>sneha.joshi@company.com</v>
      </c>
      <c r="E187" s="13">
        <f ca="1">DATEDIF(Sales_Data!H187,TODAY(),"Y")</f>
        <v>34</v>
      </c>
      <c r="F187" s="13">
        <f>IFERROR(DATEDIF(Sales_Data!D187,Sales_Data!E187,"D"),"Information_Not_Given")</f>
        <v>2</v>
      </c>
      <c r="G187" s="13" t="str" cm="1">
        <f t="array" ref="G187">_xlfn.IFS(F187&lt;=5,"One_Time",F187&gt;5,"Delayed",F187="Information_Not_given","Pending")</f>
        <v>One_Time</v>
      </c>
    </row>
    <row r="188" spans="1:7" x14ac:dyDescent="0.3">
      <c r="A188" s="12" t="str">
        <f>IF(AND(Sales_Data!P188&gt;=100000,Sales_Data!Q188&gt;=4,Sales_Data!V188="Completed",Sales_Data!O188&lt;=10),"Platinum",IF(AND(Sales_Data!P188&gt;=50000,Sales_Data!Q188&gt;=3,Sales_Data!V188="Completed"),"Gold",IF(AND(Sales_Data!P188&lt;50000,Sales_Data!V188="Completed"),"Silver",IF(OR(Sales_Data!Q188&lt;=2,Sales_Data!V188="Canceled"),"Blacklisted","Others"))))</f>
        <v>Silver</v>
      </c>
      <c r="B188" s="4" t="str">
        <f>PROPER(TRIM(Sales_Data!F188))</f>
        <v>Rohit Singh</v>
      </c>
      <c r="C188" s="4" t="str">
        <f>LEFT(B188,3)&amp;RIGHT(Sales_Data!B188,3)&amp;LEFT(Sales_Data!I188,2)</f>
        <v>Roh003Pu</v>
      </c>
      <c r="D188" s="4" t="str">
        <f>IF(ISNUMBER(SEARCH("@",Sales_Data!T188)),LOWER(Sales_Data!T188),"Invalid_Email")</f>
        <v>rohit.singh@company.com</v>
      </c>
      <c r="E188" s="13">
        <f ca="1">DATEDIF(Sales_Data!H188,TODAY(),"Y")</f>
        <v>50</v>
      </c>
      <c r="F188" s="13">
        <f>IFERROR(DATEDIF(Sales_Data!D188,Sales_Data!E188,"D"),"Information_Not_Given")</f>
        <v>10</v>
      </c>
      <c r="G188" s="13" t="str" cm="1">
        <f t="array" ref="G188">_xlfn.IFS(F188&lt;=5,"One_Time",F188&gt;5,"Delayed",F188="Information_Not_given","Pending")</f>
        <v>Delayed</v>
      </c>
    </row>
    <row r="189" spans="1:7" x14ac:dyDescent="0.3">
      <c r="A189" s="12" t="str">
        <f>IF(AND(Sales_Data!P189&gt;=100000,Sales_Data!Q189&gt;=4,Sales_Data!V189="Completed",Sales_Data!O189&lt;=10),"Platinum",IF(AND(Sales_Data!P189&gt;=50000,Sales_Data!Q189&gt;=3,Sales_Data!V189="Completed"),"Gold",IF(AND(Sales_Data!P189&lt;50000,Sales_Data!V189="Completed"),"Silver",IF(OR(Sales_Data!Q189&lt;=2,Sales_Data!V189="Canceled"),"Blacklisted","Others"))))</f>
        <v>Blacklisted</v>
      </c>
      <c r="B189" s="4" t="str">
        <f>PROPER(TRIM(Sales_Data!F189))</f>
        <v>Vikas Mehta</v>
      </c>
      <c r="C189" s="4" t="str">
        <f>LEFT(B189,3)&amp;RIGHT(Sales_Data!B189,3)&amp;LEFT(Sales_Data!I189,2)</f>
        <v>Vik005Hy</v>
      </c>
      <c r="D189" s="4" t="str">
        <f>IF(ISNUMBER(SEARCH("@",Sales_Data!T189)),LOWER(Sales_Data!T189),"Invalid_Email")</f>
        <v>vikas.mehta@company.com</v>
      </c>
      <c r="E189" s="13">
        <f ca="1">DATEDIF(Sales_Data!H189,TODAY(),"Y")</f>
        <v>51</v>
      </c>
      <c r="F189" s="13">
        <f>IFERROR(DATEDIF(Sales_Data!D189,Sales_Data!E189,"D"),"Information_Not_Given")</f>
        <v>4</v>
      </c>
      <c r="G189" s="13" t="str" cm="1">
        <f t="array" ref="G189">_xlfn.IFS(F189&lt;=5,"One_Time",F189&gt;5,"Delayed",F189="Information_Not_given","Pending")</f>
        <v>One_Time</v>
      </c>
    </row>
    <row r="190" spans="1:7" x14ac:dyDescent="0.3">
      <c r="A190" s="12" t="str">
        <f>IF(AND(Sales_Data!P190&gt;=100000,Sales_Data!Q190&gt;=4,Sales_Data!V190="Completed",Sales_Data!O190&lt;=10),"Platinum",IF(AND(Sales_Data!P190&gt;=50000,Sales_Data!Q190&gt;=3,Sales_Data!V190="Completed"),"Gold",IF(AND(Sales_Data!P190&lt;50000,Sales_Data!V190="Completed"),"Silver",IF(OR(Sales_Data!Q190&lt;=2,Sales_Data!V190="Canceled"),"Blacklisted","Others"))))</f>
        <v>Blacklisted</v>
      </c>
      <c r="B190" s="4" t="str">
        <f>PROPER(TRIM(Sales_Data!F190))</f>
        <v>Amit Sharma</v>
      </c>
      <c r="C190" s="4" t="str">
        <f>LEFT(B190,3)&amp;RIGHT(Sales_Data!B190,3)&amp;LEFT(Sales_Data!I190,2)</f>
        <v>Ami001Pu</v>
      </c>
      <c r="D190" s="4" t="str">
        <f>IF(ISNUMBER(SEARCH("@",Sales_Data!T190)),LOWER(Sales_Data!T190),"Invalid_Email")</f>
        <v>amit.sharma@company.com</v>
      </c>
      <c r="E190" s="13">
        <f ca="1">DATEDIF(Sales_Data!H190,TODAY(),"Y")</f>
        <v>38</v>
      </c>
      <c r="F190" s="13">
        <f>IFERROR(DATEDIF(Sales_Data!D190,Sales_Data!E190,"D"),"Information_Not_Given")</f>
        <v>10</v>
      </c>
      <c r="G190" s="13" t="str" cm="1">
        <f t="array" ref="G190">_xlfn.IFS(F190&lt;=5,"One_Time",F190&gt;5,"Delayed",F190="Information_Not_given","Pending")</f>
        <v>Delayed</v>
      </c>
    </row>
    <row r="191" spans="1:7" x14ac:dyDescent="0.3">
      <c r="A191" s="12" t="str">
        <f>IF(AND(Sales_Data!P191&gt;=100000,Sales_Data!Q191&gt;=4,Sales_Data!V191="Completed",Sales_Data!O191&lt;=10),"Platinum",IF(AND(Sales_Data!P191&gt;=50000,Sales_Data!Q191&gt;=3,Sales_Data!V191="Completed"),"Gold",IF(AND(Sales_Data!P191&lt;50000,Sales_Data!V191="Completed"),"Silver",IF(OR(Sales_Data!Q191&lt;=2,Sales_Data!V191="Canceled"),"Blacklisted","Others"))))</f>
        <v>Blacklisted</v>
      </c>
      <c r="B191" s="4" t="str">
        <f>PROPER(TRIM(Sales_Data!F191))</f>
        <v>Amit Sharma</v>
      </c>
      <c r="C191" s="4" t="str">
        <f>LEFT(B191,3)&amp;RIGHT(Sales_Data!B191,3)&amp;LEFT(Sales_Data!I191,2)</f>
        <v>Ami001Be</v>
      </c>
      <c r="D191" s="4" t="str">
        <f>IF(ISNUMBER(SEARCH("@",Sales_Data!T191)),LOWER(Sales_Data!T191),"Invalid_Email")</f>
        <v>amit.sharma@company.com</v>
      </c>
      <c r="E191" s="13">
        <f ca="1">DATEDIF(Sales_Data!H191,TODAY(),"Y")</f>
        <v>22</v>
      </c>
      <c r="F191" s="13">
        <f>IFERROR(DATEDIF(Sales_Data!D191,Sales_Data!E191,"D"),"Information_Not_Given")</f>
        <v>2</v>
      </c>
      <c r="G191" s="13" t="str" cm="1">
        <f t="array" ref="G191">_xlfn.IFS(F191&lt;=5,"One_Time",F191&gt;5,"Delayed",F191="Information_Not_given","Pending")</f>
        <v>One_Time</v>
      </c>
    </row>
    <row r="192" spans="1:7" x14ac:dyDescent="0.3">
      <c r="A192" s="12" t="str">
        <f>IF(AND(Sales_Data!P192&gt;=100000,Sales_Data!Q192&gt;=4,Sales_Data!V192="Completed",Sales_Data!O192&lt;=10),"Platinum",IF(AND(Sales_Data!P192&gt;=50000,Sales_Data!Q192&gt;=3,Sales_Data!V192="Completed"),"Gold",IF(AND(Sales_Data!P192&lt;50000,Sales_Data!V192="Completed"),"Silver",IF(OR(Sales_Data!Q192&lt;=2,Sales_Data!V192="Canceled"),"Blacklisted","Others"))))</f>
        <v>Blacklisted</v>
      </c>
      <c r="B192" s="4" t="str">
        <f>PROPER(TRIM(Sales_Data!F192))</f>
        <v>Vikas Mehta</v>
      </c>
      <c r="C192" s="4" t="str">
        <f>LEFT(B192,3)&amp;RIGHT(Sales_Data!B192,3)&amp;LEFT(Sales_Data!I192,2)</f>
        <v>Vik005Pu</v>
      </c>
      <c r="D192" s="4" t="str">
        <f>IF(ISNUMBER(SEARCH("@",Sales_Data!T192)),LOWER(Sales_Data!T192),"Invalid_Email")</f>
        <v>vikas.mehta@company.com</v>
      </c>
      <c r="E192" s="13">
        <f ca="1">DATEDIF(Sales_Data!H192,TODAY(),"Y")</f>
        <v>32</v>
      </c>
      <c r="F192" s="13">
        <f>IFERROR(DATEDIF(Sales_Data!D192,Sales_Data!E192,"D"),"Information_Not_Given")</f>
        <v>7</v>
      </c>
      <c r="G192" s="13" t="str" cm="1">
        <f t="array" ref="G192">_xlfn.IFS(F192&lt;=5,"One_Time",F192&gt;5,"Delayed",F192="Information_Not_given","Pending")</f>
        <v>Delayed</v>
      </c>
    </row>
    <row r="193" spans="1:7" x14ac:dyDescent="0.3">
      <c r="A193" s="12" t="str">
        <f>IF(AND(Sales_Data!P193&gt;=100000,Sales_Data!Q193&gt;=4,Sales_Data!V193="Completed",Sales_Data!O193&lt;=10),"Platinum",IF(AND(Sales_Data!P193&gt;=50000,Sales_Data!Q193&gt;=3,Sales_Data!V193="Completed"),"Gold",IF(AND(Sales_Data!P193&lt;50000,Sales_Data!V193="Completed"),"Silver",IF(OR(Sales_Data!Q193&lt;=2,Sales_Data!V193="Canceled"),"Blacklisted","Others"))))</f>
        <v>Others</v>
      </c>
      <c r="B193" s="4" t="str">
        <f>PROPER(TRIM(Sales_Data!F193))</f>
        <v>Amit Sharma</v>
      </c>
      <c r="C193" s="4" t="str">
        <f>LEFT(B193,3)&amp;RIGHT(Sales_Data!B193,3)&amp;LEFT(Sales_Data!I193,2)</f>
        <v>Ami001Ja</v>
      </c>
      <c r="D193" s="4" t="str">
        <f>IF(ISNUMBER(SEARCH("@",Sales_Data!T193)),LOWER(Sales_Data!T193),"Invalid_Email")</f>
        <v>amit.sharma@company.com</v>
      </c>
      <c r="E193" s="13">
        <f ca="1">DATEDIF(Sales_Data!H193,TODAY(),"Y")</f>
        <v>22</v>
      </c>
      <c r="F193" s="13">
        <f>IFERROR(DATEDIF(Sales_Data!D193,Sales_Data!E193,"D"),"Information_Not_Given")</f>
        <v>4</v>
      </c>
      <c r="G193" s="13" t="str" cm="1">
        <f t="array" ref="G193">_xlfn.IFS(F193&lt;=5,"One_Time",F193&gt;5,"Delayed",F193="Information_Not_given","Pending")</f>
        <v>One_Time</v>
      </c>
    </row>
    <row r="194" spans="1:7" x14ac:dyDescent="0.3">
      <c r="A194" s="12" t="str">
        <f>IF(AND(Sales_Data!P194&gt;=100000,Sales_Data!Q194&gt;=4,Sales_Data!V194="Completed",Sales_Data!O194&lt;=10),"Platinum",IF(AND(Sales_Data!P194&gt;=50000,Sales_Data!Q194&gt;=3,Sales_Data!V194="Completed"),"Gold",IF(AND(Sales_Data!P194&lt;50000,Sales_Data!V194="Completed"),"Silver",IF(OR(Sales_Data!Q194&lt;=2,Sales_Data!V194="Canceled"),"Blacklisted","Others"))))</f>
        <v>Others</v>
      </c>
      <c r="B194" s="4" t="str">
        <f>PROPER(TRIM(Sales_Data!F194))</f>
        <v>Anita Gupta</v>
      </c>
      <c r="C194" s="4" t="str">
        <f>LEFT(B194,3)&amp;RIGHT(Sales_Data!B194,3)&amp;LEFT(Sales_Data!I194,2)</f>
        <v>Ani004Ja</v>
      </c>
      <c r="D194" s="4" t="str">
        <f>IF(ISNUMBER(SEARCH("@",Sales_Data!T194)),LOWER(Sales_Data!T194),"Invalid_Email")</f>
        <v>anita.gupta@company.com</v>
      </c>
      <c r="E194" s="13">
        <f ca="1">DATEDIF(Sales_Data!H194,TODAY(),"Y")</f>
        <v>26</v>
      </c>
      <c r="F194" s="13">
        <f>IFERROR(DATEDIF(Sales_Data!D194,Sales_Data!E194,"D"),"Information_Not_Given")</f>
        <v>12</v>
      </c>
      <c r="G194" s="13" t="str" cm="1">
        <f t="array" ref="G194">_xlfn.IFS(F194&lt;=5,"One_Time",F194&gt;5,"Delayed",F194="Information_Not_given","Pending")</f>
        <v>Delayed</v>
      </c>
    </row>
    <row r="195" spans="1:7" x14ac:dyDescent="0.3">
      <c r="A195" s="12" t="str">
        <f>IF(AND(Sales_Data!P195&gt;=100000,Sales_Data!Q195&gt;=4,Sales_Data!V195="Completed",Sales_Data!O195&lt;=10),"Platinum",IF(AND(Sales_Data!P195&gt;=50000,Sales_Data!Q195&gt;=3,Sales_Data!V195="Completed"),"Gold",IF(AND(Sales_Data!P195&lt;50000,Sales_Data!V195="Completed"),"Silver",IF(OR(Sales_Data!Q195&lt;=2,Sales_Data!V195="Canceled"),"Blacklisted","Others"))))</f>
        <v>Silver</v>
      </c>
      <c r="B195" s="4" t="str">
        <f>PROPER(TRIM(Sales_Data!F195))</f>
        <v>Sneha Joshi</v>
      </c>
      <c r="C195" s="4" t="str">
        <f>LEFT(B195,3)&amp;RIGHT(Sales_Data!B195,3)&amp;LEFT(Sales_Data!I195,2)</f>
        <v>Sne006De</v>
      </c>
      <c r="D195" s="4" t="str">
        <f>IF(ISNUMBER(SEARCH("@",Sales_Data!T195)),LOWER(Sales_Data!T195),"Invalid_Email")</f>
        <v>sneha.joshi@company.com</v>
      </c>
      <c r="E195" s="13">
        <f ca="1">DATEDIF(Sales_Data!H195,TODAY(),"Y")</f>
        <v>37</v>
      </c>
      <c r="F195" s="13">
        <f>IFERROR(DATEDIF(Sales_Data!D195,Sales_Data!E195,"D"),"Information_Not_Given")</f>
        <v>2</v>
      </c>
      <c r="G195" s="13" t="str" cm="1">
        <f t="array" ref="G195">_xlfn.IFS(F195&lt;=5,"One_Time",F195&gt;5,"Delayed",F195="Information_Not_given","Pending")</f>
        <v>One_Time</v>
      </c>
    </row>
    <row r="196" spans="1:7" x14ac:dyDescent="0.3">
      <c r="A196" s="12" t="str">
        <f>IF(AND(Sales_Data!P196&gt;=100000,Sales_Data!Q196&gt;=4,Sales_Data!V196="Completed",Sales_Data!O196&lt;=10),"Platinum",IF(AND(Sales_Data!P196&gt;=50000,Sales_Data!Q196&gt;=3,Sales_Data!V196="Completed"),"Gold",IF(AND(Sales_Data!P196&lt;50000,Sales_Data!V196="Completed"),"Silver",IF(OR(Sales_Data!Q196&lt;=2,Sales_Data!V196="Canceled"),"Blacklisted","Others"))))</f>
        <v>Others</v>
      </c>
      <c r="B196" s="4" t="str">
        <f>PROPER(TRIM(Sales_Data!F196))</f>
        <v>Sneha Joshi</v>
      </c>
      <c r="C196" s="4" t="str">
        <f>LEFT(B196,3)&amp;RIGHT(Sales_Data!B196,3)&amp;LEFT(Sales_Data!I196,2)</f>
        <v>Sne006Ah</v>
      </c>
      <c r="D196" s="4" t="str">
        <f>IF(ISNUMBER(SEARCH("@",Sales_Data!T196)),LOWER(Sales_Data!T196),"Invalid_Email")</f>
        <v>sneha.joshi@company.com</v>
      </c>
      <c r="E196" s="13">
        <f ca="1">DATEDIF(Sales_Data!H196,TODAY(),"Y")</f>
        <v>28</v>
      </c>
      <c r="F196" s="13">
        <f>IFERROR(DATEDIF(Sales_Data!D196,Sales_Data!E196,"D"),"Information_Not_Given")</f>
        <v>3</v>
      </c>
      <c r="G196" s="13" t="str" cm="1">
        <f t="array" ref="G196">_xlfn.IFS(F196&lt;=5,"One_Time",F196&gt;5,"Delayed",F196="Information_Not_given","Pending")</f>
        <v>One_Time</v>
      </c>
    </row>
    <row r="197" spans="1:7" x14ac:dyDescent="0.3">
      <c r="A197" s="12" t="str">
        <f>IF(AND(Sales_Data!P197&gt;=100000,Sales_Data!Q197&gt;=4,Sales_Data!V197="Completed",Sales_Data!O197&lt;=10),"Platinum",IF(AND(Sales_Data!P197&gt;=50000,Sales_Data!Q197&gt;=3,Sales_Data!V197="Completed"),"Gold",IF(AND(Sales_Data!P197&lt;50000,Sales_Data!V197="Completed"),"Silver",IF(OR(Sales_Data!Q197&lt;=2,Sales_Data!V197="Canceled"),"Blacklisted","Others"))))</f>
        <v>Silver</v>
      </c>
      <c r="B197" s="4" t="str">
        <f>PROPER(TRIM(Sales_Data!F197))</f>
        <v>Arjun Rao</v>
      </c>
      <c r="C197" s="4" t="str">
        <f>LEFT(B197,3)&amp;RIGHT(Sales_Data!B197,3)&amp;LEFT(Sales_Data!I197,2)</f>
        <v>Arj007De</v>
      </c>
      <c r="D197" s="4" t="str">
        <f>IF(ISNUMBER(SEARCH("@",Sales_Data!T197)),LOWER(Sales_Data!T197),"Invalid_Email")</f>
        <v>arjun.rao@company.com</v>
      </c>
      <c r="E197" s="13">
        <f ca="1">DATEDIF(Sales_Data!H197,TODAY(),"Y")</f>
        <v>38</v>
      </c>
      <c r="F197" s="13">
        <f>IFERROR(DATEDIF(Sales_Data!D197,Sales_Data!E197,"D"),"Information_Not_Given")</f>
        <v>11</v>
      </c>
      <c r="G197" s="13" t="str" cm="1">
        <f t="array" ref="G197">_xlfn.IFS(F197&lt;=5,"One_Time",F197&gt;5,"Delayed",F197="Information_Not_given","Pending")</f>
        <v>Delayed</v>
      </c>
    </row>
    <row r="198" spans="1:7" x14ac:dyDescent="0.3">
      <c r="A198" s="12" t="str">
        <f>IF(AND(Sales_Data!P198&gt;=100000,Sales_Data!Q198&gt;=4,Sales_Data!V198="Completed",Sales_Data!O198&lt;=10),"Platinum",IF(AND(Sales_Data!P198&gt;=50000,Sales_Data!Q198&gt;=3,Sales_Data!V198="Completed"),"Gold",IF(AND(Sales_Data!P198&lt;50000,Sales_Data!V198="Completed"),"Silver",IF(OR(Sales_Data!Q198&lt;=2,Sales_Data!V198="Canceled"),"Blacklisted","Others"))))</f>
        <v>Others</v>
      </c>
      <c r="B198" s="4" t="str">
        <f>PROPER(TRIM(Sales_Data!F198))</f>
        <v>Vikas Mehta</v>
      </c>
      <c r="C198" s="4" t="str">
        <f>LEFT(B198,3)&amp;RIGHT(Sales_Data!B198,3)&amp;LEFT(Sales_Data!I198,2)</f>
        <v>Vik005Hy</v>
      </c>
      <c r="D198" s="4" t="str">
        <f>IF(ISNUMBER(SEARCH("@",Sales_Data!T198)),LOWER(Sales_Data!T198),"Invalid_Email")</f>
        <v>vikas.mehta@company.com</v>
      </c>
      <c r="E198" s="13">
        <f ca="1">DATEDIF(Sales_Data!H198,TODAY(),"Y")</f>
        <v>32</v>
      </c>
      <c r="F198" s="13">
        <f>IFERROR(DATEDIF(Sales_Data!D198,Sales_Data!E198,"D"),"Information_Not_Given")</f>
        <v>3</v>
      </c>
      <c r="G198" s="13" t="str" cm="1">
        <f t="array" ref="G198">_xlfn.IFS(F198&lt;=5,"One_Time",F198&gt;5,"Delayed",F198="Information_Not_given","Pending")</f>
        <v>One_Time</v>
      </c>
    </row>
    <row r="199" spans="1:7" x14ac:dyDescent="0.3">
      <c r="A199" s="12" t="str">
        <f>IF(AND(Sales_Data!P199&gt;=100000,Sales_Data!Q199&gt;=4,Sales_Data!V199="Completed",Sales_Data!O199&lt;=10),"Platinum",IF(AND(Sales_Data!P199&gt;=50000,Sales_Data!Q199&gt;=3,Sales_Data!V199="Completed"),"Gold",IF(AND(Sales_Data!P199&lt;50000,Sales_Data!V199="Completed"),"Silver",IF(OR(Sales_Data!Q199&lt;=2,Sales_Data!V199="Canceled"),"Blacklisted","Others"))))</f>
        <v>Silver</v>
      </c>
      <c r="B199" s="4" t="str">
        <f>PROPER(TRIM(Sales_Data!F199))</f>
        <v>Priya Patel</v>
      </c>
      <c r="C199" s="4" t="str">
        <f>LEFT(B199,3)&amp;RIGHT(Sales_Data!B199,3)&amp;LEFT(Sales_Data!I199,2)</f>
        <v>Pri002Pu</v>
      </c>
      <c r="D199" s="4" t="str">
        <f>IF(ISNUMBER(SEARCH("@",Sales_Data!T199)),LOWER(Sales_Data!T199),"Invalid_Email")</f>
        <v>priya.patel@company.com</v>
      </c>
      <c r="E199" s="13">
        <f ca="1">DATEDIF(Sales_Data!H199,TODAY(),"Y")</f>
        <v>48</v>
      </c>
      <c r="F199" s="13">
        <f>IFERROR(DATEDIF(Sales_Data!D199,Sales_Data!E199,"D"),"Information_Not_Given")</f>
        <v>5</v>
      </c>
      <c r="G199" s="13" t="str" cm="1">
        <f t="array" ref="G199">_xlfn.IFS(F199&lt;=5,"One_Time",F199&gt;5,"Delayed",F199="Information_Not_given","Pending")</f>
        <v>One_Time</v>
      </c>
    </row>
    <row r="200" spans="1:7" x14ac:dyDescent="0.3">
      <c r="A200" s="12" t="str">
        <f>IF(AND(Sales_Data!P200&gt;=100000,Sales_Data!Q200&gt;=4,Sales_Data!V200="Completed",Sales_Data!O200&lt;=10),"Platinum",IF(AND(Sales_Data!P200&gt;=50000,Sales_Data!Q200&gt;=3,Sales_Data!V200="Completed"),"Gold",IF(AND(Sales_Data!P200&lt;50000,Sales_Data!V200="Completed"),"Silver",IF(OR(Sales_Data!Q200&lt;=2,Sales_Data!V200="Canceled"),"Blacklisted","Others"))))</f>
        <v>Blacklisted</v>
      </c>
      <c r="B200" s="4" t="str">
        <f>PROPER(TRIM(Sales_Data!F200))</f>
        <v>Vikas Mehta</v>
      </c>
      <c r="C200" s="4" t="str">
        <f>LEFT(B200,3)&amp;RIGHT(Sales_Data!B200,3)&amp;LEFT(Sales_Data!I200,2)</f>
        <v>Vik005Be</v>
      </c>
      <c r="D200" s="4" t="str">
        <f>IF(ISNUMBER(SEARCH("@",Sales_Data!T200)),LOWER(Sales_Data!T200),"Invalid_Email")</f>
        <v>vikas.mehta@company.com</v>
      </c>
      <c r="E200" s="13">
        <f ca="1">DATEDIF(Sales_Data!H200,TODAY(),"Y")</f>
        <v>44</v>
      </c>
      <c r="F200" s="13">
        <f>IFERROR(DATEDIF(Sales_Data!D200,Sales_Data!E200,"D"),"Information_Not_Given")</f>
        <v>12</v>
      </c>
      <c r="G200" s="13" t="str" cm="1">
        <f t="array" ref="G200">_xlfn.IFS(F200&lt;=5,"One_Time",F200&gt;5,"Delayed",F200="Information_Not_given","Pending")</f>
        <v>Delayed</v>
      </c>
    </row>
    <row r="201" spans="1:7" x14ac:dyDescent="0.3">
      <c r="A201" s="12" t="str">
        <f>IF(AND(Sales_Data!P201&gt;=100000,Sales_Data!Q201&gt;=4,Sales_Data!V201="Completed",Sales_Data!O201&lt;=10),"Platinum",IF(AND(Sales_Data!P201&gt;=50000,Sales_Data!Q201&gt;=3,Sales_Data!V201="Completed"),"Gold",IF(AND(Sales_Data!P201&lt;50000,Sales_Data!V201="Completed"),"Silver",IF(OR(Sales_Data!Q201&lt;=2,Sales_Data!V201="Canceled"),"Blacklisted","Others"))))</f>
        <v>Blacklisted</v>
      </c>
      <c r="B201" s="4" t="str">
        <f>PROPER(TRIM(Sales_Data!F201))</f>
        <v>Priya Patel</v>
      </c>
      <c r="C201" s="4" t="str">
        <f>LEFT(B201,3)&amp;RIGHT(Sales_Data!B201,3)&amp;LEFT(Sales_Data!I201,2)</f>
        <v>Pri002Ja</v>
      </c>
      <c r="D201" s="4" t="str">
        <f>IF(ISNUMBER(SEARCH("@",Sales_Data!T201)),LOWER(Sales_Data!T201),"Invalid_Email")</f>
        <v>priya.patel@company.com</v>
      </c>
      <c r="E201" s="13">
        <f ca="1">DATEDIF(Sales_Data!H201,TODAY(),"Y")</f>
        <v>32</v>
      </c>
      <c r="F201" s="13">
        <f>IFERROR(DATEDIF(Sales_Data!D201,Sales_Data!E201,"D"),"Information_Not_Given")</f>
        <v>9</v>
      </c>
      <c r="G201" s="13" t="str" cm="1">
        <f t="array" ref="G201">_xlfn.IFS(F201&lt;=5,"One_Time",F201&gt;5,"Delayed",F201="Information_Not_given","Pending")</f>
        <v>Delayed</v>
      </c>
    </row>
    <row r="202" spans="1:7" x14ac:dyDescent="0.3">
      <c r="A202" s="12" t="str">
        <f>IF(AND(Sales_Data!P202&gt;=100000,Sales_Data!Q202&gt;=4,Sales_Data!V202="Completed",Sales_Data!O202&lt;=10),"Platinum",IF(AND(Sales_Data!P202&gt;=50000,Sales_Data!Q202&gt;=3,Sales_Data!V202="Completed"),"Gold",IF(AND(Sales_Data!P202&lt;50000,Sales_Data!V202="Completed"),"Silver",IF(OR(Sales_Data!Q202&lt;=2,Sales_Data!V202="Canceled"),"Blacklisted","Others"))))</f>
        <v>Blacklisted</v>
      </c>
      <c r="B202" s="4" t="str">
        <f>PROPER(TRIM(Sales_Data!F202))</f>
        <v>Vikas Mehta</v>
      </c>
      <c r="C202" s="4" t="str">
        <f>LEFT(B202,3)&amp;RIGHT(Sales_Data!B202,3)&amp;LEFT(Sales_Data!I202,2)</f>
        <v>Vik005Ah</v>
      </c>
      <c r="D202" s="4" t="str">
        <f>IF(ISNUMBER(SEARCH("@",Sales_Data!T202)),LOWER(Sales_Data!T202),"Invalid_Email")</f>
        <v>vikas.mehta@company.com</v>
      </c>
      <c r="E202" s="13">
        <f ca="1">DATEDIF(Sales_Data!H202,TODAY(),"Y")</f>
        <v>30</v>
      </c>
      <c r="F202" s="13">
        <f>IFERROR(DATEDIF(Sales_Data!D202,Sales_Data!E202,"D"),"Information_Not_Given")</f>
        <v>3</v>
      </c>
      <c r="G202" s="13" t="str" cm="1">
        <f t="array" ref="G202">_xlfn.IFS(F202&lt;=5,"One_Time",F202&gt;5,"Delayed",F202="Information_Not_given","Pending")</f>
        <v>One_Time</v>
      </c>
    </row>
    <row r="203" spans="1:7" x14ac:dyDescent="0.3">
      <c r="A203" s="12" t="str">
        <f>IF(AND(Sales_Data!P203&gt;=100000,Sales_Data!Q203&gt;=4,Sales_Data!V203="Completed",Sales_Data!O203&lt;=10),"Platinum",IF(AND(Sales_Data!P203&gt;=50000,Sales_Data!Q203&gt;=3,Sales_Data!V203="Completed"),"Gold",IF(AND(Sales_Data!P203&lt;50000,Sales_Data!V203="Completed"),"Silver",IF(OR(Sales_Data!Q203&lt;=2,Sales_Data!V203="Canceled"),"Blacklisted","Others"))))</f>
        <v>Others</v>
      </c>
      <c r="B203" s="4" t="str">
        <f>PROPER(TRIM(Sales_Data!F203))</f>
        <v>Mohit Verma</v>
      </c>
      <c r="C203" s="4" t="str">
        <f>LEFT(B203,3)&amp;RIGHT(Sales_Data!B203,3)&amp;LEFT(Sales_Data!I203,2)</f>
        <v>Moh009Hy</v>
      </c>
      <c r="D203" s="4" t="str">
        <f>IF(ISNUMBER(SEARCH("@",Sales_Data!T203)),LOWER(Sales_Data!T203),"Invalid_Email")</f>
        <v>mohit.verma@company.com</v>
      </c>
      <c r="E203" s="13">
        <f ca="1">DATEDIF(Sales_Data!H203,TODAY(),"Y")</f>
        <v>41</v>
      </c>
      <c r="F203" s="13">
        <f>IFERROR(DATEDIF(Sales_Data!D203,Sales_Data!E203,"D"),"Information_Not_Given")</f>
        <v>3</v>
      </c>
      <c r="G203" s="13" t="str" cm="1">
        <f t="array" ref="G203">_xlfn.IFS(F203&lt;=5,"One_Time",F203&gt;5,"Delayed",F203="Information_Not_given","Pending")</f>
        <v>One_Time</v>
      </c>
    </row>
    <row r="204" spans="1:7" x14ac:dyDescent="0.3">
      <c r="A204" s="12" t="str">
        <f>IF(AND(Sales_Data!P204&gt;=100000,Sales_Data!Q204&gt;=4,Sales_Data!V204="Completed",Sales_Data!O204&lt;=10),"Platinum",IF(AND(Sales_Data!P204&gt;=50000,Sales_Data!Q204&gt;=3,Sales_Data!V204="Completed"),"Gold",IF(AND(Sales_Data!P204&lt;50000,Sales_Data!V204="Completed"),"Silver",IF(OR(Sales_Data!Q204&lt;=2,Sales_Data!V204="Canceled"),"Blacklisted","Others"))))</f>
        <v>Others</v>
      </c>
      <c r="B204" s="4" t="str">
        <f>PROPER(TRIM(Sales_Data!F204))</f>
        <v>Pooja Shah</v>
      </c>
      <c r="C204" s="4" t="str">
        <f>LEFT(B204,3)&amp;RIGHT(Sales_Data!B204,3)&amp;LEFT(Sales_Data!I204,2)</f>
        <v>Poo010Be</v>
      </c>
      <c r="D204" s="4" t="str">
        <f>IF(ISNUMBER(SEARCH("@",Sales_Data!T204)),LOWER(Sales_Data!T204),"Invalid_Email")</f>
        <v>pooja.shah@company.com</v>
      </c>
      <c r="E204" s="13">
        <f ca="1">DATEDIF(Sales_Data!H204,TODAY(),"Y")</f>
        <v>25</v>
      </c>
      <c r="F204" s="13">
        <f>IFERROR(DATEDIF(Sales_Data!D204,Sales_Data!E204,"D"),"Information_Not_Given")</f>
        <v>6</v>
      </c>
      <c r="G204" s="13" t="str" cm="1">
        <f t="array" ref="G204">_xlfn.IFS(F204&lt;=5,"One_Time",F204&gt;5,"Delayed",F204="Information_Not_given","Pending")</f>
        <v>Delayed</v>
      </c>
    </row>
    <row r="205" spans="1:7" x14ac:dyDescent="0.3">
      <c r="A205" s="12" t="str">
        <f>IF(AND(Sales_Data!P205&gt;=100000,Sales_Data!Q205&gt;=4,Sales_Data!V205="Completed",Sales_Data!O205&lt;=10),"Platinum",IF(AND(Sales_Data!P205&gt;=50000,Sales_Data!Q205&gt;=3,Sales_Data!V205="Completed"),"Gold",IF(AND(Sales_Data!P205&lt;50000,Sales_Data!V205="Completed"),"Silver",IF(OR(Sales_Data!Q205&lt;=2,Sales_Data!V205="Canceled"),"Blacklisted","Others"))))</f>
        <v>Silver</v>
      </c>
      <c r="B205" s="4" t="str">
        <f>PROPER(TRIM(Sales_Data!F205))</f>
        <v>Rohit Singh</v>
      </c>
      <c r="C205" s="4" t="str">
        <f>LEFT(B205,3)&amp;RIGHT(Sales_Data!B205,3)&amp;LEFT(Sales_Data!I205,2)</f>
        <v>Roh003Ja</v>
      </c>
      <c r="D205" s="4" t="str">
        <f>IF(ISNUMBER(SEARCH("@",Sales_Data!T205)),LOWER(Sales_Data!T205),"Invalid_Email")</f>
        <v>rohit.singh@company.com</v>
      </c>
      <c r="E205" s="13">
        <f ca="1">DATEDIF(Sales_Data!H205,TODAY(),"Y")</f>
        <v>45</v>
      </c>
      <c r="F205" s="13">
        <f>IFERROR(DATEDIF(Sales_Data!D205,Sales_Data!E205,"D"),"Information_Not_Given")</f>
        <v>1</v>
      </c>
      <c r="G205" s="13" t="str" cm="1">
        <f t="array" ref="G205">_xlfn.IFS(F205&lt;=5,"One_Time",F205&gt;5,"Delayed",F205="Information_Not_given","Pending")</f>
        <v>One_Time</v>
      </c>
    </row>
    <row r="206" spans="1:7" x14ac:dyDescent="0.3">
      <c r="A206" s="12" t="str">
        <f>IF(AND(Sales_Data!P206&gt;=100000,Sales_Data!Q206&gt;=4,Sales_Data!V206="Completed",Sales_Data!O206&lt;=10),"Platinum",IF(AND(Sales_Data!P206&gt;=50000,Sales_Data!Q206&gt;=3,Sales_Data!V206="Completed"),"Gold",IF(AND(Sales_Data!P206&lt;50000,Sales_Data!V206="Completed"),"Silver",IF(OR(Sales_Data!Q206&lt;=2,Sales_Data!V206="Canceled"),"Blacklisted","Others"))))</f>
        <v>Blacklisted</v>
      </c>
      <c r="B206" s="4" t="str">
        <f>PROPER(TRIM(Sales_Data!F206))</f>
        <v>Anita Gupta</v>
      </c>
      <c r="C206" s="4" t="str">
        <f>LEFT(B206,3)&amp;RIGHT(Sales_Data!B206,3)&amp;LEFT(Sales_Data!I206,2)</f>
        <v>Ani004Pu</v>
      </c>
      <c r="D206" s="4" t="str">
        <f>IF(ISNUMBER(SEARCH("@",Sales_Data!T206)),LOWER(Sales_Data!T206),"Invalid_Email")</f>
        <v>anita.gupta@company.com</v>
      </c>
      <c r="E206" s="13">
        <f ca="1">DATEDIF(Sales_Data!H206,TODAY(),"Y")</f>
        <v>23</v>
      </c>
      <c r="F206" s="13">
        <f>IFERROR(DATEDIF(Sales_Data!D206,Sales_Data!E206,"D"),"Information_Not_Given")</f>
        <v>4</v>
      </c>
      <c r="G206" s="13" t="str" cm="1">
        <f t="array" ref="G206">_xlfn.IFS(F206&lt;=5,"One_Time",F206&gt;5,"Delayed",F206="Information_Not_given","Pending")</f>
        <v>One_Time</v>
      </c>
    </row>
    <row r="207" spans="1:7" x14ac:dyDescent="0.3">
      <c r="A207" s="12" t="str">
        <f>IF(AND(Sales_Data!P207&gt;=100000,Sales_Data!Q207&gt;=4,Sales_Data!V207="Completed",Sales_Data!O207&lt;=10),"Platinum",IF(AND(Sales_Data!P207&gt;=50000,Sales_Data!Q207&gt;=3,Sales_Data!V207="Completed"),"Gold",IF(AND(Sales_Data!P207&lt;50000,Sales_Data!V207="Completed"),"Silver",IF(OR(Sales_Data!Q207&lt;=2,Sales_Data!V207="Canceled"),"Blacklisted","Others"))))</f>
        <v>Others</v>
      </c>
      <c r="B207" s="4" t="str">
        <f>PROPER(TRIM(Sales_Data!F207))</f>
        <v>Amit Sharma</v>
      </c>
      <c r="C207" s="4" t="str">
        <f>LEFT(B207,3)&amp;RIGHT(Sales_Data!B207,3)&amp;LEFT(Sales_Data!I207,2)</f>
        <v>Ami001Mu</v>
      </c>
      <c r="D207" s="4" t="str">
        <f>IF(ISNUMBER(SEARCH("@",Sales_Data!T207)),LOWER(Sales_Data!T207),"Invalid_Email")</f>
        <v>amit.sharma@company.com</v>
      </c>
      <c r="E207" s="13">
        <f ca="1">DATEDIF(Sales_Data!H207,TODAY(),"Y")</f>
        <v>46</v>
      </c>
      <c r="F207" s="13">
        <f>IFERROR(DATEDIF(Sales_Data!D207,Sales_Data!E207,"D"),"Information_Not_Given")</f>
        <v>6</v>
      </c>
      <c r="G207" s="13" t="str" cm="1">
        <f t="array" ref="G207">_xlfn.IFS(F207&lt;=5,"One_Time",F207&gt;5,"Delayed",F207="Information_Not_given","Pending")</f>
        <v>Delayed</v>
      </c>
    </row>
    <row r="208" spans="1:7" x14ac:dyDescent="0.3">
      <c r="A208" s="12" t="str">
        <f>IF(AND(Sales_Data!P208&gt;=100000,Sales_Data!Q208&gt;=4,Sales_Data!V208="Completed",Sales_Data!O208&lt;=10),"Platinum",IF(AND(Sales_Data!P208&gt;=50000,Sales_Data!Q208&gt;=3,Sales_Data!V208="Completed"),"Gold",IF(AND(Sales_Data!P208&lt;50000,Sales_Data!V208="Completed"),"Silver",IF(OR(Sales_Data!Q208&lt;=2,Sales_Data!V208="Canceled"),"Blacklisted","Others"))))</f>
        <v>Others</v>
      </c>
      <c r="B208" s="4" t="str">
        <f>PROPER(TRIM(Sales_Data!F208))</f>
        <v>Vikas Mehta</v>
      </c>
      <c r="C208" s="4" t="str">
        <f>LEFT(B208,3)&amp;RIGHT(Sales_Data!B208,3)&amp;LEFT(Sales_Data!I208,2)</f>
        <v>Vik005Hy</v>
      </c>
      <c r="D208" s="4" t="str">
        <f>IF(ISNUMBER(SEARCH("@",Sales_Data!T208)),LOWER(Sales_Data!T208),"Invalid_Email")</f>
        <v>vikas.mehta@company.com</v>
      </c>
      <c r="E208" s="13">
        <f ca="1">DATEDIF(Sales_Data!H208,TODAY(),"Y")</f>
        <v>35</v>
      </c>
      <c r="F208" s="13">
        <f>IFERROR(DATEDIF(Sales_Data!D208,Sales_Data!E208,"D"),"Information_Not_Given")</f>
        <v>9</v>
      </c>
      <c r="G208" s="13" t="str" cm="1">
        <f t="array" ref="G208">_xlfn.IFS(F208&lt;=5,"One_Time",F208&gt;5,"Delayed",F208="Information_Not_given","Pending")</f>
        <v>Delayed</v>
      </c>
    </row>
    <row r="209" spans="1:7" x14ac:dyDescent="0.3">
      <c r="A209" s="12" t="str">
        <f>IF(AND(Sales_Data!P209&gt;=100000,Sales_Data!Q209&gt;=4,Sales_Data!V209="Completed",Sales_Data!O209&lt;=10),"Platinum",IF(AND(Sales_Data!P209&gt;=50000,Sales_Data!Q209&gt;=3,Sales_Data!V209="Completed"),"Gold",IF(AND(Sales_Data!P209&lt;50000,Sales_Data!V209="Completed"),"Silver",IF(OR(Sales_Data!Q209&lt;=2,Sales_Data!V209="Canceled"),"Blacklisted","Others"))))</f>
        <v>Blacklisted</v>
      </c>
      <c r="B209" s="4" t="str">
        <f>PROPER(TRIM(Sales_Data!F209))</f>
        <v>Amit Sharma</v>
      </c>
      <c r="C209" s="4" t="str">
        <f>LEFT(B209,3)&amp;RIGHT(Sales_Data!B209,3)&amp;LEFT(Sales_Data!I209,2)</f>
        <v>Ami001Pu</v>
      </c>
      <c r="D209" s="4" t="str">
        <f>IF(ISNUMBER(SEARCH("@",Sales_Data!T209)),LOWER(Sales_Data!T209),"Invalid_Email")</f>
        <v>amit.sharma@company.com</v>
      </c>
      <c r="E209" s="13">
        <f ca="1">DATEDIF(Sales_Data!H209,TODAY(),"Y")</f>
        <v>49</v>
      </c>
      <c r="F209" s="13">
        <f>IFERROR(DATEDIF(Sales_Data!D209,Sales_Data!E209,"D"),"Information_Not_Given")</f>
        <v>3</v>
      </c>
      <c r="G209" s="13" t="str" cm="1">
        <f t="array" ref="G209">_xlfn.IFS(F209&lt;=5,"One_Time",F209&gt;5,"Delayed",F209="Information_Not_given","Pending")</f>
        <v>One_Time</v>
      </c>
    </row>
    <row r="210" spans="1:7" x14ac:dyDescent="0.3">
      <c r="A210" s="12" t="str">
        <f>IF(AND(Sales_Data!P210&gt;=100000,Sales_Data!Q210&gt;=4,Sales_Data!V210="Completed",Sales_Data!O210&lt;=10),"Platinum",IF(AND(Sales_Data!P210&gt;=50000,Sales_Data!Q210&gt;=3,Sales_Data!V210="Completed"),"Gold",IF(AND(Sales_Data!P210&lt;50000,Sales_Data!V210="Completed"),"Silver",IF(OR(Sales_Data!Q210&lt;=2,Sales_Data!V210="Canceled"),"Blacklisted","Others"))))</f>
        <v>Others</v>
      </c>
      <c r="B210" s="4" t="str">
        <f>PROPER(TRIM(Sales_Data!F210))</f>
        <v>Kavya Nair</v>
      </c>
      <c r="C210" s="4" t="str">
        <f>LEFT(B210,3)&amp;RIGHT(Sales_Data!B210,3)&amp;LEFT(Sales_Data!I210,2)</f>
        <v>Kav008Mu</v>
      </c>
      <c r="D210" s="4" t="str">
        <f>IF(ISNUMBER(SEARCH("@",Sales_Data!T210)),LOWER(Sales_Data!T210),"Invalid_Email")</f>
        <v>kavya.nair@company.com</v>
      </c>
      <c r="E210" s="13">
        <f ca="1">DATEDIF(Sales_Data!H210,TODAY(),"Y")</f>
        <v>30</v>
      </c>
      <c r="F210" s="13">
        <f>IFERROR(DATEDIF(Sales_Data!D210,Sales_Data!E210,"D"),"Information_Not_Given")</f>
        <v>9</v>
      </c>
      <c r="G210" s="13" t="str" cm="1">
        <f t="array" ref="G210">_xlfn.IFS(F210&lt;=5,"One_Time",F210&gt;5,"Delayed",F210="Information_Not_given","Pending")</f>
        <v>Delayed</v>
      </c>
    </row>
    <row r="211" spans="1:7" x14ac:dyDescent="0.3">
      <c r="A211" s="12" t="str">
        <f>IF(AND(Sales_Data!P211&gt;=100000,Sales_Data!Q211&gt;=4,Sales_Data!V211="Completed",Sales_Data!O211&lt;=10),"Platinum",IF(AND(Sales_Data!P211&gt;=50000,Sales_Data!Q211&gt;=3,Sales_Data!V211="Completed"),"Gold",IF(AND(Sales_Data!P211&lt;50000,Sales_Data!V211="Completed"),"Silver",IF(OR(Sales_Data!Q211&lt;=2,Sales_Data!V211="Canceled"),"Blacklisted","Others"))))</f>
        <v>Gold</v>
      </c>
      <c r="B211" s="4" t="str">
        <f>PROPER(TRIM(Sales_Data!F211))</f>
        <v>Sneha Joshi</v>
      </c>
      <c r="C211" s="4" t="str">
        <f>LEFT(B211,3)&amp;RIGHT(Sales_Data!B211,3)&amp;LEFT(Sales_Data!I211,2)</f>
        <v>Sne006Mu</v>
      </c>
      <c r="D211" s="4" t="str">
        <f>IF(ISNUMBER(SEARCH("@",Sales_Data!T211)),LOWER(Sales_Data!T211),"Invalid_Email")</f>
        <v>sneha.joshi@company.com</v>
      </c>
      <c r="E211" s="13">
        <f ca="1">DATEDIF(Sales_Data!H211,TODAY(),"Y")</f>
        <v>50</v>
      </c>
      <c r="F211" s="13">
        <f>IFERROR(DATEDIF(Sales_Data!D211,Sales_Data!E211,"D"),"Information_Not_Given")</f>
        <v>2</v>
      </c>
      <c r="G211" s="13" t="str" cm="1">
        <f t="array" ref="G211">_xlfn.IFS(F211&lt;=5,"One_Time",F211&gt;5,"Delayed",F211="Information_Not_given","Pending")</f>
        <v>One_Time</v>
      </c>
    </row>
    <row r="212" spans="1:7" x14ac:dyDescent="0.3">
      <c r="A212" s="12" t="str">
        <f>IF(AND(Sales_Data!P212&gt;=100000,Sales_Data!Q212&gt;=4,Sales_Data!V212="Completed",Sales_Data!O212&lt;=10),"Platinum",IF(AND(Sales_Data!P212&gt;=50000,Sales_Data!Q212&gt;=3,Sales_Data!V212="Completed"),"Gold",IF(AND(Sales_Data!P212&lt;50000,Sales_Data!V212="Completed"),"Silver",IF(OR(Sales_Data!Q212&lt;=2,Sales_Data!V212="Canceled"),"Blacklisted","Others"))))</f>
        <v>Others</v>
      </c>
      <c r="B212" s="4" t="str">
        <f>PROPER(TRIM(Sales_Data!F212))</f>
        <v>Amit Sharma</v>
      </c>
      <c r="C212" s="4" t="str">
        <f>LEFT(B212,3)&amp;RIGHT(Sales_Data!B212,3)&amp;LEFT(Sales_Data!I212,2)</f>
        <v>Ami001Mu</v>
      </c>
      <c r="D212" s="4" t="str">
        <f>IF(ISNUMBER(SEARCH("@",Sales_Data!T212)),LOWER(Sales_Data!T212),"Invalid_Email")</f>
        <v>amit.sharma@company.com</v>
      </c>
      <c r="E212" s="13">
        <f ca="1">DATEDIF(Sales_Data!H212,TODAY(),"Y")</f>
        <v>38</v>
      </c>
      <c r="F212" s="13">
        <f>IFERROR(DATEDIF(Sales_Data!D212,Sales_Data!E212,"D"),"Information_Not_Given")</f>
        <v>9</v>
      </c>
      <c r="G212" s="13" t="str" cm="1">
        <f t="array" ref="G212">_xlfn.IFS(F212&lt;=5,"One_Time",F212&gt;5,"Delayed",F212="Information_Not_given","Pending")</f>
        <v>Delayed</v>
      </c>
    </row>
    <row r="213" spans="1:7" x14ac:dyDescent="0.3">
      <c r="A213" s="12" t="str">
        <f>IF(AND(Sales_Data!P213&gt;=100000,Sales_Data!Q213&gt;=4,Sales_Data!V213="Completed",Sales_Data!O213&lt;=10),"Platinum",IF(AND(Sales_Data!P213&gt;=50000,Sales_Data!Q213&gt;=3,Sales_Data!V213="Completed"),"Gold",IF(AND(Sales_Data!P213&lt;50000,Sales_Data!V213="Completed"),"Silver",IF(OR(Sales_Data!Q213&lt;=2,Sales_Data!V213="Canceled"),"Blacklisted","Others"))))</f>
        <v>Others</v>
      </c>
      <c r="B213" s="4" t="str">
        <f>PROPER(TRIM(Sales_Data!F213))</f>
        <v>Sneha Joshi</v>
      </c>
      <c r="C213" s="4" t="str">
        <f>LEFT(B213,3)&amp;RIGHT(Sales_Data!B213,3)&amp;LEFT(Sales_Data!I213,2)</f>
        <v>Sne006Ah</v>
      </c>
      <c r="D213" s="4" t="str">
        <f>IF(ISNUMBER(SEARCH("@",Sales_Data!T213)),LOWER(Sales_Data!T213),"Invalid_Email")</f>
        <v>sneha.joshi@company.com</v>
      </c>
      <c r="E213" s="13">
        <f ca="1">DATEDIF(Sales_Data!H213,TODAY(),"Y")</f>
        <v>36</v>
      </c>
      <c r="F213" s="13">
        <f>IFERROR(DATEDIF(Sales_Data!D213,Sales_Data!E213,"D"),"Information_Not_Given")</f>
        <v>10</v>
      </c>
      <c r="G213" s="13" t="str" cm="1">
        <f t="array" ref="G213">_xlfn.IFS(F213&lt;=5,"One_Time",F213&gt;5,"Delayed",F213="Information_Not_given","Pending")</f>
        <v>Delayed</v>
      </c>
    </row>
    <row r="214" spans="1:7" x14ac:dyDescent="0.3">
      <c r="A214" s="12" t="str">
        <f>IF(AND(Sales_Data!P214&gt;=100000,Sales_Data!Q214&gt;=4,Sales_Data!V214="Completed",Sales_Data!O214&lt;=10),"Platinum",IF(AND(Sales_Data!P214&gt;=50000,Sales_Data!Q214&gt;=3,Sales_Data!V214="Completed"),"Gold",IF(AND(Sales_Data!P214&lt;50000,Sales_Data!V214="Completed"),"Silver",IF(OR(Sales_Data!Q214&lt;=2,Sales_Data!V214="Canceled"),"Blacklisted","Others"))))</f>
        <v>Others</v>
      </c>
      <c r="B214" s="4" t="str">
        <f>PROPER(TRIM(Sales_Data!F214))</f>
        <v>Kavya Nair</v>
      </c>
      <c r="C214" s="4" t="str">
        <f>LEFT(B214,3)&amp;RIGHT(Sales_Data!B214,3)&amp;LEFT(Sales_Data!I214,2)</f>
        <v>Kav008Hy</v>
      </c>
      <c r="D214" s="4" t="str">
        <f>IF(ISNUMBER(SEARCH("@",Sales_Data!T214)),LOWER(Sales_Data!T214),"Invalid_Email")</f>
        <v>kavya.nair@company.com</v>
      </c>
      <c r="E214" s="13">
        <f ca="1">DATEDIF(Sales_Data!H214,TODAY(),"Y")</f>
        <v>35</v>
      </c>
      <c r="F214" s="13">
        <f>IFERROR(DATEDIF(Sales_Data!D214,Sales_Data!E214,"D"),"Information_Not_Given")</f>
        <v>6</v>
      </c>
      <c r="G214" s="13" t="str" cm="1">
        <f t="array" ref="G214">_xlfn.IFS(F214&lt;=5,"One_Time",F214&gt;5,"Delayed",F214="Information_Not_given","Pending")</f>
        <v>Delayed</v>
      </c>
    </row>
    <row r="215" spans="1:7" x14ac:dyDescent="0.3">
      <c r="A215" s="12" t="str">
        <f>IF(AND(Sales_Data!P215&gt;=100000,Sales_Data!Q215&gt;=4,Sales_Data!V215="Completed",Sales_Data!O215&lt;=10),"Platinum",IF(AND(Sales_Data!P215&gt;=50000,Sales_Data!Q215&gt;=3,Sales_Data!V215="Completed"),"Gold",IF(AND(Sales_Data!P215&lt;50000,Sales_Data!V215="Completed"),"Silver",IF(OR(Sales_Data!Q215&lt;=2,Sales_Data!V215="Canceled"),"Blacklisted","Others"))))</f>
        <v>Silver</v>
      </c>
      <c r="B215" s="4" t="str">
        <f>PROPER(TRIM(Sales_Data!F215))</f>
        <v>Pooja Shah</v>
      </c>
      <c r="C215" s="4" t="str">
        <f>LEFT(B215,3)&amp;RIGHT(Sales_Data!B215,3)&amp;LEFT(Sales_Data!I215,2)</f>
        <v>Poo010Pu</v>
      </c>
      <c r="D215" s="4" t="str">
        <f>IF(ISNUMBER(SEARCH("@",Sales_Data!T215)),LOWER(Sales_Data!T215),"Invalid_Email")</f>
        <v>pooja.shah@company.com</v>
      </c>
      <c r="E215" s="13">
        <f ca="1">DATEDIF(Sales_Data!H215,TODAY(),"Y")</f>
        <v>48</v>
      </c>
      <c r="F215" s="13">
        <f>IFERROR(DATEDIF(Sales_Data!D215,Sales_Data!E215,"D"),"Information_Not_Given")</f>
        <v>12</v>
      </c>
      <c r="G215" s="13" t="str" cm="1">
        <f t="array" ref="G215">_xlfn.IFS(F215&lt;=5,"One_Time",F215&gt;5,"Delayed",F215="Information_Not_given","Pending")</f>
        <v>Delayed</v>
      </c>
    </row>
    <row r="216" spans="1:7" x14ac:dyDescent="0.3">
      <c r="A216" s="12" t="str">
        <f>IF(AND(Sales_Data!P216&gt;=100000,Sales_Data!Q216&gt;=4,Sales_Data!V216="Completed",Sales_Data!O216&lt;=10),"Platinum",IF(AND(Sales_Data!P216&gt;=50000,Sales_Data!Q216&gt;=3,Sales_Data!V216="Completed"),"Gold",IF(AND(Sales_Data!P216&lt;50000,Sales_Data!V216="Completed"),"Silver",IF(OR(Sales_Data!Q216&lt;=2,Sales_Data!V216="Canceled"),"Blacklisted","Others"))))</f>
        <v>Blacklisted</v>
      </c>
      <c r="B216" s="4" t="str">
        <f>PROPER(TRIM(Sales_Data!F216))</f>
        <v>Priya Patel</v>
      </c>
      <c r="C216" s="4" t="str">
        <f>LEFT(B216,3)&amp;RIGHT(Sales_Data!B216,3)&amp;LEFT(Sales_Data!I216,2)</f>
        <v>Pri002Be</v>
      </c>
      <c r="D216" s="4" t="str">
        <f>IF(ISNUMBER(SEARCH("@",Sales_Data!T216)),LOWER(Sales_Data!T216),"Invalid_Email")</f>
        <v>priya.patel@company.com</v>
      </c>
      <c r="E216" s="13">
        <f ca="1">DATEDIF(Sales_Data!H216,TODAY(),"Y")</f>
        <v>31</v>
      </c>
      <c r="F216" s="13">
        <f>IFERROR(DATEDIF(Sales_Data!D216,Sales_Data!E216,"D"),"Information_Not_Given")</f>
        <v>10</v>
      </c>
      <c r="G216" s="13" t="str" cm="1">
        <f t="array" ref="G216">_xlfn.IFS(F216&lt;=5,"One_Time",F216&gt;5,"Delayed",F216="Information_Not_given","Pending")</f>
        <v>Delayed</v>
      </c>
    </row>
    <row r="217" spans="1:7" x14ac:dyDescent="0.3">
      <c r="A217" s="12" t="str">
        <f>IF(AND(Sales_Data!P217&gt;=100000,Sales_Data!Q217&gt;=4,Sales_Data!V217="Completed",Sales_Data!O217&lt;=10),"Platinum",IF(AND(Sales_Data!P217&gt;=50000,Sales_Data!Q217&gt;=3,Sales_Data!V217="Completed"),"Gold",IF(AND(Sales_Data!P217&lt;50000,Sales_Data!V217="Completed"),"Silver",IF(OR(Sales_Data!Q217&lt;=2,Sales_Data!V217="Canceled"),"Blacklisted","Others"))))</f>
        <v>Silver</v>
      </c>
      <c r="B217" s="4" t="str">
        <f>PROPER(TRIM(Sales_Data!F217))</f>
        <v>Kavya Nair</v>
      </c>
      <c r="C217" s="4" t="str">
        <f>LEFT(B217,3)&amp;RIGHT(Sales_Data!B217,3)&amp;LEFT(Sales_Data!I217,2)</f>
        <v>Kav008Ko</v>
      </c>
      <c r="D217" s="4" t="str">
        <f>IF(ISNUMBER(SEARCH("@",Sales_Data!T217)),LOWER(Sales_Data!T217),"Invalid_Email")</f>
        <v>kavya.nair@company.com</v>
      </c>
      <c r="E217" s="13">
        <f ca="1">DATEDIF(Sales_Data!H217,TODAY(),"Y")</f>
        <v>42</v>
      </c>
      <c r="F217" s="13">
        <f>IFERROR(DATEDIF(Sales_Data!D217,Sales_Data!E217,"D"),"Information_Not_Given")</f>
        <v>12</v>
      </c>
      <c r="G217" s="13" t="str" cm="1">
        <f t="array" ref="G217">_xlfn.IFS(F217&lt;=5,"One_Time",F217&gt;5,"Delayed",F217="Information_Not_given","Pending")</f>
        <v>Delayed</v>
      </c>
    </row>
    <row r="218" spans="1:7" x14ac:dyDescent="0.3">
      <c r="A218" s="12" t="str">
        <f>IF(AND(Sales_Data!P218&gt;=100000,Sales_Data!Q218&gt;=4,Sales_Data!V218="Completed",Sales_Data!O218&lt;=10),"Platinum",IF(AND(Sales_Data!P218&gt;=50000,Sales_Data!Q218&gt;=3,Sales_Data!V218="Completed"),"Gold",IF(AND(Sales_Data!P218&lt;50000,Sales_Data!V218="Completed"),"Silver",IF(OR(Sales_Data!Q218&lt;=2,Sales_Data!V218="Canceled"),"Blacklisted","Others"))))</f>
        <v>Silver</v>
      </c>
      <c r="B218" s="4" t="str">
        <f>PROPER(TRIM(Sales_Data!F218))</f>
        <v>Vikas Mehta</v>
      </c>
      <c r="C218" s="4" t="str">
        <f>LEFT(B218,3)&amp;RIGHT(Sales_Data!B218,3)&amp;LEFT(Sales_Data!I218,2)</f>
        <v>Vik005Be</v>
      </c>
      <c r="D218" s="4" t="str">
        <f>IF(ISNUMBER(SEARCH("@",Sales_Data!T218)),LOWER(Sales_Data!T218),"Invalid_Email")</f>
        <v>vikas.mehta@company.com</v>
      </c>
      <c r="E218" s="13">
        <f ca="1">DATEDIF(Sales_Data!H218,TODAY(),"Y")</f>
        <v>41</v>
      </c>
      <c r="F218" s="13">
        <f>IFERROR(DATEDIF(Sales_Data!D218,Sales_Data!E218,"D"),"Information_Not_Given")</f>
        <v>7</v>
      </c>
      <c r="G218" s="13" t="str" cm="1">
        <f t="array" ref="G218">_xlfn.IFS(F218&lt;=5,"One_Time",F218&gt;5,"Delayed",F218="Information_Not_given","Pending")</f>
        <v>Delayed</v>
      </c>
    </row>
    <row r="219" spans="1:7" x14ac:dyDescent="0.3">
      <c r="A219" s="12" t="str">
        <f>IF(AND(Sales_Data!P219&gt;=100000,Sales_Data!Q219&gt;=4,Sales_Data!V219="Completed",Sales_Data!O219&lt;=10),"Platinum",IF(AND(Sales_Data!P219&gt;=50000,Sales_Data!Q219&gt;=3,Sales_Data!V219="Completed"),"Gold",IF(AND(Sales_Data!P219&lt;50000,Sales_Data!V219="Completed"),"Silver",IF(OR(Sales_Data!Q219&lt;=2,Sales_Data!V219="Canceled"),"Blacklisted","Others"))))</f>
        <v>Blacklisted</v>
      </c>
      <c r="B219" s="4" t="str">
        <f>PROPER(TRIM(Sales_Data!F219))</f>
        <v>Arjun Rao</v>
      </c>
      <c r="C219" s="4" t="str">
        <f>LEFT(B219,3)&amp;RIGHT(Sales_Data!B219,3)&amp;LEFT(Sales_Data!I219,2)</f>
        <v>Arj007Ko</v>
      </c>
      <c r="D219" s="4" t="str">
        <f>IF(ISNUMBER(SEARCH("@",Sales_Data!T219)),LOWER(Sales_Data!T219),"Invalid_Email")</f>
        <v>arjun.rao@company.com</v>
      </c>
      <c r="E219" s="13">
        <f ca="1">DATEDIF(Sales_Data!H219,TODAY(),"Y")</f>
        <v>24</v>
      </c>
      <c r="F219" s="13">
        <f>IFERROR(DATEDIF(Sales_Data!D219,Sales_Data!E219,"D"),"Information_Not_Given")</f>
        <v>9</v>
      </c>
      <c r="G219" s="13" t="str" cm="1">
        <f t="array" ref="G219">_xlfn.IFS(F219&lt;=5,"One_Time",F219&gt;5,"Delayed",F219="Information_Not_given","Pending")</f>
        <v>Delayed</v>
      </c>
    </row>
    <row r="220" spans="1:7" x14ac:dyDescent="0.3">
      <c r="A220" s="12" t="str">
        <f>IF(AND(Sales_Data!P220&gt;=100000,Sales_Data!Q220&gt;=4,Sales_Data!V220="Completed",Sales_Data!O220&lt;=10),"Platinum",IF(AND(Sales_Data!P220&gt;=50000,Sales_Data!Q220&gt;=3,Sales_Data!V220="Completed"),"Gold",IF(AND(Sales_Data!P220&lt;50000,Sales_Data!V220="Completed"),"Silver",IF(OR(Sales_Data!Q220&lt;=2,Sales_Data!V220="Canceled"),"Blacklisted","Others"))))</f>
        <v>Silver</v>
      </c>
      <c r="B220" s="4" t="str">
        <f>PROPER(TRIM(Sales_Data!F220))</f>
        <v>Pooja Shah</v>
      </c>
      <c r="C220" s="4" t="str">
        <f>LEFT(B220,3)&amp;RIGHT(Sales_Data!B220,3)&amp;LEFT(Sales_Data!I220,2)</f>
        <v>Poo010Pu</v>
      </c>
      <c r="D220" s="4" t="str">
        <f>IF(ISNUMBER(SEARCH("@",Sales_Data!T220)),LOWER(Sales_Data!T220),"Invalid_Email")</f>
        <v>pooja.shah@company.com</v>
      </c>
      <c r="E220" s="13">
        <f ca="1">DATEDIF(Sales_Data!H220,TODAY(),"Y")</f>
        <v>27</v>
      </c>
      <c r="F220" s="13">
        <f>IFERROR(DATEDIF(Sales_Data!D220,Sales_Data!E220,"D"),"Information_Not_Given")</f>
        <v>4</v>
      </c>
      <c r="G220" s="13" t="str" cm="1">
        <f t="array" ref="G220">_xlfn.IFS(F220&lt;=5,"One_Time",F220&gt;5,"Delayed",F220="Information_Not_given","Pending")</f>
        <v>One_Time</v>
      </c>
    </row>
    <row r="221" spans="1:7" x14ac:dyDescent="0.3">
      <c r="A221" s="12" t="str">
        <f>IF(AND(Sales_Data!P221&gt;=100000,Sales_Data!Q221&gt;=4,Sales_Data!V221="Completed",Sales_Data!O221&lt;=10),"Platinum",IF(AND(Sales_Data!P221&gt;=50000,Sales_Data!Q221&gt;=3,Sales_Data!V221="Completed"),"Gold",IF(AND(Sales_Data!P221&lt;50000,Sales_Data!V221="Completed"),"Silver",IF(OR(Sales_Data!Q221&lt;=2,Sales_Data!V221="Canceled"),"Blacklisted","Others"))))</f>
        <v>Platinum</v>
      </c>
      <c r="B221" s="4" t="str">
        <f>PROPER(TRIM(Sales_Data!F221))</f>
        <v>Priya Patel</v>
      </c>
      <c r="C221" s="4" t="str">
        <f>LEFT(B221,3)&amp;RIGHT(Sales_Data!B221,3)&amp;LEFT(Sales_Data!I221,2)</f>
        <v>Pri002Ko</v>
      </c>
      <c r="D221" s="4" t="str">
        <f>IF(ISNUMBER(SEARCH("@",Sales_Data!T221)),LOWER(Sales_Data!T221),"Invalid_Email")</f>
        <v>priya.patel@company.com</v>
      </c>
      <c r="E221" s="13">
        <f ca="1">DATEDIF(Sales_Data!H221,TODAY(),"Y")</f>
        <v>36</v>
      </c>
      <c r="F221" s="13">
        <f>IFERROR(DATEDIF(Sales_Data!D221,Sales_Data!E221,"D"),"Information_Not_Given")</f>
        <v>2</v>
      </c>
      <c r="G221" s="13" t="str" cm="1">
        <f t="array" ref="G221">_xlfn.IFS(F221&lt;=5,"One_Time",F221&gt;5,"Delayed",F221="Information_Not_given","Pending")</f>
        <v>One_Time</v>
      </c>
    </row>
    <row r="222" spans="1:7" x14ac:dyDescent="0.3">
      <c r="A222" s="12" t="str">
        <f>IF(AND(Sales_Data!P222&gt;=100000,Sales_Data!Q222&gt;=4,Sales_Data!V222="Completed",Sales_Data!O222&lt;=10),"Platinum",IF(AND(Sales_Data!P222&gt;=50000,Sales_Data!Q222&gt;=3,Sales_Data!V222="Completed"),"Gold",IF(AND(Sales_Data!P222&lt;50000,Sales_Data!V222="Completed"),"Silver",IF(OR(Sales_Data!Q222&lt;=2,Sales_Data!V222="Canceled"),"Blacklisted","Others"))))</f>
        <v>Silver</v>
      </c>
      <c r="B222" s="4" t="str">
        <f>PROPER(TRIM(Sales_Data!F222))</f>
        <v>Sneha Joshi</v>
      </c>
      <c r="C222" s="4" t="str">
        <f>LEFT(B222,3)&amp;RIGHT(Sales_Data!B222,3)&amp;LEFT(Sales_Data!I222,2)</f>
        <v>Sne006De</v>
      </c>
      <c r="D222" s="4" t="str">
        <f>IF(ISNUMBER(SEARCH("@",Sales_Data!T222)),LOWER(Sales_Data!T222),"Invalid_Email")</f>
        <v>sneha.joshi@company.com</v>
      </c>
      <c r="E222" s="13">
        <f ca="1">DATEDIF(Sales_Data!H222,TODAY(),"Y")</f>
        <v>34</v>
      </c>
      <c r="F222" s="13">
        <f>IFERROR(DATEDIF(Sales_Data!D222,Sales_Data!E222,"D"),"Information_Not_Given")</f>
        <v>2</v>
      </c>
      <c r="G222" s="13" t="str" cm="1">
        <f t="array" ref="G222">_xlfn.IFS(F222&lt;=5,"One_Time",F222&gt;5,"Delayed",F222="Information_Not_given","Pending")</f>
        <v>One_Time</v>
      </c>
    </row>
    <row r="223" spans="1:7" x14ac:dyDescent="0.3">
      <c r="A223" s="12" t="str">
        <f>IF(AND(Sales_Data!P223&gt;=100000,Sales_Data!Q223&gt;=4,Sales_Data!V223="Completed",Sales_Data!O223&lt;=10),"Platinum",IF(AND(Sales_Data!P223&gt;=50000,Sales_Data!Q223&gt;=3,Sales_Data!V223="Completed"),"Gold",IF(AND(Sales_Data!P223&lt;50000,Sales_Data!V223="Completed"),"Silver",IF(OR(Sales_Data!Q223&lt;=2,Sales_Data!V223="Canceled"),"Blacklisted","Others"))))</f>
        <v>Others</v>
      </c>
      <c r="B223" s="4" t="str">
        <f>PROPER(TRIM(Sales_Data!F223))</f>
        <v>Pooja Shah</v>
      </c>
      <c r="C223" s="4" t="str">
        <f>LEFT(B223,3)&amp;RIGHT(Sales_Data!B223,3)&amp;LEFT(Sales_Data!I223,2)</f>
        <v>Poo010Ko</v>
      </c>
      <c r="D223" s="4" t="str">
        <f>IF(ISNUMBER(SEARCH("@",Sales_Data!T223)),LOWER(Sales_Data!T223),"Invalid_Email")</f>
        <v>pooja.shah@company.com</v>
      </c>
      <c r="E223" s="13">
        <f ca="1">DATEDIF(Sales_Data!H223,TODAY(),"Y")</f>
        <v>46</v>
      </c>
      <c r="F223" s="13">
        <f>IFERROR(DATEDIF(Sales_Data!D223,Sales_Data!E223,"D"),"Information_Not_Given")</f>
        <v>8</v>
      </c>
      <c r="G223" s="13" t="str" cm="1">
        <f t="array" ref="G223">_xlfn.IFS(F223&lt;=5,"One_Time",F223&gt;5,"Delayed",F223="Information_Not_given","Pending")</f>
        <v>Delayed</v>
      </c>
    </row>
    <row r="224" spans="1:7" x14ac:dyDescent="0.3">
      <c r="A224" s="12" t="str">
        <f>IF(AND(Sales_Data!P224&gt;=100000,Sales_Data!Q224&gt;=4,Sales_Data!V224="Completed",Sales_Data!O224&lt;=10),"Platinum",IF(AND(Sales_Data!P224&gt;=50000,Sales_Data!Q224&gt;=3,Sales_Data!V224="Completed"),"Gold",IF(AND(Sales_Data!P224&lt;50000,Sales_Data!V224="Completed"),"Silver",IF(OR(Sales_Data!Q224&lt;=2,Sales_Data!V224="Canceled"),"Blacklisted","Others"))))</f>
        <v>Blacklisted</v>
      </c>
      <c r="B224" s="4" t="str">
        <f>PROPER(TRIM(Sales_Data!F224))</f>
        <v>Amit Sharma</v>
      </c>
      <c r="C224" s="4" t="str">
        <f>LEFT(B224,3)&amp;RIGHT(Sales_Data!B224,3)&amp;LEFT(Sales_Data!I224,2)</f>
        <v>Ami001Ko</v>
      </c>
      <c r="D224" s="4" t="str">
        <f>IF(ISNUMBER(SEARCH("@",Sales_Data!T224)),LOWER(Sales_Data!T224),"Invalid_Email")</f>
        <v>amit.sharma@company.com</v>
      </c>
      <c r="E224" s="13">
        <f ca="1">DATEDIF(Sales_Data!H224,TODAY(),"Y")</f>
        <v>37</v>
      </c>
      <c r="F224" s="13">
        <f>IFERROR(DATEDIF(Sales_Data!D224,Sales_Data!E224,"D"),"Information_Not_Given")</f>
        <v>8</v>
      </c>
      <c r="G224" s="13" t="str" cm="1">
        <f t="array" ref="G224">_xlfn.IFS(F224&lt;=5,"One_Time",F224&gt;5,"Delayed",F224="Information_Not_given","Pending")</f>
        <v>Delayed</v>
      </c>
    </row>
    <row r="225" spans="1:7" x14ac:dyDescent="0.3">
      <c r="A225" s="12" t="str">
        <f>IF(AND(Sales_Data!P225&gt;=100000,Sales_Data!Q225&gt;=4,Sales_Data!V225="Completed",Sales_Data!O225&lt;=10),"Platinum",IF(AND(Sales_Data!P225&gt;=50000,Sales_Data!Q225&gt;=3,Sales_Data!V225="Completed"),"Gold",IF(AND(Sales_Data!P225&lt;50000,Sales_Data!V225="Completed"),"Silver",IF(OR(Sales_Data!Q225&lt;=2,Sales_Data!V225="Canceled"),"Blacklisted","Others"))))</f>
        <v>Others</v>
      </c>
      <c r="B225" s="4" t="str">
        <f>PROPER(TRIM(Sales_Data!F225))</f>
        <v>Kavya Nair</v>
      </c>
      <c r="C225" s="4" t="str">
        <f>LEFT(B225,3)&amp;RIGHT(Sales_Data!B225,3)&amp;LEFT(Sales_Data!I225,2)</f>
        <v>Kav008De</v>
      </c>
      <c r="D225" s="4" t="str">
        <f>IF(ISNUMBER(SEARCH("@",Sales_Data!T225)),LOWER(Sales_Data!T225),"Invalid_Email")</f>
        <v>kavya.nair@company.com</v>
      </c>
      <c r="E225" s="13">
        <f ca="1">DATEDIF(Sales_Data!H225,TODAY(),"Y")</f>
        <v>33</v>
      </c>
      <c r="F225" s="13">
        <f>IFERROR(DATEDIF(Sales_Data!D225,Sales_Data!E225,"D"),"Information_Not_Given")</f>
        <v>2</v>
      </c>
      <c r="G225" s="13" t="str" cm="1">
        <f t="array" ref="G225">_xlfn.IFS(F225&lt;=5,"One_Time",F225&gt;5,"Delayed",F225="Information_Not_given","Pending")</f>
        <v>One_Time</v>
      </c>
    </row>
    <row r="226" spans="1:7" x14ac:dyDescent="0.3">
      <c r="A226" s="12" t="str">
        <f>IF(AND(Sales_Data!P226&gt;=100000,Sales_Data!Q226&gt;=4,Sales_Data!V226="Completed",Sales_Data!O226&lt;=10),"Platinum",IF(AND(Sales_Data!P226&gt;=50000,Sales_Data!Q226&gt;=3,Sales_Data!V226="Completed"),"Gold",IF(AND(Sales_Data!P226&lt;50000,Sales_Data!V226="Completed"),"Silver",IF(OR(Sales_Data!Q226&lt;=2,Sales_Data!V226="Canceled"),"Blacklisted","Others"))))</f>
        <v>Silver</v>
      </c>
      <c r="B226" s="4" t="str">
        <f>PROPER(TRIM(Sales_Data!F226))</f>
        <v>Arjun Rao</v>
      </c>
      <c r="C226" s="4" t="str">
        <f>LEFT(B226,3)&amp;RIGHT(Sales_Data!B226,3)&amp;LEFT(Sales_Data!I226,2)</f>
        <v>Arj007Mu</v>
      </c>
      <c r="D226" s="4" t="str">
        <f>IF(ISNUMBER(SEARCH("@",Sales_Data!T226)),LOWER(Sales_Data!T226),"Invalid_Email")</f>
        <v>arjun.rao@company.com</v>
      </c>
      <c r="E226" s="13">
        <f ca="1">DATEDIF(Sales_Data!H226,TODAY(),"Y")</f>
        <v>44</v>
      </c>
      <c r="F226" s="13">
        <f>IFERROR(DATEDIF(Sales_Data!D226,Sales_Data!E226,"D"),"Information_Not_Given")</f>
        <v>6</v>
      </c>
      <c r="G226" s="13" t="str" cm="1">
        <f t="array" ref="G226">_xlfn.IFS(F226&lt;=5,"One_Time",F226&gt;5,"Delayed",F226="Information_Not_given","Pending")</f>
        <v>Delayed</v>
      </c>
    </row>
    <row r="227" spans="1:7" x14ac:dyDescent="0.3">
      <c r="A227" s="12" t="str">
        <f>IF(AND(Sales_Data!P227&gt;=100000,Sales_Data!Q227&gt;=4,Sales_Data!V227="Completed",Sales_Data!O227&lt;=10),"Platinum",IF(AND(Sales_Data!P227&gt;=50000,Sales_Data!Q227&gt;=3,Sales_Data!V227="Completed"),"Gold",IF(AND(Sales_Data!P227&lt;50000,Sales_Data!V227="Completed"),"Silver",IF(OR(Sales_Data!Q227&lt;=2,Sales_Data!V227="Canceled"),"Blacklisted","Others"))))</f>
        <v>Blacklisted</v>
      </c>
      <c r="B227" s="4" t="str">
        <f>PROPER(TRIM(Sales_Data!F227))</f>
        <v>Priya Patel</v>
      </c>
      <c r="C227" s="4" t="str">
        <f>LEFT(B227,3)&amp;RIGHT(Sales_Data!B227,3)&amp;LEFT(Sales_Data!I227,2)</f>
        <v>Pri002Hy</v>
      </c>
      <c r="D227" s="4" t="str">
        <f>IF(ISNUMBER(SEARCH("@",Sales_Data!T227)),LOWER(Sales_Data!T227),"Invalid_Email")</f>
        <v>priya.patel@company.com</v>
      </c>
      <c r="E227" s="13">
        <f ca="1">DATEDIF(Sales_Data!H227,TODAY(),"Y")</f>
        <v>23</v>
      </c>
      <c r="F227" s="13">
        <f>IFERROR(DATEDIF(Sales_Data!D227,Sales_Data!E227,"D"),"Information_Not_Given")</f>
        <v>5</v>
      </c>
      <c r="G227" s="13" t="str" cm="1">
        <f t="array" ref="G227">_xlfn.IFS(F227&lt;=5,"One_Time",F227&gt;5,"Delayed",F227="Information_Not_given","Pending")</f>
        <v>One_Time</v>
      </c>
    </row>
    <row r="228" spans="1:7" x14ac:dyDescent="0.3">
      <c r="A228" s="12" t="str">
        <f>IF(AND(Sales_Data!P228&gt;=100000,Sales_Data!Q228&gt;=4,Sales_Data!V228="Completed",Sales_Data!O228&lt;=10),"Platinum",IF(AND(Sales_Data!P228&gt;=50000,Sales_Data!Q228&gt;=3,Sales_Data!V228="Completed"),"Gold",IF(AND(Sales_Data!P228&lt;50000,Sales_Data!V228="Completed"),"Silver",IF(OR(Sales_Data!Q228&lt;=2,Sales_Data!V228="Canceled"),"Blacklisted","Others"))))</f>
        <v>Blacklisted</v>
      </c>
      <c r="B228" s="4" t="str">
        <f>PROPER(TRIM(Sales_Data!F228))</f>
        <v>Anita Gupta</v>
      </c>
      <c r="C228" s="4" t="str">
        <f>LEFT(B228,3)&amp;RIGHT(Sales_Data!B228,3)&amp;LEFT(Sales_Data!I228,2)</f>
        <v>Ani004Hy</v>
      </c>
      <c r="D228" s="4" t="str">
        <f>IF(ISNUMBER(SEARCH("@",Sales_Data!T228)),LOWER(Sales_Data!T228),"Invalid_Email")</f>
        <v>anita.gupta@company.com</v>
      </c>
      <c r="E228" s="13">
        <f ca="1">DATEDIF(Sales_Data!H228,TODAY(),"Y")</f>
        <v>41</v>
      </c>
      <c r="F228" s="13">
        <f>IFERROR(DATEDIF(Sales_Data!D228,Sales_Data!E228,"D"),"Information_Not_Given")</f>
        <v>11</v>
      </c>
      <c r="G228" s="13" t="str" cm="1">
        <f t="array" ref="G228">_xlfn.IFS(F228&lt;=5,"One_Time",F228&gt;5,"Delayed",F228="Information_Not_given","Pending")</f>
        <v>Delayed</v>
      </c>
    </row>
    <row r="229" spans="1:7" x14ac:dyDescent="0.3">
      <c r="A229" s="12" t="str">
        <f>IF(AND(Sales_Data!P229&gt;=100000,Sales_Data!Q229&gt;=4,Sales_Data!V229="Completed",Sales_Data!O229&lt;=10),"Platinum",IF(AND(Sales_Data!P229&gt;=50000,Sales_Data!Q229&gt;=3,Sales_Data!V229="Completed"),"Gold",IF(AND(Sales_Data!P229&lt;50000,Sales_Data!V229="Completed"),"Silver",IF(OR(Sales_Data!Q229&lt;=2,Sales_Data!V229="Canceled"),"Blacklisted","Others"))))</f>
        <v>Blacklisted</v>
      </c>
      <c r="B229" s="4" t="str">
        <f>PROPER(TRIM(Sales_Data!F229))</f>
        <v>Mohit Verma</v>
      </c>
      <c r="C229" s="4" t="str">
        <f>LEFT(B229,3)&amp;RIGHT(Sales_Data!B229,3)&amp;LEFT(Sales_Data!I229,2)</f>
        <v>Moh009Ko</v>
      </c>
      <c r="D229" s="4" t="str">
        <f>IF(ISNUMBER(SEARCH("@",Sales_Data!T229)),LOWER(Sales_Data!T229),"Invalid_Email")</f>
        <v>mohit.verma@company.com</v>
      </c>
      <c r="E229" s="13">
        <f ca="1">DATEDIF(Sales_Data!H229,TODAY(),"Y")</f>
        <v>32</v>
      </c>
      <c r="F229" s="13">
        <f>IFERROR(DATEDIF(Sales_Data!D229,Sales_Data!E229,"D"),"Information_Not_Given")</f>
        <v>8</v>
      </c>
      <c r="G229" s="13" t="str" cm="1">
        <f t="array" ref="G229">_xlfn.IFS(F229&lt;=5,"One_Time",F229&gt;5,"Delayed",F229="Information_Not_given","Pending")</f>
        <v>Delayed</v>
      </c>
    </row>
    <row r="230" spans="1:7" x14ac:dyDescent="0.3">
      <c r="A230" s="12" t="str">
        <f>IF(AND(Sales_Data!P230&gt;=100000,Sales_Data!Q230&gt;=4,Sales_Data!V230="Completed",Sales_Data!O230&lt;=10),"Platinum",IF(AND(Sales_Data!P230&gt;=50000,Sales_Data!Q230&gt;=3,Sales_Data!V230="Completed"),"Gold",IF(AND(Sales_Data!P230&lt;50000,Sales_Data!V230="Completed"),"Silver",IF(OR(Sales_Data!Q230&lt;=2,Sales_Data!V230="Canceled"),"Blacklisted","Others"))))</f>
        <v>Silver</v>
      </c>
      <c r="B230" s="4" t="str">
        <f>PROPER(TRIM(Sales_Data!F230))</f>
        <v>Priya Patel</v>
      </c>
      <c r="C230" s="4" t="str">
        <f>LEFT(B230,3)&amp;RIGHT(Sales_Data!B230,3)&amp;LEFT(Sales_Data!I230,2)</f>
        <v>Pri002Hy</v>
      </c>
      <c r="D230" s="4" t="str">
        <f>IF(ISNUMBER(SEARCH("@",Sales_Data!T230)),LOWER(Sales_Data!T230),"Invalid_Email")</f>
        <v>priya.patel@company.com</v>
      </c>
      <c r="E230" s="13">
        <f ca="1">DATEDIF(Sales_Data!H230,TODAY(),"Y")</f>
        <v>33</v>
      </c>
      <c r="F230" s="13">
        <f>IFERROR(DATEDIF(Sales_Data!D230,Sales_Data!E230,"D"),"Information_Not_Given")</f>
        <v>3</v>
      </c>
      <c r="G230" s="13" t="str" cm="1">
        <f t="array" ref="G230">_xlfn.IFS(F230&lt;=5,"One_Time",F230&gt;5,"Delayed",F230="Information_Not_given","Pending")</f>
        <v>One_Time</v>
      </c>
    </row>
    <row r="231" spans="1:7" x14ac:dyDescent="0.3">
      <c r="A231" s="12" t="str">
        <f>IF(AND(Sales_Data!P231&gt;=100000,Sales_Data!Q231&gt;=4,Sales_Data!V231="Completed",Sales_Data!O231&lt;=10),"Platinum",IF(AND(Sales_Data!P231&gt;=50000,Sales_Data!Q231&gt;=3,Sales_Data!V231="Completed"),"Gold",IF(AND(Sales_Data!P231&lt;50000,Sales_Data!V231="Completed"),"Silver",IF(OR(Sales_Data!Q231&lt;=2,Sales_Data!V231="Canceled"),"Blacklisted","Others"))))</f>
        <v>Silver</v>
      </c>
      <c r="B231" s="4" t="str">
        <f>PROPER(TRIM(Sales_Data!F231))</f>
        <v>Mohit Verma</v>
      </c>
      <c r="C231" s="4" t="str">
        <f>LEFT(B231,3)&amp;RIGHT(Sales_Data!B231,3)&amp;LEFT(Sales_Data!I231,2)</f>
        <v>Moh009Pu</v>
      </c>
      <c r="D231" s="4" t="str">
        <f>IF(ISNUMBER(SEARCH("@",Sales_Data!T231)),LOWER(Sales_Data!T231),"Invalid_Email")</f>
        <v>mohit.verma@company.com</v>
      </c>
      <c r="E231" s="13">
        <f ca="1">DATEDIF(Sales_Data!H231,TODAY(),"Y")</f>
        <v>47</v>
      </c>
      <c r="F231" s="13">
        <f>IFERROR(DATEDIF(Sales_Data!D231,Sales_Data!E231,"D"),"Information_Not_Given")</f>
        <v>7</v>
      </c>
      <c r="G231" s="13" t="str" cm="1">
        <f t="array" ref="G231">_xlfn.IFS(F231&lt;=5,"One_Time",F231&gt;5,"Delayed",F231="Information_Not_given","Pending")</f>
        <v>Delayed</v>
      </c>
    </row>
    <row r="232" spans="1:7" x14ac:dyDescent="0.3">
      <c r="A232" s="12" t="str">
        <f>IF(AND(Sales_Data!P232&gt;=100000,Sales_Data!Q232&gt;=4,Sales_Data!V232="Completed",Sales_Data!O232&lt;=10),"Platinum",IF(AND(Sales_Data!P232&gt;=50000,Sales_Data!Q232&gt;=3,Sales_Data!V232="Completed"),"Gold",IF(AND(Sales_Data!P232&lt;50000,Sales_Data!V232="Completed"),"Silver",IF(OR(Sales_Data!Q232&lt;=2,Sales_Data!V232="Canceled"),"Blacklisted","Others"))))</f>
        <v>Silver</v>
      </c>
      <c r="B232" s="4" t="str">
        <f>PROPER(TRIM(Sales_Data!F232))</f>
        <v>Priya Patel</v>
      </c>
      <c r="C232" s="4" t="str">
        <f>LEFT(B232,3)&amp;RIGHT(Sales_Data!B232,3)&amp;LEFT(Sales_Data!I232,2)</f>
        <v>Pri002Ko</v>
      </c>
      <c r="D232" s="4" t="str">
        <f>IF(ISNUMBER(SEARCH("@",Sales_Data!T232)),LOWER(Sales_Data!T232),"Invalid_Email")</f>
        <v>priya.patel@company.com</v>
      </c>
      <c r="E232" s="13">
        <f ca="1">DATEDIF(Sales_Data!H232,TODAY(),"Y")</f>
        <v>35</v>
      </c>
      <c r="F232" s="13">
        <f>IFERROR(DATEDIF(Sales_Data!D232,Sales_Data!E232,"D"),"Information_Not_Given")</f>
        <v>2</v>
      </c>
      <c r="G232" s="13" t="str" cm="1">
        <f t="array" ref="G232">_xlfn.IFS(F232&lt;=5,"One_Time",F232&gt;5,"Delayed",F232="Information_Not_given","Pending")</f>
        <v>One_Time</v>
      </c>
    </row>
    <row r="233" spans="1:7" x14ac:dyDescent="0.3">
      <c r="A233" s="12" t="str">
        <f>IF(AND(Sales_Data!P233&gt;=100000,Sales_Data!Q233&gt;=4,Sales_Data!V233="Completed",Sales_Data!O233&lt;=10),"Platinum",IF(AND(Sales_Data!P233&gt;=50000,Sales_Data!Q233&gt;=3,Sales_Data!V233="Completed"),"Gold",IF(AND(Sales_Data!P233&lt;50000,Sales_Data!V233="Completed"),"Silver",IF(OR(Sales_Data!Q233&lt;=2,Sales_Data!V233="Canceled"),"Blacklisted","Others"))))</f>
        <v>Others</v>
      </c>
      <c r="B233" s="4" t="str">
        <f>PROPER(TRIM(Sales_Data!F233))</f>
        <v>Priya Patel</v>
      </c>
      <c r="C233" s="4" t="str">
        <f>LEFT(B233,3)&amp;RIGHT(Sales_Data!B233,3)&amp;LEFT(Sales_Data!I233,2)</f>
        <v>Pri002Mu</v>
      </c>
      <c r="D233" s="4" t="str">
        <f>IF(ISNUMBER(SEARCH("@",Sales_Data!T233)),LOWER(Sales_Data!T233),"Invalid_Email")</f>
        <v>priya.patel@company.com</v>
      </c>
      <c r="E233" s="13">
        <f ca="1">DATEDIF(Sales_Data!H233,TODAY(),"Y")</f>
        <v>22</v>
      </c>
      <c r="F233" s="13">
        <f>IFERROR(DATEDIF(Sales_Data!D233,Sales_Data!E233,"D"),"Information_Not_Given")</f>
        <v>8</v>
      </c>
      <c r="G233" s="13" t="str" cm="1">
        <f t="array" ref="G233">_xlfn.IFS(F233&lt;=5,"One_Time",F233&gt;5,"Delayed",F233="Information_Not_given","Pending")</f>
        <v>Delayed</v>
      </c>
    </row>
    <row r="234" spans="1:7" x14ac:dyDescent="0.3">
      <c r="A234" s="12" t="str">
        <f>IF(AND(Sales_Data!P234&gt;=100000,Sales_Data!Q234&gt;=4,Sales_Data!V234="Completed",Sales_Data!O234&lt;=10),"Platinum",IF(AND(Sales_Data!P234&gt;=50000,Sales_Data!Q234&gt;=3,Sales_Data!V234="Completed"),"Gold",IF(AND(Sales_Data!P234&lt;50000,Sales_Data!V234="Completed"),"Silver",IF(OR(Sales_Data!Q234&lt;=2,Sales_Data!V234="Canceled"),"Blacklisted","Others"))))</f>
        <v>Silver</v>
      </c>
      <c r="B234" s="4" t="str">
        <f>PROPER(TRIM(Sales_Data!F234))</f>
        <v>Sneha Joshi</v>
      </c>
      <c r="C234" s="4" t="str">
        <f>LEFT(B234,3)&amp;RIGHT(Sales_Data!B234,3)&amp;LEFT(Sales_Data!I234,2)</f>
        <v>Sne006Ko</v>
      </c>
      <c r="D234" s="4" t="str">
        <f>IF(ISNUMBER(SEARCH("@",Sales_Data!T234)),LOWER(Sales_Data!T234),"Invalid_Email")</f>
        <v>sneha.joshi@company.com</v>
      </c>
      <c r="E234" s="13">
        <f ca="1">DATEDIF(Sales_Data!H234,TODAY(),"Y")</f>
        <v>49</v>
      </c>
      <c r="F234" s="13">
        <f>IFERROR(DATEDIF(Sales_Data!D234,Sales_Data!E234,"D"),"Information_Not_Given")</f>
        <v>8</v>
      </c>
      <c r="G234" s="13" t="str" cm="1">
        <f t="array" ref="G234">_xlfn.IFS(F234&lt;=5,"One_Time",F234&gt;5,"Delayed",F234="Information_Not_given","Pending")</f>
        <v>Delayed</v>
      </c>
    </row>
    <row r="235" spans="1:7" x14ac:dyDescent="0.3">
      <c r="A235" s="12" t="str">
        <f>IF(AND(Sales_Data!P235&gt;=100000,Sales_Data!Q235&gt;=4,Sales_Data!V235="Completed",Sales_Data!O235&lt;=10),"Platinum",IF(AND(Sales_Data!P235&gt;=50000,Sales_Data!Q235&gt;=3,Sales_Data!V235="Completed"),"Gold",IF(AND(Sales_Data!P235&lt;50000,Sales_Data!V235="Completed"),"Silver",IF(OR(Sales_Data!Q235&lt;=2,Sales_Data!V235="Canceled"),"Blacklisted","Others"))))</f>
        <v>Silver</v>
      </c>
      <c r="B235" s="4" t="str">
        <f>PROPER(TRIM(Sales_Data!F235))</f>
        <v>Kavya Nair</v>
      </c>
      <c r="C235" s="4" t="str">
        <f>LEFT(B235,3)&amp;RIGHT(Sales_Data!B235,3)&amp;LEFT(Sales_Data!I235,2)</f>
        <v>Kav008Be</v>
      </c>
      <c r="D235" s="4" t="str">
        <f>IF(ISNUMBER(SEARCH("@",Sales_Data!T235)),LOWER(Sales_Data!T235),"Invalid_Email")</f>
        <v>kavya.nair@company.com</v>
      </c>
      <c r="E235" s="13">
        <f ca="1">DATEDIF(Sales_Data!H235,TODAY(),"Y")</f>
        <v>32</v>
      </c>
      <c r="F235" s="13">
        <f>IFERROR(DATEDIF(Sales_Data!D235,Sales_Data!E235,"D"),"Information_Not_Given")</f>
        <v>12</v>
      </c>
      <c r="G235" s="13" t="str" cm="1">
        <f t="array" ref="G235">_xlfn.IFS(F235&lt;=5,"One_Time",F235&gt;5,"Delayed",F235="Information_Not_given","Pending")</f>
        <v>Delayed</v>
      </c>
    </row>
    <row r="236" spans="1:7" x14ac:dyDescent="0.3">
      <c r="A236" s="12" t="str">
        <f>IF(AND(Sales_Data!P236&gt;=100000,Sales_Data!Q236&gt;=4,Sales_Data!V236="Completed",Sales_Data!O236&lt;=10),"Platinum",IF(AND(Sales_Data!P236&gt;=50000,Sales_Data!Q236&gt;=3,Sales_Data!V236="Completed"),"Gold",IF(AND(Sales_Data!P236&lt;50000,Sales_Data!V236="Completed"),"Silver",IF(OR(Sales_Data!Q236&lt;=2,Sales_Data!V236="Canceled"),"Blacklisted","Others"))))</f>
        <v>Silver</v>
      </c>
      <c r="B236" s="4" t="str">
        <f>PROPER(TRIM(Sales_Data!F236))</f>
        <v>Mohit Verma</v>
      </c>
      <c r="C236" s="4" t="str">
        <f>LEFT(B236,3)&amp;RIGHT(Sales_Data!B236,3)&amp;LEFT(Sales_Data!I236,2)</f>
        <v>Moh009Mu</v>
      </c>
      <c r="D236" s="4" t="str">
        <f>IF(ISNUMBER(SEARCH("@",Sales_Data!T236)),LOWER(Sales_Data!T236),"Invalid_Email")</f>
        <v>mohit.verma@company.com</v>
      </c>
      <c r="E236" s="13">
        <f ca="1">DATEDIF(Sales_Data!H236,TODAY(),"Y")</f>
        <v>46</v>
      </c>
      <c r="F236" s="13">
        <f>IFERROR(DATEDIF(Sales_Data!D236,Sales_Data!E236,"D"),"Information_Not_Given")</f>
        <v>8</v>
      </c>
      <c r="G236" s="13" t="str" cm="1">
        <f t="array" ref="G236">_xlfn.IFS(F236&lt;=5,"One_Time",F236&gt;5,"Delayed",F236="Information_Not_given","Pending")</f>
        <v>Delayed</v>
      </c>
    </row>
    <row r="237" spans="1:7" x14ac:dyDescent="0.3">
      <c r="A237" s="12" t="str">
        <f>IF(AND(Sales_Data!P237&gt;=100000,Sales_Data!Q237&gt;=4,Sales_Data!V237="Completed",Sales_Data!O237&lt;=10),"Platinum",IF(AND(Sales_Data!P237&gt;=50000,Sales_Data!Q237&gt;=3,Sales_Data!V237="Completed"),"Gold",IF(AND(Sales_Data!P237&lt;50000,Sales_Data!V237="Completed"),"Silver",IF(OR(Sales_Data!Q237&lt;=2,Sales_Data!V237="Canceled"),"Blacklisted","Others"))))</f>
        <v>Others</v>
      </c>
      <c r="B237" s="4" t="str">
        <f>PROPER(TRIM(Sales_Data!F237))</f>
        <v>Rohit Singh</v>
      </c>
      <c r="C237" s="4" t="str">
        <f>LEFT(B237,3)&amp;RIGHT(Sales_Data!B237,3)&amp;LEFT(Sales_Data!I237,2)</f>
        <v>Roh003De</v>
      </c>
      <c r="D237" s="4" t="str">
        <f>IF(ISNUMBER(SEARCH("@",Sales_Data!T237)),LOWER(Sales_Data!T237),"Invalid_Email")</f>
        <v>rohit.singh@company.com</v>
      </c>
      <c r="E237" s="13">
        <f ca="1">DATEDIF(Sales_Data!H237,TODAY(),"Y")</f>
        <v>31</v>
      </c>
      <c r="F237" s="13">
        <f>IFERROR(DATEDIF(Sales_Data!D237,Sales_Data!E237,"D"),"Information_Not_Given")</f>
        <v>5</v>
      </c>
      <c r="G237" s="13" t="str" cm="1">
        <f t="array" ref="G237">_xlfn.IFS(F237&lt;=5,"One_Time",F237&gt;5,"Delayed",F237="Information_Not_given","Pending")</f>
        <v>One_Time</v>
      </c>
    </row>
    <row r="238" spans="1:7" x14ac:dyDescent="0.3">
      <c r="A238" s="12" t="str">
        <f>IF(AND(Sales_Data!P238&gt;=100000,Sales_Data!Q238&gt;=4,Sales_Data!V238="Completed",Sales_Data!O238&lt;=10),"Platinum",IF(AND(Sales_Data!P238&gt;=50000,Sales_Data!Q238&gt;=3,Sales_Data!V238="Completed"),"Gold",IF(AND(Sales_Data!P238&lt;50000,Sales_Data!V238="Completed"),"Silver",IF(OR(Sales_Data!Q238&lt;=2,Sales_Data!V238="Canceled"),"Blacklisted","Others"))))</f>
        <v>Silver</v>
      </c>
      <c r="B238" s="4" t="str">
        <f>PROPER(TRIM(Sales_Data!F238))</f>
        <v>Rohit Singh</v>
      </c>
      <c r="C238" s="4" t="str">
        <f>LEFT(B238,3)&amp;RIGHT(Sales_Data!B238,3)&amp;LEFT(Sales_Data!I238,2)</f>
        <v>Roh003Mu</v>
      </c>
      <c r="D238" s="4" t="str">
        <f>IF(ISNUMBER(SEARCH("@",Sales_Data!T238)),LOWER(Sales_Data!T238),"Invalid_Email")</f>
        <v>rohit.singh@company.com</v>
      </c>
      <c r="E238" s="13">
        <f ca="1">DATEDIF(Sales_Data!H238,TODAY(),"Y")</f>
        <v>28</v>
      </c>
      <c r="F238" s="13">
        <f>IFERROR(DATEDIF(Sales_Data!D238,Sales_Data!E238,"D"),"Information_Not_Given")</f>
        <v>8</v>
      </c>
      <c r="G238" s="13" t="str" cm="1">
        <f t="array" ref="G238">_xlfn.IFS(F238&lt;=5,"One_Time",F238&gt;5,"Delayed",F238="Information_Not_given","Pending")</f>
        <v>Delayed</v>
      </c>
    </row>
    <row r="239" spans="1:7" x14ac:dyDescent="0.3">
      <c r="A239" s="12" t="str">
        <f>IF(AND(Sales_Data!P239&gt;=100000,Sales_Data!Q239&gt;=4,Sales_Data!V239="Completed",Sales_Data!O239&lt;=10),"Platinum",IF(AND(Sales_Data!P239&gt;=50000,Sales_Data!Q239&gt;=3,Sales_Data!V239="Completed"),"Gold",IF(AND(Sales_Data!P239&lt;50000,Sales_Data!V239="Completed"),"Silver",IF(OR(Sales_Data!Q239&lt;=2,Sales_Data!V239="Canceled"),"Blacklisted","Others"))))</f>
        <v>Silver</v>
      </c>
      <c r="B239" s="4" t="str">
        <f>PROPER(TRIM(Sales_Data!F239))</f>
        <v>Vikas Mehta</v>
      </c>
      <c r="C239" s="4" t="str">
        <f>LEFT(B239,3)&amp;RIGHT(Sales_Data!B239,3)&amp;LEFT(Sales_Data!I239,2)</f>
        <v>Vik005Hy</v>
      </c>
      <c r="D239" s="4" t="str">
        <f>IF(ISNUMBER(SEARCH("@",Sales_Data!T239)),LOWER(Sales_Data!T239),"Invalid_Email")</f>
        <v>vikas.mehta@company.com</v>
      </c>
      <c r="E239" s="13">
        <f ca="1">DATEDIF(Sales_Data!H239,TODAY(),"Y")</f>
        <v>43</v>
      </c>
      <c r="F239" s="13">
        <f>IFERROR(DATEDIF(Sales_Data!D239,Sales_Data!E239,"D"),"Information_Not_Given")</f>
        <v>7</v>
      </c>
      <c r="G239" s="13" t="str" cm="1">
        <f t="array" ref="G239">_xlfn.IFS(F239&lt;=5,"One_Time",F239&gt;5,"Delayed",F239="Information_Not_given","Pending")</f>
        <v>Delayed</v>
      </c>
    </row>
    <row r="240" spans="1:7" x14ac:dyDescent="0.3">
      <c r="A240" s="12" t="str">
        <f>IF(AND(Sales_Data!P240&gt;=100000,Sales_Data!Q240&gt;=4,Sales_Data!V240="Completed",Sales_Data!O240&lt;=10),"Platinum",IF(AND(Sales_Data!P240&gt;=50000,Sales_Data!Q240&gt;=3,Sales_Data!V240="Completed"),"Gold",IF(AND(Sales_Data!P240&lt;50000,Sales_Data!V240="Completed"),"Silver",IF(OR(Sales_Data!Q240&lt;=2,Sales_Data!V240="Canceled"),"Blacklisted","Others"))))</f>
        <v>Silver</v>
      </c>
      <c r="B240" s="4" t="str">
        <f>PROPER(TRIM(Sales_Data!F240))</f>
        <v>Pooja Shah</v>
      </c>
      <c r="C240" s="4" t="str">
        <f>LEFT(B240,3)&amp;RIGHT(Sales_Data!B240,3)&amp;LEFT(Sales_Data!I240,2)</f>
        <v>Poo010Pu</v>
      </c>
      <c r="D240" s="4" t="str">
        <f>IF(ISNUMBER(SEARCH("@",Sales_Data!T240)),LOWER(Sales_Data!T240),"Invalid_Email")</f>
        <v>pooja.shah@company.com</v>
      </c>
      <c r="E240" s="13">
        <f ca="1">DATEDIF(Sales_Data!H240,TODAY(),"Y")</f>
        <v>48</v>
      </c>
      <c r="F240" s="13">
        <f>IFERROR(DATEDIF(Sales_Data!D240,Sales_Data!E240,"D"),"Information_Not_Given")</f>
        <v>10</v>
      </c>
      <c r="G240" s="13" t="str" cm="1">
        <f t="array" ref="G240">_xlfn.IFS(F240&lt;=5,"One_Time",F240&gt;5,"Delayed",F240="Information_Not_given","Pending")</f>
        <v>Delayed</v>
      </c>
    </row>
    <row r="241" spans="1:7" x14ac:dyDescent="0.3">
      <c r="A241" s="12" t="str">
        <f>IF(AND(Sales_Data!P241&gt;=100000,Sales_Data!Q241&gt;=4,Sales_Data!V241="Completed",Sales_Data!O241&lt;=10),"Platinum",IF(AND(Sales_Data!P241&gt;=50000,Sales_Data!Q241&gt;=3,Sales_Data!V241="Completed"),"Gold",IF(AND(Sales_Data!P241&lt;50000,Sales_Data!V241="Completed"),"Silver",IF(OR(Sales_Data!Q241&lt;=2,Sales_Data!V241="Canceled"),"Blacklisted","Others"))))</f>
        <v>Others</v>
      </c>
      <c r="B241" s="4" t="str">
        <f>PROPER(TRIM(Sales_Data!F241))</f>
        <v>Pooja Shah</v>
      </c>
      <c r="C241" s="4" t="str">
        <f>LEFT(B241,3)&amp;RIGHT(Sales_Data!B241,3)&amp;LEFT(Sales_Data!I241,2)</f>
        <v>Poo010Hy</v>
      </c>
      <c r="D241" s="4" t="str">
        <f>IF(ISNUMBER(SEARCH("@",Sales_Data!T241)),LOWER(Sales_Data!T241),"Invalid_Email")</f>
        <v>pooja.shah@company.com</v>
      </c>
      <c r="E241" s="13">
        <f ca="1">DATEDIF(Sales_Data!H241,TODAY(),"Y")</f>
        <v>29</v>
      </c>
      <c r="F241" s="13">
        <f>IFERROR(DATEDIF(Sales_Data!D241,Sales_Data!E241,"D"),"Information_Not_Given")</f>
        <v>9</v>
      </c>
      <c r="G241" s="13" t="str" cm="1">
        <f t="array" ref="G241">_xlfn.IFS(F241&lt;=5,"One_Time",F241&gt;5,"Delayed",F241="Information_Not_given","Pending")</f>
        <v>Delayed</v>
      </c>
    </row>
    <row r="242" spans="1:7" x14ac:dyDescent="0.3">
      <c r="A242" s="12" t="str">
        <f>IF(AND(Sales_Data!P242&gt;=100000,Sales_Data!Q242&gt;=4,Sales_Data!V242="Completed",Sales_Data!O242&lt;=10),"Platinum",IF(AND(Sales_Data!P242&gt;=50000,Sales_Data!Q242&gt;=3,Sales_Data!V242="Completed"),"Gold",IF(AND(Sales_Data!P242&lt;50000,Sales_Data!V242="Completed"),"Silver",IF(OR(Sales_Data!Q242&lt;=2,Sales_Data!V242="Canceled"),"Blacklisted","Others"))))</f>
        <v>Others</v>
      </c>
      <c r="B242" s="4" t="str">
        <f>PROPER(TRIM(Sales_Data!F242))</f>
        <v>Anita Gupta</v>
      </c>
      <c r="C242" s="4" t="str">
        <f>LEFT(B242,3)&amp;RIGHT(Sales_Data!B242,3)&amp;LEFT(Sales_Data!I242,2)</f>
        <v>Ani004Pu</v>
      </c>
      <c r="D242" s="4" t="str">
        <f>IF(ISNUMBER(SEARCH("@",Sales_Data!T242)),LOWER(Sales_Data!T242),"Invalid_Email")</f>
        <v>anita.gupta@company.com</v>
      </c>
      <c r="E242" s="13">
        <f ca="1">DATEDIF(Sales_Data!H242,TODAY(),"Y")</f>
        <v>50</v>
      </c>
      <c r="F242" s="13">
        <f>IFERROR(DATEDIF(Sales_Data!D242,Sales_Data!E242,"D"),"Information_Not_Given")</f>
        <v>2</v>
      </c>
      <c r="G242" s="13" t="str" cm="1">
        <f t="array" ref="G242">_xlfn.IFS(F242&lt;=5,"One_Time",F242&gt;5,"Delayed",F242="Information_Not_given","Pending")</f>
        <v>One_Time</v>
      </c>
    </row>
    <row r="243" spans="1:7" x14ac:dyDescent="0.3">
      <c r="A243" s="12" t="str">
        <f>IF(AND(Sales_Data!P243&gt;=100000,Sales_Data!Q243&gt;=4,Sales_Data!V243="Completed",Sales_Data!O243&lt;=10),"Platinum",IF(AND(Sales_Data!P243&gt;=50000,Sales_Data!Q243&gt;=3,Sales_Data!V243="Completed"),"Gold",IF(AND(Sales_Data!P243&lt;50000,Sales_Data!V243="Completed"),"Silver",IF(OR(Sales_Data!Q243&lt;=2,Sales_Data!V243="Canceled"),"Blacklisted","Others"))))</f>
        <v>Others</v>
      </c>
      <c r="B243" s="4" t="str">
        <f>PROPER(TRIM(Sales_Data!F243))</f>
        <v>Anita Gupta</v>
      </c>
      <c r="C243" s="4" t="str">
        <f>LEFT(B243,3)&amp;RIGHT(Sales_Data!B243,3)&amp;LEFT(Sales_Data!I243,2)</f>
        <v>Ani004Ko</v>
      </c>
      <c r="D243" s="4" t="str">
        <f>IF(ISNUMBER(SEARCH("@",Sales_Data!T243)),LOWER(Sales_Data!T243),"Invalid_Email")</f>
        <v>anita.gupta@company.com</v>
      </c>
      <c r="E243" s="13">
        <f ca="1">DATEDIF(Sales_Data!H243,TODAY(),"Y")</f>
        <v>30</v>
      </c>
      <c r="F243" s="13">
        <f>IFERROR(DATEDIF(Sales_Data!D243,Sales_Data!E243,"D"),"Information_Not_Given")</f>
        <v>11</v>
      </c>
      <c r="G243" s="13" t="str" cm="1">
        <f t="array" ref="G243">_xlfn.IFS(F243&lt;=5,"One_Time",F243&gt;5,"Delayed",F243="Information_Not_given","Pending")</f>
        <v>Delayed</v>
      </c>
    </row>
    <row r="244" spans="1:7" x14ac:dyDescent="0.3">
      <c r="A244" s="12" t="str">
        <f>IF(AND(Sales_Data!P244&gt;=100000,Sales_Data!Q244&gt;=4,Sales_Data!V244="Completed",Sales_Data!O244&lt;=10),"Platinum",IF(AND(Sales_Data!P244&gt;=50000,Sales_Data!Q244&gt;=3,Sales_Data!V244="Completed"),"Gold",IF(AND(Sales_Data!P244&lt;50000,Sales_Data!V244="Completed"),"Silver",IF(OR(Sales_Data!Q244&lt;=2,Sales_Data!V244="Canceled"),"Blacklisted","Others"))))</f>
        <v>Silver</v>
      </c>
      <c r="B244" s="4" t="str">
        <f>PROPER(TRIM(Sales_Data!F244))</f>
        <v>Arjun Rao</v>
      </c>
      <c r="C244" s="4" t="str">
        <f>LEFT(B244,3)&amp;RIGHT(Sales_Data!B244,3)&amp;LEFT(Sales_Data!I244,2)</f>
        <v>Arj007Be</v>
      </c>
      <c r="D244" s="4" t="str">
        <f>IF(ISNUMBER(SEARCH("@",Sales_Data!T244)),LOWER(Sales_Data!T244),"Invalid_Email")</f>
        <v>arjun.rao@company.com</v>
      </c>
      <c r="E244" s="13">
        <f ca="1">DATEDIF(Sales_Data!H244,TODAY(),"Y")</f>
        <v>25</v>
      </c>
      <c r="F244" s="13">
        <f>IFERROR(DATEDIF(Sales_Data!D244,Sales_Data!E244,"D"),"Information_Not_Given")</f>
        <v>4</v>
      </c>
      <c r="G244" s="13" t="str" cm="1">
        <f t="array" ref="G244">_xlfn.IFS(F244&lt;=5,"One_Time",F244&gt;5,"Delayed",F244="Information_Not_given","Pending")</f>
        <v>One_Time</v>
      </c>
    </row>
    <row r="245" spans="1:7" x14ac:dyDescent="0.3">
      <c r="A245" s="12" t="str">
        <f>IF(AND(Sales_Data!P245&gt;=100000,Sales_Data!Q245&gt;=4,Sales_Data!V245="Completed",Sales_Data!O245&lt;=10),"Platinum",IF(AND(Sales_Data!P245&gt;=50000,Sales_Data!Q245&gt;=3,Sales_Data!V245="Completed"),"Gold",IF(AND(Sales_Data!P245&lt;50000,Sales_Data!V245="Completed"),"Silver",IF(OR(Sales_Data!Q245&lt;=2,Sales_Data!V245="Canceled"),"Blacklisted","Others"))))</f>
        <v>Blacklisted</v>
      </c>
      <c r="B245" s="4" t="str">
        <f>PROPER(TRIM(Sales_Data!F245))</f>
        <v>Pooja Shah</v>
      </c>
      <c r="C245" s="4" t="str">
        <f>LEFT(B245,3)&amp;RIGHT(Sales_Data!B245,3)&amp;LEFT(Sales_Data!I245,2)</f>
        <v>Poo010Mu</v>
      </c>
      <c r="D245" s="4" t="str">
        <f>IF(ISNUMBER(SEARCH("@",Sales_Data!T245)),LOWER(Sales_Data!T245),"Invalid_Email")</f>
        <v>pooja.shah@company.com</v>
      </c>
      <c r="E245" s="13">
        <f ca="1">DATEDIF(Sales_Data!H245,TODAY(),"Y")</f>
        <v>31</v>
      </c>
      <c r="F245" s="13">
        <f>IFERROR(DATEDIF(Sales_Data!D245,Sales_Data!E245,"D"),"Information_Not_Given")</f>
        <v>3</v>
      </c>
      <c r="G245" s="13" t="str" cm="1">
        <f t="array" ref="G245">_xlfn.IFS(F245&lt;=5,"One_Time",F245&gt;5,"Delayed",F245="Information_Not_given","Pending")</f>
        <v>One_Time</v>
      </c>
    </row>
    <row r="246" spans="1:7" x14ac:dyDescent="0.3">
      <c r="A246" s="12" t="str">
        <f>IF(AND(Sales_Data!P246&gt;=100000,Sales_Data!Q246&gt;=4,Sales_Data!V246="Completed",Sales_Data!O246&lt;=10),"Platinum",IF(AND(Sales_Data!P246&gt;=50000,Sales_Data!Q246&gt;=3,Sales_Data!V246="Completed"),"Gold",IF(AND(Sales_Data!P246&lt;50000,Sales_Data!V246="Completed"),"Silver",IF(OR(Sales_Data!Q246&lt;=2,Sales_Data!V246="Canceled"),"Blacklisted","Others"))))</f>
        <v>Blacklisted</v>
      </c>
      <c r="B246" s="4" t="str">
        <f>PROPER(TRIM(Sales_Data!F246))</f>
        <v>Kavya Nair</v>
      </c>
      <c r="C246" s="4" t="str">
        <f>LEFT(B246,3)&amp;RIGHT(Sales_Data!B246,3)&amp;LEFT(Sales_Data!I246,2)</f>
        <v>Kav008Be</v>
      </c>
      <c r="D246" s="4" t="str">
        <f>IF(ISNUMBER(SEARCH("@",Sales_Data!T246)),LOWER(Sales_Data!T246),"Invalid_Email")</f>
        <v>kavya.nair@company.com</v>
      </c>
      <c r="E246" s="13">
        <f ca="1">DATEDIF(Sales_Data!H246,TODAY(),"Y")</f>
        <v>26</v>
      </c>
      <c r="F246" s="13">
        <f>IFERROR(DATEDIF(Sales_Data!D246,Sales_Data!E246,"D"),"Information_Not_Given")</f>
        <v>1</v>
      </c>
      <c r="G246" s="13" t="str" cm="1">
        <f t="array" ref="G246">_xlfn.IFS(F246&lt;=5,"One_Time",F246&gt;5,"Delayed",F246="Information_Not_given","Pending")</f>
        <v>One_Time</v>
      </c>
    </row>
    <row r="247" spans="1:7" x14ac:dyDescent="0.3">
      <c r="A247" s="12" t="str">
        <f>IF(AND(Sales_Data!P247&gt;=100000,Sales_Data!Q247&gt;=4,Sales_Data!V247="Completed",Sales_Data!O247&lt;=10),"Platinum",IF(AND(Sales_Data!P247&gt;=50000,Sales_Data!Q247&gt;=3,Sales_Data!V247="Completed"),"Gold",IF(AND(Sales_Data!P247&lt;50000,Sales_Data!V247="Completed"),"Silver",IF(OR(Sales_Data!Q247&lt;=2,Sales_Data!V247="Canceled"),"Blacklisted","Others"))))</f>
        <v>Silver</v>
      </c>
      <c r="B247" s="4" t="str">
        <f>PROPER(TRIM(Sales_Data!F247))</f>
        <v>Amit Sharma</v>
      </c>
      <c r="C247" s="4" t="str">
        <f>LEFT(B247,3)&amp;RIGHT(Sales_Data!B247,3)&amp;LEFT(Sales_Data!I247,2)</f>
        <v>Ami001Hy</v>
      </c>
      <c r="D247" s="4" t="str">
        <f>IF(ISNUMBER(SEARCH("@",Sales_Data!T247)),LOWER(Sales_Data!T247),"Invalid_Email")</f>
        <v>amit.sharma@company.com</v>
      </c>
      <c r="E247" s="13">
        <f ca="1">DATEDIF(Sales_Data!H247,TODAY(),"Y")</f>
        <v>24</v>
      </c>
      <c r="F247" s="13">
        <f>IFERROR(DATEDIF(Sales_Data!D247,Sales_Data!E247,"D"),"Information_Not_Given")</f>
        <v>7</v>
      </c>
      <c r="G247" s="13" t="str" cm="1">
        <f t="array" ref="G247">_xlfn.IFS(F247&lt;=5,"One_Time",F247&gt;5,"Delayed",F247="Information_Not_given","Pending")</f>
        <v>Delayed</v>
      </c>
    </row>
    <row r="248" spans="1:7" x14ac:dyDescent="0.3">
      <c r="A248" s="12" t="str">
        <f>IF(AND(Sales_Data!P248&gt;=100000,Sales_Data!Q248&gt;=4,Sales_Data!V248="Completed",Sales_Data!O248&lt;=10),"Platinum",IF(AND(Sales_Data!P248&gt;=50000,Sales_Data!Q248&gt;=3,Sales_Data!V248="Completed"),"Gold",IF(AND(Sales_Data!P248&lt;50000,Sales_Data!V248="Completed"),"Silver",IF(OR(Sales_Data!Q248&lt;=2,Sales_Data!V248="Canceled"),"Blacklisted","Others"))))</f>
        <v>Others</v>
      </c>
      <c r="B248" s="4" t="str">
        <f>PROPER(TRIM(Sales_Data!F248))</f>
        <v>Rohit Singh</v>
      </c>
      <c r="C248" s="4" t="str">
        <f>LEFT(B248,3)&amp;RIGHT(Sales_Data!B248,3)&amp;LEFT(Sales_Data!I248,2)</f>
        <v>Roh003Ko</v>
      </c>
      <c r="D248" s="4" t="str">
        <f>IF(ISNUMBER(SEARCH("@",Sales_Data!T248)),LOWER(Sales_Data!T248),"Invalid_Email")</f>
        <v>rohit.singh@company.com</v>
      </c>
      <c r="E248" s="13">
        <f ca="1">DATEDIF(Sales_Data!H248,TODAY(),"Y")</f>
        <v>51</v>
      </c>
      <c r="F248" s="13">
        <f>IFERROR(DATEDIF(Sales_Data!D248,Sales_Data!E248,"D"),"Information_Not_Given")</f>
        <v>1</v>
      </c>
      <c r="G248" s="13" t="str" cm="1">
        <f t="array" ref="G248">_xlfn.IFS(F248&lt;=5,"One_Time",F248&gt;5,"Delayed",F248="Information_Not_given","Pending")</f>
        <v>One_Time</v>
      </c>
    </row>
    <row r="249" spans="1:7" x14ac:dyDescent="0.3">
      <c r="A249" s="12" t="str">
        <f>IF(AND(Sales_Data!P249&gt;=100000,Sales_Data!Q249&gt;=4,Sales_Data!V249="Completed",Sales_Data!O249&lt;=10),"Platinum",IF(AND(Sales_Data!P249&gt;=50000,Sales_Data!Q249&gt;=3,Sales_Data!V249="Completed"),"Gold",IF(AND(Sales_Data!P249&lt;50000,Sales_Data!V249="Completed"),"Silver",IF(OR(Sales_Data!Q249&lt;=2,Sales_Data!V249="Canceled"),"Blacklisted","Others"))))</f>
        <v>Silver</v>
      </c>
      <c r="B249" s="4" t="str">
        <f>PROPER(TRIM(Sales_Data!F249))</f>
        <v>Mohit Verma</v>
      </c>
      <c r="C249" s="4" t="str">
        <f>LEFT(B249,3)&amp;RIGHT(Sales_Data!B249,3)&amp;LEFT(Sales_Data!I249,2)</f>
        <v>Moh009Mu</v>
      </c>
      <c r="D249" s="4" t="str">
        <f>IF(ISNUMBER(SEARCH("@",Sales_Data!T249)),LOWER(Sales_Data!T249),"Invalid_Email")</f>
        <v>mohit.verma@company.com</v>
      </c>
      <c r="E249" s="13">
        <f ca="1">DATEDIF(Sales_Data!H249,TODAY(),"Y")</f>
        <v>37</v>
      </c>
      <c r="F249" s="13">
        <f>IFERROR(DATEDIF(Sales_Data!D249,Sales_Data!E249,"D"),"Information_Not_Given")</f>
        <v>11</v>
      </c>
      <c r="G249" s="13" t="str" cm="1">
        <f t="array" ref="G249">_xlfn.IFS(F249&lt;=5,"One_Time",F249&gt;5,"Delayed",F249="Information_Not_given","Pending")</f>
        <v>Delayed</v>
      </c>
    </row>
    <row r="250" spans="1:7" x14ac:dyDescent="0.3">
      <c r="A250" s="12" t="str">
        <f>IF(AND(Sales_Data!P250&gt;=100000,Sales_Data!Q250&gt;=4,Sales_Data!V250="Completed",Sales_Data!O250&lt;=10),"Platinum",IF(AND(Sales_Data!P250&gt;=50000,Sales_Data!Q250&gt;=3,Sales_Data!V250="Completed"),"Gold",IF(AND(Sales_Data!P250&lt;50000,Sales_Data!V250="Completed"),"Silver",IF(OR(Sales_Data!Q250&lt;=2,Sales_Data!V250="Canceled"),"Blacklisted","Others"))))</f>
        <v>Blacklisted</v>
      </c>
      <c r="B250" s="4" t="str">
        <f>PROPER(TRIM(Sales_Data!F250))</f>
        <v>Mohit Verma</v>
      </c>
      <c r="C250" s="4" t="str">
        <f>LEFT(B250,3)&amp;RIGHT(Sales_Data!B250,3)&amp;LEFT(Sales_Data!I250,2)</f>
        <v>Moh009Be</v>
      </c>
      <c r="D250" s="4" t="str">
        <f>IF(ISNUMBER(SEARCH("@",Sales_Data!T250)),LOWER(Sales_Data!T250),"Invalid_Email")</f>
        <v>mohit.verma@company.com</v>
      </c>
      <c r="E250" s="13">
        <f ca="1">DATEDIF(Sales_Data!H250,TODAY(),"Y")</f>
        <v>41</v>
      </c>
      <c r="F250" s="13">
        <f>IFERROR(DATEDIF(Sales_Data!D250,Sales_Data!E250,"D"),"Information_Not_Given")</f>
        <v>8</v>
      </c>
      <c r="G250" s="13" t="str" cm="1">
        <f t="array" ref="G250">_xlfn.IFS(F250&lt;=5,"One_Time",F250&gt;5,"Delayed",F250="Information_Not_given","Pending")</f>
        <v>Delayed</v>
      </c>
    </row>
    <row r="251" spans="1:7" x14ac:dyDescent="0.3">
      <c r="A251" s="12" t="str">
        <f>IF(AND(Sales_Data!P251&gt;=100000,Sales_Data!Q251&gt;=4,Sales_Data!V251="Completed",Sales_Data!O251&lt;=10),"Platinum",IF(AND(Sales_Data!P251&gt;=50000,Sales_Data!Q251&gt;=3,Sales_Data!V251="Completed"),"Gold",IF(AND(Sales_Data!P251&lt;50000,Sales_Data!V251="Completed"),"Silver",IF(OR(Sales_Data!Q251&lt;=2,Sales_Data!V251="Canceled"),"Blacklisted","Others"))))</f>
        <v>Blacklisted</v>
      </c>
      <c r="B251" s="4" t="str">
        <f>PROPER(TRIM(Sales_Data!F251))</f>
        <v>Amit Sharma</v>
      </c>
      <c r="C251" s="4" t="str">
        <f>LEFT(B251,3)&amp;RIGHT(Sales_Data!B251,3)&amp;LEFT(Sales_Data!I251,2)</f>
        <v>Ami001Be</v>
      </c>
      <c r="D251" s="4" t="str">
        <f>IF(ISNUMBER(SEARCH("@",Sales_Data!T251)),LOWER(Sales_Data!T251),"Invalid_Email")</f>
        <v>amit.sharma@company.com</v>
      </c>
      <c r="E251" s="13">
        <f ca="1">DATEDIF(Sales_Data!H251,TODAY(),"Y")</f>
        <v>36</v>
      </c>
      <c r="F251" s="13">
        <f>IFERROR(DATEDIF(Sales_Data!D251,Sales_Data!E251,"D"),"Information_Not_Given")</f>
        <v>2</v>
      </c>
      <c r="G251" s="13" t="str" cm="1">
        <f t="array" ref="G251">_xlfn.IFS(F251&lt;=5,"One_Time",F251&gt;5,"Delayed",F251="Information_Not_given","Pending")</f>
        <v>One_Time</v>
      </c>
    </row>
    <row r="252" spans="1:7" x14ac:dyDescent="0.3">
      <c r="A252" s="12" t="str">
        <f>IF(AND(Sales_Data!P252&gt;=100000,Sales_Data!Q252&gt;=4,Sales_Data!V252="Completed",Sales_Data!O252&lt;=10),"Platinum",IF(AND(Sales_Data!P252&gt;=50000,Sales_Data!Q252&gt;=3,Sales_Data!V252="Completed"),"Gold",IF(AND(Sales_Data!P252&lt;50000,Sales_Data!V252="Completed"),"Silver",IF(OR(Sales_Data!Q252&lt;=2,Sales_Data!V252="Canceled"),"Blacklisted","Others"))))</f>
        <v>Others</v>
      </c>
      <c r="B252" s="4" t="str">
        <f>PROPER(TRIM(Sales_Data!F252))</f>
        <v>Vikas Mehta</v>
      </c>
      <c r="C252" s="4" t="str">
        <f>LEFT(B252,3)&amp;RIGHT(Sales_Data!B252,3)&amp;LEFT(Sales_Data!I252,2)</f>
        <v>Vik005De</v>
      </c>
      <c r="D252" s="4" t="str">
        <f>IF(ISNUMBER(SEARCH("@",Sales_Data!T252)),LOWER(Sales_Data!T252),"Invalid_Email")</f>
        <v>vikas.mehta@company.com</v>
      </c>
      <c r="E252" s="13">
        <f ca="1">DATEDIF(Sales_Data!H252,TODAY(),"Y")</f>
        <v>38</v>
      </c>
      <c r="F252" s="13">
        <f>IFERROR(DATEDIF(Sales_Data!D252,Sales_Data!E252,"D"),"Information_Not_Given")</f>
        <v>8</v>
      </c>
      <c r="G252" s="13" t="str" cm="1">
        <f t="array" ref="G252">_xlfn.IFS(F252&lt;=5,"One_Time",F252&gt;5,"Delayed",F252="Information_Not_given","Pending")</f>
        <v>Delayed</v>
      </c>
    </row>
    <row r="253" spans="1:7" x14ac:dyDescent="0.3">
      <c r="A253" s="12" t="str">
        <f>IF(AND(Sales_Data!P253&gt;=100000,Sales_Data!Q253&gt;=4,Sales_Data!V253="Completed",Sales_Data!O253&lt;=10),"Platinum",IF(AND(Sales_Data!P253&gt;=50000,Sales_Data!Q253&gt;=3,Sales_Data!V253="Completed"),"Gold",IF(AND(Sales_Data!P253&lt;50000,Sales_Data!V253="Completed"),"Silver",IF(OR(Sales_Data!Q253&lt;=2,Sales_Data!V253="Canceled"),"Blacklisted","Others"))))</f>
        <v>Others</v>
      </c>
      <c r="B253" s="4" t="str">
        <f>PROPER(TRIM(Sales_Data!F253))</f>
        <v>Kavya Nair</v>
      </c>
      <c r="C253" s="4" t="str">
        <f>LEFT(B253,3)&amp;RIGHT(Sales_Data!B253,3)&amp;LEFT(Sales_Data!I253,2)</f>
        <v>Kav008Ko</v>
      </c>
      <c r="D253" s="4" t="str">
        <f>IF(ISNUMBER(SEARCH("@",Sales_Data!T253)),LOWER(Sales_Data!T253),"Invalid_Email")</f>
        <v>kavya.nair@company.com</v>
      </c>
      <c r="E253" s="13">
        <f ca="1">DATEDIF(Sales_Data!H253,TODAY(),"Y")</f>
        <v>44</v>
      </c>
      <c r="F253" s="13">
        <f>IFERROR(DATEDIF(Sales_Data!D253,Sales_Data!E253,"D"),"Information_Not_Given")</f>
        <v>3</v>
      </c>
      <c r="G253" s="13" t="str" cm="1">
        <f t="array" ref="G253">_xlfn.IFS(F253&lt;=5,"One_Time",F253&gt;5,"Delayed",F253="Information_Not_given","Pending")</f>
        <v>One_Time</v>
      </c>
    </row>
    <row r="254" spans="1:7" x14ac:dyDescent="0.3">
      <c r="A254" s="12" t="str">
        <f>IF(AND(Sales_Data!P254&gt;=100000,Sales_Data!Q254&gt;=4,Sales_Data!V254="Completed",Sales_Data!O254&lt;=10),"Platinum",IF(AND(Sales_Data!P254&gt;=50000,Sales_Data!Q254&gt;=3,Sales_Data!V254="Completed"),"Gold",IF(AND(Sales_Data!P254&lt;50000,Sales_Data!V254="Completed"),"Silver",IF(OR(Sales_Data!Q254&lt;=2,Sales_Data!V254="Canceled"),"Blacklisted","Others"))))</f>
        <v>Silver</v>
      </c>
      <c r="B254" s="4" t="str">
        <f>PROPER(TRIM(Sales_Data!F254))</f>
        <v>Amit Sharma</v>
      </c>
      <c r="C254" s="4" t="str">
        <f>LEFT(B254,3)&amp;RIGHT(Sales_Data!B254,3)&amp;LEFT(Sales_Data!I254,2)</f>
        <v>Ami001De</v>
      </c>
      <c r="D254" s="4" t="str">
        <f>IF(ISNUMBER(SEARCH("@",Sales_Data!T254)),LOWER(Sales_Data!T254),"Invalid_Email")</f>
        <v>amit.sharma@company.com</v>
      </c>
      <c r="E254" s="13">
        <f ca="1">DATEDIF(Sales_Data!H254,TODAY(),"Y")</f>
        <v>49</v>
      </c>
      <c r="F254" s="13">
        <f>IFERROR(DATEDIF(Sales_Data!D254,Sales_Data!E254,"D"),"Information_Not_Given")</f>
        <v>1</v>
      </c>
      <c r="G254" s="13" t="str" cm="1">
        <f t="array" ref="G254">_xlfn.IFS(F254&lt;=5,"One_Time",F254&gt;5,"Delayed",F254="Information_Not_given","Pending")</f>
        <v>One_Time</v>
      </c>
    </row>
    <row r="255" spans="1:7" x14ac:dyDescent="0.3">
      <c r="A255" s="12" t="str">
        <f>IF(AND(Sales_Data!P255&gt;=100000,Sales_Data!Q255&gt;=4,Sales_Data!V255="Completed",Sales_Data!O255&lt;=10),"Platinum",IF(AND(Sales_Data!P255&gt;=50000,Sales_Data!Q255&gt;=3,Sales_Data!V255="Completed"),"Gold",IF(AND(Sales_Data!P255&lt;50000,Sales_Data!V255="Completed"),"Silver",IF(OR(Sales_Data!Q255&lt;=2,Sales_Data!V255="Canceled"),"Blacklisted","Others"))))</f>
        <v>Blacklisted</v>
      </c>
      <c r="B255" s="4" t="str">
        <f>PROPER(TRIM(Sales_Data!F255))</f>
        <v>Rohit Singh</v>
      </c>
      <c r="C255" s="4" t="str">
        <f>LEFT(B255,3)&amp;RIGHT(Sales_Data!B255,3)&amp;LEFT(Sales_Data!I255,2)</f>
        <v>Roh003Ko</v>
      </c>
      <c r="D255" s="4" t="str">
        <f>IF(ISNUMBER(SEARCH("@",Sales_Data!T255)),LOWER(Sales_Data!T255),"Invalid_Email")</f>
        <v>rohit.singh@company.com</v>
      </c>
      <c r="E255" s="13">
        <f ca="1">DATEDIF(Sales_Data!H255,TODAY(),"Y")</f>
        <v>23</v>
      </c>
      <c r="F255" s="13">
        <f>IFERROR(DATEDIF(Sales_Data!D255,Sales_Data!E255,"D"),"Information_Not_Given")</f>
        <v>10</v>
      </c>
      <c r="G255" s="13" t="str" cm="1">
        <f t="array" ref="G255">_xlfn.IFS(F255&lt;=5,"One_Time",F255&gt;5,"Delayed",F255="Information_Not_given","Pending")</f>
        <v>Delayed</v>
      </c>
    </row>
    <row r="256" spans="1:7" x14ac:dyDescent="0.3">
      <c r="A256" s="12" t="str">
        <f>IF(AND(Sales_Data!P256&gt;=100000,Sales_Data!Q256&gt;=4,Sales_Data!V256="Completed",Sales_Data!O256&lt;=10),"Platinum",IF(AND(Sales_Data!P256&gt;=50000,Sales_Data!Q256&gt;=3,Sales_Data!V256="Completed"),"Gold",IF(AND(Sales_Data!P256&lt;50000,Sales_Data!V256="Completed"),"Silver",IF(OR(Sales_Data!Q256&lt;=2,Sales_Data!V256="Canceled"),"Blacklisted","Others"))))</f>
        <v>Silver</v>
      </c>
      <c r="B256" s="4" t="str">
        <f>PROPER(TRIM(Sales_Data!F256))</f>
        <v>Vikas Mehta</v>
      </c>
      <c r="C256" s="4" t="str">
        <f>LEFT(B256,3)&amp;RIGHT(Sales_Data!B256,3)&amp;LEFT(Sales_Data!I256,2)</f>
        <v>Vik005Pu</v>
      </c>
      <c r="D256" s="4" t="str">
        <f>IF(ISNUMBER(SEARCH("@",Sales_Data!T256)),LOWER(Sales_Data!T256),"Invalid_Email")</f>
        <v>vikas.mehta@company.com</v>
      </c>
      <c r="E256" s="13">
        <f ca="1">DATEDIF(Sales_Data!H256,TODAY(),"Y")</f>
        <v>40</v>
      </c>
      <c r="F256" s="13">
        <f>IFERROR(DATEDIF(Sales_Data!D256,Sales_Data!E256,"D"),"Information_Not_Given")</f>
        <v>12</v>
      </c>
      <c r="G256" s="13" t="str" cm="1">
        <f t="array" ref="G256">_xlfn.IFS(F256&lt;=5,"One_Time",F256&gt;5,"Delayed",F256="Information_Not_given","Pending")</f>
        <v>Delayed</v>
      </c>
    </row>
    <row r="257" spans="1:7" x14ac:dyDescent="0.3">
      <c r="A257" s="12" t="str">
        <f>IF(AND(Sales_Data!P257&gt;=100000,Sales_Data!Q257&gt;=4,Sales_Data!V257="Completed",Sales_Data!O257&lt;=10),"Platinum",IF(AND(Sales_Data!P257&gt;=50000,Sales_Data!Q257&gt;=3,Sales_Data!V257="Completed"),"Gold",IF(AND(Sales_Data!P257&lt;50000,Sales_Data!V257="Completed"),"Silver",IF(OR(Sales_Data!Q257&lt;=2,Sales_Data!V257="Canceled"),"Blacklisted","Others"))))</f>
        <v>Others</v>
      </c>
      <c r="B257" s="4" t="str">
        <f>PROPER(TRIM(Sales_Data!F257))</f>
        <v>Vikas Mehta</v>
      </c>
      <c r="C257" s="4" t="str">
        <f>LEFT(B257,3)&amp;RIGHT(Sales_Data!B257,3)&amp;LEFT(Sales_Data!I257,2)</f>
        <v>Vik005Hy</v>
      </c>
      <c r="D257" s="4" t="str">
        <f>IF(ISNUMBER(SEARCH("@",Sales_Data!T257)),LOWER(Sales_Data!T257),"Invalid_Email")</f>
        <v>vikas.mehta@company.com</v>
      </c>
      <c r="E257" s="13">
        <f ca="1">DATEDIF(Sales_Data!H257,TODAY(),"Y")</f>
        <v>37</v>
      </c>
      <c r="F257" s="13">
        <f>IFERROR(DATEDIF(Sales_Data!D257,Sales_Data!E257,"D"),"Information_Not_Given")</f>
        <v>6</v>
      </c>
      <c r="G257" s="13" t="str" cm="1">
        <f t="array" ref="G257">_xlfn.IFS(F257&lt;=5,"One_Time",F257&gt;5,"Delayed",F257="Information_Not_given","Pending")</f>
        <v>Delayed</v>
      </c>
    </row>
    <row r="258" spans="1:7" x14ac:dyDescent="0.3">
      <c r="A258" s="12" t="str">
        <f>IF(AND(Sales_Data!P258&gt;=100000,Sales_Data!Q258&gt;=4,Sales_Data!V258="Completed",Sales_Data!O258&lt;=10),"Platinum",IF(AND(Sales_Data!P258&gt;=50000,Sales_Data!Q258&gt;=3,Sales_Data!V258="Completed"),"Gold",IF(AND(Sales_Data!P258&lt;50000,Sales_Data!V258="Completed"),"Silver",IF(OR(Sales_Data!Q258&lt;=2,Sales_Data!V258="Canceled"),"Blacklisted","Others"))))</f>
        <v>Blacklisted</v>
      </c>
      <c r="B258" s="4" t="str">
        <f>PROPER(TRIM(Sales_Data!F258))</f>
        <v>Rohit Singh</v>
      </c>
      <c r="C258" s="4" t="str">
        <f>LEFT(B258,3)&amp;RIGHT(Sales_Data!B258,3)&amp;LEFT(Sales_Data!I258,2)</f>
        <v>Roh003Hy</v>
      </c>
      <c r="D258" s="4" t="str">
        <f>IF(ISNUMBER(SEARCH("@",Sales_Data!T258)),LOWER(Sales_Data!T258),"Invalid_Email")</f>
        <v>rohit.singh@company.com</v>
      </c>
      <c r="E258" s="13">
        <f ca="1">DATEDIF(Sales_Data!H258,TODAY(),"Y")</f>
        <v>46</v>
      </c>
      <c r="F258" s="13">
        <f>IFERROR(DATEDIF(Sales_Data!D258,Sales_Data!E258,"D"),"Information_Not_Given")</f>
        <v>2</v>
      </c>
      <c r="G258" s="13" t="str" cm="1">
        <f t="array" ref="G258">_xlfn.IFS(F258&lt;=5,"One_Time",F258&gt;5,"Delayed",F258="Information_Not_given","Pending")</f>
        <v>One_Time</v>
      </c>
    </row>
    <row r="259" spans="1:7" x14ac:dyDescent="0.3">
      <c r="A259" s="12" t="str">
        <f>IF(AND(Sales_Data!P259&gt;=100000,Sales_Data!Q259&gt;=4,Sales_Data!V259="Completed",Sales_Data!O259&lt;=10),"Platinum",IF(AND(Sales_Data!P259&gt;=50000,Sales_Data!Q259&gt;=3,Sales_Data!V259="Completed"),"Gold",IF(AND(Sales_Data!P259&lt;50000,Sales_Data!V259="Completed"),"Silver",IF(OR(Sales_Data!Q259&lt;=2,Sales_Data!V259="Canceled"),"Blacklisted","Others"))))</f>
        <v>Blacklisted</v>
      </c>
      <c r="B259" s="4" t="str">
        <f>PROPER(TRIM(Sales_Data!F259))</f>
        <v>Kavya Nair</v>
      </c>
      <c r="C259" s="4" t="str">
        <f>LEFT(B259,3)&amp;RIGHT(Sales_Data!B259,3)&amp;LEFT(Sales_Data!I259,2)</f>
        <v>Kav008Be</v>
      </c>
      <c r="D259" s="4" t="str">
        <f>IF(ISNUMBER(SEARCH("@",Sales_Data!T259)),LOWER(Sales_Data!T259),"Invalid_Email")</f>
        <v>kavya.nair@company.com</v>
      </c>
      <c r="E259" s="13">
        <f ca="1">DATEDIF(Sales_Data!H259,TODAY(),"Y")</f>
        <v>41</v>
      </c>
      <c r="F259" s="13">
        <f>IFERROR(DATEDIF(Sales_Data!D259,Sales_Data!E259,"D"),"Information_Not_Given")</f>
        <v>7</v>
      </c>
      <c r="G259" s="13" t="str" cm="1">
        <f t="array" ref="G259">_xlfn.IFS(F259&lt;=5,"One_Time",F259&gt;5,"Delayed",F259="Information_Not_given","Pending")</f>
        <v>Delayed</v>
      </c>
    </row>
    <row r="260" spans="1:7" x14ac:dyDescent="0.3">
      <c r="A260" s="12" t="str">
        <f>IF(AND(Sales_Data!P260&gt;=100000,Sales_Data!Q260&gt;=4,Sales_Data!V260="Completed",Sales_Data!O260&lt;=10),"Platinum",IF(AND(Sales_Data!P260&gt;=50000,Sales_Data!Q260&gt;=3,Sales_Data!V260="Completed"),"Gold",IF(AND(Sales_Data!P260&lt;50000,Sales_Data!V260="Completed"),"Silver",IF(OR(Sales_Data!Q260&lt;=2,Sales_Data!V260="Canceled"),"Blacklisted","Others"))))</f>
        <v>Others</v>
      </c>
      <c r="B260" s="4" t="str">
        <f>PROPER(TRIM(Sales_Data!F260))</f>
        <v>Kavya Nair</v>
      </c>
      <c r="C260" s="4" t="str">
        <f>LEFT(B260,3)&amp;RIGHT(Sales_Data!B260,3)&amp;LEFT(Sales_Data!I260,2)</f>
        <v>Kav008Mu</v>
      </c>
      <c r="D260" s="4" t="str">
        <f>IF(ISNUMBER(SEARCH("@",Sales_Data!T260)),LOWER(Sales_Data!T260),"Invalid_Email")</f>
        <v>kavya.nair@company.com</v>
      </c>
      <c r="E260" s="13">
        <f ca="1">DATEDIF(Sales_Data!H260,TODAY(),"Y")</f>
        <v>47</v>
      </c>
      <c r="F260" s="13">
        <f>IFERROR(DATEDIF(Sales_Data!D260,Sales_Data!E260,"D"),"Information_Not_Given")</f>
        <v>5</v>
      </c>
      <c r="G260" s="13" t="str" cm="1">
        <f t="array" ref="G260">_xlfn.IFS(F260&lt;=5,"One_Time",F260&gt;5,"Delayed",F260="Information_Not_given","Pending")</f>
        <v>One_Time</v>
      </c>
    </row>
    <row r="261" spans="1:7" x14ac:dyDescent="0.3">
      <c r="A261" s="12" t="str">
        <f>IF(AND(Sales_Data!P261&gt;=100000,Sales_Data!Q261&gt;=4,Sales_Data!V261="Completed",Sales_Data!O261&lt;=10),"Platinum",IF(AND(Sales_Data!P261&gt;=50000,Sales_Data!Q261&gt;=3,Sales_Data!V261="Completed"),"Gold",IF(AND(Sales_Data!P261&lt;50000,Sales_Data!V261="Completed"),"Silver",IF(OR(Sales_Data!Q261&lt;=2,Sales_Data!V261="Canceled"),"Blacklisted","Others"))))</f>
        <v>Blacklisted</v>
      </c>
      <c r="B261" s="4" t="str">
        <f>PROPER(TRIM(Sales_Data!F261))</f>
        <v>Arjun Rao</v>
      </c>
      <c r="C261" s="4" t="str">
        <f>LEFT(B261,3)&amp;RIGHT(Sales_Data!B261,3)&amp;LEFT(Sales_Data!I261,2)</f>
        <v>Arj007Ja</v>
      </c>
      <c r="D261" s="4" t="str">
        <f>IF(ISNUMBER(SEARCH("@",Sales_Data!T261)),LOWER(Sales_Data!T261),"Invalid_Email")</f>
        <v>arjun.rao@company.com</v>
      </c>
      <c r="E261" s="13">
        <f ca="1">DATEDIF(Sales_Data!H261,TODAY(),"Y")</f>
        <v>33</v>
      </c>
      <c r="F261" s="13">
        <f>IFERROR(DATEDIF(Sales_Data!D261,Sales_Data!E261,"D"),"Information_Not_Given")</f>
        <v>4</v>
      </c>
      <c r="G261" s="13" t="str" cm="1">
        <f t="array" ref="G261">_xlfn.IFS(F261&lt;=5,"One_Time",F261&gt;5,"Delayed",F261="Information_Not_given","Pending")</f>
        <v>One_Time</v>
      </c>
    </row>
    <row r="262" spans="1:7" x14ac:dyDescent="0.3">
      <c r="A262" s="12" t="str">
        <f>IF(AND(Sales_Data!P262&gt;=100000,Sales_Data!Q262&gt;=4,Sales_Data!V262="Completed",Sales_Data!O262&lt;=10),"Platinum",IF(AND(Sales_Data!P262&gt;=50000,Sales_Data!Q262&gt;=3,Sales_Data!V262="Completed"),"Gold",IF(AND(Sales_Data!P262&lt;50000,Sales_Data!V262="Completed"),"Silver",IF(OR(Sales_Data!Q262&lt;=2,Sales_Data!V262="Canceled"),"Blacklisted","Others"))))</f>
        <v>Blacklisted</v>
      </c>
      <c r="B262" s="4" t="str">
        <f>PROPER(TRIM(Sales_Data!F262))</f>
        <v>Kavya Nair</v>
      </c>
      <c r="C262" s="4" t="str">
        <f>LEFT(B262,3)&amp;RIGHT(Sales_Data!B262,3)&amp;LEFT(Sales_Data!I262,2)</f>
        <v>Kav008Ko</v>
      </c>
      <c r="D262" s="4" t="str">
        <f>IF(ISNUMBER(SEARCH("@",Sales_Data!T262)),LOWER(Sales_Data!T262),"Invalid_Email")</f>
        <v>kavya.nair@company.com</v>
      </c>
      <c r="E262" s="13">
        <f ca="1">DATEDIF(Sales_Data!H262,TODAY(),"Y")</f>
        <v>51</v>
      </c>
      <c r="F262" s="13">
        <f>IFERROR(DATEDIF(Sales_Data!D262,Sales_Data!E262,"D"),"Information_Not_Given")</f>
        <v>10</v>
      </c>
      <c r="G262" s="13" t="str" cm="1">
        <f t="array" ref="G262">_xlfn.IFS(F262&lt;=5,"One_Time",F262&gt;5,"Delayed",F262="Information_Not_given","Pending")</f>
        <v>Delayed</v>
      </c>
    </row>
    <row r="263" spans="1:7" x14ac:dyDescent="0.3">
      <c r="A263" s="12" t="str">
        <f>IF(AND(Sales_Data!P263&gt;=100000,Sales_Data!Q263&gt;=4,Sales_Data!V263="Completed",Sales_Data!O263&lt;=10),"Platinum",IF(AND(Sales_Data!P263&gt;=50000,Sales_Data!Q263&gt;=3,Sales_Data!V263="Completed"),"Gold",IF(AND(Sales_Data!P263&lt;50000,Sales_Data!V263="Completed"),"Silver",IF(OR(Sales_Data!Q263&lt;=2,Sales_Data!V263="Canceled"),"Blacklisted","Others"))))</f>
        <v>Gold</v>
      </c>
      <c r="B263" s="4" t="str">
        <f>PROPER(TRIM(Sales_Data!F263))</f>
        <v>Amit Sharma</v>
      </c>
      <c r="C263" s="4" t="str">
        <f>LEFT(B263,3)&amp;RIGHT(Sales_Data!B263,3)&amp;LEFT(Sales_Data!I263,2)</f>
        <v>Ami001Pu</v>
      </c>
      <c r="D263" s="4" t="str">
        <f>IF(ISNUMBER(SEARCH("@",Sales_Data!T263)),LOWER(Sales_Data!T263),"Invalid_Email")</f>
        <v>amit.sharma@company.com</v>
      </c>
      <c r="E263" s="13">
        <f ca="1">DATEDIF(Sales_Data!H263,TODAY(),"Y")</f>
        <v>48</v>
      </c>
      <c r="F263" s="13">
        <f>IFERROR(DATEDIF(Sales_Data!D263,Sales_Data!E263,"D"),"Information_Not_Given")</f>
        <v>7</v>
      </c>
      <c r="G263" s="13" t="str" cm="1">
        <f t="array" ref="G263">_xlfn.IFS(F263&lt;=5,"One_Time",F263&gt;5,"Delayed",F263="Information_Not_given","Pending")</f>
        <v>Delayed</v>
      </c>
    </row>
    <row r="264" spans="1:7" x14ac:dyDescent="0.3">
      <c r="A264" s="12" t="str">
        <f>IF(AND(Sales_Data!P264&gt;=100000,Sales_Data!Q264&gt;=4,Sales_Data!V264="Completed",Sales_Data!O264&lt;=10),"Platinum",IF(AND(Sales_Data!P264&gt;=50000,Sales_Data!Q264&gt;=3,Sales_Data!V264="Completed"),"Gold",IF(AND(Sales_Data!P264&lt;50000,Sales_Data!V264="Completed"),"Silver",IF(OR(Sales_Data!Q264&lt;=2,Sales_Data!V264="Canceled"),"Blacklisted","Others"))))</f>
        <v>Silver</v>
      </c>
      <c r="B264" s="4" t="str">
        <f>PROPER(TRIM(Sales_Data!F264))</f>
        <v>Sneha Joshi</v>
      </c>
      <c r="C264" s="4" t="str">
        <f>LEFT(B264,3)&amp;RIGHT(Sales_Data!B264,3)&amp;LEFT(Sales_Data!I264,2)</f>
        <v>Sne006Ko</v>
      </c>
      <c r="D264" s="4" t="str">
        <f>IF(ISNUMBER(SEARCH("@",Sales_Data!T264)),LOWER(Sales_Data!T264),"Invalid_Email")</f>
        <v>sneha.joshi@company.com</v>
      </c>
      <c r="E264" s="13">
        <f ca="1">DATEDIF(Sales_Data!H264,TODAY(),"Y")</f>
        <v>23</v>
      </c>
      <c r="F264" s="13">
        <f>IFERROR(DATEDIF(Sales_Data!D264,Sales_Data!E264,"D"),"Information_Not_Given")</f>
        <v>5</v>
      </c>
      <c r="G264" s="13" t="str" cm="1">
        <f t="array" ref="G264">_xlfn.IFS(F264&lt;=5,"One_Time",F264&gt;5,"Delayed",F264="Information_Not_given","Pending")</f>
        <v>One_Time</v>
      </c>
    </row>
    <row r="265" spans="1:7" x14ac:dyDescent="0.3">
      <c r="A265" s="12" t="str">
        <f>IF(AND(Sales_Data!P265&gt;=100000,Sales_Data!Q265&gt;=4,Sales_Data!V265="Completed",Sales_Data!O265&lt;=10),"Platinum",IF(AND(Sales_Data!P265&gt;=50000,Sales_Data!Q265&gt;=3,Sales_Data!V265="Completed"),"Gold",IF(AND(Sales_Data!P265&lt;50000,Sales_Data!V265="Completed"),"Silver",IF(OR(Sales_Data!Q265&lt;=2,Sales_Data!V265="Canceled"),"Blacklisted","Others"))))</f>
        <v>Blacklisted</v>
      </c>
      <c r="B265" s="4" t="str">
        <f>PROPER(TRIM(Sales_Data!F265))</f>
        <v>Kavya Nair</v>
      </c>
      <c r="C265" s="4" t="str">
        <f>LEFT(B265,3)&amp;RIGHT(Sales_Data!B265,3)&amp;LEFT(Sales_Data!I265,2)</f>
        <v>Kav008Ah</v>
      </c>
      <c r="D265" s="4" t="str">
        <f>IF(ISNUMBER(SEARCH("@",Sales_Data!T265)),LOWER(Sales_Data!T265),"Invalid_Email")</f>
        <v>kavya.nair@company.com</v>
      </c>
      <c r="E265" s="13">
        <f ca="1">DATEDIF(Sales_Data!H265,TODAY(),"Y")</f>
        <v>24</v>
      </c>
      <c r="F265" s="13">
        <f>IFERROR(DATEDIF(Sales_Data!D265,Sales_Data!E265,"D"),"Information_Not_Given")</f>
        <v>7</v>
      </c>
      <c r="G265" s="13" t="str" cm="1">
        <f t="array" ref="G265">_xlfn.IFS(F265&lt;=5,"One_Time",F265&gt;5,"Delayed",F265="Information_Not_given","Pending")</f>
        <v>Delayed</v>
      </c>
    </row>
    <row r="266" spans="1:7" x14ac:dyDescent="0.3">
      <c r="A266" s="12" t="str">
        <f>IF(AND(Sales_Data!P266&gt;=100000,Sales_Data!Q266&gt;=4,Sales_Data!V266="Completed",Sales_Data!O266&lt;=10),"Platinum",IF(AND(Sales_Data!P266&gt;=50000,Sales_Data!Q266&gt;=3,Sales_Data!V266="Completed"),"Gold",IF(AND(Sales_Data!P266&lt;50000,Sales_Data!V266="Completed"),"Silver",IF(OR(Sales_Data!Q266&lt;=2,Sales_Data!V266="Canceled"),"Blacklisted","Others"))))</f>
        <v>Silver</v>
      </c>
      <c r="B266" s="4" t="str">
        <f>PROPER(TRIM(Sales_Data!F266))</f>
        <v>Mohit Verma</v>
      </c>
      <c r="C266" s="4" t="str">
        <f>LEFT(B266,3)&amp;RIGHT(Sales_Data!B266,3)&amp;LEFT(Sales_Data!I266,2)</f>
        <v>Moh009De</v>
      </c>
      <c r="D266" s="4" t="str">
        <f>IF(ISNUMBER(SEARCH("@",Sales_Data!T266)),LOWER(Sales_Data!T266),"Invalid_Email")</f>
        <v>mohit.verma@company.com</v>
      </c>
      <c r="E266" s="13">
        <f ca="1">DATEDIF(Sales_Data!H266,TODAY(),"Y")</f>
        <v>41</v>
      </c>
      <c r="F266" s="13">
        <f>IFERROR(DATEDIF(Sales_Data!D266,Sales_Data!E266,"D"),"Information_Not_Given")</f>
        <v>10</v>
      </c>
      <c r="G266" s="13" t="str" cm="1">
        <f t="array" ref="G266">_xlfn.IFS(F266&lt;=5,"One_Time",F266&gt;5,"Delayed",F266="Information_Not_given","Pending")</f>
        <v>Delayed</v>
      </c>
    </row>
    <row r="267" spans="1:7" x14ac:dyDescent="0.3">
      <c r="A267" s="12" t="str">
        <f>IF(AND(Sales_Data!P267&gt;=100000,Sales_Data!Q267&gt;=4,Sales_Data!V267="Completed",Sales_Data!O267&lt;=10),"Platinum",IF(AND(Sales_Data!P267&gt;=50000,Sales_Data!Q267&gt;=3,Sales_Data!V267="Completed"),"Gold",IF(AND(Sales_Data!P267&lt;50000,Sales_Data!V267="Completed"),"Silver",IF(OR(Sales_Data!Q267&lt;=2,Sales_Data!V267="Canceled"),"Blacklisted","Others"))))</f>
        <v>Blacklisted</v>
      </c>
      <c r="B267" s="4" t="str">
        <f>PROPER(TRIM(Sales_Data!F267))</f>
        <v>Kavya Nair</v>
      </c>
      <c r="C267" s="4" t="str">
        <f>LEFT(B267,3)&amp;RIGHT(Sales_Data!B267,3)&amp;LEFT(Sales_Data!I267,2)</f>
        <v>Kav008Ja</v>
      </c>
      <c r="D267" s="4" t="str">
        <f>IF(ISNUMBER(SEARCH("@",Sales_Data!T267)),LOWER(Sales_Data!T267),"Invalid_Email")</f>
        <v>kavya.nair@company.com</v>
      </c>
      <c r="E267" s="13">
        <f ca="1">DATEDIF(Sales_Data!H267,TODAY(),"Y")</f>
        <v>41</v>
      </c>
      <c r="F267" s="13">
        <f>IFERROR(DATEDIF(Sales_Data!D267,Sales_Data!E267,"D"),"Information_Not_Given")</f>
        <v>5</v>
      </c>
      <c r="G267" s="13" t="str" cm="1">
        <f t="array" ref="G267">_xlfn.IFS(F267&lt;=5,"One_Time",F267&gt;5,"Delayed",F267="Information_Not_given","Pending")</f>
        <v>One_Time</v>
      </c>
    </row>
    <row r="268" spans="1:7" x14ac:dyDescent="0.3">
      <c r="A268" s="12" t="str">
        <f>IF(AND(Sales_Data!P268&gt;=100000,Sales_Data!Q268&gt;=4,Sales_Data!V268="Completed",Sales_Data!O268&lt;=10),"Platinum",IF(AND(Sales_Data!P268&gt;=50000,Sales_Data!Q268&gt;=3,Sales_Data!V268="Completed"),"Gold",IF(AND(Sales_Data!P268&lt;50000,Sales_Data!V268="Completed"),"Silver",IF(OR(Sales_Data!Q268&lt;=2,Sales_Data!V268="Canceled"),"Blacklisted","Others"))))</f>
        <v>Silver</v>
      </c>
      <c r="B268" s="4" t="str">
        <f>PROPER(TRIM(Sales_Data!F268))</f>
        <v>Pooja Shah</v>
      </c>
      <c r="C268" s="4" t="str">
        <f>LEFT(B268,3)&amp;RIGHT(Sales_Data!B268,3)&amp;LEFT(Sales_Data!I268,2)</f>
        <v>Poo010Mu</v>
      </c>
      <c r="D268" s="4" t="str">
        <f>IF(ISNUMBER(SEARCH("@",Sales_Data!T268)),LOWER(Sales_Data!T268),"Invalid_Email")</f>
        <v>pooja.shah@company.com</v>
      </c>
      <c r="E268" s="13">
        <f ca="1">DATEDIF(Sales_Data!H268,TODAY(),"Y")</f>
        <v>42</v>
      </c>
      <c r="F268" s="13">
        <f>IFERROR(DATEDIF(Sales_Data!D268,Sales_Data!E268,"D"),"Information_Not_Given")</f>
        <v>8</v>
      </c>
      <c r="G268" s="13" t="str" cm="1">
        <f t="array" ref="G268">_xlfn.IFS(F268&lt;=5,"One_Time",F268&gt;5,"Delayed",F268="Information_Not_given","Pending")</f>
        <v>Delayed</v>
      </c>
    </row>
    <row r="269" spans="1:7" x14ac:dyDescent="0.3">
      <c r="A269" s="12" t="str">
        <f>IF(AND(Sales_Data!P269&gt;=100000,Sales_Data!Q269&gt;=4,Sales_Data!V269="Completed",Sales_Data!O269&lt;=10),"Platinum",IF(AND(Sales_Data!P269&gt;=50000,Sales_Data!Q269&gt;=3,Sales_Data!V269="Completed"),"Gold",IF(AND(Sales_Data!P269&lt;50000,Sales_Data!V269="Completed"),"Silver",IF(OR(Sales_Data!Q269&lt;=2,Sales_Data!V269="Canceled"),"Blacklisted","Others"))))</f>
        <v>Platinum</v>
      </c>
      <c r="B269" s="4" t="str">
        <f>PROPER(TRIM(Sales_Data!F269))</f>
        <v>Rohit Singh</v>
      </c>
      <c r="C269" s="4" t="str">
        <f>LEFT(B269,3)&amp;RIGHT(Sales_Data!B269,3)&amp;LEFT(Sales_Data!I269,2)</f>
        <v>Roh003Hy</v>
      </c>
      <c r="D269" s="4" t="str">
        <f>IF(ISNUMBER(SEARCH("@",Sales_Data!T269)),LOWER(Sales_Data!T269),"Invalid_Email")</f>
        <v>rohit.singh@company.com</v>
      </c>
      <c r="E269" s="13">
        <f ca="1">DATEDIF(Sales_Data!H269,TODAY(),"Y")</f>
        <v>38</v>
      </c>
      <c r="F269" s="13">
        <f>IFERROR(DATEDIF(Sales_Data!D269,Sales_Data!E269,"D"),"Information_Not_Given")</f>
        <v>3</v>
      </c>
      <c r="G269" s="13" t="str" cm="1">
        <f t="array" ref="G269">_xlfn.IFS(F269&lt;=5,"One_Time",F269&gt;5,"Delayed",F269="Information_Not_given","Pending")</f>
        <v>One_Time</v>
      </c>
    </row>
    <row r="270" spans="1:7" x14ac:dyDescent="0.3">
      <c r="A270" s="12" t="str">
        <f>IF(AND(Sales_Data!P270&gt;=100000,Sales_Data!Q270&gt;=4,Sales_Data!V270="Completed",Sales_Data!O270&lt;=10),"Platinum",IF(AND(Sales_Data!P270&gt;=50000,Sales_Data!Q270&gt;=3,Sales_Data!V270="Completed"),"Gold",IF(AND(Sales_Data!P270&lt;50000,Sales_Data!V270="Completed"),"Silver",IF(OR(Sales_Data!Q270&lt;=2,Sales_Data!V270="Canceled"),"Blacklisted","Others"))))</f>
        <v>Others</v>
      </c>
      <c r="B270" s="4" t="str">
        <f>PROPER(TRIM(Sales_Data!F270))</f>
        <v>Sneha Joshi</v>
      </c>
      <c r="C270" s="4" t="str">
        <f>LEFT(B270,3)&amp;RIGHT(Sales_Data!B270,3)&amp;LEFT(Sales_Data!I270,2)</f>
        <v>Sne006Ja</v>
      </c>
      <c r="D270" s="4" t="str">
        <f>IF(ISNUMBER(SEARCH("@",Sales_Data!T270)),LOWER(Sales_Data!T270),"Invalid_Email")</f>
        <v>sneha.joshi@company.com</v>
      </c>
      <c r="E270" s="13">
        <f ca="1">DATEDIF(Sales_Data!H270,TODAY(),"Y")</f>
        <v>39</v>
      </c>
      <c r="F270" s="13">
        <f>IFERROR(DATEDIF(Sales_Data!D270,Sales_Data!E270,"D"),"Information_Not_Given")</f>
        <v>9</v>
      </c>
      <c r="G270" s="13" t="str" cm="1">
        <f t="array" ref="G270">_xlfn.IFS(F270&lt;=5,"One_Time",F270&gt;5,"Delayed",F270="Information_Not_given","Pending")</f>
        <v>Delayed</v>
      </c>
    </row>
    <row r="271" spans="1:7" x14ac:dyDescent="0.3">
      <c r="A271" s="12" t="str">
        <f>IF(AND(Sales_Data!P271&gt;=100000,Sales_Data!Q271&gt;=4,Sales_Data!V271="Completed",Sales_Data!O271&lt;=10),"Platinum",IF(AND(Sales_Data!P271&gt;=50000,Sales_Data!Q271&gt;=3,Sales_Data!V271="Completed"),"Gold",IF(AND(Sales_Data!P271&lt;50000,Sales_Data!V271="Completed"),"Silver",IF(OR(Sales_Data!Q271&lt;=2,Sales_Data!V271="Canceled"),"Blacklisted","Others"))))</f>
        <v>Others</v>
      </c>
      <c r="B271" s="4" t="str">
        <f>PROPER(TRIM(Sales_Data!F271))</f>
        <v>Mohit Verma</v>
      </c>
      <c r="C271" s="4" t="str">
        <f>LEFT(B271,3)&amp;RIGHT(Sales_Data!B271,3)&amp;LEFT(Sales_Data!I271,2)</f>
        <v>Moh009Ko</v>
      </c>
      <c r="D271" s="4" t="str">
        <f>IF(ISNUMBER(SEARCH("@",Sales_Data!T271)),LOWER(Sales_Data!T271),"Invalid_Email")</f>
        <v>mohit.verma@company.com</v>
      </c>
      <c r="E271" s="13">
        <f ca="1">DATEDIF(Sales_Data!H271,TODAY(),"Y")</f>
        <v>37</v>
      </c>
      <c r="F271" s="13">
        <f>IFERROR(DATEDIF(Sales_Data!D271,Sales_Data!E271,"D"),"Information_Not_Given")</f>
        <v>5</v>
      </c>
      <c r="G271" s="13" t="str" cm="1">
        <f t="array" ref="G271">_xlfn.IFS(F271&lt;=5,"One_Time",F271&gt;5,"Delayed",F271="Information_Not_given","Pending")</f>
        <v>One_Time</v>
      </c>
    </row>
    <row r="272" spans="1:7" x14ac:dyDescent="0.3">
      <c r="A272" s="12" t="str">
        <f>IF(AND(Sales_Data!P272&gt;=100000,Sales_Data!Q272&gt;=4,Sales_Data!V272="Completed",Sales_Data!O272&lt;=10),"Platinum",IF(AND(Sales_Data!P272&gt;=50000,Sales_Data!Q272&gt;=3,Sales_Data!V272="Completed"),"Gold",IF(AND(Sales_Data!P272&lt;50000,Sales_Data!V272="Completed"),"Silver",IF(OR(Sales_Data!Q272&lt;=2,Sales_Data!V272="Canceled"),"Blacklisted","Others"))))</f>
        <v>Blacklisted</v>
      </c>
      <c r="B272" s="4" t="str">
        <f>PROPER(TRIM(Sales_Data!F272))</f>
        <v>Rohit Singh</v>
      </c>
      <c r="C272" s="4" t="str">
        <f>LEFT(B272,3)&amp;RIGHT(Sales_Data!B272,3)&amp;LEFT(Sales_Data!I272,2)</f>
        <v>Roh003Ah</v>
      </c>
      <c r="D272" s="4" t="str">
        <f>IF(ISNUMBER(SEARCH("@",Sales_Data!T272)),LOWER(Sales_Data!T272),"Invalid_Email")</f>
        <v>rohit.singh@company.com</v>
      </c>
      <c r="E272" s="13">
        <f ca="1">DATEDIF(Sales_Data!H272,TODAY(),"Y")</f>
        <v>35</v>
      </c>
      <c r="F272" s="13">
        <f>IFERROR(DATEDIF(Sales_Data!D272,Sales_Data!E272,"D"),"Information_Not_Given")</f>
        <v>9</v>
      </c>
      <c r="G272" s="13" t="str" cm="1">
        <f t="array" ref="G272">_xlfn.IFS(F272&lt;=5,"One_Time",F272&gt;5,"Delayed",F272="Information_Not_given","Pending")</f>
        <v>Delayed</v>
      </c>
    </row>
    <row r="273" spans="1:7" x14ac:dyDescent="0.3">
      <c r="A273" s="12" t="str">
        <f>IF(AND(Sales_Data!P273&gt;=100000,Sales_Data!Q273&gt;=4,Sales_Data!V273="Completed",Sales_Data!O273&lt;=10),"Platinum",IF(AND(Sales_Data!P273&gt;=50000,Sales_Data!Q273&gt;=3,Sales_Data!V273="Completed"),"Gold",IF(AND(Sales_Data!P273&lt;50000,Sales_Data!V273="Completed"),"Silver",IF(OR(Sales_Data!Q273&lt;=2,Sales_Data!V273="Canceled"),"Blacklisted","Others"))))</f>
        <v>Others</v>
      </c>
      <c r="B273" s="4" t="str">
        <f>PROPER(TRIM(Sales_Data!F273))</f>
        <v>Kavya Nair</v>
      </c>
      <c r="C273" s="4" t="str">
        <f>LEFT(B273,3)&amp;RIGHT(Sales_Data!B273,3)&amp;LEFT(Sales_Data!I273,2)</f>
        <v>Kav008Mu</v>
      </c>
      <c r="D273" s="4" t="str">
        <f>IF(ISNUMBER(SEARCH("@",Sales_Data!T273)),LOWER(Sales_Data!T273),"Invalid_Email")</f>
        <v>kavya.nair@company.com</v>
      </c>
      <c r="E273" s="13">
        <f ca="1">DATEDIF(Sales_Data!H273,TODAY(),"Y")</f>
        <v>45</v>
      </c>
      <c r="F273" s="13">
        <f>IFERROR(DATEDIF(Sales_Data!D273,Sales_Data!E273,"D"),"Information_Not_Given")</f>
        <v>9</v>
      </c>
      <c r="G273" s="13" t="str" cm="1">
        <f t="array" ref="G273">_xlfn.IFS(F273&lt;=5,"One_Time",F273&gt;5,"Delayed",F273="Information_Not_given","Pending")</f>
        <v>Delayed</v>
      </c>
    </row>
    <row r="274" spans="1:7" x14ac:dyDescent="0.3">
      <c r="A274" s="12" t="str">
        <f>IF(AND(Sales_Data!P274&gt;=100000,Sales_Data!Q274&gt;=4,Sales_Data!V274="Completed",Sales_Data!O274&lt;=10),"Platinum",IF(AND(Sales_Data!P274&gt;=50000,Sales_Data!Q274&gt;=3,Sales_Data!V274="Completed"),"Gold",IF(AND(Sales_Data!P274&lt;50000,Sales_Data!V274="Completed"),"Silver",IF(OR(Sales_Data!Q274&lt;=2,Sales_Data!V274="Canceled"),"Blacklisted","Others"))))</f>
        <v>Blacklisted</v>
      </c>
      <c r="B274" s="4" t="str">
        <f>PROPER(TRIM(Sales_Data!F274))</f>
        <v>Arjun Rao</v>
      </c>
      <c r="C274" s="4" t="str">
        <f>LEFT(B274,3)&amp;RIGHT(Sales_Data!B274,3)&amp;LEFT(Sales_Data!I274,2)</f>
        <v>Arj007Ja</v>
      </c>
      <c r="D274" s="4" t="str">
        <f>IF(ISNUMBER(SEARCH("@",Sales_Data!T274)),LOWER(Sales_Data!T274),"Invalid_Email")</f>
        <v>arjun.rao@company.com</v>
      </c>
      <c r="E274" s="13">
        <f ca="1">DATEDIF(Sales_Data!H274,TODAY(),"Y")</f>
        <v>41</v>
      </c>
      <c r="F274" s="13">
        <f>IFERROR(DATEDIF(Sales_Data!D274,Sales_Data!E274,"D"),"Information_Not_Given")</f>
        <v>12</v>
      </c>
      <c r="G274" s="13" t="str" cm="1">
        <f t="array" ref="G274">_xlfn.IFS(F274&lt;=5,"One_Time",F274&gt;5,"Delayed",F274="Information_Not_given","Pending")</f>
        <v>Delayed</v>
      </c>
    </row>
    <row r="275" spans="1:7" x14ac:dyDescent="0.3">
      <c r="A275" s="12" t="str">
        <f>IF(AND(Sales_Data!P275&gt;=100000,Sales_Data!Q275&gt;=4,Sales_Data!V275="Completed",Sales_Data!O275&lt;=10),"Platinum",IF(AND(Sales_Data!P275&gt;=50000,Sales_Data!Q275&gt;=3,Sales_Data!V275="Completed"),"Gold",IF(AND(Sales_Data!P275&lt;50000,Sales_Data!V275="Completed"),"Silver",IF(OR(Sales_Data!Q275&lt;=2,Sales_Data!V275="Canceled"),"Blacklisted","Others"))))</f>
        <v>Blacklisted</v>
      </c>
      <c r="B275" s="4" t="str">
        <f>PROPER(TRIM(Sales_Data!F275))</f>
        <v>Pooja Shah</v>
      </c>
      <c r="C275" s="4" t="str">
        <f>LEFT(B275,3)&amp;RIGHT(Sales_Data!B275,3)&amp;LEFT(Sales_Data!I275,2)</f>
        <v>Poo010Pu</v>
      </c>
      <c r="D275" s="4" t="str">
        <f>IF(ISNUMBER(SEARCH("@",Sales_Data!T275)),LOWER(Sales_Data!T275),"Invalid_Email")</f>
        <v>pooja.shah@company.com</v>
      </c>
      <c r="E275" s="13">
        <f ca="1">DATEDIF(Sales_Data!H275,TODAY(),"Y")</f>
        <v>50</v>
      </c>
      <c r="F275" s="13">
        <f>IFERROR(DATEDIF(Sales_Data!D275,Sales_Data!E275,"D"),"Information_Not_Given")</f>
        <v>6</v>
      </c>
      <c r="G275" s="13" t="str" cm="1">
        <f t="array" ref="G275">_xlfn.IFS(F275&lt;=5,"One_Time",F275&gt;5,"Delayed",F275="Information_Not_given","Pending")</f>
        <v>Delayed</v>
      </c>
    </row>
    <row r="276" spans="1:7" x14ac:dyDescent="0.3">
      <c r="A276" s="12" t="str">
        <f>IF(AND(Sales_Data!P276&gt;=100000,Sales_Data!Q276&gt;=4,Sales_Data!V276="Completed",Sales_Data!O276&lt;=10),"Platinum",IF(AND(Sales_Data!P276&gt;=50000,Sales_Data!Q276&gt;=3,Sales_Data!V276="Completed"),"Gold",IF(AND(Sales_Data!P276&lt;50000,Sales_Data!V276="Completed"),"Silver",IF(OR(Sales_Data!Q276&lt;=2,Sales_Data!V276="Canceled"),"Blacklisted","Others"))))</f>
        <v>Others</v>
      </c>
      <c r="B276" s="4" t="str">
        <f>PROPER(TRIM(Sales_Data!F276))</f>
        <v>Vikas Mehta</v>
      </c>
      <c r="C276" s="4" t="str">
        <f>LEFT(B276,3)&amp;RIGHT(Sales_Data!B276,3)&amp;LEFT(Sales_Data!I276,2)</f>
        <v>Vik005Ko</v>
      </c>
      <c r="D276" s="4" t="str">
        <f>IF(ISNUMBER(SEARCH("@",Sales_Data!T276)),LOWER(Sales_Data!T276),"Invalid_Email")</f>
        <v>vikas.mehta@company.com</v>
      </c>
      <c r="E276" s="13">
        <f ca="1">DATEDIF(Sales_Data!H276,TODAY(),"Y")</f>
        <v>48</v>
      </c>
      <c r="F276" s="13">
        <f>IFERROR(DATEDIF(Sales_Data!D276,Sales_Data!E276,"D"),"Information_Not_Given")</f>
        <v>5</v>
      </c>
      <c r="G276" s="13" t="str" cm="1">
        <f t="array" ref="G276">_xlfn.IFS(F276&lt;=5,"One_Time",F276&gt;5,"Delayed",F276="Information_Not_given","Pending")</f>
        <v>One_Time</v>
      </c>
    </row>
    <row r="277" spans="1:7" x14ac:dyDescent="0.3">
      <c r="A277" s="12" t="str">
        <f>IF(AND(Sales_Data!P277&gt;=100000,Sales_Data!Q277&gt;=4,Sales_Data!V277="Completed",Sales_Data!O277&lt;=10),"Platinum",IF(AND(Sales_Data!P277&gt;=50000,Sales_Data!Q277&gt;=3,Sales_Data!V277="Completed"),"Gold",IF(AND(Sales_Data!P277&lt;50000,Sales_Data!V277="Completed"),"Silver",IF(OR(Sales_Data!Q277&lt;=2,Sales_Data!V277="Canceled"),"Blacklisted","Others"))))</f>
        <v>Others</v>
      </c>
      <c r="B277" s="4" t="str">
        <f>PROPER(TRIM(Sales_Data!F277))</f>
        <v>Priya Patel</v>
      </c>
      <c r="C277" s="4" t="str">
        <f>LEFT(B277,3)&amp;RIGHT(Sales_Data!B277,3)&amp;LEFT(Sales_Data!I277,2)</f>
        <v>Pri002Ah</v>
      </c>
      <c r="D277" s="4" t="str">
        <f>IF(ISNUMBER(SEARCH("@",Sales_Data!T277)),LOWER(Sales_Data!T277),"Invalid_Email")</f>
        <v>priya.patel@company.com</v>
      </c>
      <c r="E277" s="13">
        <f ca="1">DATEDIF(Sales_Data!H277,TODAY(),"Y")</f>
        <v>28</v>
      </c>
      <c r="F277" s="13">
        <f>IFERROR(DATEDIF(Sales_Data!D277,Sales_Data!E277,"D"),"Information_Not_Given")</f>
        <v>9</v>
      </c>
      <c r="G277" s="13" t="str" cm="1">
        <f t="array" ref="G277">_xlfn.IFS(F277&lt;=5,"One_Time",F277&gt;5,"Delayed",F277="Information_Not_given","Pending")</f>
        <v>Delayed</v>
      </c>
    </row>
    <row r="278" spans="1:7" x14ac:dyDescent="0.3">
      <c r="A278" s="12" t="str">
        <f>IF(AND(Sales_Data!P278&gt;=100000,Sales_Data!Q278&gt;=4,Sales_Data!V278="Completed",Sales_Data!O278&lt;=10),"Platinum",IF(AND(Sales_Data!P278&gt;=50000,Sales_Data!Q278&gt;=3,Sales_Data!V278="Completed"),"Gold",IF(AND(Sales_Data!P278&lt;50000,Sales_Data!V278="Completed"),"Silver",IF(OR(Sales_Data!Q278&lt;=2,Sales_Data!V278="Canceled"),"Blacklisted","Others"))))</f>
        <v>Others</v>
      </c>
      <c r="B278" s="4" t="str">
        <f>PROPER(TRIM(Sales_Data!F278))</f>
        <v>Arjun Rao</v>
      </c>
      <c r="C278" s="4" t="str">
        <f>LEFT(B278,3)&amp;RIGHT(Sales_Data!B278,3)&amp;LEFT(Sales_Data!I278,2)</f>
        <v>Arj007Be</v>
      </c>
      <c r="D278" s="4" t="str">
        <f>IF(ISNUMBER(SEARCH("@",Sales_Data!T278)),LOWER(Sales_Data!T278),"Invalid_Email")</f>
        <v>arjun.rao@company.com</v>
      </c>
      <c r="E278" s="13">
        <f ca="1">DATEDIF(Sales_Data!H278,TODAY(),"Y")</f>
        <v>50</v>
      </c>
      <c r="F278" s="13">
        <f>IFERROR(DATEDIF(Sales_Data!D278,Sales_Data!E278,"D"),"Information_Not_Given")</f>
        <v>4</v>
      </c>
      <c r="G278" s="13" t="str" cm="1">
        <f t="array" ref="G278">_xlfn.IFS(F278&lt;=5,"One_Time",F278&gt;5,"Delayed",F278="Information_Not_given","Pending")</f>
        <v>One_Time</v>
      </c>
    </row>
    <row r="279" spans="1:7" x14ac:dyDescent="0.3">
      <c r="A279" s="12" t="str">
        <f>IF(AND(Sales_Data!P279&gt;=100000,Sales_Data!Q279&gt;=4,Sales_Data!V279="Completed",Sales_Data!O279&lt;=10),"Platinum",IF(AND(Sales_Data!P279&gt;=50000,Sales_Data!Q279&gt;=3,Sales_Data!V279="Completed"),"Gold",IF(AND(Sales_Data!P279&lt;50000,Sales_Data!V279="Completed"),"Silver",IF(OR(Sales_Data!Q279&lt;=2,Sales_Data!V279="Canceled"),"Blacklisted","Others"))))</f>
        <v>Silver</v>
      </c>
      <c r="B279" s="4" t="str">
        <f>PROPER(TRIM(Sales_Data!F279))</f>
        <v>Anita Gupta</v>
      </c>
      <c r="C279" s="4" t="str">
        <f>LEFT(B279,3)&amp;RIGHT(Sales_Data!B279,3)&amp;LEFT(Sales_Data!I279,2)</f>
        <v>Ani004Mu</v>
      </c>
      <c r="D279" s="4" t="str">
        <f>IF(ISNUMBER(SEARCH("@",Sales_Data!T279)),LOWER(Sales_Data!T279),"Invalid_Email")</f>
        <v>anita.gupta@company.com</v>
      </c>
      <c r="E279" s="13">
        <f ca="1">DATEDIF(Sales_Data!H279,TODAY(),"Y")</f>
        <v>51</v>
      </c>
      <c r="F279" s="13">
        <f>IFERROR(DATEDIF(Sales_Data!D279,Sales_Data!E279,"D"),"Information_Not_Given")</f>
        <v>8</v>
      </c>
      <c r="G279" s="13" t="str" cm="1">
        <f t="array" ref="G279">_xlfn.IFS(F279&lt;=5,"One_Time",F279&gt;5,"Delayed",F279="Information_Not_given","Pending")</f>
        <v>Delayed</v>
      </c>
    </row>
    <row r="280" spans="1:7" x14ac:dyDescent="0.3">
      <c r="A280" s="12" t="str">
        <f>IF(AND(Sales_Data!P280&gt;=100000,Sales_Data!Q280&gt;=4,Sales_Data!V280="Completed",Sales_Data!O280&lt;=10),"Platinum",IF(AND(Sales_Data!P280&gt;=50000,Sales_Data!Q280&gt;=3,Sales_Data!V280="Completed"),"Gold",IF(AND(Sales_Data!P280&lt;50000,Sales_Data!V280="Completed"),"Silver",IF(OR(Sales_Data!Q280&lt;=2,Sales_Data!V280="Canceled"),"Blacklisted","Others"))))</f>
        <v>Others</v>
      </c>
      <c r="B280" s="4" t="str">
        <f>PROPER(TRIM(Sales_Data!F280))</f>
        <v>Priya Patel</v>
      </c>
      <c r="C280" s="4" t="str">
        <f>LEFT(B280,3)&amp;RIGHT(Sales_Data!B280,3)&amp;LEFT(Sales_Data!I280,2)</f>
        <v>Pri002Mu</v>
      </c>
      <c r="D280" s="4" t="str">
        <f>IF(ISNUMBER(SEARCH("@",Sales_Data!T280)),LOWER(Sales_Data!T280),"Invalid_Email")</f>
        <v>priya.patel@company.com</v>
      </c>
      <c r="E280" s="13">
        <f ca="1">DATEDIF(Sales_Data!H280,TODAY(),"Y")</f>
        <v>24</v>
      </c>
      <c r="F280" s="13">
        <f>IFERROR(DATEDIF(Sales_Data!D280,Sales_Data!E280,"D"),"Information_Not_Given")</f>
        <v>12</v>
      </c>
      <c r="G280" s="13" t="str" cm="1">
        <f t="array" ref="G280">_xlfn.IFS(F280&lt;=5,"One_Time",F280&gt;5,"Delayed",F280="Information_Not_given","Pending")</f>
        <v>Delayed</v>
      </c>
    </row>
    <row r="281" spans="1:7" x14ac:dyDescent="0.3">
      <c r="A281" s="12" t="str">
        <f>IF(AND(Sales_Data!P281&gt;=100000,Sales_Data!Q281&gt;=4,Sales_Data!V281="Completed",Sales_Data!O281&lt;=10),"Platinum",IF(AND(Sales_Data!P281&gt;=50000,Sales_Data!Q281&gt;=3,Sales_Data!V281="Completed"),"Gold",IF(AND(Sales_Data!P281&lt;50000,Sales_Data!V281="Completed"),"Silver",IF(OR(Sales_Data!Q281&lt;=2,Sales_Data!V281="Canceled"),"Blacklisted","Others"))))</f>
        <v>Others</v>
      </c>
      <c r="B281" s="4" t="str">
        <f>PROPER(TRIM(Sales_Data!F281))</f>
        <v>Sneha Joshi</v>
      </c>
      <c r="C281" s="4" t="str">
        <f>LEFT(B281,3)&amp;RIGHT(Sales_Data!B281,3)&amp;LEFT(Sales_Data!I281,2)</f>
        <v>Sne006Ah</v>
      </c>
      <c r="D281" s="4" t="str">
        <f>IF(ISNUMBER(SEARCH("@",Sales_Data!T281)),LOWER(Sales_Data!T281),"Invalid_Email")</f>
        <v>sneha.joshi@company.com</v>
      </c>
      <c r="E281" s="13">
        <f ca="1">DATEDIF(Sales_Data!H281,TODAY(),"Y")</f>
        <v>38</v>
      </c>
      <c r="F281" s="13">
        <f>IFERROR(DATEDIF(Sales_Data!D281,Sales_Data!E281,"D"),"Information_Not_Given")</f>
        <v>11</v>
      </c>
      <c r="G281" s="13" t="str" cm="1">
        <f t="array" ref="G281">_xlfn.IFS(F281&lt;=5,"One_Time",F281&gt;5,"Delayed",F281="Information_Not_given","Pending")</f>
        <v>Delayed</v>
      </c>
    </row>
    <row r="282" spans="1:7" x14ac:dyDescent="0.3">
      <c r="A282" s="12" t="str">
        <f>IF(AND(Sales_Data!P282&gt;=100000,Sales_Data!Q282&gt;=4,Sales_Data!V282="Completed",Sales_Data!O282&lt;=10),"Platinum",IF(AND(Sales_Data!P282&gt;=50000,Sales_Data!Q282&gt;=3,Sales_Data!V282="Completed"),"Gold",IF(AND(Sales_Data!P282&lt;50000,Sales_Data!V282="Completed"),"Silver",IF(OR(Sales_Data!Q282&lt;=2,Sales_Data!V282="Canceled"),"Blacklisted","Others"))))</f>
        <v>Blacklisted</v>
      </c>
      <c r="B282" s="4" t="str">
        <f>PROPER(TRIM(Sales_Data!F282))</f>
        <v>Mohit Verma</v>
      </c>
      <c r="C282" s="4" t="str">
        <f>LEFT(B282,3)&amp;RIGHT(Sales_Data!B282,3)&amp;LEFT(Sales_Data!I282,2)</f>
        <v>Moh009Ja</v>
      </c>
      <c r="D282" s="4" t="str">
        <f>IF(ISNUMBER(SEARCH("@",Sales_Data!T282)),LOWER(Sales_Data!T282),"Invalid_Email")</f>
        <v>mohit.verma@company.com</v>
      </c>
      <c r="E282" s="13">
        <f ca="1">DATEDIF(Sales_Data!H282,TODAY(),"Y")</f>
        <v>35</v>
      </c>
      <c r="F282" s="13">
        <f>IFERROR(DATEDIF(Sales_Data!D282,Sales_Data!E282,"D"),"Information_Not_Given")</f>
        <v>4</v>
      </c>
      <c r="G282" s="13" t="str" cm="1">
        <f t="array" ref="G282">_xlfn.IFS(F282&lt;=5,"One_Time",F282&gt;5,"Delayed",F282="Information_Not_given","Pending")</f>
        <v>One_Time</v>
      </c>
    </row>
    <row r="283" spans="1:7" x14ac:dyDescent="0.3">
      <c r="A283" s="12" t="str">
        <f>IF(AND(Sales_Data!P283&gt;=100000,Sales_Data!Q283&gt;=4,Sales_Data!V283="Completed",Sales_Data!O283&lt;=10),"Platinum",IF(AND(Sales_Data!P283&gt;=50000,Sales_Data!Q283&gt;=3,Sales_Data!V283="Completed"),"Gold",IF(AND(Sales_Data!P283&lt;50000,Sales_Data!V283="Completed"),"Silver",IF(OR(Sales_Data!Q283&lt;=2,Sales_Data!V283="Canceled"),"Blacklisted","Others"))))</f>
        <v>Others</v>
      </c>
      <c r="B283" s="4" t="str">
        <f>PROPER(TRIM(Sales_Data!F283))</f>
        <v>Sneha Joshi</v>
      </c>
      <c r="C283" s="4" t="str">
        <f>LEFT(B283,3)&amp;RIGHT(Sales_Data!B283,3)&amp;LEFT(Sales_Data!I283,2)</f>
        <v>Sne006Ja</v>
      </c>
      <c r="D283" s="4" t="str">
        <f>IF(ISNUMBER(SEARCH("@",Sales_Data!T283)),LOWER(Sales_Data!T283),"Invalid_Email")</f>
        <v>sneha.joshi@company.com</v>
      </c>
      <c r="E283" s="13">
        <f ca="1">DATEDIF(Sales_Data!H283,TODAY(),"Y")</f>
        <v>48</v>
      </c>
      <c r="F283" s="13">
        <f>IFERROR(DATEDIF(Sales_Data!D283,Sales_Data!E283,"D"),"Information_Not_Given")</f>
        <v>12</v>
      </c>
      <c r="G283" s="13" t="str" cm="1">
        <f t="array" ref="G283">_xlfn.IFS(F283&lt;=5,"One_Time",F283&gt;5,"Delayed",F283="Information_Not_given","Pending")</f>
        <v>Delayed</v>
      </c>
    </row>
    <row r="284" spans="1:7" x14ac:dyDescent="0.3">
      <c r="A284" s="12" t="str">
        <f>IF(AND(Sales_Data!P284&gt;=100000,Sales_Data!Q284&gt;=4,Sales_Data!V284="Completed",Sales_Data!O284&lt;=10),"Platinum",IF(AND(Sales_Data!P284&gt;=50000,Sales_Data!Q284&gt;=3,Sales_Data!V284="Completed"),"Gold",IF(AND(Sales_Data!P284&lt;50000,Sales_Data!V284="Completed"),"Silver",IF(OR(Sales_Data!Q284&lt;=2,Sales_Data!V284="Canceled"),"Blacklisted","Others"))))</f>
        <v>Blacklisted</v>
      </c>
      <c r="B284" s="4" t="str">
        <f>PROPER(TRIM(Sales_Data!F284))</f>
        <v>Arjun Rao</v>
      </c>
      <c r="C284" s="4" t="str">
        <f>LEFT(B284,3)&amp;RIGHT(Sales_Data!B284,3)&amp;LEFT(Sales_Data!I284,2)</f>
        <v>Arj007Mu</v>
      </c>
      <c r="D284" s="4" t="str">
        <f>IF(ISNUMBER(SEARCH("@",Sales_Data!T284)),LOWER(Sales_Data!T284),"Invalid_Email")</f>
        <v>arjun.rao@company.com</v>
      </c>
      <c r="E284" s="13">
        <f ca="1">DATEDIF(Sales_Data!H284,TODAY(),"Y")</f>
        <v>32</v>
      </c>
      <c r="F284" s="13">
        <f>IFERROR(DATEDIF(Sales_Data!D284,Sales_Data!E284,"D"),"Information_Not_Given")</f>
        <v>6</v>
      </c>
      <c r="G284" s="13" t="str" cm="1">
        <f t="array" ref="G284">_xlfn.IFS(F284&lt;=5,"One_Time",F284&gt;5,"Delayed",F284="Information_Not_given","Pending")</f>
        <v>Delayed</v>
      </c>
    </row>
    <row r="285" spans="1:7" x14ac:dyDescent="0.3">
      <c r="A285" s="12" t="str">
        <f>IF(AND(Sales_Data!P285&gt;=100000,Sales_Data!Q285&gt;=4,Sales_Data!V285="Completed",Sales_Data!O285&lt;=10),"Platinum",IF(AND(Sales_Data!P285&gt;=50000,Sales_Data!Q285&gt;=3,Sales_Data!V285="Completed"),"Gold",IF(AND(Sales_Data!P285&lt;50000,Sales_Data!V285="Completed"),"Silver",IF(OR(Sales_Data!Q285&lt;=2,Sales_Data!V285="Canceled"),"Blacklisted","Others"))))</f>
        <v>Silver</v>
      </c>
      <c r="B285" s="4" t="str">
        <f>PROPER(TRIM(Sales_Data!F285))</f>
        <v>Mohit Verma</v>
      </c>
      <c r="C285" s="4" t="str">
        <f>LEFT(B285,3)&amp;RIGHT(Sales_Data!B285,3)&amp;LEFT(Sales_Data!I285,2)</f>
        <v>Moh009Ah</v>
      </c>
      <c r="D285" s="4" t="str">
        <f>IF(ISNUMBER(SEARCH("@",Sales_Data!T285)),LOWER(Sales_Data!T285),"Invalid_Email")</f>
        <v>mohit.verma@company.com</v>
      </c>
      <c r="E285" s="13">
        <f ca="1">DATEDIF(Sales_Data!H285,TODAY(),"Y")</f>
        <v>31</v>
      </c>
      <c r="F285" s="13">
        <f>IFERROR(DATEDIF(Sales_Data!D285,Sales_Data!E285,"D"),"Information_Not_Given")</f>
        <v>6</v>
      </c>
      <c r="G285" s="13" t="str" cm="1">
        <f t="array" ref="G285">_xlfn.IFS(F285&lt;=5,"One_Time",F285&gt;5,"Delayed",F285="Information_Not_given","Pending")</f>
        <v>Delayed</v>
      </c>
    </row>
    <row r="286" spans="1:7" x14ac:dyDescent="0.3">
      <c r="A286" s="12" t="str">
        <f>IF(AND(Sales_Data!P286&gt;=100000,Sales_Data!Q286&gt;=4,Sales_Data!V286="Completed",Sales_Data!O286&lt;=10),"Platinum",IF(AND(Sales_Data!P286&gt;=50000,Sales_Data!Q286&gt;=3,Sales_Data!V286="Completed"),"Gold",IF(AND(Sales_Data!P286&lt;50000,Sales_Data!V286="Completed"),"Silver",IF(OR(Sales_Data!Q286&lt;=2,Sales_Data!V286="Canceled"),"Blacklisted","Others"))))</f>
        <v>Silver</v>
      </c>
      <c r="B286" s="4" t="str">
        <f>PROPER(TRIM(Sales_Data!F286))</f>
        <v>Sneha Joshi</v>
      </c>
      <c r="C286" s="4" t="str">
        <f>LEFT(B286,3)&amp;RIGHT(Sales_Data!B286,3)&amp;LEFT(Sales_Data!I286,2)</f>
        <v>Sne006Hy</v>
      </c>
      <c r="D286" s="4" t="str">
        <f>IF(ISNUMBER(SEARCH("@",Sales_Data!T286)),LOWER(Sales_Data!T286),"Invalid_Email")</f>
        <v>sneha.joshi@company.com</v>
      </c>
      <c r="E286" s="13">
        <f ca="1">DATEDIF(Sales_Data!H286,TODAY(),"Y")</f>
        <v>34</v>
      </c>
      <c r="F286" s="13">
        <f>IFERROR(DATEDIF(Sales_Data!D286,Sales_Data!E286,"D"),"Information_Not_Given")</f>
        <v>4</v>
      </c>
      <c r="G286" s="13" t="str" cm="1">
        <f t="array" ref="G286">_xlfn.IFS(F286&lt;=5,"One_Time",F286&gt;5,"Delayed",F286="Information_Not_given","Pending")</f>
        <v>One_Time</v>
      </c>
    </row>
    <row r="287" spans="1:7" x14ac:dyDescent="0.3">
      <c r="A287" s="12" t="str">
        <f>IF(AND(Sales_Data!P287&gt;=100000,Sales_Data!Q287&gt;=4,Sales_Data!V287="Completed",Sales_Data!O287&lt;=10),"Platinum",IF(AND(Sales_Data!P287&gt;=50000,Sales_Data!Q287&gt;=3,Sales_Data!V287="Completed"),"Gold",IF(AND(Sales_Data!P287&lt;50000,Sales_Data!V287="Completed"),"Silver",IF(OR(Sales_Data!Q287&lt;=2,Sales_Data!V287="Canceled"),"Blacklisted","Others"))))</f>
        <v>Blacklisted</v>
      </c>
      <c r="B287" s="4" t="str">
        <f>PROPER(TRIM(Sales_Data!F287))</f>
        <v>Sneha Joshi</v>
      </c>
      <c r="C287" s="4" t="str">
        <f>LEFT(B287,3)&amp;RIGHT(Sales_Data!B287,3)&amp;LEFT(Sales_Data!I287,2)</f>
        <v>Sne006Be</v>
      </c>
      <c r="D287" s="4" t="str">
        <f>IF(ISNUMBER(SEARCH("@",Sales_Data!T287)),LOWER(Sales_Data!T287),"Invalid_Email")</f>
        <v>sneha.joshi@company.com</v>
      </c>
      <c r="E287" s="13">
        <f ca="1">DATEDIF(Sales_Data!H287,TODAY(),"Y")</f>
        <v>45</v>
      </c>
      <c r="F287" s="13">
        <f>IFERROR(DATEDIF(Sales_Data!D287,Sales_Data!E287,"D"),"Information_Not_Given")</f>
        <v>8</v>
      </c>
      <c r="G287" s="13" t="str" cm="1">
        <f t="array" ref="G287">_xlfn.IFS(F287&lt;=5,"One_Time",F287&gt;5,"Delayed",F287="Information_Not_given","Pending")</f>
        <v>Delayed</v>
      </c>
    </row>
    <row r="288" spans="1:7" x14ac:dyDescent="0.3">
      <c r="A288" s="12" t="str">
        <f>IF(AND(Sales_Data!P288&gt;=100000,Sales_Data!Q288&gt;=4,Sales_Data!V288="Completed",Sales_Data!O288&lt;=10),"Platinum",IF(AND(Sales_Data!P288&gt;=50000,Sales_Data!Q288&gt;=3,Sales_Data!V288="Completed"),"Gold",IF(AND(Sales_Data!P288&lt;50000,Sales_Data!V288="Completed"),"Silver",IF(OR(Sales_Data!Q288&lt;=2,Sales_Data!V288="Canceled"),"Blacklisted","Others"))))</f>
        <v>Others</v>
      </c>
      <c r="B288" s="4" t="str">
        <f>PROPER(TRIM(Sales_Data!F288))</f>
        <v>Anita Gupta</v>
      </c>
      <c r="C288" s="4" t="str">
        <f>LEFT(B288,3)&amp;RIGHT(Sales_Data!B288,3)&amp;LEFT(Sales_Data!I288,2)</f>
        <v>Ani004Hy</v>
      </c>
      <c r="D288" s="4" t="str">
        <f>IF(ISNUMBER(SEARCH("@",Sales_Data!T288)),LOWER(Sales_Data!T288),"Invalid_Email")</f>
        <v>anita.gupta@company.com</v>
      </c>
      <c r="E288" s="13">
        <f ca="1">DATEDIF(Sales_Data!H288,TODAY(),"Y")</f>
        <v>42</v>
      </c>
      <c r="F288" s="13">
        <f>IFERROR(DATEDIF(Sales_Data!D288,Sales_Data!E288,"D"),"Information_Not_Given")</f>
        <v>3</v>
      </c>
      <c r="G288" s="13" t="str" cm="1">
        <f t="array" ref="G288">_xlfn.IFS(F288&lt;=5,"One_Time",F288&gt;5,"Delayed",F288="Information_Not_given","Pending")</f>
        <v>One_Time</v>
      </c>
    </row>
    <row r="289" spans="1:7" x14ac:dyDescent="0.3">
      <c r="A289" s="12" t="str">
        <f>IF(AND(Sales_Data!P289&gt;=100000,Sales_Data!Q289&gt;=4,Sales_Data!V289="Completed",Sales_Data!O289&lt;=10),"Platinum",IF(AND(Sales_Data!P289&gt;=50000,Sales_Data!Q289&gt;=3,Sales_Data!V289="Completed"),"Gold",IF(AND(Sales_Data!P289&lt;50000,Sales_Data!V289="Completed"),"Silver",IF(OR(Sales_Data!Q289&lt;=2,Sales_Data!V289="Canceled"),"Blacklisted","Others"))))</f>
        <v>Blacklisted</v>
      </c>
      <c r="B289" s="4" t="str">
        <f>PROPER(TRIM(Sales_Data!F289))</f>
        <v>Priya Patel</v>
      </c>
      <c r="C289" s="4" t="str">
        <f>LEFT(B289,3)&amp;RIGHT(Sales_Data!B289,3)&amp;LEFT(Sales_Data!I289,2)</f>
        <v>Pri002Mu</v>
      </c>
      <c r="D289" s="4" t="str">
        <f>IF(ISNUMBER(SEARCH("@",Sales_Data!T289)),LOWER(Sales_Data!T289),"Invalid_Email")</f>
        <v>Invalid_Email</v>
      </c>
      <c r="E289" s="13">
        <f ca="1">DATEDIF(Sales_Data!H289,TODAY(),"Y")</f>
        <v>50</v>
      </c>
      <c r="F289" s="13">
        <f>IFERROR(DATEDIF(Sales_Data!D289,Sales_Data!E289,"D"),"Information_Not_Given")</f>
        <v>1</v>
      </c>
      <c r="G289" s="13" t="str" cm="1">
        <f t="array" ref="G289">_xlfn.IFS(F289&lt;=5,"One_Time",F289&gt;5,"Delayed",F289="Information_Not_given","Pending")</f>
        <v>One_Time</v>
      </c>
    </row>
    <row r="290" spans="1:7" x14ac:dyDescent="0.3">
      <c r="A290" s="12" t="str">
        <f>IF(AND(Sales_Data!P290&gt;=100000,Sales_Data!Q290&gt;=4,Sales_Data!V290="Completed",Sales_Data!O290&lt;=10),"Platinum",IF(AND(Sales_Data!P290&gt;=50000,Sales_Data!Q290&gt;=3,Sales_Data!V290="Completed"),"Gold",IF(AND(Sales_Data!P290&lt;50000,Sales_Data!V290="Completed"),"Silver",IF(OR(Sales_Data!Q290&lt;=2,Sales_Data!V290="Canceled"),"Blacklisted","Others"))))</f>
        <v>Others</v>
      </c>
      <c r="B290" s="4" t="str">
        <f>PROPER(TRIM(Sales_Data!F290))</f>
        <v>Mohit Verma</v>
      </c>
      <c r="C290" s="4" t="str">
        <f>LEFT(B290,3)&amp;RIGHT(Sales_Data!B290,3)&amp;LEFT(Sales_Data!I290,2)</f>
        <v>Moh009Pu</v>
      </c>
      <c r="D290" s="4" t="str">
        <f>IF(ISNUMBER(SEARCH("@",Sales_Data!T290)),LOWER(Sales_Data!T290),"Invalid_Email")</f>
        <v>mohit.verma@company.com</v>
      </c>
      <c r="E290" s="13">
        <f ca="1">DATEDIF(Sales_Data!H290,TODAY(),"Y")</f>
        <v>31</v>
      </c>
      <c r="F290" s="13">
        <f>IFERROR(DATEDIF(Sales_Data!D290,Sales_Data!E290,"D"),"Information_Not_Given")</f>
        <v>7</v>
      </c>
      <c r="G290" s="13" t="str" cm="1">
        <f t="array" ref="G290">_xlfn.IFS(F290&lt;=5,"One_Time",F290&gt;5,"Delayed",F290="Information_Not_given","Pending")</f>
        <v>Delayed</v>
      </c>
    </row>
    <row r="291" spans="1:7" x14ac:dyDescent="0.3">
      <c r="A291" s="12" t="str">
        <f>IF(AND(Sales_Data!P291&gt;=100000,Sales_Data!Q291&gt;=4,Sales_Data!V291="Completed",Sales_Data!O291&lt;=10),"Platinum",IF(AND(Sales_Data!P291&gt;=50000,Sales_Data!Q291&gt;=3,Sales_Data!V291="Completed"),"Gold",IF(AND(Sales_Data!P291&lt;50000,Sales_Data!V291="Completed"),"Silver",IF(OR(Sales_Data!Q291&lt;=2,Sales_Data!V291="Canceled"),"Blacklisted","Others"))))</f>
        <v>Silver</v>
      </c>
      <c r="B291" s="4" t="str">
        <f>PROPER(TRIM(Sales_Data!F291))</f>
        <v>Mohit Verma</v>
      </c>
      <c r="C291" s="4" t="str">
        <f>LEFT(B291,3)&amp;RIGHT(Sales_Data!B291,3)&amp;LEFT(Sales_Data!I291,2)</f>
        <v>Moh009Pu</v>
      </c>
      <c r="D291" s="4" t="str">
        <f>IF(ISNUMBER(SEARCH("@",Sales_Data!T291)),LOWER(Sales_Data!T291),"Invalid_Email")</f>
        <v>mohit.verma@company.com</v>
      </c>
      <c r="E291" s="13">
        <f ca="1">DATEDIF(Sales_Data!H291,TODAY(),"Y")</f>
        <v>46</v>
      </c>
      <c r="F291" s="13">
        <f>IFERROR(DATEDIF(Sales_Data!D291,Sales_Data!E291,"D"),"Information_Not_Given")</f>
        <v>12</v>
      </c>
      <c r="G291" s="13" t="str" cm="1">
        <f t="array" ref="G291">_xlfn.IFS(F291&lt;=5,"One_Time",F291&gt;5,"Delayed",F291="Information_Not_given","Pending")</f>
        <v>Delayed</v>
      </c>
    </row>
    <row r="292" spans="1:7" x14ac:dyDescent="0.3">
      <c r="A292" s="12" t="str">
        <f>IF(AND(Sales_Data!P292&gt;=100000,Sales_Data!Q292&gt;=4,Sales_Data!V292="Completed",Sales_Data!O292&lt;=10),"Platinum",IF(AND(Sales_Data!P292&gt;=50000,Sales_Data!Q292&gt;=3,Sales_Data!V292="Completed"),"Gold",IF(AND(Sales_Data!P292&lt;50000,Sales_Data!V292="Completed"),"Silver",IF(OR(Sales_Data!Q292&lt;=2,Sales_Data!V292="Canceled"),"Blacklisted","Others"))))</f>
        <v>Blacklisted</v>
      </c>
      <c r="B292" s="4" t="str">
        <f>PROPER(TRIM(Sales_Data!F292))</f>
        <v>Rohit Singh</v>
      </c>
      <c r="C292" s="4" t="str">
        <f>LEFT(B292,3)&amp;RIGHT(Sales_Data!B292,3)&amp;LEFT(Sales_Data!I292,2)</f>
        <v>Roh003Mu</v>
      </c>
      <c r="D292" s="4" t="str">
        <f>IF(ISNUMBER(SEARCH("@",Sales_Data!T292)),LOWER(Sales_Data!T292),"Invalid_Email")</f>
        <v>rohit.singh@company.com</v>
      </c>
      <c r="E292" s="13">
        <f ca="1">DATEDIF(Sales_Data!H292,TODAY(),"Y")</f>
        <v>39</v>
      </c>
      <c r="F292" s="13">
        <f>IFERROR(DATEDIF(Sales_Data!D292,Sales_Data!E292,"D"),"Information_Not_Given")</f>
        <v>6</v>
      </c>
      <c r="G292" s="13" t="str" cm="1">
        <f t="array" ref="G292">_xlfn.IFS(F292&lt;=5,"One_Time",F292&gt;5,"Delayed",F292="Information_Not_given","Pending")</f>
        <v>Delayed</v>
      </c>
    </row>
    <row r="293" spans="1:7" x14ac:dyDescent="0.3">
      <c r="A293" s="12" t="str">
        <f>IF(AND(Sales_Data!P293&gt;=100000,Sales_Data!Q293&gt;=4,Sales_Data!V293="Completed",Sales_Data!O293&lt;=10),"Platinum",IF(AND(Sales_Data!P293&gt;=50000,Sales_Data!Q293&gt;=3,Sales_Data!V293="Completed"),"Gold",IF(AND(Sales_Data!P293&lt;50000,Sales_Data!V293="Completed"),"Silver",IF(OR(Sales_Data!Q293&lt;=2,Sales_Data!V293="Canceled"),"Blacklisted","Others"))))</f>
        <v>Blacklisted</v>
      </c>
      <c r="B293" s="4" t="str">
        <f>PROPER(TRIM(Sales_Data!F293))</f>
        <v>Amit Sharma</v>
      </c>
      <c r="C293" s="4" t="str">
        <f>LEFT(B293,3)&amp;RIGHT(Sales_Data!B293,3)&amp;LEFT(Sales_Data!I293,2)</f>
        <v>Ami001Ja</v>
      </c>
      <c r="D293" s="4" t="str">
        <f>IF(ISNUMBER(SEARCH("@",Sales_Data!T293)),LOWER(Sales_Data!T293),"Invalid_Email")</f>
        <v>amit.sharma@company.com</v>
      </c>
      <c r="E293" s="13">
        <f ca="1">DATEDIF(Sales_Data!H293,TODAY(),"Y")</f>
        <v>25</v>
      </c>
      <c r="F293" s="13">
        <f>IFERROR(DATEDIF(Sales_Data!D293,Sales_Data!E293,"D"),"Information_Not_Given")</f>
        <v>5</v>
      </c>
      <c r="G293" s="13" t="str" cm="1">
        <f t="array" ref="G293">_xlfn.IFS(F293&lt;=5,"One_Time",F293&gt;5,"Delayed",F293="Information_Not_given","Pending")</f>
        <v>One_Time</v>
      </c>
    </row>
    <row r="294" spans="1:7" x14ac:dyDescent="0.3">
      <c r="A294" s="12" t="str">
        <f>IF(AND(Sales_Data!P294&gt;=100000,Sales_Data!Q294&gt;=4,Sales_Data!V294="Completed",Sales_Data!O294&lt;=10),"Platinum",IF(AND(Sales_Data!P294&gt;=50000,Sales_Data!Q294&gt;=3,Sales_Data!V294="Completed"),"Gold",IF(AND(Sales_Data!P294&lt;50000,Sales_Data!V294="Completed"),"Silver",IF(OR(Sales_Data!Q294&lt;=2,Sales_Data!V294="Canceled"),"Blacklisted","Others"))))</f>
        <v>Silver</v>
      </c>
      <c r="B294" s="4" t="str">
        <f>PROPER(TRIM(Sales_Data!F294))</f>
        <v>Pooja Shah</v>
      </c>
      <c r="C294" s="4" t="str">
        <f>LEFT(B294,3)&amp;RIGHT(Sales_Data!B294,3)&amp;LEFT(Sales_Data!I294,2)</f>
        <v>Poo010Ja</v>
      </c>
      <c r="D294" s="4" t="str">
        <f>IF(ISNUMBER(SEARCH("@",Sales_Data!T294)),LOWER(Sales_Data!T294),"Invalid_Email")</f>
        <v>pooja.shah@company.com</v>
      </c>
      <c r="E294" s="13">
        <f ca="1">DATEDIF(Sales_Data!H294,TODAY(),"Y")</f>
        <v>36</v>
      </c>
      <c r="F294" s="13">
        <f>IFERROR(DATEDIF(Sales_Data!D294,Sales_Data!E294,"D"),"Information_Not_Given")</f>
        <v>2</v>
      </c>
      <c r="G294" s="13" t="str" cm="1">
        <f t="array" ref="G294">_xlfn.IFS(F294&lt;=5,"One_Time",F294&gt;5,"Delayed",F294="Information_Not_given","Pending")</f>
        <v>One_Time</v>
      </c>
    </row>
    <row r="295" spans="1:7" x14ac:dyDescent="0.3">
      <c r="A295" s="12" t="str">
        <f>IF(AND(Sales_Data!P295&gt;=100000,Sales_Data!Q295&gt;=4,Sales_Data!V295="Completed",Sales_Data!O295&lt;=10),"Platinum",IF(AND(Sales_Data!P295&gt;=50000,Sales_Data!Q295&gt;=3,Sales_Data!V295="Completed"),"Gold",IF(AND(Sales_Data!P295&lt;50000,Sales_Data!V295="Completed"),"Silver",IF(OR(Sales_Data!Q295&lt;=2,Sales_Data!V295="Canceled"),"Blacklisted","Others"))))</f>
        <v>Silver</v>
      </c>
      <c r="B295" s="4" t="str">
        <f>PROPER(TRIM(Sales_Data!F295))</f>
        <v>Kavya Nair</v>
      </c>
      <c r="C295" s="4" t="str">
        <f>LEFT(B295,3)&amp;RIGHT(Sales_Data!B295,3)&amp;LEFT(Sales_Data!I295,2)</f>
        <v>Kav008Ah</v>
      </c>
      <c r="D295" s="4" t="str">
        <f>IF(ISNUMBER(SEARCH("@",Sales_Data!T295)),LOWER(Sales_Data!T295),"Invalid_Email")</f>
        <v>kavya.nair@company.com</v>
      </c>
      <c r="E295" s="13">
        <f ca="1">DATEDIF(Sales_Data!H295,TODAY(),"Y")</f>
        <v>37</v>
      </c>
      <c r="F295" s="13">
        <f>IFERROR(DATEDIF(Sales_Data!D295,Sales_Data!E295,"D"),"Information_Not_Given")</f>
        <v>11</v>
      </c>
      <c r="G295" s="13" t="str" cm="1">
        <f t="array" ref="G295">_xlfn.IFS(F295&lt;=5,"One_Time",F295&gt;5,"Delayed",F295="Information_Not_given","Pending")</f>
        <v>Delayed</v>
      </c>
    </row>
    <row r="296" spans="1:7" x14ac:dyDescent="0.3">
      <c r="A296" s="12" t="str">
        <f>IF(AND(Sales_Data!P296&gt;=100000,Sales_Data!Q296&gt;=4,Sales_Data!V296="Completed",Sales_Data!O296&lt;=10),"Platinum",IF(AND(Sales_Data!P296&gt;=50000,Sales_Data!Q296&gt;=3,Sales_Data!V296="Completed"),"Gold",IF(AND(Sales_Data!P296&lt;50000,Sales_Data!V296="Completed"),"Silver",IF(OR(Sales_Data!Q296&lt;=2,Sales_Data!V296="Canceled"),"Blacklisted","Others"))))</f>
        <v>Others</v>
      </c>
      <c r="B296" s="4" t="str">
        <f>PROPER(TRIM(Sales_Data!F296))</f>
        <v>Anita Gupta</v>
      </c>
      <c r="C296" s="4" t="str">
        <f>LEFT(B296,3)&amp;RIGHT(Sales_Data!B296,3)&amp;LEFT(Sales_Data!I296,2)</f>
        <v>Ani004Mu</v>
      </c>
      <c r="D296" s="4" t="str">
        <f>IF(ISNUMBER(SEARCH("@",Sales_Data!T296)),LOWER(Sales_Data!T296),"Invalid_Email")</f>
        <v>anita.gupta@company.com</v>
      </c>
      <c r="E296" s="13">
        <f ca="1">DATEDIF(Sales_Data!H296,TODAY(),"Y")</f>
        <v>35</v>
      </c>
      <c r="F296" s="13">
        <f>IFERROR(DATEDIF(Sales_Data!D296,Sales_Data!E296,"D"),"Information_Not_Given")</f>
        <v>3</v>
      </c>
      <c r="G296" s="13" t="str" cm="1">
        <f t="array" ref="G296">_xlfn.IFS(F296&lt;=5,"One_Time",F296&gt;5,"Delayed",F296="Information_Not_given","Pending")</f>
        <v>One_Time</v>
      </c>
    </row>
    <row r="297" spans="1:7" x14ac:dyDescent="0.3">
      <c r="A297" s="12" t="str">
        <f>IF(AND(Sales_Data!P297&gt;=100000,Sales_Data!Q297&gt;=4,Sales_Data!V297="Completed",Sales_Data!O297&lt;=10),"Platinum",IF(AND(Sales_Data!P297&gt;=50000,Sales_Data!Q297&gt;=3,Sales_Data!V297="Completed"),"Gold",IF(AND(Sales_Data!P297&lt;50000,Sales_Data!V297="Completed"),"Silver",IF(OR(Sales_Data!Q297&lt;=2,Sales_Data!V297="Canceled"),"Blacklisted","Others"))))</f>
        <v>Others</v>
      </c>
      <c r="B297" s="4" t="str">
        <f>PROPER(TRIM(Sales_Data!F297))</f>
        <v>Priya Patel</v>
      </c>
      <c r="C297" s="4" t="str">
        <f>LEFT(B297,3)&amp;RIGHT(Sales_Data!B297,3)&amp;LEFT(Sales_Data!I297,2)</f>
        <v>Pri002De</v>
      </c>
      <c r="D297" s="4" t="str">
        <f>IF(ISNUMBER(SEARCH("@",Sales_Data!T297)),LOWER(Sales_Data!T297),"Invalid_Email")</f>
        <v>priya.patel@company.com</v>
      </c>
      <c r="E297" s="13">
        <f ca="1">DATEDIF(Sales_Data!H297,TODAY(),"Y")</f>
        <v>48</v>
      </c>
      <c r="F297" s="13">
        <f>IFERROR(DATEDIF(Sales_Data!D297,Sales_Data!E297,"D"),"Information_Not_Given")</f>
        <v>10</v>
      </c>
      <c r="G297" s="13" t="str" cm="1">
        <f t="array" ref="G297">_xlfn.IFS(F297&lt;=5,"One_Time",F297&gt;5,"Delayed",F297="Information_Not_given","Pending")</f>
        <v>Delayed</v>
      </c>
    </row>
    <row r="298" spans="1:7" x14ac:dyDescent="0.3">
      <c r="A298" s="12" t="str">
        <f>IF(AND(Sales_Data!P298&gt;=100000,Sales_Data!Q298&gt;=4,Sales_Data!V298="Completed",Sales_Data!O298&lt;=10),"Platinum",IF(AND(Sales_Data!P298&gt;=50000,Sales_Data!Q298&gt;=3,Sales_Data!V298="Completed"),"Gold",IF(AND(Sales_Data!P298&lt;50000,Sales_Data!V298="Completed"),"Silver",IF(OR(Sales_Data!Q298&lt;=2,Sales_Data!V298="Canceled"),"Blacklisted","Others"))))</f>
        <v>Others</v>
      </c>
      <c r="B298" s="4" t="str">
        <f>PROPER(TRIM(Sales_Data!F298))</f>
        <v>Amit Sharma</v>
      </c>
      <c r="C298" s="4" t="str">
        <f>LEFT(B298,3)&amp;RIGHT(Sales_Data!B298,3)&amp;LEFT(Sales_Data!I298,2)</f>
        <v>Ami001Ah</v>
      </c>
      <c r="D298" s="4" t="str">
        <f>IF(ISNUMBER(SEARCH("@",Sales_Data!T298)),LOWER(Sales_Data!T298),"Invalid_Email")</f>
        <v>amit.sharma@company.com</v>
      </c>
      <c r="E298" s="13">
        <f ca="1">DATEDIF(Sales_Data!H298,TODAY(),"Y")</f>
        <v>48</v>
      </c>
      <c r="F298" s="13">
        <f>IFERROR(DATEDIF(Sales_Data!D298,Sales_Data!E298,"D"),"Information_Not_Given")</f>
        <v>11</v>
      </c>
      <c r="G298" s="13" t="str" cm="1">
        <f t="array" ref="G298">_xlfn.IFS(F298&lt;=5,"One_Time",F298&gt;5,"Delayed",F298="Information_Not_given","Pending")</f>
        <v>Delayed</v>
      </c>
    </row>
    <row r="299" spans="1:7" x14ac:dyDescent="0.3">
      <c r="A299" s="12" t="str">
        <f>IF(AND(Sales_Data!P299&gt;=100000,Sales_Data!Q299&gt;=4,Sales_Data!V299="Completed",Sales_Data!O299&lt;=10),"Platinum",IF(AND(Sales_Data!P299&gt;=50000,Sales_Data!Q299&gt;=3,Sales_Data!V299="Completed"),"Gold",IF(AND(Sales_Data!P299&lt;50000,Sales_Data!V299="Completed"),"Silver",IF(OR(Sales_Data!Q299&lt;=2,Sales_Data!V299="Canceled"),"Blacklisted","Others"))))</f>
        <v>Blacklisted</v>
      </c>
      <c r="B299" s="4" t="str">
        <f>PROPER(TRIM(Sales_Data!F299))</f>
        <v>Rohit Singh</v>
      </c>
      <c r="C299" s="4" t="str">
        <f>LEFT(B299,3)&amp;RIGHT(Sales_Data!B299,3)&amp;LEFT(Sales_Data!I299,2)</f>
        <v>Roh003Hy</v>
      </c>
      <c r="D299" s="4" t="str">
        <f>IF(ISNUMBER(SEARCH("@",Sales_Data!T299)),LOWER(Sales_Data!T299),"Invalid_Email")</f>
        <v>rohit.singh@company.com</v>
      </c>
      <c r="E299" s="13">
        <f ca="1">DATEDIF(Sales_Data!H299,TODAY(),"Y")</f>
        <v>22</v>
      </c>
      <c r="F299" s="13">
        <f>IFERROR(DATEDIF(Sales_Data!D299,Sales_Data!E299,"D"),"Information_Not_Given")</f>
        <v>3</v>
      </c>
      <c r="G299" s="13" t="str" cm="1">
        <f t="array" ref="G299">_xlfn.IFS(F299&lt;=5,"One_Time",F299&gt;5,"Delayed",F299="Information_Not_given","Pending")</f>
        <v>One_Time</v>
      </c>
    </row>
    <row r="300" spans="1:7" x14ac:dyDescent="0.3">
      <c r="A300" s="12" t="str">
        <f>IF(AND(Sales_Data!P300&gt;=100000,Sales_Data!Q300&gt;=4,Sales_Data!V300="Completed",Sales_Data!O300&lt;=10),"Platinum",IF(AND(Sales_Data!P300&gt;=50000,Sales_Data!Q300&gt;=3,Sales_Data!V300="Completed"),"Gold",IF(AND(Sales_Data!P300&lt;50000,Sales_Data!V300="Completed"),"Silver",IF(OR(Sales_Data!Q300&lt;=2,Sales_Data!V300="Canceled"),"Blacklisted","Others"))))</f>
        <v>Blacklisted</v>
      </c>
      <c r="B300" s="4" t="str">
        <f>PROPER(TRIM(Sales_Data!F300))</f>
        <v>Arjun Rao</v>
      </c>
      <c r="C300" s="4" t="str">
        <f>LEFT(B300,3)&amp;RIGHT(Sales_Data!B300,3)&amp;LEFT(Sales_Data!I300,2)</f>
        <v>Arj007Ja</v>
      </c>
      <c r="D300" s="4" t="str">
        <f>IF(ISNUMBER(SEARCH("@",Sales_Data!T300)),LOWER(Sales_Data!T300),"Invalid_Email")</f>
        <v>arjun.rao@company.com</v>
      </c>
      <c r="E300" s="13">
        <f ca="1">DATEDIF(Sales_Data!H300,TODAY(),"Y")</f>
        <v>34</v>
      </c>
      <c r="F300" s="13">
        <f>IFERROR(DATEDIF(Sales_Data!D300,Sales_Data!E300,"D"),"Information_Not_Given")</f>
        <v>12</v>
      </c>
      <c r="G300" s="13" t="str" cm="1">
        <f t="array" ref="G300">_xlfn.IFS(F300&lt;=5,"One_Time",F300&gt;5,"Delayed",F300="Information_Not_given","Pending")</f>
        <v>Delayed</v>
      </c>
    </row>
    <row r="301" spans="1:7" x14ac:dyDescent="0.3">
      <c r="A301" s="12" t="str">
        <f>IF(AND(Sales_Data!P301&gt;=100000,Sales_Data!Q301&gt;=4,Sales_Data!V301="Completed",Sales_Data!O301&lt;=10),"Platinum",IF(AND(Sales_Data!P301&gt;=50000,Sales_Data!Q301&gt;=3,Sales_Data!V301="Completed"),"Gold",IF(AND(Sales_Data!P301&lt;50000,Sales_Data!V301="Completed"),"Silver",IF(OR(Sales_Data!Q301&lt;=2,Sales_Data!V301="Canceled"),"Blacklisted","Others"))))</f>
        <v>Blacklisted</v>
      </c>
      <c r="B301" s="4" t="str">
        <f>PROPER(TRIM(Sales_Data!F301))</f>
        <v>Mohit Verma</v>
      </c>
      <c r="C301" s="4" t="str">
        <f>LEFT(B301,3)&amp;RIGHT(Sales_Data!B301,3)&amp;LEFT(Sales_Data!I301,2)</f>
        <v>Moh009Hy</v>
      </c>
      <c r="D301" s="4" t="str">
        <f>IF(ISNUMBER(SEARCH("@",Sales_Data!T301)),LOWER(Sales_Data!T301),"Invalid_Email")</f>
        <v>mohit.verma@company.com</v>
      </c>
      <c r="E301" s="13">
        <f ca="1">DATEDIF(Sales_Data!H301,TODAY(),"Y")</f>
        <v>23</v>
      </c>
      <c r="F301" s="13">
        <f>IFERROR(DATEDIF(Sales_Data!D301,Sales_Data!E301,"D"),"Information_Not_Given")</f>
        <v>11</v>
      </c>
      <c r="G301" s="13" t="str" cm="1">
        <f t="array" ref="G301">_xlfn.IFS(F301&lt;=5,"One_Time",F301&gt;5,"Delayed",F301="Information_Not_given","Pending")</f>
        <v>Delayed</v>
      </c>
    </row>
    <row r="302" spans="1:7" x14ac:dyDescent="0.3">
      <c r="A302" s="12" t="str">
        <f>IF(AND(Sales_Data!P302&gt;=100000,Sales_Data!Q302&gt;=4,Sales_Data!V302="Completed",Sales_Data!O302&lt;=10),"Platinum",IF(AND(Sales_Data!P302&gt;=50000,Sales_Data!Q302&gt;=3,Sales_Data!V302="Completed"),"Gold",IF(AND(Sales_Data!P302&lt;50000,Sales_Data!V302="Completed"),"Silver",IF(OR(Sales_Data!Q302&lt;=2,Sales_Data!V302="Canceled"),"Blacklisted","Others"))))</f>
        <v>Others</v>
      </c>
      <c r="B302" s="4" t="str">
        <f>PROPER(TRIM(Sales_Data!F302))</f>
        <v>Amit Sharma</v>
      </c>
      <c r="C302" s="4" t="str">
        <f>LEFT(B302,3)&amp;RIGHT(Sales_Data!B302,3)&amp;LEFT(Sales_Data!I302,2)</f>
        <v>Ami001Be</v>
      </c>
      <c r="D302" s="4" t="str">
        <f>IF(ISNUMBER(SEARCH("@",Sales_Data!T302)),LOWER(Sales_Data!T302),"Invalid_Email")</f>
        <v>amit.sharma@company.com</v>
      </c>
      <c r="E302" s="13">
        <f ca="1">DATEDIF(Sales_Data!H302,TODAY(),"Y")</f>
        <v>39</v>
      </c>
      <c r="F302" s="13">
        <f>IFERROR(DATEDIF(Sales_Data!D302,Sales_Data!E302,"D"),"Information_Not_Given")</f>
        <v>10</v>
      </c>
      <c r="G302" s="13" t="str" cm="1">
        <f t="array" ref="G302">_xlfn.IFS(F302&lt;=5,"One_Time",F302&gt;5,"Delayed",F302="Information_Not_given","Pending")</f>
        <v>Delayed</v>
      </c>
    </row>
    <row r="303" spans="1:7" x14ac:dyDescent="0.3">
      <c r="A303" s="12" t="str">
        <f>IF(AND(Sales_Data!P303&gt;=100000,Sales_Data!Q303&gt;=4,Sales_Data!V303="Completed",Sales_Data!O303&lt;=10),"Platinum",IF(AND(Sales_Data!P303&gt;=50000,Sales_Data!Q303&gt;=3,Sales_Data!V303="Completed"),"Gold",IF(AND(Sales_Data!P303&lt;50000,Sales_Data!V303="Completed"),"Silver",IF(OR(Sales_Data!Q303&lt;=2,Sales_Data!V303="Canceled"),"Blacklisted","Others"))))</f>
        <v>Blacklisted</v>
      </c>
      <c r="B303" s="4" t="str">
        <f>PROPER(TRIM(Sales_Data!F303))</f>
        <v>Rohit Singh</v>
      </c>
      <c r="C303" s="4" t="str">
        <f>LEFT(B303,3)&amp;RIGHT(Sales_Data!B303,3)&amp;LEFT(Sales_Data!I303,2)</f>
        <v>Roh003Be</v>
      </c>
      <c r="D303" s="4" t="str">
        <f>IF(ISNUMBER(SEARCH("@",Sales_Data!T303)),LOWER(Sales_Data!T303),"Invalid_Email")</f>
        <v>rohit.singh@company.com</v>
      </c>
      <c r="E303" s="13">
        <f ca="1">DATEDIF(Sales_Data!H303,TODAY(),"Y")</f>
        <v>51</v>
      </c>
      <c r="F303" s="13">
        <f>IFERROR(DATEDIF(Sales_Data!D303,Sales_Data!E303,"D"),"Information_Not_Given")</f>
        <v>3</v>
      </c>
      <c r="G303" s="13" t="str" cm="1">
        <f t="array" ref="G303">_xlfn.IFS(F303&lt;=5,"One_Time",F303&gt;5,"Delayed",F303="Information_Not_given","Pending")</f>
        <v>One_Time</v>
      </c>
    </row>
    <row r="304" spans="1:7" x14ac:dyDescent="0.3">
      <c r="A304" s="12" t="str">
        <f>IF(AND(Sales_Data!P304&gt;=100000,Sales_Data!Q304&gt;=4,Sales_Data!V304="Completed",Sales_Data!O304&lt;=10),"Platinum",IF(AND(Sales_Data!P304&gt;=50000,Sales_Data!Q304&gt;=3,Sales_Data!V304="Completed"),"Gold",IF(AND(Sales_Data!P304&lt;50000,Sales_Data!V304="Completed"),"Silver",IF(OR(Sales_Data!Q304&lt;=2,Sales_Data!V304="Canceled"),"Blacklisted","Others"))))</f>
        <v>Others</v>
      </c>
      <c r="B304" s="4" t="str">
        <f>PROPER(TRIM(Sales_Data!F304))</f>
        <v>Sneha Joshi</v>
      </c>
      <c r="C304" s="4" t="str">
        <f>LEFT(B304,3)&amp;RIGHT(Sales_Data!B304,3)&amp;LEFT(Sales_Data!I304,2)</f>
        <v>Sne006De</v>
      </c>
      <c r="D304" s="4" t="str">
        <f>IF(ISNUMBER(SEARCH("@",Sales_Data!T304)),LOWER(Sales_Data!T304),"Invalid_Email")</f>
        <v>sneha.joshi@company.com</v>
      </c>
      <c r="E304" s="13">
        <f ca="1">DATEDIF(Sales_Data!H304,TODAY(),"Y")</f>
        <v>46</v>
      </c>
      <c r="F304" s="13">
        <f>IFERROR(DATEDIF(Sales_Data!D304,Sales_Data!E304,"D"),"Information_Not_Given")</f>
        <v>4</v>
      </c>
      <c r="G304" s="13" t="str" cm="1">
        <f t="array" ref="G304">_xlfn.IFS(F304&lt;=5,"One_Time",F304&gt;5,"Delayed",F304="Information_Not_given","Pending")</f>
        <v>One_Time</v>
      </c>
    </row>
    <row r="305" spans="1:7" x14ac:dyDescent="0.3">
      <c r="A305" s="12" t="str">
        <f>IF(AND(Sales_Data!P305&gt;=100000,Sales_Data!Q305&gt;=4,Sales_Data!V305="Completed",Sales_Data!O305&lt;=10),"Platinum",IF(AND(Sales_Data!P305&gt;=50000,Sales_Data!Q305&gt;=3,Sales_Data!V305="Completed"),"Gold",IF(AND(Sales_Data!P305&lt;50000,Sales_Data!V305="Completed"),"Silver",IF(OR(Sales_Data!Q305&lt;=2,Sales_Data!V305="Canceled"),"Blacklisted","Others"))))</f>
        <v>Blacklisted</v>
      </c>
      <c r="B305" s="4" t="str">
        <f>PROPER(TRIM(Sales_Data!F305))</f>
        <v>Kavya Nair</v>
      </c>
      <c r="C305" s="4" t="str">
        <f>LEFT(B305,3)&amp;RIGHT(Sales_Data!B305,3)&amp;LEFT(Sales_Data!I305,2)</f>
        <v>Kav008Ah</v>
      </c>
      <c r="D305" s="4" t="str">
        <f>IF(ISNUMBER(SEARCH("@",Sales_Data!T305)),LOWER(Sales_Data!T305),"Invalid_Email")</f>
        <v>kavya.nair@company.com</v>
      </c>
      <c r="E305" s="13">
        <f ca="1">DATEDIF(Sales_Data!H305,TODAY(),"Y")</f>
        <v>37</v>
      </c>
      <c r="F305" s="13">
        <f>IFERROR(DATEDIF(Sales_Data!D305,Sales_Data!E305,"D"),"Information_Not_Given")</f>
        <v>3</v>
      </c>
      <c r="G305" s="13" t="str" cm="1">
        <f t="array" ref="G305">_xlfn.IFS(F305&lt;=5,"One_Time",F305&gt;5,"Delayed",F305="Information_Not_given","Pending")</f>
        <v>One_Time</v>
      </c>
    </row>
    <row r="306" spans="1:7" x14ac:dyDescent="0.3">
      <c r="A306" s="12" t="str">
        <f>IF(AND(Sales_Data!P306&gt;=100000,Sales_Data!Q306&gt;=4,Sales_Data!V306="Completed",Sales_Data!O306&lt;=10),"Platinum",IF(AND(Sales_Data!P306&gt;=50000,Sales_Data!Q306&gt;=3,Sales_Data!V306="Completed"),"Gold",IF(AND(Sales_Data!P306&lt;50000,Sales_Data!V306="Completed"),"Silver",IF(OR(Sales_Data!Q306&lt;=2,Sales_Data!V306="Canceled"),"Blacklisted","Others"))))</f>
        <v>Silver</v>
      </c>
      <c r="B306" s="4" t="str">
        <f>PROPER(TRIM(Sales_Data!F306))</f>
        <v>Vikas Mehta</v>
      </c>
      <c r="C306" s="4" t="str">
        <f>LEFT(B306,3)&amp;RIGHT(Sales_Data!B306,3)&amp;LEFT(Sales_Data!I306,2)</f>
        <v>Vik005Ja</v>
      </c>
      <c r="D306" s="4" t="str">
        <f>IF(ISNUMBER(SEARCH("@",Sales_Data!T306)),LOWER(Sales_Data!T306),"Invalid_Email")</f>
        <v>vikas.mehta@company.com</v>
      </c>
      <c r="E306" s="13">
        <f ca="1">DATEDIF(Sales_Data!H306,TODAY(),"Y")</f>
        <v>28</v>
      </c>
      <c r="F306" s="13">
        <f>IFERROR(DATEDIF(Sales_Data!D306,Sales_Data!E306,"D"),"Information_Not_Given")</f>
        <v>4</v>
      </c>
      <c r="G306" s="13" t="str" cm="1">
        <f t="array" ref="G306">_xlfn.IFS(F306&lt;=5,"One_Time",F306&gt;5,"Delayed",F306="Information_Not_given","Pending")</f>
        <v>One_Time</v>
      </c>
    </row>
    <row r="307" spans="1:7" x14ac:dyDescent="0.3">
      <c r="A307" s="12" t="str">
        <f>IF(AND(Sales_Data!P307&gt;=100000,Sales_Data!Q307&gt;=4,Sales_Data!V307="Completed",Sales_Data!O307&lt;=10),"Platinum",IF(AND(Sales_Data!P307&gt;=50000,Sales_Data!Q307&gt;=3,Sales_Data!V307="Completed"),"Gold",IF(AND(Sales_Data!P307&lt;50000,Sales_Data!V307="Completed"),"Silver",IF(OR(Sales_Data!Q307&lt;=2,Sales_Data!V307="Canceled"),"Blacklisted","Others"))))</f>
        <v>Others</v>
      </c>
      <c r="B307" s="4" t="str">
        <f>PROPER(TRIM(Sales_Data!F307))</f>
        <v>Kavya Nair</v>
      </c>
      <c r="C307" s="4" t="str">
        <f>LEFT(B307,3)&amp;RIGHT(Sales_Data!B307,3)&amp;LEFT(Sales_Data!I307,2)</f>
        <v>Kav008Hy</v>
      </c>
      <c r="D307" s="4" t="str">
        <f>IF(ISNUMBER(SEARCH("@",Sales_Data!T307)),LOWER(Sales_Data!T307),"Invalid_Email")</f>
        <v>kavya.nair@company.com</v>
      </c>
      <c r="E307" s="13">
        <f ca="1">DATEDIF(Sales_Data!H307,TODAY(),"Y")</f>
        <v>25</v>
      </c>
      <c r="F307" s="13">
        <f>IFERROR(DATEDIF(Sales_Data!D307,Sales_Data!E307,"D"),"Information_Not_Given")</f>
        <v>8</v>
      </c>
      <c r="G307" s="13" t="str" cm="1">
        <f t="array" ref="G307">_xlfn.IFS(F307&lt;=5,"One_Time",F307&gt;5,"Delayed",F307="Information_Not_given","Pending")</f>
        <v>Delayed</v>
      </c>
    </row>
    <row r="308" spans="1:7" x14ac:dyDescent="0.3">
      <c r="A308" s="12" t="str">
        <f>IF(AND(Sales_Data!P308&gt;=100000,Sales_Data!Q308&gt;=4,Sales_Data!V308="Completed",Sales_Data!O308&lt;=10),"Platinum",IF(AND(Sales_Data!P308&gt;=50000,Sales_Data!Q308&gt;=3,Sales_Data!V308="Completed"),"Gold",IF(AND(Sales_Data!P308&lt;50000,Sales_Data!V308="Completed"),"Silver",IF(OR(Sales_Data!Q308&lt;=2,Sales_Data!V308="Canceled"),"Blacklisted","Others"))))</f>
        <v>Silver</v>
      </c>
      <c r="B308" s="4" t="str">
        <f>PROPER(TRIM(Sales_Data!F308))</f>
        <v>Sneha Joshi</v>
      </c>
      <c r="C308" s="4" t="str">
        <f>LEFT(B308,3)&amp;RIGHT(Sales_Data!B308,3)&amp;LEFT(Sales_Data!I308,2)</f>
        <v>Sne006Mu</v>
      </c>
      <c r="D308" s="4" t="str">
        <f>IF(ISNUMBER(SEARCH("@",Sales_Data!T308)),LOWER(Sales_Data!T308),"Invalid_Email")</f>
        <v>sneha.joshi@company.com</v>
      </c>
      <c r="E308" s="13">
        <f ca="1">DATEDIF(Sales_Data!H308,TODAY(),"Y")</f>
        <v>34</v>
      </c>
      <c r="F308" s="13">
        <f>IFERROR(DATEDIF(Sales_Data!D308,Sales_Data!E308,"D"),"Information_Not_Given")</f>
        <v>10</v>
      </c>
      <c r="G308" s="13" t="str" cm="1">
        <f t="array" ref="G308">_xlfn.IFS(F308&lt;=5,"One_Time",F308&gt;5,"Delayed",F308="Information_Not_given","Pending")</f>
        <v>Delayed</v>
      </c>
    </row>
    <row r="309" spans="1:7" x14ac:dyDescent="0.3">
      <c r="A309" s="12" t="str">
        <f>IF(AND(Sales_Data!P309&gt;=100000,Sales_Data!Q309&gt;=4,Sales_Data!V309="Completed",Sales_Data!O309&lt;=10),"Platinum",IF(AND(Sales_Data!P309&gt;=50000,Sales_Data!Q309&gt;=3,Sales_Data!V309="Completed"),"Gold",IF(AND(Sales_Data!P309&lt;50000,Sales_Data!V309="Completed"),"Silver",IF(OR(Sales_Data!Q309&lt;=2,Sales_Data!V309="Canceled"),"Blacklisted","Others"))))</f>
        <v>Silver</v>
      </c>
      <c r="B309" s="4" t="str">
        <f>PROPER(TRIM(Sales_Data!F309))</f>
        <v>Sneha Joshi</v>
      </c>
      <c r="C309" s="4" t="str">
        <f>LEFT(B309,3)&amp;RIGHT(Sales_Data!B309,3)&amp;LEFT(Sales_Data!I309,2)</f>
        <v>Sne006Pu</v>
      </c>
      <c r="D309" s="4" t="str">
        <f>IF(ISNUMBER(SEARCH("@",Sales_Data!T309)),LOWER(Sales_Data!T309),"Invalid_Email")</f>
        <v>sneha.joshi@company.com</v>
      </c>
      <c r="E309" s="13">
        <f ca="1">DATEDIF(Sales_Data!H309,TODAY(),"Y")</f>
        <v>49</v>
      </c>
      <c r="F309" s="13">
        <f>IFERROR(DATEDIF(Sales_Data!D309,Sales_Data!E309,"D"),"Information_Not_Given")</f>
        <v>11</v>
      </c>
      <c r="G309" s="13" t="str" cm="1">
        <f t="array" ref="G309">_xlfn.IFS(F309&lt;=5,"One_Time",F309&gt;5,"Delayed",F309="Information_Not_given","Pending")</f>
        <v>Delayed</v>
      </c>
    </row>
    <row r="310" spans="1:7" x14ac:dyDescent="0.3">
      <c r="A310" s="12" t="str">
        <f>IF(AND(Sales_Data!P310&gt;=100000,Sales_Data!Q310&gt;=4,Sales_Data!V310="Completed",Sales_Data!O310&lt;=10),"Platinum",IF(AND(Sales_Data!P310&gt;=50000,Sales_Data!Q310&gt;=3,Sales_Data!V310="Completed"),"Gold",IF(AND(Sales_Data!P310&lt;50000,Sales_Data!V310="Completed"),"Silver",IF(OR(Sales_Data!Q310&lt;=2,Sales_Data!V310="Canceled"),"Blacklisted","Others"))))</f>
        <v>Silver</v>
      </c>
      <c r="B310" s="4" t="str">
        <f>PROPER(TRIM(Sales_Data!F310))</f>
        <v>Pooja Shah</v>
      </c>
      <c r="C310" s="4" t="str">
        <f>LEFT(B310,3)&amp;RIGHT(Sales_Data!B310,3)&amp;LEFT(Sales_Data!I310,2)</f>
        <v>Poo010Hy</v>
      </c>
      <c r="D310" s="4" t="str">
        <f>IF(ISNUMBER(SEARCH("@",Sales_Data!T310)),LOWER(Sales_Data!T310),"Invalid_Email")</f>
        <v>pooja.shah@company.com</v>
      </c>
      <c r="E310" s="13">
        <f ca="1">DATEDIF(Sales_Data!H310,TODAY(),"Y")</f>
        <v>40</v>
      </c>
      <c r="F310" s="13">
        <f>IFERROR(DATEDIF(Sales_Data!D310,Sales_Data!E310,"D"),"Information_Not_Given")</f>
        <v>5</v>
      </c>
      <c r="G310" s="13" t="str" cm="1">
        <f t="array" ref="G310">_xlfn.IFS(F310&lt;=5,"One_Time",F310&gt;5,"Delayed",F310="Information_Not_given","Pending")</f>
        <v>One_Time</v>
      </c>
    </row>
    <row r="311" spans="1:7" x14ac:dyDescent="0.3">
      <c r="A311" s="12" t="str">
        <f>IF(AND(Sales_Data!P311&gt;=100000,Sales_Data!Q311&gt;=4,Sales_Data!V311="Completed",Sales_Data!O311&lt;=10),"Platinum",IF(AND(Sales_Data!P311&gt;=50000,Sales_Data!Q311&gt;=3,Sales_Data!V311="Completed"),"Gold",IF(AND(Sales_Data!P311&lt;50000,Sales_Data!V311="Completed"),"Silver",IF(OR(Sales_Data!Q311&lt;=2,Sales_Data!V311="Canceled"),"Blacklisted","Others"))))</f>
        <v>Silver</v>
      </c>
      <c r="B311" s="4" t="str">
        <f>PROPER(TRIM(Sales_Data!F311))</f>
        <v>Mohit Verma</v>
      </c>
      <c r="C311" s="4" t="str">
        <f>LEFT(B311,3)&amp;RIGHT(Sales_Data!B311,3)&amp;LEFT(Sales_Data!I311,2)</f>
        <v>Moh009Ah</v>
      </c>
      <c r="D311" s="4" t="str">
        <f>IF(ISNUMBER(SEARCH("@",Sales_Data!T311)),LOWER(Sales_Data!T311),"Invalid_Email")</f>
        <v>mohit.verma@company.com</v>
      </c>
      <c r="E311" s="13">
        <f ca="1">DATEDIF(Sales_Data!H311,TODAY(),"Y")</f>
        <v>37</v>
      </c>
      <c r="F311" s="13">
        <f>IFERROR(DATEDIF(Sales_Data!D311,Sales_Data!E311,"D"),"Information_Not_Given")</f>
        <v>12</v>
      </c>
      <c r="G311" s="13" t="str" cm="1">
        <f t="array" ref="G311">_xlfn.IFS(F311&lt;=5,"One_Time",F311&gt;5,"Delayed",F311="Information_Not_given","Pending")</f>
        <v>Delayed</v>
      </c>
    </row>
    <row r="312" spans="1:7" x14ac:dyDescent="0.3">
      <c r="A312" s="12" t="str">
        <f>IF(AND(Sales_Data!P312&gt;=100000,Sales_Data!Q312&gt;=4,Sales_Data!V312="Completed",Sales_Data!O312&lt;=10),"Platinum",IF(AND(Sales_Data!P312&gt;=50000,Sales_Data!Q312&gt;=3,Sales_Data!V312="Completed"),"Gold",IF(AND(Sales_Data!P312&lt;50000,Sales_Data!V312="Completed"),"Silver",IF(OR(Sales_Data!Q312&lt;=2,Sales_Data!V312="Canceled"),"Blacklisted","Others"))))</f>
        <v>Silver</v>
      </c>
      <c r="B312" s="4" t="str">
        <f>PROPER(TRIM(Sales_Data!F312))</f>
        <v>Vikas Mehta</v>
      </c>
      <c r="C312" s="4" t="str">
        <f>LEFT(B312,3)&amp;RIGHT(Sales_Data!B312,3)&amp;LEFT(Sales_Data!I312,2)</f>
        <v>Vik005De</v>
      </c>
      <c r="D312" s="4" t="str">
        <f>IF(ISNUMBER(SEARCH("@",Sales_Data!T312)),LOWER(Sales_Data!T312),"Invalid_Email")</f>
        <v>vikas.mehta@company.com</v>
      </c>
      <c r="E312" s="13">
        <f ca="1">DATEDIF(Sales_Data!H312,TODAY(),"Y")</f>
        <v>35</v>
      </c>
      <c r="F312" s="13">
        <f>IFERROR(DATEDIF(Sales_Data!D312,Sales_Data!E312,"D"),"Information_Not_Given")</f>
        <v>3</v>
      </c>
      <c r="G312" s="13" t="str" cm="1">
        <f t="array" ref="G312">_xlfn.IFS(F312&lt;=5,"One_Time",F312&gt;5,"Delayed",F312="Information_Not_given","Pending")</f>
        <v>One_Time</v>
      </c>
    </row>
    <row r="313" spans="1:7" x14ac:dyDescent="0.3">
      <c r="A313" s="12" t="str">
        <f>IF(AND(Sales_Data!P313&gt;=100000,Sales_Data!Q313&gt;=4,Sales_Data!V313="Completed",Sales_Data!O313&lt;=10),"Platinum",IF(AND(Sales_Data!P313&gt;=50000,Sales_Data!Q313&gt;=3,Sales_Data!V313="Completed"),"Gold",IF(AND(Sales_Data!P313&lt;50000,Sales_Data!V313="Completed"),"Silver",IF(OR(Sales_Data!Q313&lt;=2,Sales_Data!V313="Canceled"),"Blacklisted","Others"))))</f>
        <v>Others</v>
      </c>
      <c r="B313" s="4" t="str">
        <f>PROPER(TRIM(Sales_Data!F313))</f>
        <v>Priya Patel</v>
      </c>
      <c r="C313" s="4" t="str">
        <f>LEFT(B313,3)&amp;RIGHT(Sales_Data!B313,3)&amp;LEFT(Sales_Data!I313,2)</f>
        <v>Pri002Ko</v>
      </c>
      <c r="D313" s="4" t="str">
        <f>IF(ISNUMBER(SEARCH("@",Sales_Data!T313)),LOWER(Sales_Data!T313),"Invalid_Email")</f>
        <v>priya.patel@company.com</v>
      </c>
      <c r="E313" s="13">
        <f ca="1">DATEDIF(Sales_Data!H313,TODAY(),"Y")</f>
        <v>37</v>
      </c>
      <c r="F313" s="13">
        <f>IFERROR(DATEDIF(Sales_Data!D313,Sales_Data!E313,"D"),"Information_Not_Given")</f>
        <v>2</v>
      </c>
      <c r="G313" s="13" t="str" cm="1">
        <f t="array" ref="G313">_xlfn.IFS(F313&lt;=5,"One_Time",F313&gt;5,"Delayed",F313="Information_Not_given","Pending")</f>
        <v>One_Time</v>
      </c>
    </row>
    <row r="314" spans="1:7" x14ac:dyDescent="0.3">
      <c r="A314" s="12" t="str">
        <f>IF(AND(Sales_Data!P314&gt;=100000,Sales_Data!Q314&gt;=4,Sales_Data!V314="Completed",Sales_Data!O314&lt;=10),"Platinum",IF(AND(Sales_Data!P314&gt;=50000,Sales_Data!Q314&gt;=3,Sales_Data!V314="Completed"),"Gold",IF(AND(Sales_Data!P314&lt;50000,Sales_Data!V314="Completed"),"Silver",IF(OR(Sales_Data!Q314&lt;=2,Sales_Data!V314="Canceled"),"Blacklisted","Others"))))</f>
        <v>Others</v>
      </c>
      <c r="B314" s="4" t="str">
        <f>PROPER(TRIM(Sales_Data!F314))</f>
        <v>Pooja Shah</v>
      </c>
      <c r="C314" s="4" t="str">
        <f>LEFT(B314,3)&amp;RIGHT(Sales_Data!B314,3)&amp;LEFT(Sales_Data!I314,2)</f>
        <v>Poo010Ja</v>
      </c>
      <c r="D314" s="4" t="str">
        <f>IF(ISNUMBER(SEARCH("@",Sales_Data!T314)),LOWER(Sales_Data!T314),"Invalid_Email")</f>
        <v>pooja.shah@company.com</v>
      </c>
      <c r="E314" s="13">
        <f ca="1">DATEDIF(Sales_Data!H314,TODAY(),"Y")</f>
        <v>23</v>
      </c>
      <c r="F314" s="13">
        <f>IFERROR(DATEDIF(Sales_Data!D314,Sales_Data!E314,"D"),"Information_Not_Given")</f>
        <v>11</v>
      </c>
      <c r="G314" s="13" t="str" cm="1">
        <f t="array" ref="G314">_xlfn.IFS(F314&lt;=5,"One_Time",F314&gt;5,"Delayed",F314="Information_Not_given","Pending")</f>
        <v>Delayed</v>
      </c>
    </row>
    <row r="315" spans="1:7" x14ac:dyDescent="0.3">
      <c r="A315" s="12" t="str">
        <f>IF(AND(Sales_Data!P315&gt;=100000,Sales_Data!Q315&gt;=4,Sales_Data!V315="Completed",Sales_Data!O315&lt;=10),"Platinum",IF(AND(Sales_Data!P315&gt;=50000,Sales_Data!Q315&gt;=3,Sales_Data!V315="Completed"),"Gold",IF(AND(Sales_Data!P315&lt;50000,Sales_Data!V315="Completed"),"Silver",IF(OR(Sales_Data!Q315&lt;=2,Sales_Data!V315="Canceled"),"Blacklisted","Others"))))</f>
        <v>Blacklisted</v>
      </c>
      <c r="B315" s="4" t="str">
        <f>PROPER(TRIM(Sales_Data!F315))</f>
        <v>Mohit Verma</v>
      </c>
      <c r="C315" s="4" t="str">
        <f>LEFT(B315,3)&amp;RIGHT(Sales_Data!B315,3)&amp;LEFT(Sales_Data!I315,2)</f>
        <v>Moh009Pu</v>
      </c>
      <c r="D315" s="4" t="str">
        <f>IF(ISNUMBER(SEARCH("@",Sales_Data!T315)),LOWER(Sales_Data!T315),"Invalid_Email")</f>
        <v>mohit.verma@company.com</v>
      </c>
      <c r="E315" s="13">
        <f ca="1">DATEDIF(Sales_Data!H315,TODAY(),"Y")</f>
        <v>30</v>
      </c>
      <c r="F315" s="13">
        <f>IFERROR(DATEDIF(Sales_Data!D315,Sales_Data!E315,"D"),"Information_Not_Given")</f>
        <v>11</v>
      </c>
      <c r="G315" s="13" t="str" cm="1">
        <f t="array" ref="G315">_xlfn.IFS(F315&lt;=5,"One_Time",F315&gt;5,"Delayed",F315="Information_Not_given","Pending")</f>
        <v>Delayed</v>
      </c>
    </row>
    <row r="316" spans="1:7" x14ac:dyDescent="0.3">
      <c r="A316" s="12" t="str">
        <f>IF(AND(Sales_Data!P316&gt;=100000,Sales_Data!Q316&gt;=4,Sales_Data!V316="Completed",Sales_Data!O316&lt;=10),"Platinum",IF(AND(Sales_Data!P316&gt;=50000,Sales_Data!Q316&gt;=3,Sales_Data!V316="Completed"),"Gold",IF(AND(Sales_Data!P316&lt;50000,Sales_Data!V316="Completed"),"Silver",IF(OR(Sales_Data!Q316&lt;=2,Sales_Data!V316="Canceled"),"Blacklisted","Others"))))</f>
        <v>Others</v>
      </c>
      <c r="B316" s="4" t="str">
        <f>PROPER(TRIM(Sales_Data!F316))</f>
        <v>Priya Patel</v>
      </c>
      <c r="C316" s="4" t="str">
        <f>LEFT(B316,3)&amp;RIGHT(Sales_Data!B316,3)&amp;LEFT(Sales_Data!I316,2)</f>
        <v>Pri002Be</v>
      </c>
      <c r="D316" s="4" t="str">
        <f>IF(ISNUMBER(SEARCH("@",Sales_Data!T316)),LOWER(Sales_Data!T316),"Invalid_Email")</f>
        <v>priya.patel@company.com</v>
      </c>
      <c r="E316" s="13">
        <f ca="1">DATEDIF(Sales_Data!H316,TODAY(),"Y")</f>
        <v>36</v>
      </c>
      <c r="F316" s="13">
        <f>IFERROR(DATEDIF(Sales_Data!D316,Sales_Data!E316,"D"),"Information_Not_Given")</f>
        <v>3</v>
      </c>
      <c r="G316" s="13" t="str" cm="1">
        <f t="array" ref="G316">_xlfn.IFS(F316&lt;=5,"One_Time",F316&gt;5,"Delayed",F316="Information_Not_given","Pending")</f>
        <v>One_Time</v>
      </c>
    </row>
    <row r="317" spans="1:7" x14ac:dyDescent="0.3">
      <c r="A317" s="12" t="str">
        <f>IF(AND(Sales_Data!P317&gt;=100000,Sales_Data!Q317&gt;=4,Sales_Data!V317="Completed",Sales_Data!O317&lt;=10),"Platinum",IF(AND(Sales_Data!P317&gt;=50000,Sales_Data!Q317&gt;=3,Sales_Data!V317="Completed"),"Gold",IF(AND(Sales_Data!P317&lt;50000,Sales_Data!V317="Completed"),"Silver",IF(OR(Sales_Data!Q317&lt;=2,Sales_Data!V317="Canceled"),"Blacklisted","Others"))))</f>
        <v>Blacklisted</v>
      </c>
      <c r="B317" s="4" t="str">
        <f>PROPER(TRIM(Sales_Data!F317))</f>
        <v>Arjun Rao</v>
      </c>
      <c r="C317" s="4" t="str">
        <f>LEFT(B317,3)&amp;RIGHT(Sales_Data!B317,3)&amp;LEFT(Sales_Data!I317,2)</f>
        <v>Arj007Ja</v>
      </c>
      <c r="D317" s="4" t="str">
        <f>IF(ISNUMBER(SEARCH("@",Sales_Data!T317)),LOWER(Sales_Data!T317),"Invalid_Email")</f>
        <v>arjun.rao@company.com</v>
      </c>
      <c r="E317" s="13">
        <f ca="1">DATEDIF(Sales_Data!H317,TODAY(),"Y")</f>
        <v>38</v>
      </c>
      <c r="F317" s="13">
        <f>IFERROR(DATEDIF(Sales_Data!D317,Sales_Data!E317,"D"),"Information_Not_Given")</f>
        <v>4</v>
      </c>
      <c r="G317" s="13" t="str" cm="1">
        <f t="array" ref="G317">_xlfn.IFS(F317&lt;=5,"One_Time",F317&gt;5,"Delayed",F317="Information_Not_given","Pending")</f>
        <v>One_Time</v>
      </c>
    </row>
    <row r="318" spans="1:7" x14ac:dyDescent="0.3">
      <c r="A318" s="12" t="str">
        <f>IF(AND(Sales_Data!P318&gt;=100000,Sales_Data!Q318&gt;=4,Sales_Data!V318="Completed",Sales_Data!O318&lt;=10),"Platinum",IF(AND(Sales_Data!P318&gt;=50000,Sales_Data!Q318&gt;=3,Sales_Data!V318="Completed"),"Gold",IF(AND(Sales_Data!P318&lt;50000,Sales_Data!V318="Completed"),"Silver",IF(OR(Sales_Data!Q318&lt;=2,Sales_Data!V318="Canceled"),"Blacklisted","Others"))))</f>
        <v>Blacklisted</v>
      </c>
      <c r="B318" s="4" t="str">
        <f>PROPER(TRIM(Sales_Data!F318))</f>
        <v>Arjun Rao</v>
      </c>
      <c r="C318" s="4" t="str">
        <f>LEFT(B318,3)&amp;RIGHT(Sales_Data!B318,3)&amp;LEFT(Sales_Data!I318,2)</f>
        <v>Arj007Be</v>
      </c>
      <c r="D318" s="4" t="str">
        <f>IF(ISNUMBER(SEARCH("@",Sales_Data!T318)),LOWER(Sales_Data!T318),"Invalid_Email")</f>
        <v>arjun.rao@company.com</v>
      </c>
      <c r="E318" s="13">
        <f ca="1">DATEDIF(Sales_Data!H318,TODAY(),"Y")</f>
        <v>47</v>
      </c>
      <c r="F318" s="13">
        <f>IFERROR(DATEDIF(Sales_Data!D318,Sales_Data!E318,"D"),"Information_Not_Given")</f>
        <v>6</v>
      </c>
      <c r="G318" s="13" t="str" cm="1">
        <f t="array" ref="G318">_xlfn.IFS(F318&lt;=5,"One_Time",F318&gt;5,"Delayed",F318="Information_Not_given","Pending")</f>
        <v>Delayed</v>
      </c>
    </row>
    <row r="319" spans="1:7" x14ac:dyDescent="0.3">
      <c r="A319" s="12" t="str">
        <f>IF(AND(Sales_Data!P319&gt;=100000,Sales_Data!Q319&gt;=4,Sales_Data!V319="Completed",Sales_Data!O319&lt;=10),"Platinum",IF(AND(Sales_Data!P319&gt;=50000,Sales_Data!Q319&gt;=3,Sales_Data!V319="Completed"),"Gold",IF(AND(Sales_Data!P319&lt;50000,Sales_Data!V319="Completed"),"Silver",IF(OR(Sales_Data!Q319&lt;=2,Sales_Data!V319="Canceled"),"Blacklisted","Others"))))</f>
        <v>Others</v>
      </c>
      <c r="B319" s="4" t="str">
        <f>PROPER(TRIM(Sales_Data!F319))</f>
        <v>Anita Gupta</v>
      </c>
      <c r="C319" s="4" t="str">
        <f>LEFT(B319,3)&amp;RIGHT(Sales_Data!B319,3)&amp;LEFT(Sales_Data!I319,2)</f>
        <v>Ani004De</v>
      </c>
      <c r="D319" s="4" t="str">
        <f>IF(ISNUMBER(SEARCH("@",Sales_Data!T319)),LOWER(Sales_Data!T319),"Invalid_Email")</f>
        <v>anita.gupta@company.com</v>
      </c>
      <c r="E319" s="13">
        <f ca="1">DATEDIF(Sales_Data!H319,TODAY(),"Y")</f>
        <v>36</v>
      </c>
      <c r="F319" s="13">
        <f>IFERROR(DATEDIF(Sales_Data!D319,Sales_Data!E319,"D"),"Information_Not_Given")</f>
        <v>3</v>
      </c>
      <c r="G319" s="13" t="str" cm="1">
        <f t="array" ref="G319">_xlfn.IFS(F319&lt;=5,"One_Time",F319&gt;5,"Delayed",F319="Information_Not_given","Pending")</f>
        <v>One_Time</v>
      </c>
    </row>
    <row r="320" spans="1:7" x14ac:dyDescent="0.3">
      <c r="A320" s="12" t="str">
        <f>IF(AND(Sales_Data!P320&gt;=100000,Sales_Data!Q320&gt;=4,Sales_Data!V320="Completed",Sales_Data!O320&lt;=10),"Platinum",IF(AND(Sales_Data!P320&gt;=50000,Sales_Data!Q320&gt;=3,Sales_Data!V320="Completed"),"Gold",IF(AND(Sales_Data!P320&lt;50000,Sales_Data!V320="Completed"),"Silver",IF(OR(Sales_Data!Q320&lt;=2,Sales_Data!V320="Canceled"),"Blacklisted","Others"))))</f>
        <v>Others</v>
      </c>
      <c r="B320" s="4" t="str">
        <f>PROPER(TRIM(Sales_Data!F320))</f>
        <v>Priya Patel</v>
      </c>
      <c r="C320" s="4" t="str">
        <f>LEFT(B320,3)&amp;RIGHT(Sales_Data!B320,3)&amp;LEFT(Sales_Data!I320,2)</f>
        <v>Pri002Ja</v>
      </c>
      <c r="D320" s="4" t="str">
        <f>IF(ISNUMBER(SEARCH("@",Sales_Data!T320)),LOWER(Sales_Data!T320),"Invalid_Email")</f>
        <v>priya.patel@company.com</v>
      </c>
      <c r="E320" s="13">
        <f ca="1">DATEDIF(Sales_Data!H320,TODAY(),"Y")</f>
        <v>31</v>
      </c>
      <c r="F320" s="13">
        <f>IFERROR(DATEDIF(Sales_Data!D320,Sales_Data!E320,"D"),"Information_Not_Given")</f>
        <v>4</v>
      </c>
      <c r="G320" s="13" t="str" cm="1">
        <f t="array" ref="G320">_xlfn.IFS(F320&lt;=5,"One_Time",F320&gt;5,"Delayed",F320="Information_Not_given","Pending")</f>
        <v>One_Time</v>
      </c>
    </row>
    <row r="321" spans="1:7" x14ac:dyDescent="0.3">
      <c r="A321" s="12" t="str">
        <f>IF(AND(Sales_Data!P321&gt;=100000,Sales_Data!Q321&gt;=4,Sales_Data!V321="Completed",Sales_Data!O321&lt;=10),"Platinum",IF(AND(Sales_Data!P321&gt;=50000,Sales_Data!Q321&gt;=3,Sales_Data!V321="Completed"),"Gold",IF(AND(Sales_Data!P321&lt;50000,Sales_Data!V321="Completed"),"Silver",IF(OR(Sales_Data!Q321&lt;=2,Sales_Data!V321="Canceled"),"Blacklisted","Others"))))</f>
        <v>Silver</v>
      </c>
      <c r="B321" s="4" t="str">
        <f>PROPER(TRIM(Sales_Data!F321))</f>
        <v>Vikas Mehta</v>
      </c>
      <c r="C321" s="4" t="str">
        <f>LEFT(B321,3)&amp;RIGHT(Sales_Data!B321,3)&amp;LEFT(Sales_Data!I321,2)</f>
        <v>Vik005De</v>
      </c>
      <c r="D321" s="4" t="str">
        <f>IF(ISNUMBER(SEARCH("@",Sales_Data!T321)),LOWER(Sales_Data!T321),"Invalid_Email")</f>
        <v>vikas.mehta@company.com</v>
      </c>
      <c r="E321" s="13">
        <f ca="1">DATEDIF(Sales_Data!H321,TODAY(),"Y")</f>
        <v>31</v>
      </c>
      <c r="F321" s="13">
        <f>IFERROR(DATEDIF(Sales_Data!D321,Sales_Data!E321,"D"),"Information_Not_Given")</f>
        <v>2</v>
      </c>
      <c r="G321" s="13" t="str" cm="1">
        <f t="array" ref="G321">_xlfn.IFS(F321&lt;=5,"One_Time",F321&gt;5,"Delayed",F321="Information_Not_given","Pending")</f>
        <v>One_Time</v>
      </c>
    </row>
    <row r="322" spans="1:7" x14ac:dyDescent="0.3">
      <c r="A322" s="12" t="str">
        <f>IF(AND(Sales_Data!P322&gt;=100000,Sales_Data!Q322&gt;=4,Sales_Data!V322="Completed",Sales_Data!O322&lt;=10),"Platinum",IF(AND(Sales_Data!P322&gt;=50000,Sales_Data!Q322&gt;=3,Sales_Data!V322="Completed"),"Gold",IF(AND(Sales_Data!P322&lt;50000,Sales_Data!V322="Completed"),"Silver",IF(OR(Sales_Data!Q322&lt;=2,Sales_Data!V322="Canceled"),"Blacklisted","Others"))))</f>
        <v>Silver</v>
      </c>
      <c r="B322" s="4" t="str">
        <f>PROPER(TRIM(Sales_Data!F322))</f>
        <v>Amit Sharma</v>
      </c>
      <c r="C322" s="4" t="str">
        <f>LEFT(B322,3)&amp;RIGHT(Sales_Data!B322,3)&amp;LEFT(Sales_Data!I322,2)</f>
        <v>Ami001Ja</v>
      </c>
      <c r="D322" s="4" t="str">
        <f>IF(ISNUMBER(SEARCH("@",Sales_Data!T322)),LOWER(Sales_Data!T322),"Invalid_Email")</f>
        <v>amit.sharma@company.com</v>
      </c>
      <c r="E322" s="13">
        <f ca="1">DATEDIF(Sales_Data!H322,TODAY(),"Y")</f>
        <v>30</v>
      </c>
      <c r="F322" s="13">
        <f>IFERROR(DATEDIF(Sales_Data!D322,Sales_Data!E322,"D"),"Information_Not_Given")</f>
        <v>11</v>
      </c>
      <c r="G322" s="13" t="str" cm="1">
        <f t="array" ref="G322">_xlfn.IFS(F322&lt;=5,"One_Time",F322&gt;5,"Delayed",F322="Information_Not_given","Pending")</f>
        <v>Delayed</v>
      </c>
    </row>
    <row r="323" spans="1:7" x14ac:dyDescent="0.3">
      <c r="A323" s="12" t="str">
        <f>IF(AND(Sales_Data!P323&gt;=100000,Sales_Data!Q323&gt;=4,Sales_Data!V323="Completed",Sales_Data!O323&lt;=10),"Platinum",IF(AND(Sales_Data!P323&gt;=50000,Sales_Data!Q323&gt;=3,Sales_Data!V323="Completed"),"Gold",IF(AND(Sales_Data!P323&lt;50000,Sales_Data!V323="Completed"),"Silver",IF(OR(Sales_Data!Q323&lt;=2,Sales_Data!V323="Canceled"),"Blacklisted","Others"))))</f>
        <v>Silver</v>
      </c>
      <c r="B323" s="4" t="str">
        <f>PROPER(TRIM(Sales_Data!F323))</f>
        <v>Arjun Rao</v>
      </c>
      <c r="C323" s="4" t="str">
        <f>LEFT(B323,3)&amp;RIGHT(Sales_Data!B323,3)&amp;LEFT(Sales_Data!I323,2)</f>
        <v>Arj007Pu</v>
      </c>
      <c r="D323" s="4" t="str">
        <f>IF(ISNUMBER(SEARCH("@",Sales_Data!T323)),LOWER(Sales_Data!T323),"Invalid_Email")</f>
        <v>arjun.rao@company.com</v>
      </c>
      <c r="E323" s="13">
        <f ca="1">DATEDIF(Sales_Data!H323,TODAY(),"Y")</f>
        <v>44</v>
      </c>
      <c r="F323" s="13">
        <f>IFERROR(DATEDIF(Sales_Data!D323,Sales_Data!E323,"D"),"Information_Not_Given")</f>
        <v>11</v>
      </c>
      <c r="G323" s="13" t="str" cm="1">
        <f t="array" ref="G323">_xlfn.IFS(F323&lt;=5,"One_Time",F323&gt;5,"Delayed",F323="Information_Not_given","Pending")</f>
        <v>Delayed</v>
      </c>
    </row>
    <row r="324" spans="1:7" x14ac:dyDescent="0.3">
      <c r="A324" s="12" t="str">
        <f>IF(AND(Sales_Data!P324&gt;=100000,Sales_Data!Q324&gt;=4,Sales_Data!V324="Completed",Sales_Data!O324&lt;=10),"Platinum",IF(AND(Sales_Data!P324&gt;=50000,Sales_Data!Q324&gt;=3,Sales_Data!V324="Completed"),"Gold",IF(AND(Sales_Data!P324&lt;50000,Sales_Data!V324="Completed"),"Silver",IF(OR(Sales_Data!Q324&lt;=2,Sales_Data!V324="Canceled"),"Blacklisted","Others"))))</f>
        <v>Silver</v>
      </c>
      <c r="B324" s="4" t="str">
        <f>PROPER(TRIM(Sales_Data!F324))</f>
        <v>Kavya Nair</v>
      </c>
      <c r="C324" s="4" t="str">
        <f>LEFT(B324,3)&amp;RIGHT(Sales_Data!B324,3)&amp;LEFT(Sales_Data!I324,2)</f>
        <v>Kav008Ah</v>
      </c>
      <c r="D324" s="4" t="str">
        <f>IF(ISNUMBER(SEARCH("@",Sales_Data!T324)),LOWER(Sales_Data!T324),"Invalid_Email")</f>
        <v>kavya.nair@company.com</v>
      </c>
      <c r="E324" s="13">
        <f ca="1">DATEDIF(Sales_Data!H324,TODAY(),"Y")</f>
        <v>24</v>
      </c>
      <c r="F324" s="13">
        <f>IFERROR(DATEDIF(Sales_Data!D324,Sales_Data!E324,"D"),"Information_Not_Given")</f>
        <v>9</v>
      </c>
      <c r="G324" s="13" t="str" cm="1">
        <f t="array" ref="G324">_xlfn.IFS(F324&lt;=5,"One_Time",F324&gt;5,"Delayed",F324="Information_Not_given","Pending")</f>
        <v>Delayed</v>
      </c>
    </row>
    <row r="325" spans="1:7" x14ac:dyDescent="0.3">
      <c r="A325" s="12" t="str">
        <f>IF(AND(Sales_Data!P325&gt;=100000,Sales_Data!Q325&gt;=4,Sales_Data!V325="Completed",Sales_Data!O325&lt;=10),"Platinum",IF(AND(Sales_Data!P325&gt;=50000,Sales_Data!Q325&gt;=3,Sales_Data!V325="Completed"),"Gold",IF(AND(Sales_Data!P325&lt;50000,Sales_Data!V325="Completed"),"Silver",IF(OR(Sales_Data!Q325&lt;=2,Sales_Data!V325="Canceled"),"Blacklisted","Others"))))</f>
        <v>Silver</v>
      </c>
      <c r="B325" s="4" t="str">
        <f>PROPER(TRIM(Sales_Data!F325))</f>
        <v>Sneha Joshi</v>
      </c>
      <c r="C325" s="4" t="str">
        <f>LEFT(B325,3)&amp;RIGHT(Sales_Data!B325,3)&amp;LEFT(Sales_Data!I325,2)</f>
        <v>Sne006Mu</v>
      </c>
      <c r="D325" s="4" t="str">
        <f>IF(ISNUMBER(SEARCH("@",Sales_Data!T325)),LOWER(Sales_Data!T325),"Invalid_Email")</f>
        <v>sneha.joshi@company.com</v>
      </c>
      <c r="E325" s="13">
        <f ca="1">DATEDIF(Sales_Data!H325,TODAY(),"Y")</f>
        <v>37</v>
      </c>
      <c r="F325" s="13">
        <f>IFERROR(DATEDIF(Sales_Data!D325,Sales_Data!E325,"D"),"Information_Not_Given")</f>
        <v>1</v>
      </c>
      <c r="G325" s="13" t="str" cm="1">
        <f t="array" ref="G325">_xlfn.IFS(F325&lt;=5,"One_Time",F325&gt;5,"Delayed",F325="Information_Not_given","Pending")</f>
        <v>One_Time</v>
      </c>
    </row>
    <row r="326" spans="1:7" x14ac:dyDescent="0.3">
      <c r="A326" s="12" t="str">
        <f>IF(AND(Sales_Data!P326&gt;=100000,Sales_Data!Q326&gt;=4,Sales_Data!V326="Completed",Sales_Data!O326&lt;=10),"Platinum",IF(AND(Sales_Data!P326&gt;=50000,Sales_Data!Q326&gt;=3,Sales_Data!V326="Completed"),"Gold",IF(AND(Sales_Data!P326&lt;50000,Sales_Data!V326="Completed"),"Silver",IF(OR(Sales_Data!Q326&lt;=2,Sales_Data!V326="Canceled"),"Blacklisted","Others"))))</f>
        <v>Others</v>
      </c>
      <c r="B326" s="4" t="str">
        <f>PROPER(TRIM(Sales_Data!F326))</f>
        <v>Sneha Joshi</v>
      </c>
      <c r="C326" s="4" t="str">
        <f>LEFT(B326,3)&amp;RIGHT(Sales_Data!B326,3)&amp;LEFT(Sales_Data!I326,2)</f>
        <v>Sne006Ah</v>
      </c>
      <c r="D326" s="4" t="str">
        <f>IF(ISNUMBER(SEARCH("@",Sales_Data!T326)),LOWER(Sales_Data!T326),"Invalid_Email")</f>
        <v>sneha.joshi@company.com</v>
      </c>
      <c r="E326" s="13">
        <f ca="1">DATEDIF(Sales_Data!H326,TODAY(),"Y")</f>
        <v>41</v>
      </c>
      <c r="F326" s="13">
        <f>IFERROR(DATEDIF(Sales_Data!D326,Sales_Data!E326,"D"),"Information_Not_Given")</f>
        <v>11</v>
      </c>
      <c r="G326" s="13" t="str" cm="1">
        <f t="array" ref="G326">_xlfn.IFS(F326&lt;=5,"One_Time",F326&gt;5,"Delayed",F326="Information_Not_given","Pending")</f>
        <v>Delayed</v>
      </c>
    </row>
    <row r="327" spans="1:7" x14ac:dyDescent="0.3">
      <c r="A327" s="12" t="str">
        <f>IF(AND(Sales_Data!P327&gt;=100000,Sales_Data!Q327&gt;=4,Sales_Data!V327="Completed",Sales_Data!O327&lt;=10),"Platinum",IF(AND(Sales_Data!P327&gt;=50000,Sales_Data!Q327&gt;=3,Sales_Data!V327="Completed"),"Gold",IF(AND(Sales_Data!P327&lt;50000,Sales_Data!V327="Completed"),"Silver",IF(OR(Sales_Data!Q327&lt;=2,Sales_Data!V327="Canceled"),"Blacklisted","Others"))))</f>
        <v>Silver</v>
      </c>
      <c r="B327" s="4" t="str">
        <f>PROPER(TRIM(Sales_Data!F327))</f>
        <v>Sneha Joshi</v>
      </c>
      <c r="C327" s="4" t="str">
        <f>LEFT(B327,3)&amp;RIGHT(Sales_Data!B327,3)&amp;LEFT(Sales_Data!I327,2)</f>
        <v>Sne006Mu</v>
      </c>
      <c r="D327" s="4" t="str">
        <f>IF(ISNUMBER(SEARCH("@",Sales_Data!T327)),LOWER(Sales_Data!T327),"Invalid_Email")</f>
        <v>sneha.joshi@company.com</v>
      </c>
      <c r="E327" s="13">
        <f ca="1">DATEDIF(Sales_Data!H327,TODAY(),"Y")</f>
        <v>46</v>
      </c>
      <c r="F327" s="13">
        <f>IFERROR(DATEDIF(Sales_Data!D327,Sales_Data!E327,"D"),"Information_Not_Given")</f>
        <v>4</v>
      </c>
      <c r="G327" s="13" t="str" cm="1">
        <f t="array" ref="G327">_xlfn.IFS(F327&lt;=5,"One_Time",F327&gt;5,"Delayed",F327="Information_Not_given","Pending")</f>
        <v>One_Time</v>
      </c>
    </row>
    <row r="328" spans="1:7" x14ac:dyDescent="0.3">
      <c r="A328" s="12" t="str">
        <f>IF(AND(Sales_Data!P328&gt;=100000,Sales_Data!Q328&gt;=4,Sales_Data!V328="Completed",Sales_Data!O328&lt;=10),"Platinum",IF(AND(Sales_Data!P328&gt;=50000,Sales_Data!Q328&gt;=3,Sales_Data!V328="Completed"),"Gold",IF(AND(Sales_Data!P328&lt;50000,Sales_Data!V328="Completed"),"Silver",IF(OR(Sales_Data!Q328&lt;=2,Sales_Data!V328="Canceled"),"Blacklisted","Others"))))</f>
        <v>Blacklisted</v>
      </c>
      <c r="B328" s="4" t="str">
        <f>PROPER(TRIM(Sales_Data!F328))</f>
        <v>Arjun Rao</v>
      </c>
      <c r="C328" s="4" t="str">
        <f>LEFT(B328,3)&amp;RIGHT(Sales_Data!B328,3)&amp;LEFT(Sales_Data!I328,2)</f>
        <v>Arj007Be</v>
      </c>
      <c r="D328" s="4" t="str">
        <f>IF(ISNUMBER(SEARCH("@",Sales_Data!T328)),LOWER(Sales_Data!T328),"Invalid_Email")</f>
        <v>arjun.rao@company.com</v>
      </c>
      <c r="E328" s="13">
        <f ca="1">DATEDIF(Sales_Data!H328,TODAY(),"Y")</f>
        <v>48</v>
      </c>
      <c r="F328" s="13">
        <f>IFERROR(DATEDIF(Sales_Data!D328,Sales_Data!E328,"D"),"Information_Not_Given")</f>
        <v>3</v>
      </c>
      <c r="G328" s="13" t="str" cm="1">
        <f t="array" ref="G328">_xlfn.IFS(F328&lt;=5,"One_Time",F328&gt;5,"Delayed",F328="Information_Not_given","Pending")</f>
        <v>One_Time</v>
      </c>
    </row>
    <row r="329" spans="1:7" x14ac:dyDescent="0.3">
      <c r="A329" s="12" t="str">
        <f>IF(AND(Sales_Data!P329&gt;=100000,Sales_Data!Q329&gt;=4,Sales_Data!V329="Completed",Sales_Data!O329&lt;=10),"Platinum",IF(AND(Sales_Data!P329&gt;=50000,Sales_Data!Q329&gt;=3,Sales_Data!V329="Completed"),"Gold",IF(AND(Sales_Data!P329&lt;50000,Sales_Data!V329="Completed"),"Silver",IF(OR(Sales_Data!Q329&lt;=2,Sales_Data!V329="Canceled"),"Blacklisted","Others"))))</f>
        <v>Blacklisted</v>
      </c>
      <c r="B329" s="4" t="str">
        <f>PROPER(TRIM(Sales_Data!F329))</f>
        <v>Vikas Mehta</v>
      </c>
      <c r="C329" s="4" t="str">
        <f>LEFT(B329,3)&amp;RIGHT(Sales_Data!B329,3)&amp;LEFT(Sales_Data!I329,2)</f>
        <v>Vik005Pu</v>
      </c>
      <c r="D329" s="4" t="str">
        <f>IF(ISNUMBER(SEARCH("@",Sales_Data!T329)),LOWER(Sales_Data!T329),"Invalid_Email")</f>
        <v>vikas.mehta@company.com</v>
      </c>
      <c r="E329" s="13">
        <f ca="1">DATEDIF(Sales_Data!H329,TODAY(),"Y")</f>
        <v>34</v>
      </c>
      <c r="F329" s="13">
        <f>IFERROR(DATEDIF(Sales_Data!D329,Sales_Data!E329,"D"),"Information_Not_Given")</f>
        <v>9</v>
      </c>
      <c r="G329" s="13" t="str" cm="1">
        <f t="array" ref="G329">_xlfn.IFS(F329&lt;=5,"One_Time",F329&gt;5,"Delayed",F329="Information_Not_given","Pending")</f>
        <v>Delayed</v>
      </c>
    </row>
    <row r="330" spans="1:7" x14ac:dyDescent="0.3">
      <c r="A330" s="12" t="str">
        <f>IF(AND(Sales_Data!P330&gt;=100000,Sales_Data!Q330&gt;=4,Sales_Data!V330="Completed",Sales_Data!O330&lt;=10),"Platinum",IF(AND(Sales_Data!P330&gt;=50000,Sales_Data!Q330&gt;=3,Sales_Data!V330="Completed"),"Gold",IF(AND(Sales_Data!P330&lt;50000,Sales_Data!V330="Completed"),"Silver",IF(OR(Sales_Data!Q330&lt;=2,Sales_Data!V330="Canceled"),"Blacklisted","Others"))))</f>
        <v>Blacklisted</v>
      </c>
      <c r="B330" s="4" t="str">
        <f>PROPER(TRIM(Sales_Data!F330))</f>
        <v>Anita Gupta</v>
      </c>
      <c r="C330" s="4" t="str">
        <f>LEFT(B330,3)&amp;RIGHT(Sales_Data!B330,3)&amp;LEFT(Sales_Data!I330,2)</f>
        <v>Ani004De</v>
      </c>
      <c r="D330" s="4" t="str">
        <f>IF(ISNUMBER(SEARCH("@",Sales_Data!T330)),LOWER(Sales_Data!T330),"Invalid_Email")</f>
        <v>anita.gupta@company.com</v>
      </c>
      <c r="E330" s="13">
        <f ca="1">DATEDIF(Sales_Data!H330,TODAY(),"Y")</f>
        <v>21</v>
      </c>
      <c r="F330" s="13">
        <f>IFERROR(DATEDIF(Sales_Data!D330,Sales_Data!E330,"D"),"Information_Not_Given")</f>
        <v>10</v>
      </c>
      <c r="G330" s="13" t="str" cm="1">
        <f t="array" ref="G330">_xlfn.IFS(F330&lt;=5,"One_Time",F330&gt;5,"Delayed",F330="Information_Not_given","Pending")</f>
        <v>Delayed</v>
      </c>
    </row>
    <row r="331" spans="1:7" x14ac:dyDescent="0.3">
      <c r="A331" s="12" t="str">
        <f>IF(AND(Sales_Data!P331&gt;=100000,Sales_Data!Q331&gt;=4,Sales_Data!V331="Completed",Sales_Data!O331&lt;=10),"Platinum",IF(AND(Sales_Data!P331&gt;=50000,Sales_Data!Q331&gt;=3,Sales_Data!V331="Completed"),"Gold",IF(AND(Sales_Data!P331&lt;50000,Sales_Data!V331="Completed"),"Silver",IF(OR(Sales_Data!Q331&lt;=2,Sales_Data!V331="Canceled"),"Blacklisted","Others"))))</f>
        <v>Blacklisted</v>
      </c>
      <c r="B331" s="4" t="str">
        <f>PROPER(TRIM(Sales_Data!F331))</f>
        <v>Rohit Singh</v>
      </c>
      <c r="C331" s="4" t="str">
        <f>LEFT(B331,3)&amp;RIGHT(Sales_Data!B331,3)&amp;LEFT(Sales_Data!I331,2)</f>
        <v>Roh003Hy</v>
      </c>
      <c r="D331" s="4" t="str">
        <f>IF(ISNUMBER(SEARCH("@",Sales_Data!T331)),LOWER(Sales_Data!T331),"Invalid_Email")</f>
        <v>rohit.singh@company.com</v>
      </c>
      <c r="E331" s="13">
        <f ca="1">DATEDIF(Sales_Data!H331,TODAY(),"Y")</f>
        <v>23</v>
      </c>
      <c r="F331" s="13">
        <f>IFERROR(DATEDIF(Sales_Data!D331,Sales_Data!E331,"D"),"Information_Not_Given")</f>
        <v>1</v>
      </c>
      <c r="G331" s="13" t="str" cm="1">
        <f t="array" ref="G331">_xlfn.IFS(F331&lt;=5,"One_Time",F331&gt;5,"Delayed",F331="Information_Not_given","Pending")</f>
        <v>One_Time</v>
      </c>
    </row>
    <row r="332" spans="1:7" x14ac:dyDescent="0.3">
      <c r="A332" s="12" t="str">
        <f>IF(AND(Sales_Data!P332&gt;=100000,Sales_Data!Q332&gt;=4,Sales_Data!V332="Completed",Sales_Data!O332&lt;=10),"Platinum",IF(AND(Sales_Data!P332&gt;=50000,Sales_Data!Q332&gt;=3,Sales_Data!V332="Completed"),"Gold",IF(AND(Sales_Data!P332&lt;50000,Sales_Data!V332="Completed"),"Silver",IF(OR(Sales_Data!Q332&lt;=2,Sales_Data!V332="Canceled"),"Blacklisted","Others"))))</f>
        <v>Others</v>
      </c>
      <c r="B332" s="4" t="str">
        <f>PROPER(TRIM(Sales_Data!F332))</f>
        <v>Pooja Shah</v>
      </c>
      <c r="C332" s="4" t="str">
        <f>LEFT(B332,3)&amp;RIGHT(Sales_Data!B332,3)&amp;LEFT(Sales_Data!I332,2)</f>
        <v>Poo010Ah</v>
      </c>
      <c r="D332" s="4" t="str">
        <f>IF(ISNUMBER(SEARCH("@",Sales_Data!T332)),LOWER(Sales_Data!T332),"Invalid_Email")</f>
        <v>pooja.shah@company.com</v>
      </c>
      <c r="E332" s="13">
        <f ca="1">DATEDIF(Sales_Data!H332,TODAY(),"Y")</f>
        <v>33</v>
      </c>
      <c r="F332" s="13">
        <f>IFERROR(DATEDIF(Sales_Data!D332,Sales_Data!E332,"D"),"Information_Not_Given")</f>
        <v>5</v>
      </c>
      <c r="G332" s="13" t="str" cm="1">
        <f t="array" ref="G332">_xlfn.IFS(F332&lt;=5,"One_Time",F332&gt;5,"Delayed",F332="Information_Not_given","Pending")</f>
        <v>One_Time</v>
      </c>
    </row>
    <row r="333" spans="1:7" x14ac:dyDescent="0.3">
      <c r="A333" s="12" t="str">
        <f>IF(AND(Sales_Data!P333&gt;=100000,Sales_Data!Q333&gt;=4,Sales_Data!V333="Completed",Sales_Data!O333&lt;=10),"Platinum",IF(AND(Sales_Data!P333&gt;=50000,Sales_Data!Q333&gt;=3,Sales_Data!V333="Completed"),"Gold",IF(AND(Sales_Data!P333&lt;50000,Sales_Data!V333="Completed"),"Silver",IF(OR(Sales_Data!Q333&lt;=2,Sales_Data!V333="Canceled"),"Blacklisted","Others"))))</f>
        <v>Gold</v>
      </c>
      <c r="B333" s="4" t="str">
        <f>PROPER(TRIM(Sales_Data!F333))</f>
        <v>Amit Sharma</v>
      </c>
      <c r="C333" s="4" t="str">
        <f>LEFT(B333,3)&amp;RIGHT(Sales_Data!B333,3)&amp;LEFT(Sales_Data!I333,2)</f>
        <v>Ami001De</v>
      </c>
      <c r="D333" s="4" t="str">
        <f>IF(ISNUMBER(SEARCH("@",Sales_Data!T333)),LOWER(Sales_Data!T333),"Invalid_Email")</f>
        <v>amit.sharma@company.com</v>
      </c>
      <c r="E333" s="13">
        <f ca="1">DATEDIF(Sales_Data!H333,TODAY(),"Y")</f>
        <v>33</v>
      </c>
      <c r="F333" s="13">
        <f>IFERROR(DATEDIF(Sales_Data!D333,Sales_Data!E333,"D"),"Information_Not_Given")</f>
        <v>12</v>
      </c>
      <c r="G333" s="13" t="str" cm="1">
        <f t="array" ref="G333">_xlfn.IFS(F333&lt;=5,"One_Time",F333&gt;5,"Delayed",F333="Information_Not_given","Pending")</f>
        <v>Delayed</v>
      </c>
    </row>
    <row r="334" spans="1:7" x14ac:dyDescent="0.3">
      <c r="A334" s="12" t="str">
        <f>IF(AND(Sales_Data!P334&gt;=100000,Sales_Data!Q334&gt;=4,Sales_Data!V334="Completed",Sales_Data!O334&lt;=10),"Platinum",IF(AND(Sales_Data!P334&gt;=50000,Sales_Data!Q334&gt;=3,Sales_Data!V334="Completed"),"Gold",IF(AND(Sales_Data!P334&lt;50000,Sales_Data!V334="Completed"),"Silver",IF(OR(Sales_Data!Q334&lt;=2,Sales_Data!V334="Canceled"),"Blacklisted","Others"))))</f>
        <v>Silver</v>
      </c>
      <c r="B334" s="4" t="str">
        <f>PROPER(TRIM(Sales_Data!F334))</f>
        <v>Pooja Shah</v>
      </c>
      <c r="C334" s="4" t="str">
        <f>LEFT(B334,3)&amp;RIGHT(Sales_Data!B334,3)&amp;LEFT(Sales_Data!I334,2)</f>
        <v>Poo010Be</v>
      </c>
      <c r="D334" s="4" t="str">
        <f>IF(ISNUMBER(SEARCH("@",Sales_Data!T334)),LOWER(Sales_Data!T334),"Invalid_Email")</f>
        <v>pooja.shah@company.com</v>
      </c>
      <c r="E334" s="13">
        <f ca="1">DATEDIF(Sales_Data!H334,TODAY(),"Y")</f>
        <v>26</v>
      </c>
      <c r="F334" s="13">
        <f>IFERROR(DATEDIF(Sales_Data!D334,Sales_Data!E334,"D"),"Information_Not_Given")</f>
        <v>3</v>
      </c>
      <c r="G334" s="13" t="str" cm="1">
        <f t="array" ref="G334">_xlfn.IFS(F334&lt;=5,"One_Time",F334&gt;5,"Delayed",F334="Information_Not_given","Pending")</f>
        <v>One_Time</v>
      </c>
    </row>
    <row r="335" spans="1:7" x14ac:dyDescent="0.3">
      <c r="A335" s="12" t="str">
        <f>IF(AND(Sales_Data!P335&gt;=100000,Sales_Data!Q335&gt;=4,Sales_Data!V335="Completed",Sales_Data!O335&lt;=10),"Platinum",IF(AND(Sales_Data!P335&gt;=50000,Sales_Data!Q335&gt;=3,Sales_Data!V335="Completed"),"Gold",IF(AND(Sales_Data!P335&lt;50000,Sales_Data!V335="Completed"),"Silver",IF(OR(Sales_Data!Q335&lt;=2,Sales_Data!V335="Canceled"),"Blacklisted","Others"))))</f>
        <v>Blacklisted</v>
      </c>
      <c r="B335" s="4" t="str">
        <f>PROPER(TRIM(Sales_Data!F335))</f>
        <v>Kavya Nair</v>
      </c>
      <c r="C335" s="4" t="str">
        <f>LEFT(B335,3)&amp;RIGHT(Sales_Data!B335,3)&amp;LEFT(Sales_Data!I335,2)</f>
        <v>Kav008Be</v>
      </c>
      <c r="D335" s="4" t="str">
        <f>IF(ISNUMBER(SEARCH("@",Sales_Data!T335)),LOWER(Sales_Data!T335),"Invalid_Email")</f>
        <v>kavya.nair@company.com</v>
      </c>
      <c r="E335" s="13">
        <f ca="1">DATEDIF(Sales_Data!H335,TODAY(),"Y")</f>
        <v>50</v>
      </c>
      <c r="F335" s="13">
        <f>IFERROR(DATEDIF(Sales_Data!D335,Sales_Data!E335,"D"),"Information_Not_Given")</f>
        <v>5</v>
      </c>
      <c r="G335" s="13" t="str" cm="1">
        <f t="array" ref="G335">_xlfn.IFS(F335&lt;=5,"One_Time",F335&gt;5,"Delayed",F335="Information_Not_given","Pending")</f>
        <v>One_Time</v>
      </c>
    </row>
    <row r="336" spans="1:7" x14ac:dyDescent="0.3">
      <c r="A336" s="12" t="str">
        <f>IF(AND(Sales_Data!P336&gt;=100000,Sales_Data!Q336&gt;=4,Sales_Data!V336="Completed",Sales_Data!O336&lt;=10),"Platinum",IF(AND(Sales_Data!P336&gt;=50000,Sales_Data!Q336&gt;=3,Sales_Data!V336="Completed"),"Gold",IF(AND(Sales_Data!P336&lt;50000,Sales_Data!V336="Completed"),"Silver",IF(OR(Sales_Data!Q336&lt;=2,Sales_Data!V336="Canceled"),"Blacklisted","Others"))))</f>
        <v>Blacklisted</v>
      </c>
      <c r="B336" s="4" t="str">
        <f>PROPER(TRIM(Sales_Data!F336))</f>
        <v>Kavya Nair</v>
      </c>
      <c r="C336" s="4" t="str">
        <f>LEFT(B336,3)&amp;RIGHT(Sales_Data!B336,3)&amp;LEFT(Sales_Data!I336,2)</f>
        <v>Kav008Pu</v>
      </c>
      <c r="D336" s="4" t="str">
        <f>IF(ISNUMBER(SEARCH("@",Sales_Data!T336)),LOWER(Sales_Data!T336),"Invalid_Email")</f>
        <v>kavya.nair@company.com</v>
      </c>
      <c r="E336" s="13">
        <f ca="1">DATEDIF(Sales_Data!H336,TODAY(),"Y")</f>
        <v>41</v>
      </c>
      <c r="F336" s="13">
        <f>IFERROR(DATEDIF(Sales_Data!D336,Sales_Data!E336,"D"),"Information_Not_Given")</f>
        <v>3</v>
      </c>
      <c r="G336" s="13" t="str" cm="1">
        <f t="array" ref="G336">_xlfn.IFS(F336&lt;=5,"One_Time",F336&gt;5,"Delayed",F336="Information_Not_given","Pending")</f>
        <v>One_Time</v>
      </c>
    </row>
    <row r="337" spans="1:7" x14ac:dyDescent="0.3">
      <c r="A337" s="12" t="str">
        <f>IF(AND(Sales_Data!P337&gt;=100000,Sales_Data!Q337&gt;=4,Sales_Data!V337="Completed",Sales_Data!O337&lt;=10),"Platinum",IF(AND(Sales_Data!P337&gt;=50000,Sales_Data!Q337&gt;=3,Sales_Data!V337="Completed"),"Gold",IF(AND(Sales_Data!P337&lt;50000,Sales_Data!V337="Completed"),"Silver",IF(OR(Sales_Data!Q337&lt;=2,Sales_Data!V337="Canceled"),"Blacklisted","Others"))))</f>
        <v>Silver</v>
      </c>
      <c r="B337" s="4" t="str">
        <f>PROPER(TRIM(Sales_Data!F337))</f>
        <v>Priya Patel</v>
      </c>
      <c r="C337" s="4" t="str">
        <f>LEFT(B337,3)&amp;RIGHT(Sales_Data!B337,3)&amp;LEFT(Sales_Data!I337,2)</f>
        <v>Pri002Ah</v>
      </c>
      <c r="D337" s="4" t="str">
        <f>IF(ISNUMBER(SEARCH("@",Sales_Data!T337)),LOWER(Sales_Data!T337),"Invalid_Email")</f>
        <v>priya.patel@company.com</v>
      </c>
      <c r="E337" s="13">
        <f ca="1">DATEDIF(Sales_Data!H337,TODAY(),"Y")</f>
        <v>51</v>
      </c>
      <c r="F337" s="13">
        <f>IFERROR(DATEDIF(Sales_Data!D337,Sales_Data!E337,"D"),"Information_Not_Given")</f>
        <v>8</v>
      </c>
      <c r="G337" s="13" t="str" cm="1">
        <f t="array" ref="G337">_xlfn.IFS(F337&lt;=5,"One_Time",F337&gt;5,"Delayed",F337="Information_Not_given","Pending")</f>
        <v>Delayed</v>
      </c>
    </row>
    <row r="338" spans="1:7" x14ac:dyDescent="0.3">
      <c r="A338" s="12" t="str">
        <f>IF(AND(Sales_Data!P338&gt;=100000,Sales_Data!Q338&gt;=4,Sales_Data!V338="Completed",Sales_Data!O338&lt;=10),"Platinum",IF(AND(Sales_Data!P338&gt;=50000,Sales_Data!Q338&gt;=3,Sales_Data!V338="Completed"),"Gold",IF(AND(Sales_Data!P338&lt;50000,Sales_Data!V338="Completed"),"Silver",IF(OR(Sales_Data!Q338&lt;=2,Sales_Data!V338="Canceled"),"Blacklisted","Others"))))</f>
        <v>Silver</v>
      </c>
      <c r="B338" s="4" t="str">
        <f>PROPER(TRIM(Sales_Data!F338))</f>
        <v>Rohit Singh</v>
      </c>
      <c r="C338" s="4" t="str">
        <f>LEFT(B338,3)&amp;RIGHT(Sales_Data!B338,3)&amp;LEFT(Sales_Data!I338,2)</f>
        <v>Roh003Hy</v>
      </c>
      <c r="D338" s="4" t="str">
        <f>IF(ISNUMBER(SEARCH("@",Sales_Data!T338)),LOWER(Sales_Data!T338),"Invalid_Email")</f>
        <v>rohit.singh@company.com</v>
      </c>
      <c r="E338" s="13">
        <f ca="1">DATEDIF(Sales_Data!H338,TODAY(),"Y")</f>
        <v>32</v>
      </c>
      <c r="F338" s="13">
        <f>IFERROR(DATEDIF(Sales_Data!D338,Sales_Data!E338,"D"),"Information_Not_Given")</f>
        <v>2</v>
      </c>
      <c r="G338" s="13" t="str" cm="1">
        <f t="array" ref="G338">_xlfn.IFS(F338&lt;=5,"One_Time",F338&gt;5,"Delayed",F338="Information_Not_given","Pending")</f>
        <v>One_Time</v>
      </c>
    </row>
    <row r="339" spans="1:7" x14ac:dyDescent="0.3">
      <c r="A339" s="12" t="str">
        <f>IF(AND(Sales_Data!P339&gt;=100000,Sales_Data!Q339&gt;=4,Sales_Data!V339="Completed",Sales_Data!O339&lt;=10),"Platinum",IF(AND(Sales_Data!P339&gt;=50000,Sales_Data!Q339&gt;=3,Sales_Data!V339="Completed"),"Gold",IF(AND(Sales_Data!P339&lt;50000,Sales_Data!V339="Completed"),"Silver",IF(OR(Sales_Data!Q339&lt;=2,Sales_Data!V339="Canceled"),"Blacklisted","Others"))))</f>
        <v>Silver</v>
      </c>
      <c r="B339" s="4" t="str">
        <f>PROPER(TRIM(Sales_Data!F339))</f>
        <v>Kavya Nair</v>
      </c>
      <c r="C339" s="4" t="str">
        <f>LEFT(B339,3)&amp;RIGHT(Sales_Data!B339,3)&amp;LEFT(Sales_Data!I339,2)</f>
        <v>Kav008Ja</v>
      </c>
      <c r="D339" s="4" t="str">
        <f>IF(ISNUMBER(SEARCH("@",Sales_Data!T339)),LOWER(Sales_Data!T339),"Invalid_Email")</f>
        <v>kavya.nair@company.com</v>
      </c>
      <c r="E339" s="13">
        <f ca="1">DATEDIF(Sales_Data!H339,TODAY(),"Y")</f>
        <v>42</v>
      </c>
      <c r="F339" s="13">
        <f>IFERROR(DATEDIF(Sales_Data!D339,Sales_Data!E339,"D"),"Information_Not_Given")</f>
        <v>11</v>
      </c>
      <c r="G339" s="13" t="str" cm="1">
        <f t="array" ref="G339">_xlfn.IFS(F339&lt;=5,"One_Time",F339&gt;5,"Delayed",F339="Information_Not_given","Pending")</f>
        <v>Delayed</v>
      </c>
    </row>
    <row r="340" spans="1:7" x14ac:dyDescent="0.3">
      <c r="A340" s="12" t="str">
        <f>IF(AND(Sales_Data!P340&gt;=100000,Sales_Data!Q340&gt;=4,Sales_Data!V340="Completed",Sales_Data!O340&lt;=10),"Platinum",IF(AND(Sales_Data!P340&gt;=50000,Sales_Data!Q340&gt;=3,Sales_Data!V340="Completed"),"Gold",IF(AND(Sales_Data!P340&lt;50000,Sales_Data!V340="Completed"),"Silver",IF(OR(Sales_Data!Q340&lt;=2,Sales_Data!V340="Canceled"),"Blacklisted","Others"))))</f>
        <v>Others</v>
      </c>
      <c r="B340" s="4" t="str">
        <f>PROPER(TRIM(Sales_Data!F340))</f>
        <v>Amit Sharma</v>
      </c>
      <c r="C340" s="4" t="str">
        <f>LEFT(B340,3)&amp;RIGHT(Sales_Data!B340,3)&amp;LEFT(Sales_Data!I340,2)</f>
        <v>Ami001Hy</v>
      </c>
      <c r="D340" s="4" t="str">
        <f>IF(ISNUMBER(SEARCH("@",Sales_Data!T340)),LOWER(Sales_Data!T340),"Invalid_Email")</f>
        <v>amit.sharma@company.com</v>
      </c>
      <c r="E340" s="13">
        <f ca="1">DATEDIF(Sales_Data!H340,TODAY(),"Y")</f>
        <v>43</v>
      </c>
      <c r="F340" s="13">
        <f>IFERROR(DATEDIF(Sales_Data!D340,Sales_Data!E340,"D"),"Information_Not_Given")</f>
        <v>3</v>
      </c>
      <c r="G340" s="13" t="str" cm="1">
        <f t="array" ref="G340">_xlfn.IFS(F340&lt;=5,"One_Time",F340&gt;5,"Delayed",F340="Information_Not_given","Pending")</f>
        <v>One_Time</v>
      </c>
    </row>
    <row r="341" spans="1:7" x14ac:dyDescent="0.3">
      <c r="A341" s="12" t="str">
        <f>IF(AND(Sales_Data!P341&gt;=100000,Sales_Data!Q341&gt;=4,Sales_Data!V341="Completed",Sales_Data!O341&lt;=10),"Platinum",IF(AND(Sales_Data!P341&gt;=50000,Sales_Data!Q341&gt;=3,Sales_Data!V341="Completed"),"Gold",IF(AND(Sales_Data!P341&lt;50000,Sales_Data!V341="Completed"),"Silver",IF(OR(Sales_Data!Q341&lt;=2,Sales_Data!V341="Canceled"),"Blacklisted","Others"))))</f>
        <v>Silver</v>
      </c>
      <c r="B341" s="4" t="str">
        <f>PROPER(TRIM(Sales_Data!F341))</f>
        <v>Kavya Nair</v>
      </c>
      <c r="C341" s="4" t="str">
        <f>LEFT(B341,3)&amp;RIGHT(Sales_Data!B341,3)&amp;LEFT(Sales_Data!I341,2)</f>
        <v>Kav008Ko</v>
      </c>
      <c r="D341" s="4" t="str">
        <f>IF(ISNUMBER(SEARCH("@",Sales_Data!T341)),LOWER(Sales_Data!T341),"Invalid_Email")</f>
        <v>kavya.nair@company.com</v>
      </c>
      <c r="E341" s="13">
        <f ca="1">DATEDIF(Sales_Data!H341,TODAY(),"Y")</f>
        <v>42</v>
      </c>
      <c r="F341" s="13">
        <f>IFERROR(DATEDIF(Sales_Data!D341,Sales_Data!E341,"D"),"Information_Not_Given")</f>
        <v>10</v>
      </c>
      <c r="G341" s="13" t="str" cm="1">
        <f t="array" ref="G341">_xlfn.IFS(F341&lt;=5,"One_Time",F341&gt;5,"Delayed",F341="Information_Not_given","Pending")</f>
        <v>Delayed</v>
      </c>
    </row>
    <row r="342" spans="1:7" x14ac:dyDescent="0.3">
      <c r="A342" s="12" t="str">
        <f>IF(AND(Sales_Data!P342&gt;=100000,Sales_Data!Q342&gt;=4,Sales_Data!V342="Completed",Sales_Data!O342&lt;=10),"Platinum",IF(AND(Sales_Data!P342&gt;=50000,Sales_Data!Q342&gt;=3,Sales_Data!V342="Completed"),"Gold",IF(AND(Sales_Data!P342&lt;50000,Sales_Data!V342="Completed"),"Silver",IF(OR(Sales_Data!Q342&lt;=2,Sales_Data!V342="Canceled"),"Blacklisted","Others"))))</f>
        <v>Blacklisted</v>
      </c>
      <c r="B342" s="4" t="str">
        <f>PROPER(TRIM(Sales_Data!F342))</f>
        <v>Rohit Singh</v>
      </c>
      <c r="C342" s="4" t="str">
        <f>LEFT(B342,3)&amp;RIGHT(Sales_Data!B342,3)&amp;LEFT(Sales_Data!I342,2)</f>
        <v>Roh003De</v>
      </c>
      <c r="D342" s="4" t="str">
        <f>IF(ISNUMBER(SEARCH("@",Sales_Data!T342)),LOWER(Sales_Data!T342),"Invalid_Email")</f>
        <v>rohit.singh@company.com</v>
      </c>
      <c r="E342" s="13">
        <f ca="1">DATEDIF(Sales_Data!H342,TODAY(),"Y")</f>
        <v>43</v>
      </c>
      <c r="F342" s="13">
        <f>IFERROR(DATEDIF(Sales_Data!D342,Sales_Data!E342,"D"),"Information_Not_Given")</f>
        <v>6</v>
      </c>
      <c r="G342" s="13" t="str" cm="1">
        <f t="array" ref="G342">_xlfn.IFS(F342&lt;=5,"One_Time",F342&gt;5,"Delayed",F342="Information_Not_given","Pending")</f>
        <v>Delayed</v>
      </c>
    </row>
    <row r="343" spans="1:7" x14ac:dyDescent="0.3">
      <c r="A343" s="12" t="str">
        <f>IF(AND(Sales_Data!P343&gt;=100000,Sales_Data!Q343&gt;=4,Sales_Data!V343="Completed",Sales_Data!O343&lt;=10),"Platinum",IF(AND(Sales_Data!P343&gt;=50000,Sales_Data!Q343&gt;=3,Sales_Data!V343="Completed"),"Gold",IF(AND(Sales_Data!P343&lt;50000,Sales_Data!V343="Completed"),"Silver",IF(OR(Sales_Data!Q343&lt;=2,Sales_Data!V343="Canceled"),"Blacklisted","Others"))))</f>
        <v>Blacklisted</v>
      </c>
      <c r="B343" s="4" t="str">
        <f>PROPER(TRIM(Sales_Data!F343))</f>
        <v>Anita Gupta</v>
      </c>
      <c r="C343" s="4" t="str">
        <f>LEFT(B343,3)&amp;RIGHT(Sales_Data!B343,3)&amp;LEFT(Sales_Data!I343,2)</f>
        <v>Ani004De</v>
      </c>
      <c r="D343" s="4" t="str">
        <f>IF(ISNUMBER(SEARCH("@",Sales_Data!T343)),LOWER(Sales_Data!T343),"Invalid_Email")</f>
        <v>anita.gupta@company.com</v>
      </c>
      <c r="E343" s="13">
        <f ca="1">DATEDIF(Sales_Data!H343,TODAY(),"Y")</f>
        <v>51</v>
      </c>
      <c r="F343" s="13">
        <f>IFERROR(DATEDIF(Sales_Data!D343,Sales_Data!E343,"D"),"Information_Not_Given")</f>
        <v>9</v>
      </c>
      <c r="G343" s="13" t="str" cm="1">
        <f t="array" ref="G343">_xlfn.IFS(F343&lt;=5,"One_Time",F343&gt;5,"Delayed",F343="Information_Not_given","Pending")</f>
        <v>Delayed</v>
      </c>
    </row>
    <row r="344" spans="1:7" x14ac:dyDescent="0.3">
      <c r="A344" s="12" t="str">
        <f>IF(AND(Sales_Data!P344&gt;=100000,Sales_Data!Q344&gt;=4,Sales_Data!V344="Completed",Sales_Data!O344&lt;=10),"Platinum",IF(AND(Sales_Data!P344&gt;=50000,Sales_Data!Q344&gt;=3,Sales_Data!V344="Completed"),"Gold",IF(AND(Sales_Data!P344&lt;50000,Sales_Data!V344="Completed"),"Silver",IF(OR(Sales_Data!Q344&lt;=2,Sales_Data!V344="Canceled"),"Blacklisted","Others"))))</f>
        <v>Others</v>
      </c>
      <c r="B344" s="4" t="str">
        <f>PROPER(TRIM(Sales_Data!F344))</f>
        <v>Arjun Rao</v>
      </c>
      <c r="C344" s="4" t="str">
        <f>LEFT(B344,3)&amp;RIGHT(Sales_Data!B344,3)&amp;LEFT(Sales_Data!I344,2)</f>
        <v>Arj007De</v>
      </c>
      <c r="D344" s="4" t="str">
        <f>IF(ISNUMBER(SEARCH("@",Sales_Data!T344)),LOWER(Sales_Data!T344),"Invalid_Email")</f>
        <v>arjun.rao@company.com</v>
      </c>
      <c r="E344" s="13">
        <f ca="1">DATEDIF(Sales_Data!H344,TODAY(),"Y")</f>
        <v>31</v>
      </c>
      <c r="F344" s="13">
        <f>IFERROR(DATEDIF(Sales_Data!D344,Sales_Data!E344,"D"),"Information_Not_Given")</f>
        <v>2</v>
      </c>
      <c r="G344" s="13" t="str" cm="1">
        <f t="array" ref="G344">_xlfn.IFS(F344&lt;=5,"One_Time",F344&gt;5,"Delayed",F344="Information_Not_given","Pending")</f>
        <v>One_Time</v>
      </c>
    </row>
    <row r="345" spans="1:7" x14ac:dyDescent="0.3">
      <c r="A345" s="12" t="str">
        <f>IF(AND(Sales_Data!P345&gt;=100000,Sales_Data!Q345&gt;=4,Sales_Data!V345="Completed",Sales_Data!O345&lt;=10),"Platinum",IF(AND(Sales_Data!P345&gt;=50000,Sales_Data!Q345&gt;=3,Sales_Data!V345="Completed"),"Gold",IF(AND(Sales_Data!P345&lt;50000,Sales_Data!V345="Completed"),"Silver",IF(OR(Sales_Data!Q345&lt;=2,Sales_Data!V345="Canceled"),"Blacklisted","Others"))))</f>
        <v>Others</v>
      </c>
      <c r="B345" s="4" t="str">
        <f>PROPER(TRIM(Sales_Data!F345))</f>
        <v>Amit Sharma</v>
      </c>
      <c r="C345" s="4" t="str">
        <f>LEFT(B345,3)&amp;RIGHT(Sales_Data!B345,3)&amp;LEFT(Sales_Data!I345,2)</f>
        <v>Ami001De</v>
      </c>
      <c r="D345" s="4" t="str">
        <f>IF(ISNUMBER(SEARCH("@",Sales_Data!T345)),LOWER(Sales_Data!T345),"Invalid_Email")</f>
        <v>amit.sharma@company.com</v>
      </c>
      <c r="E345" s="13">
        <f ca="1">DATEDIF(Sales_Data!H345,TODAY(),"Y")</f>
        <v>38</v>
      </c>
      <c r="F345" s="13">
        <f>IFERROR(DATEDIF(Sales_Data!D345,Sales_Data!E345,"D"),"Information_Not_Given")</f>
        <v>8</v>
      </c>
      <c r="G345" s="13" t="str" cm="1">
        <f t="array" ref="G345">_xlfn.IFS(F345&lt;=5,"One_Time",F345&gt;5,"Delayed",F345="Information_Not_given","Pending")</f>
        <v>Delayed</v>
      </c>
    </row>
    <row r="346" spans="1:7" x14ac:dyDescent="0.3">
      <c r="A346" s="12" t="str">
        <f>IF(AND(Sales_Data!P346&gt;=100000,Sales_Data!Q346&gt;=4,Sales_Data!V346="Completed",Sales_Data!O346&lt;=10),"Platinum",IF(AND(Sales_Data!P346&gt;=50000,Sales_Data!Q346&gt;=3,Sales_Data!V346="Completed"),"Gold",IF(AND(Sales_Data!P346&lt;50000,Sales_Data!V346="Completed"),"Silver",IF(OR(Sales_Data!Q346&lt;=2,Sales_Data!V346="Canceled"),"Blacklisted","Others"))))</f>
        <v>Gold</v>
      </c>
      <c r="B346" s="4" t="str">
        <f>PROPER(TRIM(Sales_Data!F346))</f>
        <v>Rohit Singh</v>
      </c>
      <c r="C346" s="4" t="str">
        <f>LEFT(B346,3)&amp;RIGHT(Sales_Data!B346,3)&amp;LEFT(Sales_Data!I346,2)</f>
        <v>Roh003Be</v>
      </c>
      <c r="D346" s="4" t="str">
        <f>IF(ISNUMBER(SEARCH("@",Sales_Data!T346)),LOWER(Sales_Data!T346),"Invalid_Email")</f>
        <v>rohit.singh@company.com</v>
      </c>
      <c r="E346" s="13">
        <f ca="1">DATEDIF(Sales_Data!H346,TODAY(),"Y")</f>
        <v>51</v>
      </c>
      <c r="F346" s="13">
        <f>IFERROR(DATEDIF(Sales_Data!D346,Sales_Data!E346,"D"),"Information_Not_Given")</f>
        <v>12</v>
      </c>
      <c r="G346" s="13" t="str" cm="1">
        <f t="array" ref="G346">_xlfn.IFS(F346&lt;=5,"One_Time",F346&gt;5,"Delayed",F346="Information_Not_given","Pending")</f>
        <v>Delayed</v>
      </c>
    </row>
    <row r="347" spans="1:7" x14ac:dyDescent="0.3">
      <c r="A347" s="12" t="str">
        <f>IF(AND(Sales_Data!P347&gt;=100000,Sales_Data!Q347&gt;=4,Sales_Data!V347="Completed",Sales_Data!O347&lt;=10),"Platinum",IF(AND(Sales_Data!P347&gt;=50000,Sales_Data!Q347&gt;=3,Sales_Data!V347="Completed"),"Gold",IF(AND(Sales_Data!P347&lt;50000,Sales_Data!V347="Completed"),"Silver",IF(OR(Sales_Data!Q347&lt;=2,Sales_Data!V347="Canceled"),"Blacklisted","Others"))))</f>
        <v>Others</v>
      </c>
      <c r="B347" s="4" t="str">
        <f>PROPER(TRIM(Sales_Data!F347))</f>
        <v>Pooja Shah</v>
      </c>
      <c r="C347" s="4" t="str">
        <f>LEFT(B347,3)&amp;RIGHT(Sales_Data!B347,3)&amp;LEFT(Sales_Data!I347,2)</f>
        <v>Poo010Ah</v>
      </c>
      <c r="D347" s="4" t="str">
        <f>IF(ISNUMBER(SEARCH("@",Sales_Data!T347)),LOWER(Sales_Data!T347),"Invalid_Email")</f>
        <v>pooja.shah@company.com</v>
      </c>
      <c r="E347" s="13">
        <f ca="1">DATEDIF(Sales_Data!H347,TODAY(),"Y")</f>
        <v>49</v>
      </c>
      <c r="F347" s="13">
        <f>IFERROR(DATEDIF(Sales_Data!D347,Sales_Data!E347,"D"),"Information_Not_Given")</f>
        <v>7</v>
      </c>
      <c r="G347" s="13" t="str" cm="1">
        <f t="array" ref="G347">_xlfn.IFS(F347&lt;=5,"One_Time",F347&gt;5,"Delayed",F347="Information_Not_given","Pending")</f>
        <v>Delayed</v>
      </c>
    </row>
    <row r="348" spans="1:7" x14ac:dyDescent="0.3">
      <c r="A348" s="12" t="str">
        <f>IF(AND(Sales_Data!P348&gt;=100000,Sales_Data!Q348&gt;=4,Sales_Data!V348="Completed",Sales_Data!O348&lt;=10),"Platinum",IF(AND(Sales_Data!P348&gt;=50000,Sales_Data!Q348&gt;=3,Sales_Data!V348="Completed"),"Gold",IF(AND(Sales_Data!P348&lt;50000,Sales_Data!V348="Completed"),"Silver",IF(OR(Sales_Data!Q348&lt;=2,Sales_Data!V348="Canceled"),"Blacklisted","Others"))))</f>
        <v>Others</v>
      </c>
      <c r="B348" s="4" t="str">
        <f>PROPER(TRIM(Sales_Data!F348))</f>
        <v>Kavya Nair</v>
      </c>
      <c r="C348" s="4" t="str">
        <f>LEFT(B348,3)&amp;RIGHT(Sales_Data!B348,3)&amp;LEFT(Sales_Data!I348,2)</f>
        <v>Kav008Ah</v>
      </c>
      <c r="D348" s="4" t="str">
        <f>IF(ISNUMBER(SEARCH("@",Sales_Data!T348)),LOWER(Sales_Data!T348),"Invalid_Email")</f>
        <v>kavya.nair@company.com</v>
      </c>
      <c r="E348" s="13">
        <f ca="1">DATEDIF(Sales_Data!H348,TODAY(),"Y")</f>
        <v>33</v>
      </c>
      <c r="F348" s="13">
        <f>IFERROR(DATEDIF(Sales_Data!D348,Sales_Data!E348,"D"),"Information_Not_Given")</f>
        <v>5</v>
      </c>
      <c r="G348" s="13" t="str" cm="1">
        <f t="array" ref="G348">_xlfn.IFS(F348&lt;=5,"One_Time",F348&gt;5,"Delayed",F348="Information_Not_given","Pending")</f>
        <v>One_Time</v>
      </c>
    </row>
    <row r="349" spans="1:7" x14ac:dyDescent="0.3">
      <c r="A349" s="12" t="str">
        <f>IF(AND(Sales_Data!P349&gt;=100000,Sales_Data!Q349&gt;=4,Sales_Data!V349="Completed",Sales_Data!O349&lt;=10),"Platinum",IF(AND(Sales_Data!P349&gt;=50000,Sales_Data!Q349&gt;=3,Sales_Data!V349="Completed"),"Gold",IF(AND(Sales_Data!P349&lt;50000,Sales_Data!V349="Completed"),"Silver",IF(OR(Sales_Data!Q349&lt;=2,Sales_Data!V349="Canceled"),"Blacklisted","Others"))))</f>
        <v>Blacklisted</v>
      </c>
      <c r="B349" s="4" t="str">
        <f>PROPER(TRIM(Sales_Data!F349))</f>
        <v>Sneha Joshi</v>
      </c>
      <c r="C349" s="4" t="str">
        <f>LEFT(B349,3)&amp;RIGHT(Sales_Data!B349,3)&amp;LEFT(Sales_Data!I349,2)</f>
        <v>Sne006De</v>
      </c>
      <c r="D349" s="4" t="str">
        <f>IF(ISNUMBER(SEARCH("@",Sales_Data!T349)),LOWER(Sales_Data!T349),"Invalid_Email")</f>
        <v>sneha.joshi@company.com</v>
      </c>
      <c r="E349" s="13">
        <f ca="1">DATEDIF(Sales_Data!H349,TODAY(),"Y")</f>
        <v>29</v>
      </c>
      <c r="F349" s="13">
        <f>IFERROR(DATEDIF(Sales_Data!D349,Sales_Data!E349,"D"),"Information_Not_Given")</f>
        <v>3</v>
      </c>
      <c r="G349" s="13" t="str" cm="1">
        <f t="array" ref="G349">_xlfn.IFS(F349&lt;=5,"One_Time",F349&gt;5,"Delayed",F349="Information_Not_given","Pending")</f>
        <v>One_Time</v>
      </c>
    </row>
    <row r="350" spans="1:7" x14ac:dyDescent="0.3">
      <c r="A350" s="12" t="str">
        <f>IF(AND(Sales_Data!P350&gt;=100000,Sales_Data!Q350&gt;=4,Sales_Data!V350="Completed",Sales_Data!O350&lt;=10),"Platinum",IF(AND(Sales_Data!P350&gt;=50000,Sales_Data!Q350&gt;=3,Sales_Data!V350="Completed"),"Gold",IF(AND(Sales_Data!P350&lt;50000,Sales_Data!V350="Completed"),"Silver",IF(OR(Sales_Data!Q350&lt;=2,Sales_Data!V350="Canceled"),"Blacklisted","Others"))))</f>
        <v>Blacklisted</v>
      </c>
      <c r="B350" s="4" t="str">
        <f>PROPER(TRIM(Sales_Data!F350))</f>
        <v>Pooja Shah</v>
      </c>
      <c r="C350" s="4" t="str">
        <f>LEFT(B350,3)&amp;RIGHT(Sales_Data!B350,3)&amp;LEFT(Sales_Data!I350,2)</f>
        <v>Poo010Ko</v>
      </c>
      <c r="D350" s="4" t="str">
        <f>IF(ISNUMBER(SEARCH("@",Sales_Data!T350)),LOWER(Sales_Data!T350),"Invalid_Email")</f>
        <v>pooja.shah@company.com</v>
      </c>
      <c r="E350" s="13">
        <f ca="1">DATEDIF(Sales_Data!H350,TODAY(),"Y")</f>
        <v>24</v>
      </c>
      <c r="F350" s="13">
        <f>IFERROR(DATEDIF(Sales_Data!D350,Sales_Data!E350,"D"),"Information_Not_Given")</f>
        <v>1</v>
      </c>
      <c r="G350" s="13" t="str" cm="1">
        <f t="array" ref="G350">_xlfn.IFS(F350&lt;=5,"One_Time",F350&gt;5,"Delayed",F350="Information_Not_given","Pending")</f>
        <v>One_Time</v>
      </c>
    </row>
    <row r="351" spans="1:7" x14ac:dyDescent="0.3">
      <c r="A351" s="12" t="str">
        <f>IF(AND(Sales_Data!P351&gt;=100000,Sales_Data!Q351&gt;=4,Sales_Data!V351="Completed",Sales_Data!O351&lt;=10),"Platinum",IF(AND(Sales_Data!P351&gt;=50000,Sales_Data!Q351&gt;=3,Sales_Data!V351="Completed"),"Gold",IF(AND(Sales_Data!P351&lt;50000,Sales_Data!V351="Completed"),"Silver",IF(OR(Sales_Data!Q351&lt;=2,Sales_Data!V351="Canceled"),"Blacklisted","Others"))))</f>
        <v>Others</v>
      </c>
      <c r="B351" s="4" t="str">
        <f>PROPER(TRIM(Sales_Data!F351))</f>
        <v>Pooja Shah</v>
      </c>
      <c r="C351" s="4" t="str">
        <f>LEFT(B351,3)&amp;RIGHT(Sales_Data!B351,3)&amp;LEFT(Sales_Data!I351,2)</f>
        <v>Poo010Ja</v>
      </c>
      <c r="D351" s="4" t="str">
        <f>IF(ISNUMBER(SEARCH("@",Sales_Data!T351)),LOWER(Sales_Data!T351),"Invalid_Email")</f>
        <v>pooja.shah@company.com</v>
      </c>
      <c r="E351" s="13">
        <f ca="1">DATEDIF(Sales_Data!H351,TODAY(),"Y")</f>
        <v>42</v>
      </c>
      <c r="F351" s="13">
        <f>IFERROR(DATEDIF(Sales_Data!D351,Sales_Data!E351,"D"),"Information_Not_Given")</f>
        <v>5</v>
      </c>
      <c r="G351" s="13" t="str" cm="1">
        <f t="array" ref="G351">_xlfn.IFS(F351&lt;=5,"One_Time",F351&gt;5,"Delayed",F351="Information_Not_given","Pending")</f>
        <v>One_Time</v>
      </c>
    </row>
    <row r="352" spans="1:7" x14ac:dyDescent="0.3">
      <c r="A352" s="12" t="str">
        <f>IF(AND(Sales_Data!P352&gt;=100000,Sales_Data!Q352&gt;=4,Sales_Data!V352="Completed",Sales_Data!O352&lt;=10),"Platinum",IF(AND(Sales_Data!P352&gt;=50000,Sales_Data!Q352&gt;=3,Sales_Data!V352="Completed"),"Gold",IF(AND(Sales_Data!P352&lt;50000,Sales_Data!V352="Completed"),"Silver",IF(OR(Sales_Data!Q352&lt;=2,Sales_Data!V352="Canceled"),"Blacklisted","Others"))))</f>
        <v>Silver</v>
      </c>
      <c r="B352" s="4" t="str">
        <f>PROPER(TRIM(Sales_Data!F352))</f>
        <v>Arjun Rao</v>
      </c>
      <c r="C352" s="4" t="str">
        <f>LEFT(B352,3)&amp;RIGHT(Sales_Data!B352,3)&amp;LEFT(Sales_Data!I352,2)</f>
        <v>Arj007Mu</v>
      </c>
      <c r="D352" s="4" t="str">
        <f>IF(ISNUMBER(SEARCH("@",Sales_Data!T352)),LOWER(Sales_Data!T352),"Invalid_Email")</f>
        <v>arjun.rao@company.com</v>
      </c>
      <c r="E352" s="13">
        <f ca="1">DATEDIF(Sales_Data!H352,TODAY(),"Y")</f>
        <v>23</v>
      </c>
      <c r="F352" s="13">
        <f>IFERROR(DATEDIF(Sales_Data!D352,Sales_Data!E352,"D"),"Information_Not_Given")</f>
        <v>5</v>
      </c>
      <c r="G352" s="13" t="str" cm="1">
        <f t="array" ref="G352">_xlfn.IFS(F352&lt;=5,"One_Time",F352&gt;5,"Delayed",F352="Information_Not_given","Pending")</f>
        <v>One_Time</v>
      </c>
    </row>
    <row r="353" spans="1:7" x14ac:dyDescent="0.3">
      <c r="A353" s="12" t="str">
        <f>IF(AND(Sales_Data!P353&gt;=100000,Sales_Data!Q353&gt;=4,Sales_Data!V353="Completed",Sales_Data!O353&lt;=10),"Platinum",IF(AND(Sales_Data!P353&gt;=50000,Sales_Data!Q353&gt;=3,Sales_Data!V353="Completed"),"Gold",IF(AND(Sales_Data!P353&lt;50000,Sales_Data!V353="Completed"),"Silver",IF(OR(Sales_Data!Q353&lt;=2,Sales_Data!V353="Canceled"),"Blacklisted","Others"))))</f>
        <v>Blacklisted</v>
      </c>
      <c r="B353" s="4" t="str">
        <f>PROPER(TRIM(Sales_Data!F353))</f>
        <v>Rohit Singh</v>
      </c>
      <c r="C353" s="4" t="str">
        <f>LEFT(B353,3)&amp;RIGHT(Sales_Data!B353,3)&amp;LEFT(Sales_Data!I353,2)</f>
        <v>Roh003Ah</v>
      </c>
      <c r="D353" s="4" t="str">
        <f>IF(ISNUMBER(SEARCH("@",Sales_Data!T353)),LOWER(Sales_Data!T353),"Invalid_Email")</f>
        <v>rohit.singh@company.com</v>
      </c>
      <c r="E353" s="13">
        <f ca="1">DATEDIF(Sales_Data!H353,TODAY(),"Y")</f>
        <v>33</v>
      </c>
      <c r="F353" s="13">
        <f>IFERROR(DATEDIF(Sales_Data!D353,Sales_Data!E353,"D"),"Information_Not_Given")</f>
        <v>6</v>
      </c>
      <c r="G353" s="13" t="str" cm="1">
        <f t="array" ref="G353">_xlfn.IFS(F353&lt;=5,"One_Time",F353&gt;5,"Delayed",F353="Information_Not_given","Pending")</f>
        <v>Delayed</v>
      </c>
    </row>
    <row r="354" spans="1:7" x14ac:dyDescent="0.3">
      <c r="A354" s="12" t="str">
        <f>IF(AND(Sales_Data!P354&gt;=100000,Sales_Data!Q354&gt;=4,Sales_Data!V354="Completed",Sales_Data!O354&lt;=10),"Platinum",IF(AND(Sales_Data!P354&gt;=50000,Sales_Data!Q354&gt;=3,Sales_Data!V354="Completed"),"Gold",IF(AND(Sales_Data!P354&lt;50000,Sales_Data!V354="Completed"),"Silver",IF(OR(Sales_Data!Q354&lt;=2,Sales_Data!V354="Canceled"),"Blacklisted","Others"))))</f>
        <v>Others</v>
      </c>
      <c r="B354" s="4" t="str">
        <f>PROPER(TRIM(Sales_Data!F354))</f>
        <v>Arjun Rao</v>
      </c>
      <c r="C354" s="4" t="str">
        <f>LEFT(B354,3)&amp;RIGHT(Sales_Data!B354,3)&amp;LEFT(Sales_Data!I354,2)</f>
        <v>Arj007Ah</v>
      </c>
      <c r="D354" s="4" t="str">
        <f>IF(ISNUMBER(SEARCH("@",Sales_Data!T354)),LOWER(Sales_Data!T354),"Invalid_Email")</f>
        <v>arjun.rao@company.com</v>
      </c>
      <c r="E354" s="13">
        <f ca="1">DATEDIF(Sales_Data!H354,TODAY(),"Y")</f>
        <v>38</v>
      </c>
      <c r="F354" s="13">
        <f>IFERROR(DATEDIF(Sales_Data!D354,Sales_Data!E354,"D"),"Information_Not_Given")</f>
        <v>1</v>
      </c>
      <c r="G354" s="13" t="str" cm="1">
        <f t="array" ref="G354">_xlfn.IFS(F354&lt;=5,"One_Time",F354&gt;5,"Delayed",F354="Information_Not_given","Pending")</f>
        <v>One_Time</v>
      </c>
    </row>
    <row r="355" spans="1:7" x14ac:dyDescent="0.3">
      <c r="A355" s="12" t="str">
        <f>IF(AND(Sales_Data!P355&gt;=100000,Sales_Data!Q355&gt;=4,Sales_Data!V355="Completed",Sales_Data!O355&lt;=10),"Platinum",IF(AND(Sales_Data!P355&gt;=50000,Sales_Data!Q355&gt;=3,Sales_Data!V355="Completed"),"Gold",IF(AND(Sales_Data!P355&lt;50000,Sales_Data!V355="Completed"),"Silver",IF(OR(Sales_Data!Q355&lt;=2,Sales_Data!V355="Canceled"),"Blacklisted","Others"))))</f>
        <v>Blacklisted</v>
      </c>
      <c r="B355" s="4" t="str">
        <f>PROPER(TRIM(Sales_Data!F355))</f>
        <v>Sneha Joshi</v>
      </c>
      <c r="C355" s="4" t="str">
        <f>LEFT(B355,3)&amp;RIGHT(Sales_Data!B355,3)&amp;LEFT(Sales_Data!I355,2)</f>
        <v>Sne006Mu</v>
      </c>
      <c r="D355" s="4" t="str">
        <f>IF(ISNUMBER(SEARCH("@",Sales_Data!T355)),LOWER(Sales_Data!T355),"Invalid_Email")</f>
        <v>sneha.joshi@company.com</v>
      </c>
      <c r="E355" s="13">
        <f ca="1">DATEDIF(Sales_Data!H355,TODAY(),"Y")</f>
        <v>39</v>
      </c>
      <c r="F355" s="13">
        <f>IFERROR(DATEDIF(Sales_Data!D355,Sales_Data!E355,"D"),"Information_Not_Given")</f>
        <v>2</v>
      </c>
      <c r="G355" s="13" t="str" cm="1">
        <f t="array" ref="G355">_xlfn.IFS(F355&lt;=5,"One_Time",F355&gt;5,"Delayed",F355="Information_Not_given","Pending")</f>
        <v>One_Time</v>
      </c>
    </row>
    <row r="356" spans="1:7" x14ac:dyDescent="0.3">
      <c r="A356" s="12" t="str">
        <f>IF(AND(Sales_Data!P356&gt;=100000,Sales_Data!Q356&gt;=4,Sales_Data!V356="Completed",Sales_Data!O356&lt;=10),"Platinum",IF(AND(Sales_Data!P356&gt;=50000,Sales_Data!Q356&gt;=3,Sales_Data!V356="Completed"),"Gold",IF(AND(Sales_Data!P356&lt;50000,Sales_Data!V356="Completed"),"Silver",IF(OR(Sales_Data!Q356&lt;=2,Sales_Data!V356="Canceled"),"Blacklisted","Others"))))</f>
        <v>Others</v>
      </c>
      <c r="B356" s="4" t="str">
        <f>PROPER(TRIM(Sales_Data!F356))</f>
        <v>Anita Gupta</v>
      </c>
      <c r="C356" s="4" t="str">
        <f>LEFT(B356,3)&amp;RIGHT(Sales_Data!B356,3)&amp;LEFT(Sales_Data!I356,2)</f>
        <v>Ani004Mu</v>
      </c>
      <c r="D356" s="4" t="str">
        <f>IF(ISNUMBER(SEARCH("@",Sales_Data!T356)),LOWER(Sales_Data!T356),"Invalid_Email")</f>
        <v>anita.gupta@company.com</v>
      </c>
      <c r="E356" s="13">
        <f ca="1">DATEDIF(Sales_Data!H356,TODAY(),"Y")</f>
        <v>36</v>
      </c>
      <c r="F356" s="13">
        <f>IFERROR(DATEDIF(Sales_Data!D356,Sales_Data!E356,"D"),"Information_Not_Given")</f>
        <v>7</v>
      </c>
      <c r="G356" s="13" t="str" cm="1">
        <f t="array" ref="G356">_xlfn.IFS(F356&lt;=5,"One_Time",F356&gt;5,"Delayed",F356="Information_Not_given","Pending")</f>
        <v>Delayed</v>
      </c>
    </row>
    <row r="357" spans="1:7" x14ac:dyDescent="0.3">
      <c r="A357" s="12" t="str">
        <f>IF(AND(Sales_Data!P357&gt;=100000,Sales_Data!Q357&gt;=4,Sales_Data!V357="Completed",Sales_Data!O357&lt;=10),"Platinum",IF(AND(Sales_Data!P357&gt;=50000,Sales_Data!Q357&gt;=3,Sales_Data!V357="Completed"),"Gold",IF(AND(Sales_Data!P357&lt;50000,Sales_Data!V357="Completed"),"Silver",IF(OR(Sales_Data!Q357&lt;=2,Sales_Data!V357="Canceled"),"Blacklisted","Others"))))</f>
        <v>Silver</v>
      </c>
      <c r="B357" s="4" t="str">
        <f>PROPER(TRIM(Sales_Data!F357))</f>
        <v>Kavya Nair</v>
      </c>
      <c r="C357" s="4" t="str">
        <f>LEFT(B357,3)&amp;RIGHT(Sales_Data!B357,3)&amp;LEFT(Sales_Data!I357,2)</f>
        <v>Kav008Ja</v>
      </c>
      <c r="D357" s="4" t="str">
        <f>IF(ISNUMBER(SEARCH("@",Sales_Data!T357)),LOWER(Sales_Data!T357),"Invalid_Email")</f>
        <v>kavya.nair@company.com</v>
      </c>
      <c r="E357" s="13">
        <f ca="1">DATEDIF(Sales_Data!H357,TODAY(),"Y")</f>
        <v>34</v>
      </c>
      <c r="F357" s="13">
        <f>IFERROR(DATEDIF(Sales_Data!D357,Sales_Data!E357,"D"),"Information_Not_Given")</f>
        <v>10</v>
      </c>
      <c r="G357" s="13" t="str" cm="1">
        <f t="array" ref="G357">_xlfn.IFS(F357&lt;=5,"One_Time",F357&gt;5,"Delayed",F357="Information_Not_given","Pending")</f>
        <v>Delayed</v>
      </c>
    </row>
    <row r="358" spans="1:7" x14ac:dyDescent="0.3">
      <c r="A358" s="12" t="str">
        <f>IF(AND(Sales_Data!P358&gt;=100000,Sales_Data!Q358&gt;=4,Sales_Data!V358="Completed",Sales_Data!O358&lt;=10),"Platinum",IF(AND(Sales_Data!P358&gt;=50000,Sales_Data!Q358&gt;=3,Sales_Data!V358="Completed"),"Gold",IF(AND(Sales_Data!P358&lt;50000,Sales_Data!V358="Completed"),"Silver",IF(OR(Sales_Data!Q358&lt;=2,Sales_Data!V358="Canceled"),"Blacklisted","Others"))))</f>
        <v>Silver</v>
      </c>
      <c r="B358" s="4" t="str">
        <f>PROPER(TRIM(Sales_Data!F358))</f>
        <v>Sneha Joshi</v>
      </c>
      <c r="C358" s="4" t="str">
        <f>LEFT(B358,3)&amp;RIGHT(Sales_Data!B358,3)&amp;LEFT(Sales_Data!I358,2)</f>
        <v>Sne006Mu</v>
      </c>
      <c r="D358" s="4" t="str">
        <f>IF(ISNUMBER(SEARCH("@",Sales_Data!T358)),LOWER(Sales_Data!T358),"Invalid_Email")</f>
        <v>sneha.joshi@company.com</v>
      </c>
      <c r="E358" s="13">
        <f ca="1">DATEDIF(Sales_Data!H358,TODAY(),"Y")</f>
        <v>36</v>
      </c>
      <c r="F358" s="13" t="str">
        <f>IFERROR(DATEDIF(Sales_Data!D358,Sales_Data!E358,"D"),"Information_Not_Given")</f>
        <v>Information_Not_Given</v>
      </c>
      <c r="G358" s="13" t="str" cm="1">
        <f t="array" ref="G358">_xlfn.IFS(F358&lt;=5,"One_Time",F358&gt;5,"Delayed",F358="Information_Not_given","Pending")</f>
        <v>Delayed</v>
      </c>
    </row>
    <row r="359" spans="1:7" x14ac:dyDescent="0.3">
      <c r="A359" s="12" t="str">
        <f>IF(AND(Sales_Data!P359&gt;=100000,Sales_Data!Q359&gt;=4,Sales_Data!V359="Completed",Sales_Data!O359&lt;=10),"Platinum",IF(AND(Sales_Data!P359&gt;=50000,Sales_Data!Q359&gt;=3,Sales_Data!V359="Completed"),"Gold",IF(AND(Sales_Data!P359&lt;50000,Sales_Data!V359="Completed"),"Silver",IF(OR(Sales_Data!Q359&lt;=2,Sales_Data!V359="Canceled"),"Blacklisted","Others"))))</f>
        <v>Others</v>
      </c>
      <c r="B359" s="4" t="str">
        <f>PROPER(TRIM(Sales_Data!F359))</f>
        <v>Mohit Verma</v>
      </c>
      <c r="C359" s="4" t="str">
        <f>LEFT(B359,3)&amp;RIGHT(Sales_Data!B359,3)&amp;LEFT(Sales_Data!I359,2)</f>
        <v>Moh009Ja</v>
      </c>
      <c r="D359" s="4" t="str">
        <f>IF(ISNUMBER(SEARCH("@",Sales_Data!T359)),LOWER(Sales_Data!T359),"Invalid_Email")</f>
        <v>mohit.verma@company.com</v>
      </c>
      <c r="E359" s="13">
        <f ca="1">DATEDIF(Sales_Data!H359,TODAY(),"Y")</f>
        <v>46</v>
      </c>
      <c r="F359" s="13">
        <f>IFERROR(DATEDIF(Sales_Data!D359,Sales_Data!E359,"D"),"Information_Not_Given")</f>
        <v>12</v>
      </c>
      <c r="G359" s="13" t="str" cm="1">
        <f t="array" ref="G359">_xlfn.IFS(F359&lt;=5,"One_Time",F359&gt;5,"Delayed",F359="Information_Not_given","Pending")</f>
        <v>Delayed</v>
      </c>
    </row>
    <row r="360" spans="1:7" x14ac:dyDescent="0.3">
      <c r="A360" s="12" t="str">
        <f>IF(AND(Sales_Data!P360&gt;=100000,Sales_Data!Q360&gt;=4,Sales_Data!V360="Completed",Sales_Data!O360&lt;=10),"Platinum",IF(AND(Sales_Data!P360&gt;=50000,Sales_Data!Q360&gt;=3,Sales_Data!V360="Completed"),"Gold",IF(AND(Sales_Data!P360&lt;50000,Sales_Data!V360="Completed"),"Silver",IF(OR(Sales_Data!Q360&lt;=2,Sales_Data!V360="Canceled"),"Blacklisted","Others"))))</f>
        <v>Others</v>
      </c>
      <c r="B360" s="4" t="str">
        <f>PROPER(TRIM(Sales_Data!F360))</f>
        <v>Sneha Joshi</v>
      </c>
      <c r="C360" s="4" t="str">
        <f>LEFT(B360,3)&amp;RIGHT(Sales_Data!B360,3)&amp;LEFT(Sales_Data!I360,2)</f>
        <v>Sne006Pu</v>
      </c>
      <c r="D360" s="4" t="str">
        <f>IF(ISNUMBER(SEARCH("@",Sales_Data!T360)),LOWER(Sales_Data!T360),"Invalid_Email")</f>
        <v>sneha.joshi@company.com</v>
      </c>
      <c r="E360" s="13">
        <f ca="1">DATEDIF(Sales_Data!H360,TODAY(),"Y")</f>
        <v>47</v>
      </c>
      <c r="F360" s="13">
        <f>IFERROR(DATEDIF(Sales_Data!D360,Sales_Data!E360,"D"),"Information_Not_Given")</f>
        <v>8</v>
      </c>
      <c r="G360" s="13" t="str" cm="1">
        <f t="array" ref="G360">_xlfn.IFS(F360&lt;=5,"One_Time",F360&gt;5,"Delayed",F360="Information_Not_given","Pending")</f>
        <v>Delayed</v>
      </c>
    </row>
    <row r="361" spans="1:7" x14ac:dyDescent="0.3">
      <c r="A361" s="12" t="str">
        <f>IF(AND(Sales_Data!P361&gt;=100000,Sales_Data!Q361&gt;=4,Sales_Data!V361="Completed",Sales_Data!O361&lt;=10),"Platinum",IF(AND(Sales_Data!P361&gt;=50000,Sales_Data!Q361&gt;=3,Sales_Data!V361="Completed"),"Gold",IF(AND(Sales_Data!P361&lt;50000,Sales_Data!V361="Completed"),"Silver",IF(OR(Sales_Data!Q361&lt;=2,Sales_Data!V361="Canceled"),"Blacklisted","Others"))))</f>
        <v>Others</v>
      </c>
      <c r="B361" s="4" t="str">
        <f>PROPER(TRIM(Sales_Data!F361))</f>
        <v>Rohit Singh</v>
      </c>
      <c r="C361" s="4" t="str">
        <f>LEFT(B361,3)&amp;RIGHT(Sales_Data!B361,3)&amp;LEFT(Sales_Data!I361,2)</f>
        <v>Roh003Ja</v>
      </c>
      <c r="D361" s="4" t="str">
        <f>IF(ISNUMBER(SEARCH("@",Sales_Data!T361)),LOWER(Sales_Data!T361),"Invalid_Email")</f>
        <v>rohit.singh@company.com</v>
      </c>
      <c r="E361" s="13">
        <f ca="1">DATEDIF(Sales_Data!H361,TODAY(),"Y")</f>
        <v>30</v>
      </c>
      <c r="F361" s="13">
        <f>IFERROR(DATEDIF(Sales_Data!D361,Sales_Data!E361,"D"),"Information_Not_Given")</f>
        <v>3</v>
      </c>
      <c r="G361" s="13" t="str" cm="1">
        <f t="array" ref="G361">_xlfn.IFS(F361&lt;=5,"One_Time",F361&gt;5,"Delayed",F361="Information_Not_given","Pending")</f>
        <v>One_Time</v>
      </c>
    </row>
    <row r="362" spans="1:7" x14ac:dyDescent="0.3">
      <c r="A362" s="12" t="str">
        <f>IF(AND(Sales_Data!P362&gt;=100000,Sales_Data!Q362&gt;=4,Sales_Data!V362="Completed",Sales_Data!O362&lt;=10),"Platinum",IF(AND(Sales_Data!P362&gt;=50000,Sales_Data!Q362&gt;=3,Sales_Data!V362="Completed"),"Gold",IF(AND(Sales_Data!P362&lt;50000,Sales_Data!V362="Completed"),"Silver",IF(OR(Sales_Data!Q362&lt;=2,Sales_Data!V362="Canceled"),"Blacklisted","Others"))))</f>
        <v>Others</v>
      </c>
      <c r="B362" s="4" t="str">
        <f>PROPER(TRIM(Sales_Data!F362))</f>
        <v>Rohit Singh</v>
      </c>
      <c r="C362" s="4" t="str">
        <f>LEFT(B362,3)&amp;RIGHT(Sales_Data!B362,3)&amp;LEFT(Sales_Data!I362,2)</f>
        <v>Roh003Mu</v>
      </c>
      <c r="D362" s="4" t="str">
        <f>IF(ISNUMBER(SEARCH("@",Sales_Data!T362)),LOWER(Sales_Data!T362),"Invalid_Email")</f>
        <v>rohit.singh@company.com</v>
      </c>
      <c r="E362" s="13">
        <f ca="1">DATEDIF(Sales_Data!H362,TODAY(),"Y")</f>
        <v>27</v>
      </c>
      <c r="F362" s="13">
        <f>IFERROR(DATEDIF(Sales_Data!D362,Sales_Data!E362,"D"),"Information_Not_Given")</f>
        <v>8</v>
      </c>
      <c r="G362" s="13" t="str" cm="1">
        <f t="array" ref="G362">_xlfn.IFS(F362&lt;=5,"One_Time",F362&gt;5,"Delayed",F362="Information_Not_given","Pending")</f>
        <v>Delayed</v>
      </c>
    </row>
    <row r="363" spans="1:7" x14ac:dyDescent="0.3">
      <c r="A363" s="12" t="str">
        <f>IF(AND(Sales_Data!P363&gt;=100000,Sales_Data!Q363&gt;=4,Sales_Data!V363="Completed",Sales_Data!O363&lt;=10),"Platinum",IF(AND(Sales_Data!P363&gt;=50000,Sales_Data!Q363&gt;=3,Sales_Data!V363="Completed"),"Gold",IF(AND(Sales_Data!P363&lt;50000,Sales_Data!V363="Completed"),"Silver",IF(OR(Sales_Data!Q363&lt;=2,Sales_Data!V363="Canceled"),"Blacklisted","Others"))))</f>
        <v>Blacklisted</v>
      </c>
      <c r="B363" s="4" t="str">
        <f>PROPER(TRIM(Sales_Data!F363))</f>
        <v>Mohit Verma</v>
      </c>
      <c r="C363" s="4" t="str">
        <f>LEFT(B363,3)&amp;RIGHT(Sales_Data!B363,3)&amp;LEFT(Sales_Data!I363,2)</f>
        <v>Moh009Mu</v>
      </c>
      <c r="D363" s="4" t="str">
        <f>IF(ISNUMBER(SEARCH("@",Sales_Data!T363)),LOWER(Sales_Data!T363),"Invalid_Email")</f>
        <v>mohit.verma@company.com</v>
      </c>
      <c r="E363" s="13">
        <f ca="1">DATEDIF(Sales_Data!H363,TODAY(),"Y")</f>
        <v>42</v>
      </c>
      <c r="F363" s="13">
        <f>IFERROR(DATEDIF(Sales_Data!D363,Sales_Data!E363,"D"),"Information_Not_Given")</f>
        <v>6</v>
      </c>
      <c r="G363" s="13" t="str" cm="1">
        <f t="array" ref="G363">_xlfn.IFS(F363&lt;=5,"One_Time",F363&gt;5,"Delayed",F363="Information_Not_given","Pending")</f>
        <v>Delayed</v>
      </c>
    </row>
    <row r="364" spans="1:7" x14ac:dyDescent="0.3">
      <c r="A364" s="12" t="str">
        <f>IF(AND(Sales_Data!P364&gt;=100000,Sales_Data!Q364&gt;=4,Sales_Data!V364="Completed",Sales_Data!O364&lt;=10),"Platinum",IF(AND(Sales_Data!P364&gt;=50000,Sales_Data!Q364&gt;=3,Sales_Data!V364="Completed"),"Gold",IF(AND(Sales_Data!P364&lt;50000,Sales_Data!V364="Completed"),"Silver",IF(OR(Sales_Data!Q364&lt;=2,Sales_Data!V364="Canceled"),"Blacklisted","Others"))))</f>
        <v>Others</v>
      </c>
      <c r="B364" s="4" t="str">
        <f>PROPER(TRIM(Sales_Data!F364))</f>
        <v>Mohit Verma</v>
      </c>
      <c r="C364" s="4" t="str">
        <f>LEFT(B364,3)&amp;RIGHT(Sales_Data!B364,3)&amp;LEFT(Sales_Data!I364,2)</f>
        <v>Moh009Hy</v>
      </c>
      <c r="D364" s="4" t="str">
        <f>IF(ISNUMBER(SEARCH("@",Sales_Data!T364)),LOWER(Sales_Data!T364),"Invalid_Email")</f>
        <v>mohit.verma@company.com</v>
      </c>
      <c r="E364" s="13">
        <f ca="1">DATEDIF(Sales_Data!H364,TODAY(),"Y")</f>
        <v>42</v>
      </c>
      <c r="F364" s="13">
        <f>IFERROR(DATEDIF(Sales_Data!D364,Sales_Data!E364,"D"),"Information_Not_Given")</f>
        <v>4</v>
      </c>
      <c r="G364" s="13" t="str" cm="1">
        <f t="array" ref="G364">_xlfn.IFS(F364&lt;=5,"One_Time",F364&gt;5,"Delayed",F364="Information_Not_given","Pending")</f>
        <v>One_Time</v>
      </c>
    </row>
    <row r="365" spans="1:7" x14ac:dyDescent="0.3">
      <c r="A365" s="12" t="str">
        <f>IF(AND(Sales_Data!P365&gt;=100000,Sales_Data!Q365&gt;=4,Sales_Data!V365="Completed",Sales_Data!O365&lt;=10),"Platinum",IF(AND(Sales_Data!P365&gt;=50000,Sales_Data!Q365&gt;=3,Sales_Data!V365="Completed"),"Gold",IF(AND(Sales_Data!P365&lt;50000,Sales_Data!V365="Completed"),"Silver",IF(OR(Sales_Data!Q365&lt;=2,Sales_Data!V365="Canceled"),"Blacklisted","Others"))))</f>
        <v>Others</v>
      </c>
      <c r="B365" s="4" t="str">
        <f>PROPER(TRIM(Sales_Data!F365))</f>
        <v>Pooja Shah</v>
      </c>
      <c r="C365" s="4" t="str">
        <f>LEFT(B365,3)&amp;RIGHT(Sales_Data!B365,3)&amp;LEFT(Sales_Data!I365,2)</f>
        <v>Poo010Be</v>
      </c>
      <c r="D365" s="4" t="str">
        <f>IF(ISNUMBER(SEARCH("@",Sales_Data!T365)),LOWER(Sales_Data!T365),"Invalid_Email")</f>
        <v>pooja.shah@company.com</v>
      </c>
      <c r="E365" s="13">
        <f ca="1">DATEDIF(Sales_Data!H365,TODAY(),"Y")</f>
        <v>37</v>
      </c>
      <c r="F365" s="13">
        <f>IFERROR(DATEDIF(Sales_Data!D365,Sales_Data!E365,"D"),"Information_Not_Given")</f>
        <v>5</v>
      </c>
      <c r="G365" s="13" t="str" cm="1">
        <f t="array" ref="G365">_xlfn.IFS(F365&lt;=5,"One_Time",F365&gt;5,"Delayed",F365="Information_Not_given","Pending")</f>
        <v>One_Time</v>
      </c>
    </row>
    <row r="366" spans="1:7" x14ac:dyDescent="0.3">
      <c r="A366" s="12" t="str">
        <f>IF(AND(Sales_Data!P366&gt;=100000,Sales_Data!Q366&gt;=4,Sales_Data!V366="Completed",Sales_Data!O366&lt;=10),"Platinum",IF(AND(Sales_Data!P366&gt;=50000,Sales_Data!Q366&gt;=3,Sales_Data!V366="Completed"),"Gold",IF(AND(Sales_Data!P366&lt;50000,Sales_Data!V366="Completed"),"Silver",IF(OR(Sales_Data!Q366&lt;=2,Sales_Data!V366="Canceled"),"Blacklisted","Others"))))</f>
        <v>Others</v>
      </c>
      <c r="B366" s="4" t="str">
        <f>PROPER(TRIM(Sales_Data!F366))</f>
        <v>Priya Patel</v>
      </c>
      <c r="C366" s="4" t="str">
        <f>LEFT(B366,3)&amp;RIGHT(Sales_Data!B366,3)&amp;LEFT(Sales_Data!I366,2)</f>
        <v>Pri002Hy</v>
      </c>
      <c r="D366" s="4" t="str">
        <f>IF(ISNUMBER(SEARCH("@",Sales_Data!T366)),LOWER(Sales_Data!T366),"Invalid_Email")</f>
        <v>priya.patel@company.com</v>
      </c>
      <c r="E366" s="13">
        <f ca="1">DATEDIF(Sales_Data!H366,TODAY(),"Y")</f>
        <v>41</v>
      </c>
      <c r="F366" s="13">
        <f>IFERROR(DATEDIF(Sales_Data!D366,Sales_Data!E366,"D"),"Information_Not_Given")</f>
        <v>7</v>
      </c>
      <c r="G366" s="13" t="str" cm="1">
        <f t="array" ref="G366">_xlfn.IFS(F366&lt;=5,"One_Time",F366&gt;5,"Delayed",F366="Information_Not_given","Pending")</f>
        <v>Delayed</v>
      </c>
    </row>
    <row r="367" spans="1:7" x14ac:dyDescent="0.3">
      <c r="A367" s="12" t="str">
        <f>IF(AND(Sales_Data!P367&gt;=100000,Sales_Data!Q367&gt;=4,Sales_Data!V367="Completed",Sales_Data!O367&lt;=10),"Platinum",IF(AND(Sales_Data!P367&gt;=50000,Sales_Data!Q367&gt;=3,Sales_Data!V367="Completed"),"Gold",IF(AND(Sales_Data!P367&lt;50000,Sales_Data!V367="Completed"),"Silver",IF(OR(Sales_Data!Q367&lt;=2,Sales_Data!V367="Canceled"),"Blacklisted","Others"))))</f>
        <v>Blacklisted</v>
      </c>
      <c r="B367" s="4" t="str">
        <f>PROPER(TRIM(Sales_Data!F367))</f>
        <v>Pooja Shah</v>
      </c>
      <c r="C367" s="4" t="str">
        <f>LEFT(B367,3)&amp;RIGHT(Sales_Data!B367,3)&amp;LEFT(Sales_Data!I367,2)</f>
        <v>Poo010Hy</v>
      </c>
      <c r="D367" s="4" t="str">
        <f>IF(ISNUMBER(SEARCH("@",Sales_Data!T367)),LOWER(Sales_Data!T367),"Invalid_Email")</f>
        <v>pooja.shah@company.com</v>
      </c>
      <c r="E367" s="13">
        <f ca="1">DATEDIF(Sales_Data!H367,TODAY(),"Y")</f>
        <v>23</v>
      </c>
      <c r="F367" s="13">
        <f>IFERROR(DATEDIF(Sales_Data!D367,Sales_Data!E367,"D"),"Information_Not_Given")</f>
        <v>10</v>
      </c>
      <c r="G367" s="13" t="str" cm="1">
        <f t="array" ref="G367">_xlfn.IFS(F367&lt;=5,"One_Time",F367&gt;5,"Delayed",F367="Information_Not_given","Pending")</f>
        <v>Delayed</v>
      </c>
    </row>
    <row r="368" spans="1:7" x14ac:dyDescent="0.3">
      <c r="A368" s="12" t="str">
        <f>IF(AND(Sales_Data!P368&gt;=100000,Sales_Data!Q368&gt;=4,Sales_Data!V368="Completed",Sales_Data!O368&lt;=10),"Platinum",IF(AND(Sales_Data!P368&gt;=50000,Sales_Data!Q368&gt;=3,Sales_Data!V368="Completed"),"Gold",IF(AND(Sales_Data!P368&lt;50000,Sales_Data!V368="Completed"),"Silver",IF(OR(Sales_Data!Q368&lt;=2,Sales_Data!V368="Canceled"),"Blacklisted","Others"))))</f>
        <v>Others</v>
      </c>
      <c r="B368" s="4" t="str">
        <f>PROPER(TRIM(Sales_Data!F368))</f>
        <v>Priya Patel</v>
      </c>
      <c r="C368" s="4" t="str">
        <f>LEFT(B368,3)&amp;RIGHT(Sales_Data!B368,3)&amp;LEFT(Sales_Data!I368,2)</f>
        <v>Pri002Ja</v>
      </c>
      <c r="D368" s="4" t="str">
        <f>IF(ISNUMBER(SEARCH("@",Sales_Data!T368)),LOWER(Sales_Data!T368),"Invalid_Email")</f>
        <v>priya.patel@company.com</v>
      </c>
      <c r="E368" s="13">
        <f ca="1">DATEDIF(Sales_Data!H368,TODAY(),"Y")</f>
        <v>43</v>
      </c>
      <c r="F368" s="13">
        <f>IFERROR(DATEDIF(Sales_Data!D368,Sales_Data!E368,"D"),"Information_Not_Given")</f>
        <v>9</v>
      </c>
      <c r="G368" s="13" t="str" cm="1">
        <f t="array" ref="G368">_xlfn.IFS(F368&lt;=5,"One_Time",F368&gt;5,"Delayed",F368="Information_Not_given","Pending")</f>
        <v>Delayed</v>
      </c>
    </row>
    <row r="369" spans="1:7" x14ac:dyDescent="0.3">
      <c r="A369" s="12" t="str">
        <f>IF(AND(Sales_Data!P369&gt;=100000,Sales_Data!Q369&gt;=4,Sales_Data!V369="Completed",Sales_Data!O369&lt;=10),"Platinum",IF(AND(Sales_Data!P369&gt;=50000,Sales_Data!Q369&gt;=3,Sales_Data!V369="Completed"),"Gold",IF(AND(Sales_Data!P369&lt;50000,Sales_Data!V369="Completed"),"Silver",IF(OR(Sales_Data!Q369&lt;=2,Sales_Data!V369="Canceled"),"Blacklisted","Others"))))</f>
        <v>Silver</v>
      </c>
      <c r="B369" s="4" t="str">
        <f>PROPER(TRIM(Sales_Data!F369))</f>
        <v>Kavya Nair</v>
      </c>
      <c r="C369" s="4" t="str">
        <f>LEFT(B369,3)&amp;RIGHT(Sales_Data!B369,3)&amp;LEFT(Sales_Data!I369,2)</f>
        <v>Kav008Ja</v>
      </c>
      <c r="D369" s="4" t="str">
        <f>IF(ISNUMBER(SEARCH("@",Sales_Data!T369)),LOWER(Sales_Data!T369),"Invalid_Email")</f>
        <v>kavya.nair@company.com</v>
      </c>
      <c r="E369" s="13">
        <f ca="1">DATEDIF(Sales_Data!H369,TODAY(),"Y")</f>
        <v>50</v>
      </c>
      <c r="F369" s="13">
        <f>IFERROR(DATEDIF(Sales_Data!D369,Sales_Data!E369,"D"),"Information_Not_Given")</f>
        <v>12</v>
      </c>
      <c r="G369" s="13" t="str" cm="1">
        <f t="array" ref="G369">_xlfn.IFS(F369&lt;=5,"One_Time",F369&gt;5,"Delayed",F369="Information_Not_given","Pending")</f>
        <v>Delayed</v>
      </c>
    </row>
    <row r="370" spans="1:7" x14ac:dyDescent="0.3">
      <c r="A370" s="12" t="str">
        <f>IF(AND(Sales_Data!P370&gt;=100000,Sales_Data!Q370&gt;=4,Sales_Data!V370="Completed",Sales_Data!O370&lt;=10),"Platinum",IF(AND(Sales_Data!P370&gt;=50000,Sales_Data!Q370&gt;=3,Sales_Data!V370="Completed"),"Gold",IF(AND(Sales_Data!P370&lt;50000,Sales_Data!V370="Completed"),"Silver",IF(OR(Sales_Data!Q370&lt;=2,Sales_Data!V370="Canceled"),"Blacklisted","Others"))))</f>
        <v>Others</v>
      </c>
      <c r="B370" s="4" t="str">
        <f>PROPER(TRIM(Sales_Data!F370))</f>
        <v>Pooja Shah</v>
      </c>
      <c r="C370" s="4" t="str">
        <f>LEFT(B370,3)&amp;RIGHT(Sales_Data!B370,3)&amp;LEFT(Sales_Data!I370,2)</f>
        <v>Poo010Hy</v>
      </c>
      <c r="D370" s="4" t="str">
        <f>IF(ISNUMBER(SEARCH("@",Sales_Data!T370)),LOWER(Sales_Data!T370),"Invalid_Email")</f>
        <v>pooja.shah@company.com</v>
      </c>
      <c r="E370" s="13">
        <f ca="1">DATEDIF(Sales_Data!H370,TODAY(),"Y")</f>
        <v>39</v>
      </c>
      <c r="F370" s="13">
        <f>IFERROR(DATEDIF(Sales_Data!D370,Sales_Data!E370,"D"),"Information_Not_Given")</f>
        <v>4</v>
      </c>
      <c r="G370" s="13" t="str" cm="1">
        <f t="array" ref="G370">_xlfn.IFS(F370&lt;=5,"One_Time",F370&gt;5,"Delayed",F370="Information_Not_given","Pending")</f>
        <v>One_Time</v>
      </c>
    </row>
    <row r="371" spans="1:7" x14ac:dyDescent="0.3">
      <c r="A371" s="12" t="str">
        <f>IF(AND(Sales_Data!P371&gt;=100000,Sales_Data!Q371&gt;=4,Sales_Data!V371="Completed",Sales_Data!O371&lt;=10),"Platinum",IF(AND(Sales_Data!P371&gt;=50000,Sales_Data!Q371&gt;=3,Sales_Data!V371="Completed"),"Gold",IF(AND(Sales_Data!P371&lt;50000,Sales_Data!V371="Completed"),"Silver",IF(OR(Sales_Data!Q371&lt;=2,Sales_Data!V371="Canceled"),"Blacklisted","Others"))))</f>
        <v>Others</v>
      </c>
      <c r="B371" s="4" t="str">
        <f>PROPER(TRIM(Sales_Data!F371))</f>
        <v>Amit Sharma</v>
      </c>
      <c r="C371" s="4" t="str">
        <f>LEFT(B371,3)&amp;RIGHT(Sales_Data!B371,3)&amp;LEFT(Sales_Data!I371,2)</f>
        <v>Ami001De</v>
      </c>
      <c r="D371" s="4" t="str">
        <f>IF(ISNUMBER(SEARCH("@",Sales_Data!T371)),LOWER(Sales_Data!T371),"Invalid_Email")</f>
        <v>amit.sharma@company.com</v>
      </c>
      <c r="E371" s="13">
        <f ca="1">DATEDIF(Sales_Data!H371,TODAY(),"Y")</f>
        <v>34</v>
      </c>
      <c r="F371" s="13">
        <f>IFERROR(DATEDIF(Sales_Data!D371,Sales_Data!E371,"D"),"Information_Not_Given")</f>
        <v>45690</v>
      </c>
      <c r="G371" s="13" t="str" cm="1">
        <f t="array" ref="G371">_xlfn.IFS(F371&lt;=5,"One_Time",F371&gt;5,"Delayed",F371="Information_Not_given","Pending")</f>
        <v>Delayed</v>
      </c>
    </row>
    <row r="372" spans="1:7" x14ac:dyDescent="0.3">
      <c r="A372" s="12" t="str">
        <f>IF(AND(Sales_Data!P372&gt;=100000,Sales_Data!Q372&gt;=4,Sales_Data!V372="Completed",Sales_Data!O372&lt;=10),"Platinum",IF(AND(Sales_Data!P372&gt;=50000,Sales_Data!Q372&gt;=3,Sales_Data!V372="Completed"),"Gold",IF(AND(Sales_Data!P372&lt;50000,Sales_Data!V372="Completed"),"Silver",IF(OR(Sales_Data!Q372&lt;=2,Sales_Data!V372="Canceled"),"Blacklisted","Others"))))</f>
        <v>Silver</v>
      </c>
      <c r="B372" s="4" t="str">
        <f>PROPER(TRIM(Sales_Data!F372))</f>
        <v>Mohit Verma</v>
      </c>
      <c r="C372" s="4" t="str">
        <f>LEFT(B372,3)&amp;RIGHT(Sales_Data!B372,3)&amp;LEFT(Sales_Data!I372,2)</f>
        <v>Moh009Be</v>
      </c>
      <c r="D372" s="4" t="str">
        <f>IF(ISNUMBER(SEARCH("@",Sales_Data!T372)),LOWER(Sales_Data!T372),"Invalid_Email")</f>
        <v>mohit.verma@company.com</v>
      </c>
      <c r="E372" s="13">
        <f ca="1">DATEDIF(Sales_Data!H372,TODAY(),"Y")</f>
        <v>37</v>
      </c>
      <c r="F372" s="13">
        <f>IFERROR(DATEDIF(Sales_Data!D372,Sales_Data!E372,"D"),"Information_Not_Given")</f>
        <v>2</v>
      </c>
      <c r="G372" s="13" t="str" cm="1">
        <f t="array" ref="G372">_xlfn.IFS(F372&lt;=5,"One_Time",F372&gt;5,"Delayed",F372="Information_Not_given","Pending")</f>
        <v>One_Time</v>
      </c>
    </row>
    <row r="373" spans="1:7" x14ac:dyDescent="0.3">
      <c r="A373" s="12" t="str">
        <f>IF(AND(Sales_Data!P373&gt;=100000,Sales_Data!Q373&gt;=4,Sales_Data!V373="Completed",Sales_Data!O373&lt;=10),"Platinum",IF(AND(Sales_Data!P373&gt;=50000,Sales_Data!Q373&gt;=3,Sales_Data!V373="Completed"),"Gold",IF(AND(Sales_Data!P373&lt;50000,Sales_Data!V373="Completed"),"Silver",IF(OR(Sales_Data!Q373&lt;=2,Sales_Data!V373="Canceled"),"Blacklisted","Others"))))</f>
        <v>Blacklisted</v>
      </c>
      <c r="B373" s="4" t="str">
        <f>PROPER(TRIM(Sales_Data!F373))</f>
        <v>Sneha Joshi</v>
      </c>
      <c r="C373" s="4" t="str">
        <f>LEFT(B373,3)&amp;RIGHT(Sales_Data!B373,3)&amp;LEFT(Sales_Data!I373,2)</f>
        <v>Sne006Ja</v>
      </c>
      <c r="D373" s="4" t="str">
        <f>IF(ISNUMBER(SEARCH("@",Sales_Data!T373)),LOWER(Sales_Data!T373),"Invalid_Email")</f>
        <v>sneha.joshi@company.com</v>
      </c>
      <c r="E373" s="13">
        <f ca="1">DATEDIF(Sales_Data!H373,TODAY(),"Y")</f>
        <v>35</v>
      </c>
      <c r="F373" s="13">
        <f>IFERROR(DATEDIF(Sales_Data!D373,Sales_Data!E373,"D"),"Information_Not_Given")</f>
        <v>5</v>
      </c>
      <c r="G373" s="13" t="str" cm="1">
        <f t="array" ref="G373">_xlfn.IFS(F373&lt;=5,"One_Time",F373&gt;5,"Delayed",F373="Information_Not_given","Pending")</f>
        <v>One_Time</v>
      </c>
    </row>
    <row r="374" spans="1:7" x14ac:dyDescent="0.3">
      <c r="A374" s="12" t="str">
        <f>IF(AND(Sales_Data!P374&gt;=100000,Sales_Data!Q374&gt;=4,Sales_Data!V374="Completed",Sales_Data!O374&lt;=10),"Platinum",IF(AND(Sales_Data!P374&gt;=50000,Sales_Data!Q374&gt;=3,Sales_Data!V374="Completed"),"Gold",IF(AND(Sales_Data!P374&lt;50000,Sales_Data!V374="Completed"),"Silver",IF(OR(Sales_Data!Q374&lt;=2,Sales_Data!V374="Canceled"),"Blacklisted","Others"))))</f>
        <v>Others</v>
      </c>
      <c r="B374" s="4" t="str">
        <f>PROPER(TRIM(Sales_Data!F374))</f>
        <v>Anita Gupta</v>
      </c>
      <c r="C374" s="4" t="str">
        <f>LEFT(B374,3)&amp;RIGHT(Sales_Data!B374,3)&amp;LEFT(Sales_Data!I374,2)</f>
        <v>Ani004Be</v>
      </c>
      <c r="D374" s="4" t="str">
        <f>IF(ISNUMBER(SEARCH("@",Sales_Data!T374)),LOWER(Sales_Data!T374),"Invalid_Email")</f>
        <v>anita.gupta@company.com</v>
      </c>
      <c r="E374" s="13">
        <f ca="1">DATEDIF(Sales_Data!H374,TODAY(),"Y")</f>
        <v>31</v>
      </c>
      <c r="F374" s="13">
        <f>IFERROR(DATEDIF(Sales_Data!D374,Sales_Data!E374,"D"),"Information_Not_Given")</f>
        <v>2</v>
      </c>
      <c r="G374" s="13" t="str" cm="1">
        <f t="array" ref="G374">_xlfn.IFS(F374&lt;=5,"One_Time",F374&gt;5,"Delayed",F374="Information_Not_given","Pending")</f>
        <v>One_Time</v>
      </c>
    </row>
    <row r="375" spans="1:7" x14ac:dyDescent="0.3">
      <c r="A375" s="12" t="str">
        <f>IF(AND(Sales_Data!P375&gt;=100000,Sales_Data!Q375&gt;=4,Sales_Data!V375="Completed",Sales_Data!O375&lt;=10),"Platinum",IF(AND(Sales_Data!P375&gt;=50000,Sales_Data!Q375&gt;=3,Sales_Data!V375="Completed"),"Gold",IF(AND(Sales_Data!P375&lt;50000,Sales_Data!V375="Completed"),"Silver",IF(OR(Sales_Data!Q375&lt;=2,Sales_Data!V375="Canceled"),"Blacklisted","Others"))))</f>
        <v>Silver</v>
      </c>
      <c r="B375" s="4" t="str">
        <f>PROPER(TRIM(Sales_Data!F375))</f>
        <v>Arjun Rao</v>
      </c>
      <c r="C375" s="4" t="str">
        <f>LEFT(B375,3)&amp;RIGHT(Sales_Data!B375,3)&amp;LEFT(Sales_Data!I375,2)</f>
        <v>Arj007Hy</v>
      </c>
      <c r="D375" s="4" t="str">
        <f>IF(ISNUMBER(SEARCH("@",Sales_Data!T375)),LOWER(Sales_Data!T375),"Invalid_Email")</f>
        <v>arjun.rao@company.com</v>
      </c>
      <c r="E375" s="13">
        <f ca="1">DATEDIF(Sales_Data!H375,TODAY(),"Y")</f>
        <v>27</v>
      </c>
      <c r="F375" s="13">
        <f>IFERROR(DATEDIF(Sales_Data!D375,Sales_Data!E375,"D"),"Information_Not_Given")</f>
        <v>1</v>
      </c>
      <c r="G375" s="13" t="str" cm="1">
        <f t="array" ref="G375">_xlfn.IFS(F375&lt;=5,"One_Time",F375&gt;5,"Delayed",F375="Information_Not_given","Pending")</f>
        <v>One_Time</v>
      </c>
    </row>
    <row r="376" spans="1:7" x14ac:dyDescent="0.3">
      <c r="A376" s="12" t="str">
        <f>IF(AND(Sales_Data!P376&gt;=100000,Sales_Data!Q376&gt;=4,Sales_Data!V376="Completed",Sales_Data!O376&lt;=10),"Platinum",IF(AND(Sales_Data!P376&gt;=50000,Sales_Data!Q376&gt;=3,Sales_Data!V376="Completed"),"Gold",IF(AND(Sales_Data!P376&lt;50000,Sales_Data!V376="Completed"),"Silver",IF(OR(Sales_Data!Q376&lt;=2,Sales_Data!V376="Canceled"),"Blacklisted","Others"))))</f>
        <v>Silver</v>
      </c>
      <c r="B376" s="4" t="str">
        <f>PROPER(TRIM(Sales_Data!F376))</f>
        <v>Vikas Mehta</v>
      </c>
      <c r="C376" s="4" t="str">
        <f>LEFT(B376,3)&amp;RIGHT(Sales_Data!B376,3)&amp;LEFT(Sales_Data!I376,2)</f>
        <v>Vik005Ko</v>
      </c>
      <c r="D376" s="4" t="str">
        <f>IF(ISNUMBER(SEARCH("@",Sales_Data!T376)),LOWER(Sales_Data!T376),"Invalid_Email")</f>
        <v>vikas.mehta@company.com</v>
      </c>
      <c r="E376" s="13">
        <f ca="1">DATEDIF(Sales_Data!H376,TODAY(),"Y")</f>
        <v>46</v>
      </c>
      <c r="F376" s="13">
        <f>IFERROR(DATEDIF(Sales_Data!D376,Sales_Data!E376,"D"),"Information_Not_Given")</f>
        <v>7</v>
      </c>
      <c r="G376" s="13" t="str" cm="1">
        <f t="array" ref="G376">_xlfn.IFS(F376&lt;=5,"One_Time",F376&gt;5,"Delayed",F376="Information_Not_given","Pending")</f>
        <v>Delayed</v>
      </c>
    </row>
    <row r="377" spans="1:7" x14ac:dyDescent="0.3">
      <c r="A377" s="12" t="str">
        <f>IF(AND(Sales_Data!P377&gt;=100000,Sales_Data!Q377&gt;=4,Sales_Data!V377="Completed",Sales_Data!O377&lt;=10),"Platinum",IF(AND(Sales_Data!P377&gt;=50000,Sales_Data!Q377&gt;=3,Sales_Data!V377="Completed"),"Gold",IF(AND(Sales_Data!P377&lt;50000,Sales_Data!V377="Completed"),"Silver",IF(OR(Sales_Data!Q377&lt;=2,Sales_Data!V377="Canceled"),"Blacklisted","Others"))))</f>
        <v>Silver</v>
      </c>
      <c r="B377" s="4" t="str">
        <f>PROPER(TRIM(Sales_Data!F377))</f>
        <v>Kavya Nair</v>
      </c>
      <c r="C377" s="4" t="str">
        <f>LEFT(B377,3)&amp;RIGHT(Sales_Data!B377,3)&amp;LEFT(Sales_Data!I377,2)</f>
        <v>Kav008Mu</v>
      </c>
      <c r="D377" s="4" t="str">
        <f>IF(ISNUMBER(SEARCH("@",Sales_Data!T377)),LOWER(Sales_Data!T377),"Invalid_Email")</f>
        <v>kavya.nair@company.com</v>
      </c>
      <c r="E377" s="13">
        <f ca="1">DATEDIF(Sales_Data!H377,TODAY(),"Y")</f>
        <v>50</v>
      </c>
      <c r="F377" s="13">
        <f>IFERROR(DATEDIF(Sales_Data!D377,Sales_Data!E377,"D"),"Information_Not_Given")</f>
        <v>8</v>
      </c>
      <c r="G377" s="13" t="str" cm="1">
        <f t="array" ref="G377">_xlfn.IFS(F377&lt;=5,"One_Time",F377&gt;5,"Delayed",F377="Information_Not_given","Pending")</f>
        <v>Delayed</v>
      </c>
    </row>
    <row r="378" spans="1:7" x14ac:dyDescent="0.3">
      <c r="A378" s="12" t="str">
        <f>IF(AND(Sales_Data!P378&gt;=100000,Sales_Data!Q378&gt;=4,Sales_Data!V378="Completed",Sales_Data!O378&lt;=10),"Platinum",IF(AND(Sales_Data!P378&gt;=50000,Sales_Data!Q378&gt;=3,Sales_Data!V378="Completed"),"Gold",IF(AND(Sales_Data!P378&lt;50000,Sales_Data!V378="Completed"),"Silver",IF(OR(Sales_Data!Q378&lt;=2,Sales_Data!V378="Canceled"),"Blacklisted","Others"))))</f>
        <v>Blacklisted</v>
      </c>
      <c r="B378" s="4" t="str">
        <f>PROPER(TRIM(Sales_Data!F378))</f>
        <v>Mohit Verma</v>
      </c>
      <c r="C378" s="4" t="str">
        <f>LEFT(B378,3)&amp;RIGHT(Sales_Data!B378,3)&amp;LEFT(Sales_Data!I378,2)</f>
        <v>Moh009Pu</v>
      </c>
      <c r="D378" s="4" t="str">
        <f>IF(ISNUMBER(SEARCH("@",Sales_Data!T378)),LOWER(Sales_Data!T378),"Invalid_Email")</f>
        <v>mohit.verma@company.com</v>
      </c>
      <c r="E378" s="13">
        <f ca="1">DATEDIF(Sales_Data!H378,TODAY(),"Y")</f>
        <v>33</v>
      </c>
      <c r="F378" s="13">
        <f>IFERROR(DATEDIF(Sales_Data!D378,Sales_Data!E378,"D"),"Information_Not_Given")</f>
        <v>11</v>
      </c>
      <c r="G378" s="13" t="str" cm="1">
        <f t="array" ref="G378">_xlfn.IFS(F378&lt;=5,"One_Time",F378&gt;5,"Delayed",F378="Information_Not_given","Pending")</f>
        <v>Delayed</v>
      </c>
    </row>
    <row r="379" spans="1:7" x14ac:dyDescent="0.3">
      <c r="A379" s="12" t="str">
        <f>IF(AND(Sales_Data!P379&gt;=100000,Sales_Data!Q379&gt;=4,Sales_Data!V379="Completed",Sales_Data!O379&lt;=10),"Platinum",IF(AND(Sales_Data!P379&gt;=50000,Sales_Data!Q379&gt;=3,Sales_Data!V379="Completed"),"Gold",IF(AND(Sales_Data!P379&lt;50000,Sales_Data!V379="Completed"),"Silver",IF(OR(Sales_Data!Q379&lt;=2,Sales_Data!V379="Canceled"),"Blacklisted","Others"))))</f>
        <v>Blacklisted</v>
      </c>
      <c r="B379" s="4" t="str">
        <f>PROPER(TRIM(Sales_Data!F379))</f>
        <v>Arjun Rao</v>
      </c>
      <c r="C379" s="4" t="str">
        <f>LEFT(B379,3)&amp;RIGHT(Sales_Data!B379,3)&amp;LEFT(Sales_Data!I379,2)</f>
        <v>Arj007Ko</v>
      </c>
      <c r="D379" s="4" t="str">
        <f>IF(ISNUMBER(SEARCH("@",Sales_Data!T379)),LOWER(Sales_Data!T379),"Invalid_Email")</f>
        <v>arjun.rao@company.com</v>
      </c>
      <c r="E379" s="13">
        <f ca="1">DATEDIF(Sales_Data!H379,TODAY(),"Y")</f>
        <v>50</v>
      </c>
      <c r="F379" s="13">
        <f>IFERROR(DATEDIF(Sales_Data!D379,Sales_Data!E379,"D"),"Information_Not_Given")</f>
        <v>9</v>
      </c>
      <c r="G379" s="13" t="str" cm="1">
        <f t="array" ref="G379">_xlfn.IFS(F379&lt;=5,"One_Time",F379&gt;5,"Delayed",F379="Information_Not_given","Pending")</f>
        <v>Delayed</v>
      </c>
    </row>
    <row r="380" spans="1:7" x14ac:dyDescent="0.3">
      <c r="A380" s="12" t="str">
        <f>IF(AND(Sales_Data!P380&gt;=100000,Sales_Data!Q380&gt;=4,Sales_Data!V380="Completed",Sales_Data!O380&lt;=10),"Platinum",IF(AND(Sales_Data!P380&gt;=50000,Sales_Data!Q380&gt;=3,Sales_Data!V380="Completed"),"Gold",IF(AND(Sales_Data!P380&lt;50000,Sales_Data!V380="Completed"),"Silver",IF(OR(Sales_Data!Q380&lt;=2,Sales_Data!V380="Canceled"),"Blacklisted","Others"))))</f>
        <v>Others</v>
      </c>
      <c r="B380" s="4" t="str">
        <f>PROPER(TRIM(Sales_Data!F380))</f>
        <v>Arjun Rao</v>
      </c>
      <c r="C380" s="4" t="str">
        <f>LEFT(B380,3)&amp;RIGHT(Sales_Data!B380,3)&amp;LEFT(Sales_Data!I380,2)</f>
        <v>Arj007Ja</v>
      </c>
      <c r="D380" s="4" t="str">
        <f>IF(ISNUMBER(SEARCH("@",Sales_Data!T380)),LOWER(Sales_Data!T380),"Invalid_Email")</f>
        <v>arjun.rao@company.com</v>
      </c>
      <c r="E380" s="13">
        <f ca="1">DATEDIF(Sales_Data!H380,TODAY(),"Y")</f>
        <v>29</v>
      </c>
      <c r="F380" s="13">
        <f>IFERROR(DATEDIF(Sales_Data!D380,Sales_Data!E380,"D"),"Information_Not_Given")</f>
        <v>2</v>
      </c>
      <c r="G380" s="13" t="str" cm="1">
        <f t="array" ref="G380">_xlfn.IFS(F380&lt;=5,"One_Time",F380&gt;5,"Delayed",F380="Information_Not_given","Pending")</f>
        <v>One_Time</v>
      </c>
    </row>
    <row r="381" spans="1:7" x14ac:dyDescent="0.3">
      <c r="A381" s="12" t="str">
        <f>IF(AND(Sales_Data!P381&gt;=100000,Sales_Data!Q381&gt;=4,Sales_Data!V381="Completed",Sales_Data!O381&lt;=10),"Platinum",IF(AND(Sales_Data!P381&gt;=50000,Sales_Data!Q381&gt;=3,Sales_Data!V381="Completed"),"Gold",IF(AND(Sales_Data!P381&lt;50000,Sales_Data!V381="Completed"),"Silver",IF(OR(Sales_Data!Q381&lt;=2,Sales_Data!V381="Canceled"),"Blacklisted","Others"))))</f>
        <v>Others</v>
      </c>
      <c r="B381" s="4" t="str">
        <f>PROPER(TRIM(Sales_Data!F381))</f>
        <v>Sneha Joshi</v>
      </c>
      <c r="C381" s="4" t="str">
        <f>LEFT(B381,3)&amp;RIGHT(Sales_Data!B381,3)&amp;LEFT(Sales_Data!I381,2)</f>
        <v>Sne006De</v>
      </c>
      <c r="D381" s="4" t="str">
        <f>IF(ISNUMBER(SEARCH("@",Sales_Data!T381)),LOWER(Sales_Data!T381),"Invalid_Email")</f>
        <v>sneha.joshi@company.com</v>
      </c>
      <c r="E381" s="13">
        <f ca="1">DATEDIF(Sales_Data!H381,TODAY(),"Y")</f>
        <v>30</v>
      </c>
      <c r="F381" s="13">
        <f>IFERROR(DATEDIF(Sales_Data!D381,Sales_Data!E381,"D"),"Information_Not_Given")</f>
        <v>1</v>
      </c>
      <c r="G381" s="13" t="str" cm="1">
        <f t="array" ref="G381">_xlfn.IFS(F381&lt;=5,"One_Time",F381&gt;5,"Delayed",F381="Information_Not_given","Pending")</f>
        <v>One_Time</v>
      </c>
    </row>
    <row r="382" spans="1:7" x14ac:dyDescent="0.3">
      <c r="A382" s="12" t="str">
        <f>IF(AND(Sales_Data!P382&gt;=100000,Sales_Data!Q382&gt;=4,Sales_Data!V382="Completed",Sales_Data!O382&lt;=10),"Platinum",IF(AND(Sales_Data!P382&gt;=50000,Sales_Data!Q382&gt;=3,Sales_Data!V382="Completed"),"Gold",IF(AND(Sales_Data!P382&lt;50000,Sales_Data!V382="Completed"),"Silver",IF(OR(Sales_Data!Q382&lt;=2,Sales_Data!V382="Canceled"),"Blacklisted","Others"))))</f>
        <v>Blacklisted</v>
      </c>
      <c r="B382" s="4" t="str">
        <f>PROPER(TRIM(Sales_Data!F382))</f>
        <v>Sneha Joshi</v>
      </c>
      <c r="C382" s="4" t="str">
        <f>LEFT(B382,3)&amp;RIGHT(Sales_Data!B382,3)&amp;LEFT(Sales_Data!I382,2)</f>
        <v>Sne006De</v>
      </c>
      <c r="D382" s="4" t="str">
        <f>IF(ISNUMBER(SEARCH("@",Sales_Data!T382)),LOWER(Sales_Data!T382),"Invalid_Email")</f>
        <v>sneha.joshi@company.com</v>
      </c>
      <c r="E382" s="13">
        <f ca="1">DATEDIF(Sales_Data!H382,TODAY(),"Y")</f>
        <v>41</v>
      </c>
      <c r="F382" s="13">
        <f>IFERROR(DATEDIF(Sales_Data!D382,Sales_Data!E382,"D"),"Information_Not_Given")</f>
        <v>8</v>
      </c>
      <c r="G382" s="13" t="str" cm="1">
        <f t="array" ref="G382">_xlfn.IFS(F382&lt;=5,"One_Time",F382&gt;5,"Delayed",F382="Information_Not_given","Pending")</f>
        <v>Delayed</v>
      </c>
    </row>
    <row r="383" spans="1:7" x14ac:dyDescent="0.3">
      <c r="A383" s="12" t="str">
        <f>IF(AND(Sales_Data!P383&gt;=100000,Sales_Data!Q383&gt;=4,Sales_Data!V383="Completed",Sales_Data!O383&lt;=10),"Platinum",IF(AND(Sales_Data!P383&gt;=50000,Sales_Data!Q383&gt;=3,Sales_Data!V383="Completed"),"Gold",IF(AND(Sales_Data!P383&lt;50000,Sales_Data!V383="Completed"),"Silver",IF(OR(Sales_Data!Q383&lt;=2,Sales_Data!V383="Canceled"),"Blacklisted","Others"))))</f>
        <v>Others</v>
      </c>
      <c r="B383" s="4" t="str">
        <f>PROPER(TRIM(Sales_Data!F383))</f>
        <v>Rohit Singh</v>
      </c>
      <c r="C383" s="4" t="str">
        <f>LEFT(B383,3)&amp;RIGHT(Sales_Data!B383,3)&amp;LEFT(Sales_Data!I383,2)</f>
        <v>Roh003Be</v>
      </c>
      <c r="D383" s="4" t="str">
        <f>IF(ISNUMBER(SEARCH("@",Sales_Data!T383)),LOWER(Sales_Data!T383),"Invalid_Email")</f>
        <v>rohit.singh@company.com</v>
      </c>
      <c r="E383" s="13">
        <f ca="1">DATEDIF(Sales_Data!H383,TODAY(),"Y")</f>
        <v>42</v>
      </c>
      <c r="F383" s="13">
        <f>IFERROR(DATEDIF(Sales_Data!D383,Sales_Data!E383,"D"),"Information_Not_Given")</f>
        <v>8</v>
      </c>
      <c r="G383" s="13" t="str" cm="1">
        <f t="array" ref="G383">_xlfn.IFS(F383&lt;=5,"One_Time",F383&gt;5,"Delayed",F383="Information_Not_given","Pending")</f>
        <v>Delayed</v>
      </c>
    </row>
    <row r="384" spans="1:7" x14ac:dyDescent="0.3">
      <c r="A384" s="12" t="str">
        <f>IF(AND(Sales_Data!P384&gt;=100000,Sales_Data!Q384&gt;=4,Sales_Data!V384="Completed",Sales_Data!O384&lt;=10),"Platinum",IF(AND(Sales_Data!P384&gt;=50000,Sales_Data!Q384&gt;=3,Sales_Data!V384="Completed"),"Gold",IF(AND(Sales_Data!P384&lt;50000,Sales_Data!V384="Completed"),"Silver",IF(OR(Sales_Data!Q384&lt;=2,Sales_Data!V384="Canceled"),"Blacklisted","Others"))))</f>
        <v>Blacklisted</v>
      </c>
      <c r="B384" s="4" t="str">
        <f>PROPER(TRIM(Sales_Data!F384))</f>
        <v>Rohit Singh</v>
      </c>
      <c r="C384" s="4" t="str">
        <f>LEFT(B384,3)&amp;RIGHT(Sales_Data!B384,3)&amp;LEFT(Sales_Data!I384,2)</f>
        <v>Roh003Ko</v>
      </c>
      <c r="D384" s="4" t="str">
        <f>IF(ISNUMBER(SEARCH("@",Sales_Data!T384)),LOWER(Sales_Data!T384),"Invalid_Email")</f>
        <v>rohit.singh@company.com</v>
      </c>
      <c r="E384" s="13">
        <f ca="1">DATEDIF(Sales_Data!H384,TODAY(),"Y")</f>
        <v>24</v>
      </c>
      <c r="F384" s="13">
        <f>IFERROR(DATEDIF(Sales_Data!D384,Sales_Data!E384,"D"),"Information_Not_Given")</f>
        <v>10</v>
      </c>
      <c r="G384" s="13" t="str" cm="1">
        <f t="array" ref="G384">_xlfn.IFS(F384&lt;=5,"One_Time",F384&gt;5,"Delayed",F384="Information_Not_given","Pending")</f>
        <v>Delayed</v>
      </c>
    </row>
    <row r="385" spans="1:7" x14ac:dyDescent="0.3">
      <c r="A385" s="12" t="str">
        <f>IF(AND(Sales_Data!P385&gt;=100000,Sales_Data!Q385&gt;=4,Sales_Data!V385="Completed",Sales_Data!O385&lt;=10),"Platinum",IF(AND(Sales_Data!P385&gt;=50000,Sales_Data!Q385&gt;=3,Sales_Data!V385="Completed"),"Gold",IF(AND(Sales_Data!P385&lt;50000,Sales_Data!V385="Completed"),"Silver",IF(OR(Sales_Data!Q385&lt;=2,Sales_Data!V385="Canceled"),"Blacklisted","Others"))))</f>
        <v>Blacklisted</v>
      </c>
      <c r="B385" s="4" t="str">
        <f>PROPER(TRIM(Sales_Data!F385))</f>
        <v>Vikas Mehta</v>
      </c>
      <c r="C385" s="4" t="str">
        <f>LEFT(B385,3)&amp;RIGHT(Sales_Data!B385,3)&amp;LEFT(Sales_Data!I385,2)</f>
        <v>Vik005Be</v>
      </c>
      <c r="D385" s="4" t="str">
        <f>IF(ISNUMBER(SEARCH("@",Sales_Data!T385)),LOWER(Sales_Data!T385),"Invalid_Email")</f>
        <v>vikas.mehta@company.com</v>
      </c>
      <c r="E385" s="13">
        <f ca="1">DATEDIF(Sales_Data!H385,TODAY(),"Y")</f>
        <v>23</v>
      </c>
      <c r="F385" s="13">
        <f>IFERROR(DATEDIF(Sales_Data!D385,Sales_Data!E385,"D"),"Information_Not_Given")</f>
        <v>11</v>
      </c>
      <c r="G385" s="13" t="str" cm="1">
        <f t="array" ref="G385">_xlfn.IFS(F385&lt;=5,"One_Time",F385&gt;5,"Delayed",F385="Information_Not_given","Pending")</f>
        <v>Delayed</v>
      </c>
    </row>
    <row r="386" spans="1:7" x14ac:dyDescent="0.3">
      <c r="A386" s="12" t="str">
        <f>IF(AND(Sales_Data!P386&gt;=100000,Sales_Data!Q386&gt;=4,Sales_Data!V386="Completed",Sales_Data!O386&lt;=10),"Platinum",IF(AND(Sales_Data!P386&gt;=50000,Sales_Data!Q386&gt;=3,Sales_Data!V386="Completed"),"Gold",IF(AND(Sales_Data!P386&lt;50000,Sales_Data!V386="Completed"),"Silver",IF(OR(Sales_Data!Q386&lt;=2,Sales_Data!V386="Canceled"),"Blacklisted","Others"))))</f>
        <v>Blacklisted</v>
      </c>
      <c r="B386" s="4" t="str">
        <f>PROPER(TRIM(Sales_Data!F386))</f>
        <v>Rohit Singh</v>
      </c>
      <c r="C386" s="4" t="str">
        <f>LEFT(B386,3)&amp;RIGHT(Sales_Data!B386,3)&amp;LEFT(Sales_Data!I386,2)</f>
        <v>Roh003De</v>
      </c>
      <c r="D386" s="4" t="str">
        <f>IF(ISNUMBER(SEARCH("@",Sales_Data!T386)),LOWER(Sales_Data!T386),"Invalid_Email")</f>
        <v>rohit.singh@company.com</v>
      </c>
      <c r="E386" s="13">
        <f ca="1">DATEDIF(Sales_Data!H386,TODAY(),"Y")</f>
        <v>35</v>
      </c>
      <c r="F386" s="13">
        <f>IFERROR(DATEDIF(Sales_Data!D386,Sales_Data!E386,"D"),"Information_Not_Given")</f>
        <v>4</v>
      </c>
      <c r="G386" s="13" t="str" cm="1">
        <f t="array" ref="G386">_xlfn.IFS(F386&lt;=5,"One_Time",F386&gt;5,"Delayed",F386="Information_Not_given","Pending")</f>
        <v>One_Time</v>
      </c>
    </row>
    <row r="387" spans="1:7" x14ac:dyDescent="0.3">
      <c r="A387" s="12" t="str">
        <f>IF(AND(Sales_Data!P387&gt;=100000,Sales_Data!Q387&gt;=4,Sales_Data!V387="Completed",Sales_Data!O387&lt;=10),"Platinum",IF(AND(Sales_Data!P387&gt;=50000,Sales_Data!Q387&gt;=3,Sales_Data!V387="Completed"),"Gold",IF(AND(Sales_Data!P387&lt;50000,Sales_Data!V387="Completed"),"Silver",IF(OR(Sales_Data!Q387&lt;=2,Sales_Data!V387="Canceled"),"Blacklisted","Others"))))</f>
        <v>Blacklisted</v>
      </c>
      <c r="B387" s="4" t="str">
        <f>PROPER(TRIM(Sales_Data!F387))</f>
        <v>Anita Gupta</v>
      </c>
      <c r="C387" s="4" t="str">
        <f>LEFT(B387,3)&amp;RIGHT(Sales_Data!B387,3)&amp;LEFT(Sales_Data!I387,2)</f>
        <v>Ani004Ah</v>
      </c>
      <c r="D387" s="4" t="str">
        <f>IF(ISNUMBER(SEARCH("@",Sales_Data!T387)),LOWER(Sales_Data!T387),"Invalid_Email")</f>
        <v>anita.gupta@company.com</v>
      </c>
      <c r="E387" s="13">
        <f ca="1">DATEDIF(Sales_Data!H387,TODAY(),"Y")</f>
        <v>42</v>
      </c>
      <c r="F387" s="13">
        <f>IFERROR(DATEDIF(Sales_Data!D387,Sales_Data!E387,"D"),"Information_Not_Given")</f>
        <v>7</v>
      </c>
      <c r="G387" s="13" t="str" cm="1">
        <f t="array" ref="G387">_xlfn.IFS(F387&lt;=5,"One_Time",F387&gt;5,"Delayed",F387="Information_Not_given","Pending")</f>
        <v>Delayed</v>
      </c>
    </row>
    <row r="388" spans="1:7" x14ac:dyDescent="0.3">
      <c r="A388" s="12" t="str">
        <f>IF(AND(Sales_Data!P388&gt;=100000,Sales_Data!Q388&gt;=4,Sales_Data!V388="Completed",Sales_Data!O388&lt;=10),"Platinum",IF(AND(Sales_Data!P388&gt;=50000,Sales_Data!Q388&gt;=3,Sales_Data!V388="Completed"),"Gold",IF(AND(Sales_Data!P388&lt;50000,Sales_Data!V388="Completed"),"Silver",IF(OR(Sales_Data!Q388&lt;=2,Sales_Data!V388="Canceled"),"Blacklisted","Others"))))</f>
        <v>Platinum</v>
      </c>
      <c r="B388" s="4" t="str">
        <f>PROPER(TRIM(Sales_Data!F388))</f>
        <v>Vikas Mehta</v>
      </c>
      <c r="C388" s="4" t="str">
        <f>LEFT(B388,3)&amp;RIGHT(Sales_Data!B388,3)&amp;LEFT(Sales_Data!I388,2)</f>
        <v>Vik005Hy</v>
      </c>
      <c r="D388" s="4" t="str">
        <f>IF(ISNUMBER(SEARCH("@",Sales_Data!T388)),LOWER(Sales_Data!T388),"Invalid_Email")</f>
        <v>vikas.mehta@company.com</v>
      </c>
      <c r="E388" s="13">
        <f ca="1">DATEDIF(Sales_Data!H388,TODAY(),"Y")</f>
        <v>51</v>
      </c>
      <c r="F388" s="13">
        <f>IFERROR(DATEDIF(Sales_Data!D388,Sales_Data!E388,"D"),"Information_Not_Given")</f>
        <v>4</v>
      </c>
      <c r="G388" s="13" t="str" cm="1">
        <f t="array" ref="G388">_xlfn.IFS(F388&lt;=5,"One_Time",F388&gt;5,"Delayed",F388="Information_Not_given","Pending")</f>
        <v>One_Time</v>
      </c>
    </row>
    <row r="389" spans="1:7" x14ac:dyDescent="0.3">
      <c r="A389" s="12" t="str">
        <f>IF(AND(Sales_Data!P389&gt;=100000,Sales_Data!Q389&gt;=4,Sales_Data!V389="Completed",Sales_Data!O389&lt;=10),"Platinum",IF(AND(Sales_Data!P389&gt;=50000,Sales_Data!Q389&gt;=3,Sales_Data!V389="Completed"),"Gold",IF(AND(Sales_Data!P389&lt;50000,Sales_Data!V389="Completed"),"Silver",IF(OR(Sales_Data!Q389&lt;=2,Sales_Data!V389="Canceled"),"Blacklisted","Others"))))</f>
        <v>Silver</v>
      </c>
      <c r="B389" s="4" t="str">
        <f>PROPER(TRIM(Sales_Data!F389))</f>
        <v>Mohit Verma</v>
      </c>
      <c r="C389" s="4" t="str">
        <f>LEFT(B389,3)&amp;RIGHT(Sales_Data!B389,3)&amp;LEFT(Sales_Data!I389,2)</f>
        <v>Moh009Hy</v>
      </c>
      <c r="D389" s="4" t="str">
        <f>IF(ISNUMBER(SEARCH("@",Sales_Data!T389)),LOWER(Sales_Data!T389),"Invalid_Email")</f>
        <v>mohit.verma@company.com</v>
      </c>
      <c r="E389" s="13">
        <f ca="1">DATEDIF(Sales_Data!H389,TODAY(),"Y")</f>
        <v>43</v>
      </c>
      <c r="F389" s="13">
        <f>IFERROR(DATEDIF(Sales_Data!D389,Sales_Data!E389,"D"),"Information_Not_Given")</f>
        <v>4</v>
      </c>
      <c r="G389" s="13" t="str" cm="1">
        <f t="array" ref="G389">_xlfn.IFS(F389&lt;=5,"One_Time",F389&gt;5,"Delayed",F389="Information_Not_given","Pending")</f>
        <v>One_Time</v>
      </c>
    </row>
    <row r="390" spans="1:7" x14ac:dyDescent="0.3">
      <c r="A390" s="12" t="str">
        <f>IF(AND(Sales_Data!P390&gt;=100000,Sales_Data!Q390&gt;=4,Sales_Data!V390="Completed",Sales_Data!O390&lt;=10),"Platinum",IF(AND(Sales_Data!P390&gt;=50000,Sales_Data!Q390&gt;=3,Sales_Data!V390="Completed"),"Gold",IF(AND(Sales_Data!P390&lt;50000,Sales_Data!V390="Completed"),"Silver",IF(OR(Sales_Data!Q390&lt;=2,Sales_Data!V390="Canceled"),"Blacklisted","Others"))))</f>
        <v>Blacklisted</v>
      </c>
      <c r="B390" s="4" t="str">
        <f>PROPER(TRIM(Sales_Data!F390))</f>
        <v>Kavya Nair</v>
      </c>
      <c r="C390" s="4" t="str">
        <f>LEFT(B390,3)&amp;RIGHT(Sales_Data!B390,3)&amp;LEFT(Sales_Data!I390,2)</f>
        <v>Kav008Ko</v>
      </c>
      <c r="D390" s="4" t="str">
        <f>IF(ISNUMBER(SEARCH("@",Sales_Data!T390)),LOWER(Sales_Data!T390),"Invalid_Email")</f>
        <v>kavya.nair@company.com</v>
      </c>
      <c r="E390" s="13">
        <f ca="1">DATEDIF(Sales_Data!H390,TODAY(),"Y")</f>
        <v>50</v>
      </c>
      <c r="F390" s="13">
        <f>IFERROR(DATEDIF(Sales_Data!D390,Sales_Data!E390,"D"),"Information_Not_Given")</f>
        <v>3</v>
      </c>
      <c r="G390" s="13" t="str" cm="1">
        <f t="array" ref="G390">_xlfn.IFS(F390&lt;=5,"One_Time",F390&gt;5,"Delayed",F390="Information_Not_given","Pending")</f>
        <v>One_Time</v>
      </c>
    </row>
    <row r="391" spans="1:7" x14ac:dyDescent="0.3">
      <c r="A391" s="12" t="str">
        <f>IF(AND(Sales_Data!P391&gt;=100000,Sales_Data!Q391&gt;=4,Sales_Data!V391="Completed",Sales_Data!O391&lt;=10),"Platinum",IF(AND(Sales_Data!P391&gt;=50000,Sales_Data!Q391&gt;=3,Sales_Data!V391="Completed"),"Gold",IF(AND(Sales_Data!P391&lt;50000,Sales_Data!V391="Completed"),"Silver",IF(OR(Sales_Data!Q391&lt;=2,Sales_Data!V391="Canceled"),"Blacklisted","Others"))))</f>
        <v>Others</v>
      </c>
      <c r="B391" s="4" t="str">
        <f>PROPER(TRIM(Sales_Data!F391))</f>
        <v>Priya Patel</v>
      </c>
      <c r="C391" s="4" t="str">
        <f>LEFT(B391,3)&amp;RIGHT(Sales_Data!B391,3)&amp;LEFT(Sales_Data!I391,2)</f>
        <v>Pri002Pu</v>
      </c>
      <c r="D391" s="4" t="str">
        <f>IF(ISNUMBER(SEARCH("@",Sales_Data!T391)),LOWER(Sales_Data!T391),"Invalid_Email")</f>
        <v>priya.patel@company.com</v>
      </c>
      <c r="E391" s="13">
        <f ca="1">DATEDIF(Sales_Data!H391,TODAY(),"Y")</f>
        <v>40</v>
      </c>
      <c r="F391" s="13">
        <f>IFERROR(DATEDIF(Sales_Data!D391,Sales_Data!E391,"D"),"Information_Not_Given")</f>
        <v>2</v>
      </c>
      <c r="G391" s="13" t="str" cm="1">
        <f t="array" ref="G391">_xlfn.IFS(F391&lt;=5,"One_Time",F391&gt;5,"Delayed",F391="Information_Not_given","Pending")</f>
        <v>One_Time</v>
      </c>
    </row>
    <row r="392" spans="1:7" x14ac:dyDescent="0.3">
      <c r="A392" s="12" t="str">
        <f>IF(AND(Sales_Data!P392&gt;=100000,Sales_Data!Q392&gt;=4,Sales_Data!V392="Completed",Sales_Data!O392&lt;=10),"Platinum",IF(AND(Sales_Data!P392&gt;=50000,Sales_Data!Q392&gt;=3,Sales_Data!V392="Completed"),"Gold",IF(AND(Sales_Data!P392&lt;50000,Sales_Data!V392="Completed"),"Silver",IF(OR(Sales_Data!Q392&lt;=2,Sales_Data!V392="Canceled"),"Blacklisted","Others"))))</f>
        <v>Others</v>
      </c>
      <c r="B392" s="4" t="str">
        <f>PROPER(TRIM(Sales_Data!F392))</f>
        <v>Priya Patel</v>
      </c>
      <c r="C392" s="4" t="str">
        <f>LEFT(B392,3)&amp;RIGHT(Sales_Data!B392,3)&amp;LEFT(Sales_Data!I392,2)</f>
        <v>Pri002Pu</v>
      </c>
      <c r="D392" s="4" t="str">
        <f>IF(ISNUMBER(SEARCH("@",Sales_Data!T392)),LOWER(Sales_Data!T392),"Invalid_Email")</f>
        <v>priya.patel@company.com</v>
      </c>
      <c r="E392" s="13">
        <f ca="1">DATEDIF(Sales_Data!H392,TODAY(),"Y")</f>
        <v>48</v>
      </c>
      <c r="F392" s="13">
        <f>IFERROR(DATEDIF(Sales_Data!D392,Sales_Data!E392,"D"),"Information_Not_Given")</f>
        <v>1</v>
      </c>
      <c r="G392" s="13" t="str" cm="1">
        <f t="array" ref="G392">_xlfn.IFS(F392&lt;=5,"One_Time",F392&gt;5,"Delayed",F392="Information_Not_given","Pending")</f>
        <v>One_Time</v>
      </c>
    </row>
    <row r="393" spans="1:7" x14ac:dyDescent="0.3">
      <c r="A393" s="12" t="str">
        <f>IF(AND(Sales_Data!P393&gt;=100000,Sales_Data!Q393&gt;=4,Sales_Data!V393="Completed",Sales_Data!O393&lt;=10),"Platinum",IF(AND(Sales_Data!P393&gt;=50000,Sales_Data!Q393&gt;=3,Sales_Data!V393="Completed"),"Gold",IF(AND(Sales_Data!P393&lt;50000,Sales_Data!V393="Completed"),"Silver",IF(OR(Sales_Data!Q393&lt;=2,Sales_Data!V393="Canceled"),"Blacklisted","Others"))))</f>
        <v>Others</v>
      </c>
      <c r="B393" s="4" t="str">
        <f>PROPER(TRIM(Sales_Data!F393))</f>
        <v>Pooja Shah</v>
      </c>
      <c r="C393" s="4" t="str">
        <f>LEFT(B393,3)&amp;RIGHT(Sales_Data!B393,3)&amp;LEFT(Sales_Data!I393,2)</f>
        <v>Poo010Hy</v>
      </c>
      <c r="D393" s="4" t="str">
        <f>IF(ISNUMBER(SEARCH("@",Sales_Data!T393)),LOWER(Sales_Data!T393),"Invalid_Email")</f>
        <v>pooja.shah@company.com</v>
      </c>
      <c r="E393" s="13">
        <f ca="1">DATEDIF(Sales_Data!H393,TODAY(),"Y")</f>
        <v>30</v>
      </c>
      <c r="F393" s="13">
        <f>IFERROR(DATEDIF(Sales_Data!D393,Sales_Data!E393,"D"),"Information_Not_Given")</f>
        <v>9</v>
      </c>
      <c r="G393" s="13" t="str" cm="1">
        <f t="array" ref="G393">_xlfn.IFS(F393&lt;=5,"One_Time",F393&gt;5,"Delayed",F393="Information_Not_given","Pending")</f>
        <v>Delayed</v>
      </c>
    </row>
    <row r="394" spans="1:7" x14ac:dyDescent="0.3">
      <c r="A394" s="12" t="str">
        <f>IF(AND(Sales_Data!P394&gt;=100000,Sales_Data!Q394&gt;=4,Sales_Data!V394="Completed",Sales_Data!O394&lt;=10),"Platinum",IF(AND(Sales_Data!P394&gt;=50000,Sales_Data!Q394&gt;=3,Sales_Data!V394="Completed"),"Gold",IF(AND(Sales_Data!P394&lt;50000,Sales_Data!V394="Completed"),"Silver",IF(OR(Sales_Data!Q394&lt;=2,Sales_Data!V394="Canceled"),"Blacklisted","Others"))))</f>
        <v>Others</v>
      </c>
      <c r="B394" s="4" t="str">
        <f>PROPER(TRIM(Sales_Data!F394))</f>
        <v>Sneha Joshi</v>
      </c>
      <c r="C394" s="4" t="str">
        <f>LEFT(B394,3)&amp;RIGHT(Sales_Data!B394,3)&amp;LEFT(Sales_Data!I394,2)</f>
        <v>Sne006De</v>
      </c>
      <c r="D394" s="4" t="str">
        <f>IF(ISNUMBER(SEARCH("@",Sales_Data!T394)),LOWER(Sales_Data!T394),"Invalid_Email")</f>
        <v>sneha.joshi@company.com</v>
      </c>
      <c r="E394" s="13">
        <f ca="1">DATEDIF(Sales_Data!H394,TODAY(),"Y")</f>
        <v>33</v>
      </c>
      <c r="F394" s="13">
        <f>IFERROR(DATEDIF(Sales_Data!D394,Sales_Data!E394,"D"),"Information_Not_Given")</f>
        <v>5</v>
      </c>
      <c r="G394" s="13" t="str" cm="1">
        <f t="array" ref="G394">_xlfn.IFS(F394&lt;=5,"One_Time",F394&gt;5,"Delayed",F394="Information_Not_given","Pending")</f>
        <v>One_Time</v>
      </c>
    </row>
    <row r="395" spans="1:7" x14ac:dyDescent="0.3">
      <c r="A395" s="12" t="str">
        <f>IF(AND(Sales_Data!P395&gt;=100000,Sales_Data!Q395&gt;=4,Sales_Data!V395="Completed",Sales_Data!O395&lt;=10),"Platinum",IF(AND(Sales_Data!P395&gt;=50000,Sales_Data!Q395&gt;=3,Sales_Data!V395="Completed"),"Gold",IF(AND(Sales_Data!P395&lt;50000,Sales_Data!V395="Completed"),"Silver",IF(OR(Sales_Data!Q395&lt;=2,Sales_Data!V395="Canceled"),"Blacklisted","Others"))))</f>
        <v>Others</v>
      </c>
      <c r="B395" s="4" t="str">
        <f>PROPER(TRIM(Sales_Data!F395))</f>
        <v>Priya Patel</v>
      </c>
      <c r="C395" s="4" t="str">
        <f>LEFT(B395,3)&amp;RIGHT(Sales_Data!B395,3)&amp;LEFT(Sales_Data!I395,2)</f>
        <v>Pri002Ko</v>
      </c>
      <c r="D395" s="4" t="str">
        <f>IF(ISNUMBER(SEARCH("@",Sales_Data!T395)),LOWER(Sales_Data!T395),"Invalid_Email")</f>
        <v>priya.patel@company.com</v>
      </c>
      <c r="E395" s="13">
        <f ca="1">DATEDIF(Sales_Data!H395,TODAY(),"Y")</f>
        <v>30</v>
      </c>
      <c r="F395" s="13">
        <f>IFERROR(DATEDIF(Sales_Data!D395,Sales_Data!E395,"D"),"Information_Not_Given")</f>
        <v>1</v>
      </c>
      <c r="G395" s="13" t="str" cm="1">
        <f t="array" ref="G395">_xlfn.IFS(F395&lt;=5,"One_Time",F395&gt;5,"Delayed",F395="Information_Not_given","Pending")</f>
        <v>One_Time</v>
      </c>
    </row>
    <row r="396" spans="1:7" x14ac:dyDescent="0.3">
      <c r="A396" s="12" t="str">
        <f>IF(AND(Sales_Data!P396&gt;=100000,Sales_Data!Q396&gt;=4,Sales_Data!V396="Completed",Sales_Data!O396&lt;=10),"Platinum",IF(AND(Sales_Data!P396&gt;=50000,Sales_Data!Q396&gt;=3,Sales_Data!V396="Completed"),"Gold",IF(AND(Sales_Data!P396&lt;50000,Sales_Data!V396="Completed"),"Silver",IF(OR(Sales_Data!Q396&lt;=2,Sales_Data!V396="Canceled"),"Blacklisted","Others"))))</f>
        <v>Blacklisted</v>
      </c>
      <c r="B396" s="4" t="str">
        <f>PROPER(TRIM(Sales_Data!F396))</f>
        <v>Kavya Nair</v>
      </c>
      <c r="C396" s="4" t="str">
        <f>LEFT(B396,3)&amp;RIGHT(Sales_Data!B396,3)&amp;LEFT(Sales_Data!I396,2)</f>
        <v>Kav008Ah</v>
      </c>
      <c r="D396" s="4" t="str">
        <f>IF(ISNUMBER(SEARCH("@",Sales_Data!T396)),LOWER(Sales_Data!T396),"Invalid_Email")</f>
        <v>kavya.nair@company.com</v>
      </c>
      <c r="E396" s="13">
        <f ca="1">DATEDIF(Sales_Data!H396,TODAY(),"Y")</f>
        <v>32</v>
      </c>
      <c r="F396" s="13">
        <f>IFERROR(DATEDIF(Sales_Data!D396,Sales_Data!E396,"D"),"Information_Not_Given")</f>
        <v>8</v>
      </c>
      <c r="G396" s="13" t="str" cm="1">
        <f t="array" ref="G396">_xlfn.IFS(F396&lt;=5,"One_Time",F396&gt;5,"Delayed",F396="Information_Not_given","Pending")</f>
        <v>Delayed</v>
      </c>
    </row>
    <row r="397" spans="1:7" x14ac:dyDescent="0.3">
      <c r="A397" s="12" t="str">
        <f>IF(AND(Sales_Data!P397&gt;=100000,Sales_Data!Q397&gt;=4,Sales_Data!V397="Completed",Sales_Data!O397&lt;=10),"Platinum",IF(AND(Sales_Data!P397&gt;=50000,Sales_Data!Q397&gt;=3,Sales_Data!V397="Completed"),"Gold",IF(AND(Sales_Data!P397&lt;50000,Sales_Data!V397="Completed"),"Silver",IF(OR(Sales_Data!Q397&lt;=2,Sales_Data!V397="Canceled"),"Blacklisted","Others"))))</f>
        <v>Gold</v>
      </c>
      <c r="B397" s="4" t="str">
        <f>PROPER(TRIM(Sales_Data!F397))</f>
        <v>Rohit Singh</v>
      </c>
      <c r="C397" s="4" t="str">
        <f>LEFT(B397,3)&amp;RIGHT(Sales_Data!B397,3)&amp;LEFT(Sales_Data!I397,2)</f>
        <v>Roh003Hy</v>
      </c>
      <c r="D397" s="4" t="str">
        <f>IF(ISNUMBER(SEARCH("@",Sales_Data!T397)),LOWER(Sales_Data!T397),"Invalid_Email")</f>
        <v>rohit.singh@company.com</v>
      </c>
      <c r="E397" s="13">
        <f ca="1">DATEDIF(Sales_Data!H397,TODAY(),"Y")</f>
        <v>46</v>
      </c>
      <c r="F397" s="13">
        <f>IFERROR(DATEDIF(Sales_Data!D397,Sales_Data!E397,"D"),"Information_Not_Given")</f>
        <v>12</v>
      </c>
      <c r="G397" s="13" t="str" cm="1">
        <f t="array" ref="G397">_xlfn.IFS(F397&lt;=5,"One_Time",F397&gt;5,"Delayed",F397="Information_Not_given","Pending")</f>
        <v>Delayed</v>
      </c>
    </row>
    <row r="398" spans="1:7" x14ac:dyDescent="0.3">
      <c r="A398" s="12" t="str">
        <f>IF(AND(Sales_Data!P398&gt;=100000,Sales_Data!Q398&gt;=4,Sales_Data!V398="Completed",Sales_Data!O398&lt;=10),"Platinum",IF(AND(Sales_Data!P398&gt;=50000,Sales_Data!Q398&gt;=3,Sales_Data!V398="Completed"),"Gold",IF(AND(Sales_Data!P398&lt;50000,Sales_Data!V398="Completed"),"Silver",IF(OR(Sales_Data!Q398&lt;=2,Sales_Data!V398="Canceled"),"Blacklisted","Others"))))</f>
        <v>Blacklisted</v>
      </c>
      <c r="B398" s="4" t="str">
        <f>PROPER(TRIM(Sales_Data!F398))</f>
        <v>Arjun Rao</v>
      </c>
      <c r="C398" s="4" t="str">
        <f>LEFT(B398,3)&amp;RIGHT(Sales_Data!B398,3)&amp;LEFT(Sales_Data!I398,2)</f>
        <v>Arj007De</v>
      </c>
      <c r="D398" s="4" t="str">
        <f>IF(ISNUMBER(SEARCH("@",Sales_Data!T398)),LOWER(Sales_Data!T398),"Invalid_Email")</f>
        <v>arjun.rao@company.com</v>
      </c>
      <c r="E398" s="13">
        <f ca="1">DATEDIF(Sales_Data!H398,TODAY(),"Y")</f>
        <v>36</v>
      </c>
      <c r="F398" s="13">
        <f>IFERROR(DATEDIF(Sales_Data!D398,Sales_Data!E398,"D"),"Information_Not_Given")</f>
        <v>3</v>
      </c>
      <c r="G398" s="13" t="str" cm="1">
        <f t="array" ref="G398">_xlfn.IFS(F398&lt;=5,"One_Time",F398&gt;5,"Delayed",F398="Information_Not_given","Pending")</f>
        <v>One_Time</v>
      </c>
    </row>
    <row r="399" spans="1:7" x14ac:dyDescent="0.3">
      <c r="A399" s="12" t="str">
        <f>IF(AND(Sales_Data!P399&gt;=100000,Sales_Data!Q399&gt;=4,Sales_Data!V399="Completed",Sales_Data!O399&lt;=10),"Platinum",IF(AND(Sales_Data!P399&gt;=50000,Sales_Data!Q399&gt;=3,Sales_Data!V399="Completed"),"Gold",IF(AND(Sales_Data!P399&lt;50000,Sales_Data!V399="Completed"),"Silver",IF(OR(Sales_Data!Q399&lt;=2,Sales_Data!V399="Canceled"),"Blacklisted","Others"))))</f>
        <v>Others</v>
      </c>
      <c r="B399" s="4" t="str">
        <f>PROPER(TRIM(Sales_Data!F399))</f>
        <v>Arjun Rao</v>
      </c>
      <c r="C399" s="4" t="str">
        <f>LEFT(B399,3)&amp;RIGHT(Sales_Data!B399,3)&amp;LEFT(Sales_Data!I399,2)</f>
        <v>Arj007Ko</v>
      </c>
      <c r="D399" s="4" t="str">
        <f>IF(ISNUMBER(SEARCH("@",Sales_Data!T399)),LOWER(Sales_Data!T399),"Invalid_Email")</f>
        <v>arjun.rao@company.com</v>
      </c>
      <c r="E399" s="13">
        <f ca="1">DATEDIF(Sales_Data!H399,TODAY(),"Y")</f>
        <v>47</v>
      </c>
      <c r="F399" s="13">
        <f>IFERROR(DATEDIF(Sales_Data!D399,Sales_Data!E399,"D"),"Information_Not_Given")</f>
        <v>4</v>
      </c>
      <c r="G399" s="13" t="str" cm="1">
        <f t="array" ref="G399">_xlfn.IFS(F399&lt;=5,"One_Time",F399&gt;5,"Delayed",F399="Information_Not_given","Pending")</f>
        <v>One_Time</v>
      </c>
    </row>
    <row r="400" spans="1:7" x14ac:dyDescent="0.3">
      <c r="A400" s="12" t="str">
        <f>IF(AND(Sales_Data!P400&gt;=100000,Sales_Data!Q400&gt;=4,Sales_Data!V400="Completed",Sales_Data!O400&lt;=10),"Platinum",IF(AND(Sales_Data!P400&gt;=50000,Sales_Data!Q400&gt;=3,Sales_Data!V400="Completed"),"Gold",IF(AND(Sales_Data!P400&lt;50000,Sales_Data!V400="Completed"),"Silver",IF(OR(Sales_Data!Q400&lt;=2,Sales_Data!V400="Canceled"),"Blacklisted","Others"))))</f>
        <v>Silver</v>
      </c>
      <c r="B400" s="4" t="str">
        <f>PROPER(TRIM(Sales_Data!F400))</f>
        <v>Amit Sharma</v>
      </c>
      <c r="C400" s="4" t="str">
        <f>LEFT(B400,3)&amp;RIGHT(Sales_Data!B400,3)&amp;LEFT(Sales_Data!I400,2)</f>
        <v>Ami001Be</v>
      </c>
      <c r="D400" s="4" t="str">
        <f>IF(ISNUMBER(SEARCH("@",Sales_Data!T400)),LOWER(Sales_Data!T400),"Invalid_Email")</f>
        <v>amit.sharma@company.com</v>
      </c>
      <c r="E400" s="13">
        <f ca="1">DATEDIF(Sales_Data!H400,TODAY(),"Y")</f>
        <v>47</v>
      </c>
      <c r="F400" s="13">
        <f>IFERROR(DATEDIF(Sales_Data!D400,Sales_Data!E400,"D"),"Information_Not_Given")</f>
        <v>45964</v>
      </c>
      <c r="G400" s="13" t="str" cm="1">
        <f t="array" ref="G400">_xlfn.IFS(F400&lt;=5,"One_Time",F400&gt;5,"Delayed",F400="Information_Not_given","Pending")</f>
        <v>Delayed</v>
      </c>
    </row>
    <row r="401" spans="1:7" x14ac:dyDescent="0.3">
      <c r="A401" s="12" t="str">
        <f>IF(AND(Sales_Data!P401&gt;=100000,Sales_Data!Q401&gt;=4,Sales_Data!V401="Completed",Sales_Data!O401&lt;=10),"Platinum",IF(AND(Sales_Data!P401&gt;=50000,Sales_Data!Q401&gt;=3,Sales_Data!V401="Completed"),"Gold",IF(AND(Sales_Data!P401&lt;50000,Sales_Data!V401="Completed"),"Silver",IF(OR(Sales_Data!Q401&lt;=2,Sales_Data!V401="Canceled"),"Blacklisted","Others"))))</f>
        <v>Blacklisted</v>
      </c>
      <c r="B401" s="4" t="str">
        <f>PROPER(TRIM(Sales_Data!F401))</f>
        <v>Kavya Nair</v>
      </c>
      <c r="C401" s="4" t="str">
        <f>LEFT(B401,3)&amp;RIGHT(Sales_Data!B401,3)&amp;LEFT(Sales_Data!I401,2)</f>
        <v>Kav008De</v>
      </c>
      <c r="D401" s="4" t="str">
        <f>IF(ISNUMBER(SEARCH("@",Sales_Data!T401)),LOWER(Sales_Data!T401),"Invalid_Email")</f>
        <v>kavya.nair@company.com</v>
      </c>
      <c r="E401" s="13">
        <f ca="1">DATEDIF(Sales_Data!H401,TODAY(),"Y")</f>
        <v>25</v>
      </c>
      <c r="F401" s="13">
        <f>IFERROR(DATEDIF(Sales_Data!D401,Sales_Data!E401,"D"),"Information_Not_Given")</f>
        <v>8</v>
      </c>
      <c r="G401" s="13" t="str" cm="1">
        <f t="array" ref="G401">_xlfn.IFS(F401&lt;=5,"One_Time",F401&gt;5,"Delayed",F401="Information_Not_given","Pending")</f>
        <v>Delayed</v>
      </c>
    </row>
    <row r="402" spans="1:7" x14ac:dyDescent="0.3">
      <c r="A402" s="12" t="str">
        <f>IF(AND(Sales_Data!P402&gt;=100000,Sales_Data!Q402&gt;=4,Sales_Data!V402="Completed",Sales_Data!O402&lt;=10),"Platinum",IF(AND(Sales_Data!P402&gt;=50000,Sales_Data!Q402&gt;=3,Sales_Data!V402="Completed"),"Gold",IF(AND(Sales_Data!P402&lt;50000,Sales_Data!V402="Completed"),"Silver",IF(OR(Sales_Data!Q402&lt;=2,Sales_Data!V402="Canceled"),"Blacklisted","Others"))))</f>
        <v>Gold</v>
      </c>
      <c r="B402" s="4" t="str">
        <f>PROPER(TRIM(Sales_Data!F402))</f>
        <v>Mohit Verma</v>
      </c>
      <c r="C402" s="4" t="str">
        <f>LEFT(B402,3)&amp;RIGHT(Sales_Data!B402,3)&amp;LEFT(Sales_Data!I402,2)</f>
        <v>Moh009Hy</v>
      </c>
      <c r="D402" s="4" t="str">
        <f>IF(ISNUMBER(SEARCH("@",Sales_Data!T402)),LOWER(Sales_Data!T402),"Invalid_Email")</f>
        <v>mohit.verma@company.com</v>
      </c>
      <c r="E402" s="13">
        <f ca="1">DATEDIF(Sales_Data!H402,TODAY(),"Y")</f>
        <v>43</v>
      </c>
      <c r="F402" s="13">
        <f>IFERROR(DATEDIF(Sales_Data!D402,Sales_Data!E402,"D"),"Information_Not_Given")</f>
        <v>8</v>
      </c>
      <c r="G402" s="13" t="str" cm="1">
        <f t="array" ref="G402">_xlfn.IFS(F402&lt;=5,"One_Time",F402&gt;5,"Delayed",F402="Information_Not_given","Pending")</f>
        <v>Delayed</v>
      </c>
    </row>
    <row r="403" spans="1:7" x14ac:dyDescent="0.3">
      <c r="A403" s="12" t="str">
        <f>IF(AND(Sales_Data!P403&gt;=100000,Sales_Data!Q403&gt;=4,Sales_Data!V403="Completed",Sales_Data!O403&lt;=10),"Platinum",IF(AND(Sales_Data!P403&gt;=50000,Sales_Data!Q403&gt;=3,Sales_Data!V403="Completed"),"Gold",IF(AND(Sales_Data!P403&lt;50000,Sales_Data!V403="Completed"),"Silver",IF(OR(Sales_Data!Q403&lt;=2,Sales_Data!V403="Canceled"),"Blacklisted","Others"))))</f>
        <v>Blacklisted</v>
      </c>
      <c r="B403" s="4" t="str">
        <f>PROPER(TRIM(Sales_Data!F403))</f>
        <v>Kavya Nair</v>
      </c>
      <c r="C403" s="4" t="str">
        <f>LEFT(B403,3)&amp;RIGHT(Sales_Data!B403,3)&amp;LEFT(Sales_Data!I403,2)</f>
        <v>Kav008Ah</v>
      </c>
      <c r="D403" s="4" t="str">
        <f>IF(ISNUMBER(SEARCH("@",Sales_Data!T403)),LOWER(Sales_Data!T403),"Invalid_Email")</f>
        <v>kavya.nair@company.com</v>
      </c>
      <c r="E403" s="13">
        <f ca="1">DATEDIF(Sales_Data!H403,TODAY(),"Y")</f>
        <v>37</v>
      </c>
      <c r="F403" s="13">
        <f>IFERROR(DATEDIF(Sales_Data!D403,Sales_Data!E403,"D"),"Information_Not_Given")</f>
        <v>10</v>
      </c>
      <c r="G403" s="13" t="str" cm="1">
        <f t="array" ref="G403">_xlfn.IFS(F403&lt;=5,"One_Time",F403&gt;5,"Delayed",F403="Information_Not_given","Pending")</f>
        <v>Delayed</v>
      </c>
    </row>
    <row r="404" spans="1:7" x14ac:dyDescent="0.3">
      <c r="A404" s="12" t="str">
        <f>IF(AND(Sales_Data!P404&gt;=100000,Sales_Data!Q404&gt;=4,Sales_Data!V404="Completed",Sales_Data!O404&lt;=10),"Platinum",IF(AND(Sales_Data!P404&gt;=50000,Sales_Data!Q404&gt;=3,Sales_Data!V404="Completed"),"Gold",IF(AND(Sales_Data!P404&lt;50000,Sales_Data!V404="Completed"),"Silver",IF(OR(Sales_Data!Q404&lt;=2,Sales_Data!V404="Canceled"),"Blacklisted","Others"))))</f>
        <v>Blacklisted</v>
      </c>
      <c r="B404" s="4" t="str">
        <f>PROPER(TRIM(Sales_Data!F404))</f>
        <v>Mohit Verma</v>
      </c>
      <c r="C404" s="4" t="str">
        <f>LEFT(B404,3)&amp;RIGHT(Sales_Data!B404,3)&amp;LEFT(Sales_Data!I404,2)</f>
        <v>Moh009Mu</v>
      </c>
      <c r="D404" s="4" t="str">
        <f>IF(ISNUMBER(SEARCH("@",Sales_Data!T404)),LOWER(Sales_Data!T404),"Invalid_Email")</f>
        <v>mohit.verma@company.com</v>
      </c>
      <c r="E404" s="13">
        <f ca="1">DATEDIF(Sales_Data!H404,TODAY(),"Y")</f>
        <v>32</v>
      </c>
      <c r="F404" s="13">
        <f>IFERROR(DATEDIF(Sales_Data!D404,Sales_Data!E404,"D"),"Information_Not_Given")</f>
        <v>6</v>
      </c>
      <c r="G404" s="13" t="str" cm="1">
        <f t="array" ref="G404">_xlfn.IFS(F404&lt;=5,"One_Time",F404&gt;5,"Delayed",F404="Information_Not_given","Pending")</f>
        <v>Delayed</v>
      </c>
    </row>
    <row r="405" spans="1:7" x14ac:dyDescent="0.3">
      <c r="A405" s="12" t="str">
        <f>IF(AND(Sales_Data!P405&gt;=100000,Sales_Data!Q405&gt;=4,Sales_Data!V405="Completed",Sales_Data!O405&lt;=10),"Platinum",IF(AND(Sales_Data!P405&gt;=50000,Sales_Data!Q405&gt;=3,Sales_Data!V405="Completed"),"Gold",IF(AND(Sales_Data!P405&lt;50000,Sales_Data!V405="Completed"),"Silver",IF(OR(Sales_Data!Q405&lt;=2,Sales_Data!V405="Canceled"),"Blacklisted","Others"))))</f>
        <v>Others</v>
      </c>
      <c r="B405" s="4" t="str">
        <f>PROPER(TRIM(Sales_Data!F405))</f>
        <v>Kavya Nair</v>
      </c>
      <c r="C405" s="4" t="str">
        <f>LEFT(B405,3)&amp;RIGHT(Sales_Data!B405,3)&amp;LEFT(Sales_Data!I405,2)</f>
        <v>Kav008Mu</v>
      </c>
      <c r="D405" s="4" t="str">
        <f>IF(ISNUMBER(SEARCH("@",Sales_Data!T405)),LOWER(Sales_Data!T405),"Invalid_Email")</f>
        <v>kavya.nair@company.com</v>
      </c>
      <c r="E405" s="13">
        <f ca="1">DATEDIF(Sales_Data!H405,TODAY(),"Y")</f>
        <v>26</v>
      </c>
      <c r="F405" s="13">
        <f>IFERROR(DATEDIF(Sales_Data!D405,Sales_Data!E405,"D"),"Information_Not_Given")</f>
        <v>11</v>
      </c>
      <c r="G405" s="13" t="str" cm="1">
        <f t="array" ref="G405">_xlfn.IFS(F405&lt;=5,"One_Time",F405&gt;5,"Delayed",F405="Information_Not_given","Pending")</f>
        <v>Delayed</v>
      </c>
    </row>
    <row r="406" spans="1:7" x14ac:dyDescent="0.3">
      <c r="A406" s="12" t="str">
        <f>IF(AND(Sales_Data!P406&gt;=100000,Sales_Data!Q406&gt;=4,Sales_Data!V406="Completed",Sales_Data!O406&lt;=10),"Platinum",IF(AND(Sales_Data!P406&gt;=50000,Sales_Data!Q406&gt;=3,Sales_Data!V406="Completed"),"Gold",IF(AND(Sales_Data!P406&lt;50000,Sales_Data!V406="Completed"),"Silver",IF(OR(Sales_Data!Q406&lt;=2,Sales_Data!V406="Canceled"),"Blacklisted","Others"))))</f>
        <v>Others</v>
      </c>
      <c r="B406" s="4" t="str">
        <f>PROPER(TRIM(Sales_Data!F406))</f>
        <v>Pooja Shah</v>
      </c>
      <c r="C406" s="4" t="str">
        <f>LEFT(B406,3)&amp;RIGHT(Sales_Data!B406,3)&amp;LEFT(Sales_Data!I406,2)</f>
        <v>Poo010Pu</v>
      </c>
      <c r="D406" s="4" t="str">
        <f>IF(ISNUMBER(SEARCH("@",Sales_Data!T406)),LOWER(Sales_Data!T406),"Invalid_Email")</f>
        <v>pooja.shah@company.com</v>
      </c>
      <c r="E406" s="13">
        <f ca="1">DATEDIF(Sales_Data!H406,TODAY(),"Y")</f>
        <v>42</v>
      </c>
      <c r="F406" s="13">
        <f>IFERROR(DATEDIF(Sales_Data!D406,Sales_Data!E406,"D"),"Information_Not_Given")</f>
        <v>6</v>
      </c>
      <c r="G406" s="13" t="str" cm="1">
        <f t="array" ref="G406">_xlfn.IFS(F406&lt;=5,"One_Time",F406&gt;5,"Delayed",F406="Information_Not_given","Pending")</f>
        <v>Delayed</v>
      </c>
    </row>
    <row r="407" spans="1:7" x14ac:dyDescent="0.3">
      <c r="A407" s="12" t="str">
        <f>IF(AND(Sales_Data!P407&gt;=100000,Sales_Data!Q407&gt;=4,Sales_Data!V407="Completed",Sales_Data!O407&lt;=10),"Platinum",IF(AND(Sales_Data!P407&gt;=50000,Sales_Data!Q407&gt;=3,Sales_Data!V407="Completed"),"Gold",IF(AND(Sales_Data!P407&lt;50000,Sales_Data!V407="Completed"),"Silver",IF(OR(Sales_Data!Q407&lt;=2,Sales_Data!V407="Canceled"),"Blacklisted","Others"))))</f>
        <v>Others</v>
      </c>
      <c r="B407" s="4" t="str">
        <f>PROPER(TRIM(Sales_Data!F407))</f>
        <v>Anita Gupta</v>
      </c>
      <c r="C407" s="4" t="str">
        <f>LEFT(B407,3)&amp;RIGHT(Sales_Data!B407,3)&amp;LEFT(Sales_Data!I407,2)</f>
        <v>Ani004Ko</v>
      </c>
      <c r="D407" s="4" t="str">
        <f>IF(ISNUMBER(SEARCH("@",Sales_Data!T407)),LOWER(Sales_Data!T407),"Invalid_Email")</f>
        <v>anita.gupta@company.com</v>
      </c>
      <c r="E407" s="13">
        <f ca="1">DATEDIF(Sales_Data!H407,TODAY(),"Y")</f>
        <v>35</v>
      </c>
      <c r="F407" s="13">
        <f>IFERROR(DATEDIF(Sales_Data!D407,Sales_Data!E407,"D"),"Information_Not_Given")</f>
        <v>10</v>
      </c>
      <c r="G407" s="13" t="str" cm="1">
        <f t="array" ref="G407">_xlfn.IFS(F407&lt;=5,"One_Time",F407&gt;5,"Delayed",F407="Information_Not_given","Pending")</f>
        <v>Delayed</v>
      </c>
    </row>
    <row r="408" spans="1:7" x14ac:dyDescent="0.3">
      <c r="A408" s="12" t="str">
        <f>IF(AND(Sales_Data!P408&gt;=100000,Sales_Data!Q408&gt;=4,Sales_Data!V408="Completed",Sales_Data!O408&lt;=10),"Platinum",IF(AND(Sales_Data!P408&gt;=50000,Sales_Data!Q408&gt;=3,Sales_Data!V408="Completed"),"Gold",IF(AND(Sales_Data!P408&lt;50000,Sales_Data!V408="Completed"),"Silver",IF(OR(Sales_Data!Q408&lt;=2,Sales_Data!V408="Canceled"),"Blacklisted","Others"))))</f>
        <v>Others</v>
      </c>
      <c r="B408" s="4" t="str">
        <f>PROPER(TRIM(Sales_Data!F408))</f>
        <v>Pooja Shah</v>
      </c>
      <c r="C408" s="4" t="str">
        <f>LEFT(B408,3)&amp;RIGHT(Sales_Data!B408,3)&amp;LEFT(Sales_Data!I408,2)</f>
        <v>Poo010Pu</v>
      </c>
      <c r="D408" s="4" t="str">
        <f>IF(ISNUMBER(SEARCH("@",Sales_Data!T408)),LOWER(Sales_Data!T408),"Invalid_Email")</f>
        <v>pooja.shah@company.com</v>
      </c>
      <c r="E408" s="13">
        <f ca="1">DATEDIF(Sales_Data!H408,TODAY(),"Y")</f>
        <v>30</v>
      </c>
      <c r="F408" s="13">
        <f>IFERROR(DATEDIF(Sales_Data!D408,Sales_Data!E408,"D"),"Information_Not_Given")</f>
        <v>4</v>
      </c>
      <c r="G408" s="13" t="str" cm="1">
        <f t="array" ref="G408">_xlfn.IFS(F408&lt;=5,"One_Time",F408&gt;5,"Delayed",F408="Information_Not_given","Pending")</f>
        <v>One_Time</v>
      </c>
    </row>
    <row r="409" spans="1:7" x14ac:dyDescent="0.3">
      <c r="A409" s="12" t="str">
        <f>IF(AND(Sales_Data!P409&gt;=100000,Sales_Data!Q409&gt;=4,Sales_Data!V409="Completed",Sales_Data!O409&lt;=10),"Platinum",IF(AND(Sales_Data!P409&gt;=50000,Sales_Data!Q409&gt;=3,Sales_Data!V409="Completed"),"Gold",IF(AND(Sales_Data!P409&lt;50000,Sales_Data!V409="Completed"),"Silver",IF(OR(Sales_Data!Q409&lt;=2,Sales_Data!V409="Canceled"),"Blacklisted","Others"))))</f>
        <v>Others</v>
      </c>
      <c r="B409" s="4" t="str">
        <f>PROPER(TRIM(Sales_Data!F409))</f>
        <v>Mohit Verma</v>
      </c>
      <c r="C409" s="4" t="str">
        <f>LEFT(B409,3)&amp;RIGHT(Sales_Data!B409,3)&amp;LEFT(Sales_Data!I409,2)</f>
        <v>Moh009Mu</v>
      </c>
      <c r="D409" s="4" t="str">
        <f>IF(ISNUMBER(SEARCH("@",Sales_Data!T409)),LOWER(Sales_Data!T409),"Invalid_Email")</f>
        <v>mohit.verma@company.com</v>
      </c>
      <c r="E409" s="13">
        <f ca="1">DATEDIF(Sales_Data!H409,TODAY(),"Y")</f>
        <v>34</v>
      </c>
      <c r="F409" s="13">
        <f>IFERROR(DATEDIF(Sales_Data!D409,Sales_Data!E409,"D"),"Information_Not_Given")</f>
        <v>3</v>
      </c>
      <c r="G409" s="13" t="str" cm="1">
        <f t="array" ref="G409">_xlfn.IFS(F409&lt;=5,"One_Time",F409&gt;5,"Delayed",F409="Information_Not_given","Pending")</f>
        <v>One_Time</v>
      </c>
    </row>
    <row r="410" spans="1:7" x14ac:dyDescent="0.3">
      <c r="A410" s="12" t="str">
        <f>IF(AND(Sales_Data!P410&gt;=100000,Sales_Data!Q410&gt;=4,Sales_Data!V410="Completed",Sales_Data!O410&lt;=10),"Platinum",IF(AND(Sales_Data!P410&gt;=50000,Sales_Data!Q410&gt;=3,Sales_Data!V410="Completed"),"Gold",IF(AND(Sales_Data!P410&lt;50000,Sales_Data!V410="Completed"),"Silver",IF(OR(Sales_Data!Q410&lt;=2,Sales_Data!V410="Canceled"),"Blacklisted","Others"))))</f>
        <v>Blacklisted</v>
      </c>
      <c r="B410" s="4" t="str">
        <f>PROPER(TRIM(Sales_Data!F410))</f>
        <v>Priya Patel</v>
      </c>
      <c r="C410" s="4" t="str">
        <f>LEFT(B410,3)&amp;RIGHT(Sales_Data!B410,3)&amp;LEFT(Sales_Data!I410,2)</f>
        <v>Pri002Hy</v>
      </c>
      <c r="D410" s="4" t="str">
        <f>IF(ISNUMBER(SEARCH("@",Sales_Data!T410)),LOWER(Sales_Data!T410),"Invalid_Email")</f>
        <v>priya.patel@company.com</v>
      </c>
      <c r="E410" s="13">
        <f ca="1">DATEDIF(Sales_Data!H410,TODAY(),"Y")</f>
        <v>38</v>
      </c>
      <c r="F410" s="13">
        <f>IFERROR(DATEDIF(Sales_Data!D410,Sales_Data!E410,"D"),"Information_Not_Given")</f>
        <v>10</v>
      </c>
      <c r="G410" s="13" t="str" cm="1">
        <f t="array" ref="G410">_xlfn.IFS(F410&lt;=5,"One_Time",F410&gt;5,"Delayed",F410="Information_Not_given","Pending")</f>
        <v>Delayed</v>
      </c>
    </row>
    <row r="411" spans="1:7" x14ac:dyDescent="0.3">
      <c r="A411" s="12" t="str">
        <f>IF(AND(Sales_Data!P411&gt;=100000,Sales_Data!Q411&gt;=4,Sales_Data!V411="Completed",Sales_Data!O411&lt;=10),"Platinum",IF(AND(Sales_Data!P411&gt;=50000,Sales_Data!Q411&gt;=3,Sales_Data!V411="Completed"),"Gold",IF(AND(Sales_Data!P411&lt;50000,Sales_Data!V411="Completed"),"Silver",IF(OR(Sales_Data!Q411&lt;=2,Sales_Data!V411="Canceled"),"Blacklisted","Others"))))</f>
        <v>Silver</v>
      </c>
      <c r="B411" s="4" t="str">
        <f>PROPER(TRIM(Sales_Data!F411))</f>
        <v>Rohit Singh</v>
      </c>
      <c r="C411" s="4" t="str">
        <f>LEFT(B411,3)&amp;RIGHT(Sales_Data!B411,3)&amp;LEFT(Sales_Data!I411,2)</f>
        <v>Roh003Ko</v>
      </c>
      <c r="D411" s="4" t="str">
        <f>IF(ISNUMBER(SEARCH("@",Sales_Data!T411)),LOWER(Sales_Data!T411),"Invalid_Email")</f>
        <v>rohit.singh@company.com</v>
      </c>
      <c r="E411" s="13">
        <f ca="1">DATEDIF(Sales_Data!H411,TODAY(),"Y")</f>
        <v>33</v>
      </c>
      <c r="F411" s="13">
        <f>IFERROR(DATEDIF(Sales_Data!D411,Sales_Data!E411,"D"),"Information_Not_Given")</f>
        <v>8</v>
      </c>
      <c r="G411" s="13" t="str" cm="1">
        <f t="array" ref="G411">_xlfn.IFS(F411&lt;=5,"One_Time",F411&gt;5,"Delayed",F411="Information_Not_given","Pending")</f>
        <v>Delayed</v>
      </c>
    </row>
    <row r="412" spans="1:7" x14ac:dyDescent="0.3">
      <c r="A412" s="12" t="str">
        <f>IF(AND(Sales_Data!P412&gt;=100000,Sales_Data!Q412&gt;=4,Sales_Data!V412="Completed",Sales_Data!O412&lt;=10),"Platinum",IF(AND(Sales_Data!P412&gt;=50000,Sales_Data!Q412&gt;=3,Sales_Data!V412="Completed"),"Gold",IF(AND(Sales_Data!P412&lt;50000,Sales_Data!V412="Completed"),"Silver",IF(OR(Sales_Data!Q412&lt;=2,Sales_Data!V412="Canceled"),"Blacklisted","Others"))))</f>
        <v>Others</v>
      </c>
      <c r="B412" s="4" t="str">
        <f>PROPER(TRIM(Sales_Data!F412))</f>
        <v>Kavya Nair</v>
      </c>
      <c r="C412" s="4" t="str">
        <f>LEFT(B412,3)&amp;RIGHT(Sales_Data!B412,3)&amp;LEFT(Sales_Data!I412,2)</f>
        <v>Kav008Hy</v>
      </c>
      <c r="D412" s="4" t="str">
        <f>IF(ISNUMBER(SEARCH("@",Sales_Data!T412)),LOWER(Sales_Data!T412),"Invalid_Email")</f>
        <v>kavya.nair@company.com</v>
      </c>
      <c r="E412" s="13">
        <f ca="1">DATEDIF(Sales_Data!H412,TODAY(),"Y")</f>
        <v>22</v>
      </c>
      <c r="F412" s="13">
        <f>IFERROR(DATEDIF(Sales_Data!D412,Sales_Data!E412,"D"),"Information_Not_Given")</f>
        <v>6</v>
      </c>
      <c r="G412" s="13" t="str" cm="1">
        <f t="array" ref="G412">_xlfn.IFS(F412&lt;=5,"One_Time",F412&gt;5,"Delayed",F412="Information_Not_given","Pending")</f>
        <v>Delayed</v>
      </c>
    </row>
    <row r="413" spans="1:7" x14ac:dyDescent="0.3">
      <c r="A413" s="12" t="str">
        <f>IF(AND(Sales_Data!P413&gt;=100000,Sales_Data!Q413&gt;=4,Sales_Data!V413="Completed",Sales_Data!O413&lt;=10),"Platinum",IF(AND(Sales_Data!P413&gt;=50000,Sales_Data!Q413&gt;=3,Sales_Data!V413="Completed"),"Gold",IF(AND(Sales_Data!P413&lt;50000,Sales_Data!V413="Completed"),"Silver",IF(OR(Sales_Data!Q413&lt;=2,Sales_Data!V413="Canceled"),"Blacklisted","Others"))))</f>
        <v>Others</v>
      </c>
      <c r="B413" s="4" t="str">
        <f>PROPER(TRIM(Sales_Data!F413))</f>
        <v>Priya Patel</v>
      </c>
      <c r="C413" s="4" t="str">
        <f>LEFT(B413,3)&amp;RIGHT(Sales_Data!B413,3)&amp;LEFT(Sales_Data!I413,2)</f>
        <v>Pri002Hy</v>
      </c>
      <c r="D413" s="4" t="str">
        <f>IF(ISNUMBER(SEARCH("@",Sales_Data!T413)),LOWER(Sales_Data!T413),"Invalid_Email")</f>
        <v>priya.patel@company.com</v>
      </c>
      <c r="E413" s="13">
        <f ca="1">DATEDIF(Sales_Data!H413,TODAY(),"Y")</f>
        <v>47</v>
      </c>
      <c r="F413" s="13">
        <f>IFERROR(DATEDIF(Sales_Data!D413,Sales_Data!E413,"D"),"Information_Not_Given")</f>
        <v>12</v>
      </c>
      <c r="G413" s="13" t="str" cm="1">
        <f t="array" ref="G413">_xlfn.IFS(F413&lt;=5,"One_Time",F413&gt;5,"Delayed",F413="Information_Not_given","Pending")</f>
        <v>Delayed</v>
      </c>
    </row>
    <row r="414" spans="1:7" x14ac:dyDescent="0.3">
      <c r="A414" s="12" t="str">
        <f>IF(AND(Sales_Data!P414&gt;=100000,Sales_Data!Q414&gt;=4,Sales_Data!V414="Completed",Sales_Data!O414&lt;=10),"Platinum",IF(AND(Sales_Data!P414&gt;=50000,Sales_Data!Q414&gt;=3,Sales_Data!V414="Completed"),"Gold",IF(AND(Sales_Data!P414&lt;50000,Sales_Data!V414="Completed"),"Silver",IF(OR(Sales_Data!Q414&lt;=2,Sales_Data!V414="Canceled"),"Blacklisted","Others"))))</f>
        <v>Blacklisted</v>
      </c>
      <c r="B414" s="4" t="str">
        <f>PROPER(TRIM(Sales_Data!F414))</f>
        <v>Sneha Joshi</v>
      </c>
      <c r="C414" s="4" t="str">
        <f>LEFT(B414,3)&amp;RIGHT(Sales_Data!B414,3)&amp;LEFT(Sales_Data!I414,2)</f>
        <v>Sne006Be</v>
      </c>
      <c r="D414" s="4" t="str">
        <f>IF(ISNUMBER(SEARCH("@",Sales_Data!T414)),LOWER(Sales_Data!T414),"Invalid_Email")</f>
        <v>sneha.joshi@company.com</v>
      </c>
      <c r="E414" s="13">
        <f ca="1">DATEDIF(Sales_Data!H414,TODAY(),"Y")</f>
        <v>32</v>
      </c>
      <c r="F414" s="13">
        <f>IFERROR(DATEDIF(Sales_Data!D414,Sales_Data!E414,"D"),"Information_Not_Given")</f>
        <v>8</v>
      </c>
      <c r="G414" s="13" t="str" cm="1">
        <f t="array" ref="G414">_xlfn.IFS(F414&lt;=5,"One_Time",F414&gt;5,"Delayed",F414="Information_Not_given","Pending")</f>
        <v>Delayed</v>
      </c>
    </row>
    <row r="415" spans="1:7" x14ac:dyDescent="0.3">
      <c r="A415" s="12" t="str">
        <f>IF(AND(Sales_Data!P415&gt;=100000,Sales_Data!Q415&gt;=4,Sales_Data!V415="Completed",Sales_Data!O415&lt;=10),"Platinum",IF(AND(Sales_Data!P415&gt;=50000,Sales_Data!Q415&gt;=3,Sales_Data!V415="Completed"),"Gold",IF(AND(Sales_Data!P415&lt;50000,Sales_Data!V415="Completed"),"Silver",IF(OR(Sales_Data!Q415&lt;=2,Sales_Data!V415="Canceled"),"Blacklisted","Others"))))</f>
        <v>Blacklisted</v>
      </c>
      <c r="B415" s="4" t="str">
        <f>PROPER(TRIM(Sales_Data!F415))</f>
        <v>Anita Gupta</v>
      </c>
      <c r="C415" s="4" t="str">
        <f>LEFT(B415,3)&amp;RIGHT(Sales_Data!B415,3)&amp;LEFT(Sales_Data!I415,2)</f>
        <v>Ani004Ah</v>
      </c>
      <c r="D415" s="4" t="str">
        <f>IF(ISNUMBER(SEARCH("@",Sales_Data!T415)),LOWER(Sales_Data!T415),"Invalid_Email")</f>
        <v>anita.gupta@company.com</v>
      </c>
      <c r="E415" s="13">
        <f ca="1">DATEDIF(Sales_Data!H415,TODAY(),"Y")</f>
        <v>46</v>
      </c>
      <c r="F415" s="13">
        <f>IFERROR(DATEDIF(Sales_Data!D415,Sales_Data!E415,"D"),"Information_Not_Given")</f>
        <v>5</v>
      </c>
      <c r="G415" s="13" t="str" cm="1">
        <f t="array" ref="G415">_xlfn.IFS(F415&lt;=5,"One_Time",F415&gt;5,"Delayed",F415="Information_Not_given","Pending")</f>
        <v>One_Time</v>
      </c>
    </row>
    <row r="416" spans="1:7" x14ac:dyDescent="0.3">
      <c r="A416" s="12" t="str">
        <f>IF(AND(Sales_Data!P416&gt;=100000,Sales_Data!Q416&gt;=4,Sales_Data!V416="Completed",Sales_Data!O416&lt;=10),"Platinum",IF(AND(Sales_Data!P416&gt;=50000,Sales_Data!Q416&gt;=3,Sales_Data!V416="Completed"),"Gold",IF(AND(Sales_Data!P416&lt;50000,Sales_Data!V416="Completed"),"Silver",IF(OR(Sales_Data!Q416&lt;=2,Sales_Data!V416="Canceled"),"Blacklisted","Others"))))</f>
        <v>Silver</v>
      </c>
      <c r="B416" s="4" t="str">
        <f>PROPER(TRIM(Sales_Data!F416))</f>
        <v>Priya Patel</v>
      </c>
      <c r="C416" s="4" t="str">
        <f>LEFT(B416,3)&amp;RIGHT(Sales_Data!B416,3)&amp;LEFT(Sales_Data!I416,2)</f>
        <v>Pri002Ah</v>
      </c>
      <c r="D416" s="4" t="str">
        <f>IF(ISNUMBER(SEARCH("@",Sales_Data!T416)),LOWER(Sales_Data!T416),"Invalid_Email")</f>
        <v>priya.patel@company.com</v>
      </c>
      <c r="E416" s="13">
        <f ca="1">DATEDIF(Sales_Data!H416,TODAY(),"Y")</f>
        <v>24</v>
      </c>
      <c r="F416" s="13">
        <f>IFERROR(DATEDIF(Sales_Data!D416,Sales_Data!E416,"D"),"Information_Not_Given")</f>
        <v>5</v>
      </c>
      <c r="G416" s="13" t="str" cm="1">
        <f t="array" ref="G416">_xlfn.IFS(F416&lt;=5,"One_Time",F416&gt;5,"Delayed",F416="Information_Not_given","Pending")</f>
        <v>One_Time</v>
      </c>
    </row>
    <row r="417" spans="1:7" x14ac:dyDescent="0.3">
      <c r="A417" s="12" t="str">
        <f>IF(AND(Sales_Data!P417&gt;=100000,Sales_Data!Q417&gt;=4,Sales_Data!V417="Completed",Sales_Data!O417&lt;=10),"Platinum",IF(AND(Sales_Data!P417&gt;=50000,Sales_Data!Q417&gt;=3,Sales_Data!V417="Completed"),"Gold",IF(AND(Sales_Data!P417&lt;50000,Sales_Data!V417="Completed"),"Silver",IF(OR(Sales_Data!Q417&lt;=2,Sales_Data!V417="Canceled"),"Blacklisted","Others"))))</f>
        <v>Silver</v>
      </c>
      <c r="B417" s="4" t="str">
        <f>PROPER(TRIM(Sales_Data!F417))</f>
        <v>Arjun Rao</v>
      </c>
      <c r="C417" s="4" t="str">
        <f>LEFT(B417,3)&amp;RIGHT(Sales_Data!B417,3)&amp;LEFT(Sales_Data!I417,2)</f>
        <v>Arj007Mu</v>
      </c>
      <c r="D417" s="4" t="str">
        <f>IF(ISNUMBER(SEARCH("@",Sales_Data!T417)),LOWER(Sales_Data!T417),"Invalid_Email")</f>
        <v>arjun.rao@company.com</v>
      </c>
      <c r="E417" s="13">
        <f ca="1">DATEDIF(Sales_Data!H417,TODAY(),"Y")</f>
        <v>50</v>
      </c>
      <c r="F417" s="13">
        <f>IFERROR(DATEDIF(Sales_Data!D417,Sales_Data!E417,"D"),"Information_Not_Given")</f>
        <v>6</v>
      </c>
      <c r="G417" s="13" t="str" cm="1">
        <f t="array" ref="G417">_xlfn.IFS(F417&lt;=5,"One_Time",F417&gt;5,"Delayed",F417="Information_Not_given","Pending")</f>
        <v>Delayed</v>
      </c>
    </row>
    <row r="418" spans="1:7" x14ac:dyDescent="0.3">
      <c r="A418" s="12" t="str">
        <f>IF(AND(Sales_Data!P418&gt;=100000,Sales_Data!Q418&gt;=4,Sales_Data!V418="Completed",Sales_Data!O418&lt;=10),"Platinum",IF(AND(Sales_Data!P418&gt;=50000,Sales_Data!Q418&gt;=3,Sales_Data!V418="Completed"),"Gold",IF(AND(Sales_Data!P418&lt;50000,Sales_Data!V418="Completed"),"Silver",IF(OR(Sales_Data!Q418&lt;=2,Sales_Data!V418="Canceled"),"Blacklisted","Others"))))</f>
        <v>Blacklisted</v>
      </c>
      <c r="B418" s="4" t="str">
        <f>PROPER(TRIM(Sales_Data!F418))</f>
        <v>Vikas Mehta</v>
      </c>
      <c r="C418" s="4" t="str">
        <f>LEFT(B418,3)&amp;RIGHT(Sales_Data!B418,3)&amp;LEFT(Sales_Data!I418,2)</f>
        <v>Vik005Ko</v>
      </c>
      <c r="D418" s="4" t="str">
        <f>IF(ISNUMBER(SEARCH("@",Sales_Data!T418)),LOWER(Sales_Data!T418),"Invalid_Email")</f>
        <v>vikas.mehta@company.com</v>
      </c>
      <c r="E418" s="13">
        <f ca="1">DATEDIF(Sales_Data!H418,TODAY(),"Y")</f>
        <v>46</v>
      </c>
      <c r="F418" s="13">
        <f>IFERROR(DATEDIF(Sales_Data!D418,Sales_Data!E418,"D"),"Information_Not_Given")</f>
        <v>4</v>
      </c>
      <c r="G418" s="13" t="str" cm="1">
        <f t="array" ref="G418">_xlfn.IFS(F418&lt;=5,"One_Time",F418&gt;5,"Delayed",F418="Information_Not_given","Pending")</f>
        <v>One_Time</v>
      </c>
    </row>
    <row r="419" spans="1:7" x14ac:dyDescent="0.3">
      <c r="A419" s="12" t="str">
        <f>IF(AND(Sales_Data!P419&gt;=100000,Sales_Data!Q419&gt;=4,Sales_Data!V419="Completed",Sales_Data!O419&lt;=10),"Platinum",IF(AND(Sales_Data!P419&gt;=50000,Sales_Data!Q419&gt;=3,Sales_Data!V419="Completed"),"Gold",IF(AND(Sales_Data!P419&lt;50000,Sales_Data!V419="Completed"),"Silver",IF(OR(Sales_Data!Q419&lt;=2,Sales_Data!V419="Canceled"),"Blacklisted","Others"))))</f>
        <v>Blacklisted</v>
      </c>
      <c r="B419" s="4" t="str">
        <f>PROPER(TRIM(Sales_Data!F419))</f>
        <v>Arjun Rao</v>
      </c>
      <c r="C419" s="4" t="str">
        <f>LEFT(B419,3)&amp;RIGHT(Sales_Data!B419,3)&amp;LEFT(Sales_Data!I419,2)</f>
        <v>Arj007Hy</v>
      </c>
      <c r="D419" s="4" t="str">
        <f>IF(ISNUMBER(SEARCH("@",Sales_Data!T419)),LOWER(Sales_Data!T419),"Invalid_Email")</f>
        <v>arjun.rao@company.com</v>
      </c>
      <c r="E419" s="13">
        <f ca="1">DATEDIF(Sales_Data!H419,TODAY(),"Y")</f>
        <v>38</v>
      </c>
      <c r="F419" s="13">
        <f>IFERROR(DATEDIF(Sales_Data!D419,Sales_Data!E419,"D"),"Information_Not_Given")</f>
        <v>12</v>
      </c>
      <c r="G419" s="13" t="str" cm="1">
        <f t="array" ref="G419">_xlfn.IFS(F419&lt;=5,"One_Time",F419&gt;5,"Delayed",F419="Information_Not_given","Pending")</f>
        <v>Delayed</v>
      </c>
    </row>
    <row r="420" spans="1:7" x14ac:dyDescent="0.3">
      <c r="A420" s="12" t="str">
        <f>IF(AND(Sales_Data!P420&gt;=100000,Sales_Data!Q420&gt;=4,Sales_Data!V420="Completed",Sales_Data!O420&lt;=10),"Platinum",IF(AND(Sales_Data!P420&gt;=50000,Sales_Data!Q420&gt;=3,Sales_Data!V420="Completed"),"Gold",IF(AND(Sales_Data!P420&lt;50000,Sales_Data!V420="Completed"),"Silver",IF(OR(Sales_Data!Q420&lt;=2,Sales_Data!V420="Canceled"),"Blacklisted","Others"))))</f>
        <v>Others</v>
      </c>
      <c r="B420" s="4" t="str">
        <f>PROPER(TRIM(Sales_Data!F420))</f>
        <v>Arjun Rao</v>
      </c>
      <c r="C420" s="4" t="str">
        <f>LEFT(B420,3)&amp;RIGHT(Sales_Data!B420,3)&amp;LEFT(Sales_Data!I420,2)</f>
        <v>Arj007Mu</v>
      </c>
      <c r="D420" s="4" t="str">
        <f>IF(ISNUMBER(SEARCH("@",Sales_Data!T420)),LOWER(Sales_Data!T420),"Invalid_Email")</f>
        <v>arjun.rao@company.com</v>
      </c>
      <c r="E420" s="13">
        <f ca="1">DATEDIF(Sales_Data!H420,TODAY(),"Y")</f>
        <v>23</v>
      </c>
      <c r="F420" s="13">
        <f>IFERROR(DATEDIF(Sales_Data!D420,Sales_Data!E420,"D"),"Information_Not_Given")</f>
        <v>4</v>
      </c>
      <c r="G420" s="13" t="str" cm="1">
        <f t="array" ref="G420">_xlfn.IFS(F420&lt;=5,"One_Time",F420&gt;5,"Delayed",F420="Information_Not_given","Pending")</f>
        <v>One_Time</v>
      </c>
    </row>
    <row r="421" spans="1:7" x14ac:dyDescent="0.3">
      <c r="A421" s="12" t="str">
        <f>IF(AND(Sales_Data!P421&gt;=100000,Sales_Data!Q421&gt;=4,Sales_Data!V421="Completed",Sales_Data!O421&lt;=10),"Platinum",IF(AND(Sales_Data!P421&gt;=50000,Sales_Data!Q421&gt;=3,Sales_Data!V421="Completed"),"Gold",IF(AND(Sales_Data!P421&lt;50000,Sales_Data!V421="Completed"),"Silver",IF(OR(Sales_Data!Q421&lt;=2,Sales_Data!V421="Canceled"),"Blacklisted","Others"))))</f>
        <v>Others</v>
      </c>
      <c r="B421" s="4" t="str">
        <f>PROPER(TRIM(Sales_Data!F421))</f>
        <v>Rohit Singh</v>
      </c>
      <c r="C421" s="4" t="str">
        <f>LEFT(B421,3)&amp;RIGHT(Sales_Data!B421,3)&amp;LEFT(Sales_Data!I421,2)</f>
        <v>Roh003Mu</v>
      </c>
      <c r="D421" s="4" t="str">
        <f>IF(ISNUMBER(SEARCH("@",Sales_Data!T421)),LOWER(Sales_Data!T421),"Invalid_Email")</f>
        <v>rohit.singh@company.com</v>
      </c>
      <c r="E421" s="13">
        <f ca="1">DATEDIF(Sales_Data!H421,TODAY(),"Y")</f>
        <v>44</v>
      </c>
      <c r="F421" s="13">
        <f>IFERROR(DATEDIF(Sales_Data!D421,Sales_Data!E421,"D"),"Information_Not_Given")</f>
        <v>12</v>
      </c>
      <c r="G421" s="13" t="str" cm="1">
        <f t="array" ref="G421">_xlfn.IFS(F421&lt;=5,"One_Time",F421&gt;5,"Delayed",F421="Information_Not_given","Pending")</f>
        <v>Delayed</v>
      </c>
    </row>
    <row r="422" spans="1:7" x14ac:dyDescent="0.3">
      <c r="A422" s="12" t="str">
        <f>IF(AND(Sales_Data!P422&gt;=100000,Sales_Data!Q422&gt;=4,Sales_Data!V422="Completed",Sales_Data!O422&lt;=10),"Platinum",IF(AND(Sales_Data!P422&gt;=50000,Sales_Data!Q422&gt;=3,Sales_Data!V422="Completed"),"Gold",IF(AND(Sales_Data!P422&lt;50000,Sales_Data!V422="Completed"),"Silver",IF(OR(Sales_Data!Q422&lt;=2,Sales_Data!V422="Canceled"),"Blacklisted","Others"))))</f>
        <v>Silver</v>
      </c>
      <c r="B422" s="4" t="str">
        <f>PROPER(TRIM(Sales_Data!F422))</f>
        <v>Mohit Verma</v>
      </c>
      <c r="C422" s="4" t="str">
        <f>LEFT(B422,3)&amp;RIGHT(Sales_Data!B422,3)&amp;LEFT(Sales_Data!I422,2)</f>
        <v>Moh009Pu</v>
      </c>
      <c r="D422" s="4" t="str">
        <f>IF(ISNUMBER(SEARCH("@",Sales_Data!T422)),LOWER(Sales_Data!T422),"Invalid_Email")</f>
        <v>mohit.verma@company.com</v>
      </c>
      <c r="E422" s="13">
        <f ca="1">DATEDIF(Sales_Data!H422,TODAY(),"Y")</f>
        <v>51</v>
      </c>
      <c r="F422" s="13">
        <f>IFERROR(DATEDIF(Sales_Data!D422,Sales_Data!E422,"D"),"Information_Not_Given")</f>
        <v>7</v>
      </c>
      <c r="G422" s="13" t="str" cm="1">
        <f t="array" ref="G422">_xlfn.IFS(F422&lt;=5,"One_Time",F422&gt;5,"Delayed",F422="Information_Not_given","Pending")</f>
        <v>Delayed</v>
      </c>
    </row>
    <row r="423" spans="1:7" x14ac:dyDescent="0.3">
      <c r="A423" s="12" t="str">
        <f>IF(AND(Sales_Data!P423&gt;=100000,Sales_Data!Q423&gt;=4,Sales_Data!V423="Completed",Sales_Data!O423&lt;=10),"Platinum",IF(AND(Sales_Data!P423&gt;=50000,Sales_Data!Q423&gt;=3,Sales_Data!V423="Completed"),"Gold",IF(AND(Sales_Data!P423&lt;50000,Sales_Data!V423="Completed"),"Silver",IF(OR(Sales_Data!Q423&lt;=2,Sales_Data!V423="Canceled"),"Blacklisted","Others"))))</f>
        <v>Others</v>
      </c>
      <c r="B423" s="4" t="str">
        <f>PROPER(TRIM(Sales_Data!F423))</f>
        <v>Rohit Singh</v>
      </c>
      <c r="C423" s="4" t="str">
        <f>LEFT(B423,3)&amp;RIGHT(Sales_Data!B423,3)&amp;LEFT(Sales_Data!I423,2)</f>
        <v>Roh003Ja</v>
      </c>
      <c r="D423" s="4" t="str">
        <f>IF(ISNUMBER(SEARCH("@",Sales_Data!T423)),LOWER(Sales_Data!T423),"Invalid_Email")</f>
        <v>rohit.singh@company.com</v>
      </c>
      <c r="E423" s="13">
        <f ca="1">DATEDIF(Sales_Data!H423,TODAY(),"Y")</f>
        <v>49</v>
      </c>
      <c r="F423" s="13">
        <f>IFERROR(DATEDIF(Sales_Data!D423,Sales_Data!E423,"D"),"Information_Not_Given")</f>
        <v>2</v>
      </c>
      <c r="G423" s="13" t="str" cm="1">
        <f t="array" ref="G423">_xlfn.IFS(F423&lt;=5,"One_Time",F423&gt;5,"Delayed",F423="Information_Not_given","Pending")</f>
        <v>One_Time</v>
      </c>
    </row>
    <row r="424" spans="1:7" x14ac:dyDescent="0.3">
      <c r="A424" s="12" t="str">
        <f>IF(AND(Sales_Data!P424&gt;=100000,Sales_Data!Q424&gt;=4,Sales_Data!V424="Completed",Sales_Data!O424&lt;=10),"Platinum",IF(AND(Sales_Data!P424&gt;=50000,Sales_Data!Q424&gt;=3,Sales_Data!V424="Completed"),"Gold",IF(AND(Sales_Data!P424&lt;50000,Sales_Data!V424="Completed"),"Silver",IF(OR(Sales_Data!Q424&lt;=2,Sales_Data!V424="Canceled"),"Blacklisted","Others"))))</f>
        <v>Silver</v>
      </c>
      <c r="B424" s="4" t="str">
        <f>PROPER(TRIM(Sales_Data!F424))</f>
        <v>Amit Sharma</v>
      </c>
      <c r="C424" s="4" t="str">
        <f>LEFT(B424,3)&amp;RIGHT(Sales_Data!B424,3)&amp;LEFT(Sales_Data!I424,2)</f>
        <v>Ami001Ja</v>
      </c>
      <c r="D424" s="4" t="str">
        <f>IF(ISNUMBER(SEARCH("@",Sales_Data!T424)),LOWER(Sales_Data!T424),"Invalid_Email")</f>
        <v>amit.sharma@company.com</v>
      </c>
      <c r="E424" s="13">
        <f ca="1">DATEDIF(Sales_Data!H424,TODAY(),"Y")</f>
        <v>38</v>
      </c>
      <c r="F424" s="13">
        <f>IFERROR(DATEDIF(Sales_Data!D424,Sales_Data!E424,"D"),"Information_Not_Given")</f>
        <v>1</v>
      </c>
      <c r="G424" s="13" t="str" cm="1">
        <f t="array" ref="G424">_xlfn.IFS(F424&lt;=5,"One_Time",F424&gt;5,"Delayed",F424="Information_Not_given","Pending")</f>
        <v>One_Time</v>
      </c>
    </row>
    <row r="425" spans="1:7" x14ac:dyDescent="0.3">
      <c r="A425" s="12" t="str">
        <f>IF(AND(Sales_Data!P425&gt;=100000,Sales_Data!Q425&gt;=4,Sales_Data!V425="Completed",Sales_Data!O425&lt;=10),"Platinum",IF(AND(Sales_Data!P425&gt;=50000,Sales_Data!Q425&gt;=3,Sales_Data!V425="Completed"),"Gold",IF(AND(Sales_Data!P425&lt;50000,Sales_Data!V425="Completed"),"Silver",IF(OR(Sales_Data!Q425&lt;=2,Sales_Data!V425="Canceled"),"Blacklisted","Others"))))</f>
        <v>Others</v>
      </c>
      <c r="B425" s="4" t="str">
        <f>PROPER(TRIM(Sales_Data!F425))</f>
        <v>Rohit Singh</v>
      </c>
      <c r="C425" s="4" t="str">
        <f>LEFT(B425,3)&amp;RIGHT(Sales_Data!B425,3)&amp;LEFT(Sales_Data!I425,2)</f>
        <v>Roh003Ko</v>
      </c>
      <c r="D425" s="4" t="str">
        <f>IF(ISNUMBER(SEARCH("@",Sales_Data!T425)),LOWER(Sales_Data!T425),"Invalid_Email")</f>
        <v>rohit.singh@company.com</v>
      </c>
      <c r="E425" s="13">
        <f ca="1">DATEDIF(Sales_Data!H425,TODAY(),"Y")</f>
        <v>25</v>
      </c>
      <c r="F425" s="13">
        <f>IFERROR(DATEDIF(Sales_Data!D425,Sales_Data!E425,"D"),"Information_Not_Given")</f>
        <v>4</v>
      </c>
      <c r="G425" s="13" t="str" cm="1">
        <f t="array" ref="G425">_xlfn.IFS(F425&lt;=5,"One_Time",F425&gt;5,"Delayed",F425="Information_Not_given","Pending")</f>
        <v>One_Time</v>
      </c>
    </row>
    <row r="426" spans="1:7" x14ac:dyDescent="0.3">
      <c r="A426" s="12" t="str">
        <f>IF(AND(Sales_Data!P426&gt;=100000,Sales_Data!Q426&gt;=4,Sales_Data!V426="Completed",Sales_Data!O426&lt;=10),"Platinum",IF(AND(Sales_Data!P426&gt;=50000,Sales_Data!Q426&gt;=3,Sales_Data!V426="Completed"),"Gold",IF(AND(Sales_Data!P426&lt;50000,Sales_Data!V426="Completed"),"Silver",IF(OR(Sales_Data!Q426&lt;=2,Sales_Data!V426="Canceled"),"Blacklisted","Others"))))</f>
        <v>Blacklisted</v>
      </c>
      <c r="B426" s="4" t="str">
        <f>PROPER(TRIM(Sales_Data!F426))</f>
        <v>Vikas Mehta</v>
      </c>
      <c r="C426" s="4" t="str">
        <f>LEFT(B426,3)&amp;RIGHT(Sales_Data!B426,3)&amp;LEFT(Sales_Data!I426,2)</f>
        <v>Vik005Pu</v>
      </c>
      <c r="D426" s="4" t="str">
        <f>IF(ISNUMBER(SEARCH("@",Sales_Data!T426)),LOWER(Sales_Data!T426),"Invalid_Email")</f>
        <v>vikas.mehta@company.com</v>
      </c>
      <c r="E426" s="13">
        <f ca="1">DATEDIF(Sales_Data!H426,TODAY(),"Y")</f>
        <v>44</v>
      </c>
      <c r="F426" s="13">
        <f>IFERROR(DATEDIF(Sales_Data!D426,Sales_Data!E426,"D"),"Information_Not_Given")</f>
        <v>9</v>
      </c>
      <c r="G426" s="13" t="str" cm="1">
        <f t="array" ref="G426">_xlfn.IFS(F426&lt;=5,"One_Time",F426&gt;5,"Delayed",F426="Information_Not_given","Pending")</f>
        <v>Delayed</v>
      </c>
    </row>
    <row r="427" spans="1:7" x14ac:dyDescent="0.3">
      <c r="A427" s="12" t="str">
        <f>IF(AND(Sales_Data!P427&gt;=100000,Sales_Data!Q427&gt;=4,Sales_Data!V427="Completed",Sales_Data!O427&lt;=10),"Platinum",IF(AND(Sales_Data!P427&gt;=50000,Sales_Data!Q427&gt;=3,Sales_Data!V427="Completed"),"Gold",IF(AND(Sales_Data!P427&lt;50000,Sales_Data!V427="Completed"),"Silver",IF(OR(Sales_Data!Q427&lt;=2,Sales_Data!V427="Canceled"),"Blacklisted","Others"))))</f>
        <v>Blacklisted</v>
      </c>
      <c r="B427" s="4" t="str">
        <f>PROPER(TRIM(Sales_Data!F427))</f>
        <v>Priya Patel</v>
      </c>
      <c r="C427" s="4" t="str">
        <f>LEFT(B427,3)&amp;RIGHT(Sales_Data!B427,3)&amp;LEFT(Sales_Data!I427,2)</f>
        <v>Pri002Mu</v>
      </c>
      <c r="D427" s="4" t="str">
        <f>IF(ISNUMBER(SEARCH("@",Sales_Data!T427)),LOWER(Sales_Data!T427),"Invalid_Email")</f>
        <v>priya.patel@company.com</v>
      </c>
      <c r="E427" s="13">
        <f ca="1">DATEDIF(Sales_Data!H427,TODAY(),"Y")</f>
        <v>40</v>
      </c>
      <c r="F427" s="13">
        <f>IFERROR(DATEDIF(Sales_Data!D427,Sales_Data!E427,"D"),"Information_Not_Given")</f>
        <v>3</v>
      </c>
      <c r="G427" s="13" t="str" cm="1">
        <f t="array" ref="G427">_xlfn.IFS(F427&lt;=5,"One_Time",F427&gt;5,"Delayed",F427="Information_Not_given","Pending")</f>
        <v>One_Time</v>
      </c>
    </row>
    <row r="428" spans="1:7" x14ac:dyDescent="0.3">
      <c r="A428" s="12" t="str">
        <f>IF(AND(Sales_Data!P428&gt;=100000,Sales_Data!Q428&gt;=4,Sales_Data!V428="Completed",Sales_Data!O428&lt;=10),"Platinum",IF(AND(Sales_Data!P428&gt;=50000,Sales_Data!Q428&gt;=3,Sales_Data!V428="Completed"),"Gold",IF(AND(Sales_Data!P428&lt;50000,Sales_Data!V428="Completed"),"Silver",IF(OR(Sales_Data!Q428&lt;=2,Sales_Data!V428="Canceled"),"Blacklisted","Others"))))</f>
        <v>Others</v>
      </c>
      <c r="B428" s="4" t="str">
        <f>PROPER(TRIM(Sales_Data!F428))</f>
        <v>Arjun Rao</v>
      </c>
      <c r="C428" s="4" t="str">
        <f>LEFT(B428,3)&amp;RIGHT(Sales_Data!B428,3)&amp;LEFT(Sales_Data!I428,2)</f>
        <v>Arj007Ja</v>
      </c>
      <c r="D428" s="4" t="str">
        <f>IF(ISNUMBER(SEARCH("@",Sales_Data!T428)),LOWER(Sales_Data!T428),"Invalid_Email")</f>
        <v>arjun.rao@company.com</v>
      </c>
      <c r="E428" s="13">
        <f ca="1">DATEDIF(Sales_Data!H428,TODAY(),"Y")</f>
        <v>23</v>
      </c>
      <c r="F428" s="13">
        <f>IFERROR(DATEDIF(Sales_Data!D428,Sales_Data!E428,"D"),"Information_Not_Given")</f>
        <v>5</v>
      </c>
      <c r="G428" s="13" t="str" cm="1">
        <f t="array" ref="G428">_xlfn.IFS(F428&lt;=5,"One_Time",F428&gt;5,"Delayed",F428="Information_Not_given","Pending")</f>
        <v>One_Time</v>
      </c>
    </row>
    <row r="429" spans="1:7" x14ac:dyDescent="0.3">
      <c r="A429" s="12" t="str">
        <f>IF(AND(Sales_Data!P429&gt;=100000,Sales_Data!Q429&gt;=4,Sales_Data!V429="Completed",Sales_Data!O429&lt;=10),"Platinum",IF(AND(Sales_Data!P429&gt;=50000,Sales_Data!Q429&gt;=3,Sales_Data!V429="Completed"),"Gold",IF(AND(Sales_Data!P429&lt;50000,Sales_Data!V429="Completed"),"Silver",IF(OR(Sales_Data!Q429&lt;=2,Sales_Data!V429="Canceled"),"Blacklisted","Others"))))</f>
        <v>Blacklisted</v>
      </c>
      <c r="B429" s="4" t="str">
        <f>PROPER(TRIM(Sales_Data!F429))</f>
        <v>Mohit Verma</v>
      </c>
      <c r="C429" s="4" t="str">
        <f>LEFT(B429,3)&amp;RIGHT(Sales_Data!B429,3)&amp;LEFT(Sales_Data!I429,2)</f>
        <v>Moh009Pu</v>
      </c>
      <c r="D429" s="4" t="str">
        <f>IF(ISNUMBER(SEARCH("@",Sales_Data!T429)),LOWER(Sales_Data!T429),"Invalid_Email")</f>
        <v>mohit.verma@company.com</v>
      </c>
      <c r="E429" s="13">
        <f ca="1">DATEDIF(Sales_Data!H429,TODAY(),"Y")</f>
        <v>28</v>
      </c>
      <c r="F429" s="13">
        <f>IFERROR(DATEDIF(Sales_Data!D429,Sales_Data!E429,"D"),"Information_Not_Given")</f>
        <v>11</v>
      </c>
      <c r="G429" s="13" t="str" cm="1">
        <f t="array" ref="G429">_xlfn.IFS(F429&lt;=5,"One_Time",F429&gt;5,"Delayed",F429="Information_Not_given","Pending")</f>
        <v>Delayed</v>
      </c>
    </row>
    <row r="430" spans="1:7" x14ac:dyDescent="0.3">
      <c r="A430" s="12" t="str">
        <f>IF(AND(Sales_Data!P430&gt;=100000,Sales_Data!Q430&gt;=4,Sales_Data!V430="Completed",Sales_Data!O430&lt;=10),"Platinum",IF(AND(Sales_Data!P430&gt;=50000,Sales_Data!Q430&gt;=3,Sales_Data!V430="Completed"),"Gold",IF(AND(Sales_Data!P430&lt;50000,Sales_Data!V430="Completed"),"Silver",IF(OR(Sales_Data!Q430&lt;=2,Sales_Data!V430="Canceled"),"Blacklisted","Others"))))</f>
        <v>Silver</v>
      </c>
      <c r="B430" s="4" t="str">
        <f>PROPER(TRIM(Sales_Data!F430))</f>
        <v>Sneha Joshi</v>
      </c>
      <c r="C430" s="4" t="str">
        <f>LEFT(B430,3)&amp;RIGHT(Sales_Data!B430,3)&amp;LEFT(Sales_Data!I430,2)</f>
        <v>Sne006Be</v>
      </c>
      <c r="D430" s="4" t="str">
        <f>IF(ISNUMBER(SEARCH("@",Sales_Data!T430)),LOWER(Sales_Data!T430),"Invalid_Email")</f>
        <v>sneha.joshi@company.com</v>
      </c>
      <c r="E430" s="13">
        <f ca="1">DATEDIF(Sales_Data!H430,TODAY(),"Y")</f>
        <v>40</v>
      </c>
      <c r="F430" s="13">
        <f>IFERROR(DATEDIF(Sales_Data!D430,Sales_Data!E430,"D"),"Information_Not_Given")</f>
        <v>1</v>
      </c>
      <c r="G430" s="13" t="str" cm="1">
        <f t="array" ref="G430">_xlfn.IFS(F430&lt;=5,"One_Time",F430&gt;5,"Delayed",F430="Information_Not_given","Pending")</f>
        <v>One_Time</v>
      </c>
    </row>
    <row r="431" spans="1:7" x14ac:dyDescent="0.3">
      <c r="A431" s="12" t="str">
        <f>IF(AND(Sales_Data!P431&gt;=100000,Sales_Data!Q431&gt;=4,Sales_Data!V431="Completed",Sales_Data!O431&lt;=10),"Platinum",IF(AND(Sales_Data!P431&gt;=50000,Sales_Data!Q431&gt;=3,Sales_Data!V431="Completed"),"Gold",IF(AND(Sales_Data!P431&lt;50000,Sales_Data!V431="Completed"),"Silver",IF(OR(Sales_Data!Q431&lt;=2,Sales_Data!V431="Canceled"),"Blacklisted","Others"))))</f>
        <v>Others</v>
      </c>
      <c r="B431" s="4" t="str">
        <f>PROPER(TRIM(Sales_Data!F431))</f>
        <v>Arjun Rao</v>
      </c>
      <c r="C431" s="4" t="str">
        <f>LEFT(B431,3)&amp;RIGHT(Sales_Data!B431,3)&amp;LEFT(Sales_Data!I431,2)</f>
        <v>Arj007Ja</v>
      </c>
      <c r="D431" s="4" t="str">
        <f>IF(ISNUMBER(SEARCH("@",Sales_Data!T431)),LOWER(Sales_Data!T431),"Invalid_Email")</f>
        <v>arjun.rao@company.com</v>
      </c>
      <c r="E431" s="13">
        <f ca="1">DATEDIF(Sales_Data!H431,TODAY(),"Y")</f>
        <v>31</v>
      </c>
      <c r="F431" s="13">
        <f>IFERROR(DATEDIF(Sales_Data!D431,Sales_Data!E431,"D"),"Information_Not_Given")</f>
        <v>2</v>
      </c>
      <c r="G431" s="13" t="str" cm="1">
        <f t="array" ref="G431">_xlfn.IFS(F431&lt;=5,"One_Time",F431&gt;5,"Delayed",F431="Information_Not_given","Pending")</f>
        <v>One_Time</v>
      </c>
    </row>
    <row r="432" spans="1:7" x14ac:dyDescent="0.3">
      <c r="A432" s="12" t="str">
        <f>IF(AND(Sales_Data!P432&gt;=100000,Sales_Data!Q432&gt;=4,Sales_Data!V432="Completed",Sales_Data!O432&lt;=10),"Platinum",IF(AND(Sales_Data!P432&gt;=50000,Sales_Data!Q432&gt;=3,Sales_Data!V432="Completed"),"Gold",IF(AND(Sales_Data!P432&lt;50000,Sales_Data!V432="Completed"),"Silver",IF(OR(Sales_Data!Q432&lt;=2,Sales_Data!V432="Canceled"),"Blacklisted","Others"))))</f>
        <v>Silver</v>
      </c>
      <c r="B432" s="4" t="str">
        <f>PROPER(TRIM(Sales_Data!F432))</f>
        <v>Pooja Shah</v>
      </c>
      <c r="C432" s="4" t="str">
        <f>LEFT(B432,3)&amp;RIGHT(Sales_Data!B432,3)&amp;LEFT(Sales_Data!I432,2)</f>
        <v>Poo010Ja</v>
      </c>
      <c r="D432" s="4" t="str">
        <f>IF(ISNUMBER(SEARCH("@",Sales_Data!T432)),LOWER(Sales_Data!T432),"Invalid_Email")</f>
        <v>pooja.shah@company.com</v>
      </c>
      <c r="E432" s="13">
        <f ca="1">DATEDIF(Sales_Data!H432,TODAY(),"Y")</f>
        <v>41</v>
      </c>
      <c r="F432" s="13">
        <f>IFERROR(DATEDIF(Sales_Data!D432,Sales_Data!E432,"D"),"Information_Not_Given")</f>
        <v>11</v>
      </c>
      <c r="G432" s="13" t="str" cm="1">
        <f t="array" ref="G432">_xlfn.IFS(F432&lt;=5,"One_Time",F432&gt;5,"Delayed",F432="Information_Not_given","Pending")</f>
        <v>Delayed</v>
      </c>
    </row>
    <row r="433" spans="1:7" x14ac:dyDescent="0.3">
      <c r="A433" s="12" t="str">
        <f>IF(AND(Sales_Data!P433&gt;=100000,Sales_Data!Q433&gt;=4,Sales_Data!V433="Completed",Sales_Data!O433&lt;=10),"Platinum",IF(AND(Sales_Data!P433&gt;=50000,Sales_Data!Q433&gt;=3,Sales_Data!V433="Completed"),"Gold",IF(AND(Sales_Data!P433&lt;50000,Sales_Data!V433="Completed"),"Silver",IF(OR(Sales_Data!Q433&lt;=2,Sales_Data!V433="Canceled"),"Blacklisted","Others"))))</f>
        <v>Others</v>
      </c>
      <c r="B433" s="4" t="str">
        <f>PROPER(TRIM(Sales_Data!F433))</f>
        <v>Sneha Joshi</v>
      </c>
      <c r="C433" s="4" t="str">
        <f>LEFT(B433,3)&amp;RIGHT(Sales_Data!B433,3)&amp;LEFT(Sales_Data!I433,2)</f>
        <v>Sne006Mu</v>
      </c>
      <c r="D433" s="4" t="str">
        <f>IF(ISNUMBER(SEARCH("@",Sales_Data!T433)),LOWER(Sales_Data!T433),"Invalid_Email")</f>
        <v>sneha.joshi@company.com</v>
      </c>
      <c r="E433" s="13">
        <f ca="1">DATEDIF(Sales_Data!H433,TODAY(),"Y")</f>
        <v>51</v>
      </c>
      <c r="F433" s="13">
        <f>IFERROR(DATEDIF(Sales_Data!D433,Sales_Data!E433,"D"),"Information_Not_Given")</f>
        <v>10</v>
      </c>
      <c r="G433" s="13" t="str" cm="1">
        <f t="array" ref="G433">_xlfn.IFS(F433&lt;=5,"One_Time",F433&gt;5,"Delayed",F433="Information_Not_given","Pending")</f>
        <v>Delayed</v>
      </c>
    </row>
    <row r="434" spans="1:7" x14ac:dyDescent="0.3">
      <c r="A434" s="12" t="str">
        <f>IF(AND(Sales_Data!P434&gt;=100000,Sales_Data!Q434&gt;=4,Sales_Data!V434="Completed",Sales_Data!O434&lt;=10),"Platinum",IF(AND(Sales_Data!P434&gt;=50000,Sales_Data!Q434&gt;=3,Sales_Data!V434="Completed"),"Gold",IF(AND(Sales_Data!P434&lt;50000,Sales_Data!V434="Completed"),"Silver",IF(OR(Sales_Data!Q434&lt;=2,Sales_Data!V434="Canceled"),"Blacklisted","Others"))))</f>
        <v>Others</v>
      </c>
      <c r="B434" s="4" t="str">
        <f>PROPER(TRIM(Sales_Data!F434))</f>
        <v>Amit Sharma</v>
      </c>
      <c r="C434" s="4" t="str">
        <f>LEFT(B434,3)&amp;RIGHT(Sales_Data!B434,3)&amp;LEFT(Sales_Data!I434,2)</f>
        <v>Ami001Ko</v>
      </c>
      <c r="D434" s="4" t="str">
        <f>IF(ISNUMBER(SEARCH("@",Sales_Data!T434)),LOWER(Sales_Data!T434),"Invalid_Email")</f>
        <v>amit.sharma@company.com</v>
      </c>
      <c r="E434" s="13">
        <f ca="1">DATEDIF(Sales_Data!H434,TODAY(),"Y")</f>
        <v>29</v>
      </c>
      <c r="F434" s="13" t="str">
        <f>IFERROR(DATEDIF(Sales_Data!D434,Sales_Data!E434,"D"),"Information_Not_Given")</f>
        <v>Information_Not_Given</v>
      </c>
      <c r="G434" s="13" t="str" cm="1">
        <f t="array" ref="G434">_xlfn.IFS(F434&lt;=5,"One_Time",F434&gt;5,"Delayed",F434="Information_Not_given","Pending")</f>
        <v>Delayed</v>
      </c>
    </row>
    <row r="435" spans="1:7" x14ac:dyDescent="0.3">
      <c r="A435" s="12" t="str">
        <f>IF(AND(Sales_Data!P435&gt;=100000,Sales_Data!Q435&gt;=4,Sales_Data!V435="Completed",Sales_Data!O435&lt;=10),"Platinum",IF(AND(Sales_Data!P435&gt;=50000,Sales_Data!Q435&gt;=3,Sales_Data!V435="Completed"),"Gold",IF(AND(Sales_Data!P435&lt;50000,Sales_Data!V435="Completed"),"Silver",IF(OR(Sales_Data!Q435&lt;=2,Sales_Data!V435="Canceled"),"Blacklisted","Others"))))</f>
        <v>Blacklisted</v>
      </c>
      <c r="B435" s="4" t="str">
        <f>PROPER(TRIM(Sales_Data!F435))</f>
        <v>Kavya Nair</v>
      </c>
      <c r="C435" s="4" t="str">
        <f>LEFT(B435,3)&amp;RIGHT(Sales_Data!B435,3)&amp;LEFT(Sales_Data!I435,2)</f>
        <v>Kav008Ko</v>
      </c>
      <c r="D435" s="4" t="str">
        <f>IF(ISNUMBER(SEARCH("@",Sales_Data!T435)),LOWER(Sales_Data!T435),"Invalid_Email")</f>
        <v>kavya.nair@company.com</v>
      </c>
      <c r="E435" s="13">
        <f ca="1">DATEDIF(Sales_Data!H435,TODAY(),"Y")</f>
        <v>29</v>
      </c>
      <c r="F435" s="13">
        <f>IFERROR(DATEDIF(Sales_Data!D435,Sales_Data!E435,"D"),"Information_Not_Given")</f>
        <v>5</v>
      </c>
      <c r="G435" s="13" t="str" cm="1">
        <f t="array" ref="G435">_xlfn.IFS(F435&lt;=5,"One_Time",F435&gt;5,"Delayed",F435="Information_Not_given","Pending")</f>
        <v>One_Time</v>
      </c>
    </row>
    <row r="436" spans="1:7" x14ac:dyDescent="0.3">
      <c r="A436" s="12" t="str">
        <f>IF(AND(Sales_Data!P436&gt;=100000,Sales_Data!Q436&gt;=4,Sales_Data!V436="Completed",Sales_Data!O436&lt;=10),"Platinum",IF(AND(Sales_Data!P436&gt;=50000,Sales_Data!Q436&gt;=3,Sales_Data!V436="Completed"),"Gold",IF(AND(Sales_Data!P436&lt;50000,Sales_Data!V436="Completed"),"Silver",IF(OR(Sales_Data!Q436&lt;=2,Sales_Data!V436="Canceled"),"Blacklisted","Others"))))</f>
        <v>Gold</v>
      </c>
      <c r="B436" s="4" t="str">
        <f>PROPER(TRIM(Sales_Data!F436))</f>
        <v>Amit Sharma</v>
      </c>
      <c r="C436" s="4" t="str">
        <f>LEFT(B436,3)&amp;RIGHT(Sales_Data!B436,3)&amp;LEFT(Sales_Data!I436,2)</f>
        <v>Ami001Mu</v>
      </c>
      <c r="D436" s="4" t="str">
        <f>IF(ISNUMBER(SEARCH("@",Sales_Data!T436)),LOWER(Sales_Data!T436),"Invalid_Email")</f>
        <v>amit.sharma@company.com</v>
      </c>
      <c r="E436" s="13">
        <f ca="1">DATEDIF(Sales_Data!H436,TODAY(),"Y")</f>
        <v>27</v>
      </c>
      <c r="F436" s="13">
        <f>IFERROR(DATEDIF(Sales_Data!D436,Sales_Data!E436,"D"),"Information_Not_Given")</f>
        <v>10</v>
      </c>
      <c r="G436" s="13" t="str" cm="1">
        <f t="array" ref="G436">_xlfn.IFS(F436&lt;=5,"One_Time",F436&gt;5,"Delayed",F436="Information_Not_given","Pending")</f>
        <v>Delayed</v>
      </c>
    </row>
    <row r="437" spans="1:7" x14ac:dyDescent="0.3">
      <c r="A437" s="12" t="str">
        <f>IF(AND(Sales_Data!P437&gt;=100000,Sales_Data!Q437&gt;=4,Sales_Data!V437="Completed",Sales_Data!O437&lt;=10),"Platinum",IF(AND(Sales_Data!P437&gt;=50000,Sales_Data!Q437&gt;=3,Sales_Data!V437="Completed"),"Gold",IF(AND(Sales_Data!P437&lt;50000,Sales_Data!V437="Completed"),"Silver",IF(OR(Sales_Data!Q437&lt;=2,Sales_Data!V437="Canceled"),"Blacklisted","Others"))))</f>
        <v>Silver</v>
      </c>
      <c r="B437" s="4" t="str">
        <f>PROPER(TRIM(Sales_Data!F437))</f>
        <v>Kavya Nair</v>
      </c>
      <c r="C437" s="4" t="str">
        <f>LEFT(B437,3)&amp;RIGHT(Sales_Data!B437,3)&amp;LEFT(Sales_Data!I437,2)</f>
        <v>Kav008Ah</v>
      </c>
      <c r="D437" s="4" t="str">
        <f>IF(ISNUMBER(SEARCH("@",Sales_Data!T437)),LOWER(Sales_Data!T437),"Invalid_Email")</f>
        <v>kavya.nair@company.com</v>
      </c>
      <c r="E437" s="13">
        <f ca="1">DATEDIF(Sales_Data!H437,TODAY(),"Y")</f>
        <v>43</v>
      </c>
      <c r="F437" s="13">
        <f>IFERROR(DATEDIF(Sales_Data!D437,Sales_Data!E437,"D"),"Information_Not_Given")</f>
        <v>2</v>
      </c>
      <c r="G437" s="13" t="str" cm="1">
        <f t="array" ref="G437">_xlfn.IFS(F437&lt;=5,"One_Time",F437&gt;5,"Delayed",F437="Information_Not_given","Pending")</f>
        <v>One_Time</v>
      </c>
    </row>
    <row r="438" spans="1:7" x14ac:dyDescent="0.3">
      <c r="A438" s="12" t="str">
        <f>IF(AND(Sales_Data!P438&gt;=100000,Sales_Data!Q438&gt;=4,Sales_Data!V438="Completed",Sales_Data!O438&lt;=10),"Platinum",IF(AND(Sales_Data!P438&gt;=50000,Sales_Data!Q438&gt;=3,Sales_Data!V438="Completed"),"Gold",IF(AND(Sales_Data!P438&lt;50000,Sales_Data!V438="Completed"),"Silver",IF(OR(Sales_Data!Q438&lt;=2,Sales_Data!V438="Canceled"),"Blacklisted","Others"))))</f>
        <v>Silver</v>
      </c>
      <c r="B438" s="4" t="str">
        <f>PROPER(TRIM(Sales_Data!F438))</f>
        <v>Rohit Singh</v>
      </c>
      <c r="C438" s="4" t="str">
        <f>LEFT(B438,3)&amp;RIGHT(Sales_Data!B438,3)&amp;LEFT(Sales_Data!I438,2)</f>
        <v>Roh003Hy</v>
      </c>
      <c r="D438" s="4" t="str">
        <f>IF(ISNUMBER(SEARCH("@",Sales_Data!T438)),LOWER(Sales_Data!T438),"Invalid_Email")</f>
        <v>rohit.singh@company.com</v>
      </c>
      <c r="E438" s="13">
        <f ca="1">DATEDIF(Sales_Data!H438,TODAY(),"Y")</f>
        <v>33</v>
      </c>
      <c r="F438" s="13">
        <f>IFERROR(DATEDIF(Sales_Data!D438,Sales_Data!E438,"D"),"Information_Not_Given")</f>
        <v>5</v>
      </c>
      <c r="G438" s="13" t="str" cm="1">
        <f t="array" ref="G438">_xlfn.IFS(F438&lt;=5,"One_Time",F438&gt;5,"Delayed",F438="Information_Not_given","Pending")</f>
        <v>One_Time</v>
      </c>
    </row>
    <row r="439" spans="1:7" x14ac:dyDescent="0.3">
      <c r="A439" s="12" t="str">
        <f>IF(AND(Sales_Data!P439&gt;=100000,Sales_Data!Q439&gt;=4,Sales_Data!V439="Completed",Sales_Data!O439&lt;=10),"Platinum",IF(AND(Sales_Data!P439&gt;=50000,Sales_Data!Q439&gt;=3,Sales_Data!V439="Completed"),"Gold",IF(AND(Sales_Data!P439&lt;50000,Sales_Data!V439="Completed"),"Silver",IF(OR(Sales_Data!Q439&lt;=2,Sales_Data!V439="Canceled"),"Blacklisted","Others"))))</f>
        <v>Others</v>
      </c>
      <c r="B439" s="4" t="str">
        <f>PROPER(TRIM(Sales_Data!F439))</f>
        <v>Priya Patel</v>
      </c>
      <c r="C439" s="4" t="str">
        <f>LEFT(B439,3)&amp;RIGHT(Sales_Data!B439,3)&amp;LEFT(Sales_Data!I439,2)</f>
        <v>Pri002Ko</v>
      </c>
      <c r="D439" s="4" t="str">
        <f>IF(ISNUMBER(SEARCH("@",Sales_Data!T439)),LOWER(Sales_Data!T439),"Invalid_Email")</f>
        <v>priya.patel@company.com</v>
      </c>
      <c r="E439" s="13">
        <f ca="1">DATEDIF(Sales_Data!H439,TODAY(),"Y")</f>
        <v>47</v>
      </c>
      <c r="F439" s="13">
        <f>IFERROR(DATEDIF(Sales_Data!D439,Sales_Data!E439,"D"),"Information_Not_Given")</f>
        <v>5</v>
      </c>
      <c r="G439" s="13" t="str" cm="1">
        <f t="array" ref="G439">_xlfn.IFS(F439&lt;=5,"One_Time",F439&gt;5,"Delayed",F439="Information_Not_given","Pending")</f>
        <v>One_Time</v>
      </c>
    </row>
    <row r="440" spans="1:7" x14ac:dyDescent="0.3">
      <c r="A440" s="12" t="str">
        <f>IF(AND(Sales_Data!P440&gt;=100000,Sales_Data!Q440&gt;=4,Sales_Data!V440="Completed",Sales_Data!O440&lt;=10),"Platinum",IF(AND(Sales_Data!P440&gt;=50000,Sales_Data!Q440&gt;=3,Sales_Data!V440="Completed"),"Gold",IF(AND(Sales_Data!P440&lt;50000,Sales_Data!V440="Completed"),"Silver",IF(OR(Sales_Data!Q440&lt;=2,Sales_Data!V440="Canceled"),"Blacklisted","Others"))))</f>
        <v>Silver</v>
      </c>
      <c r="B440" s="4" t="str">
        <f>PROPER(TRIM(Sales_Data!F440))</f>
        <v>Arjun Rao</v>
      </c>
      <c r="C440" s="4" t="str">
        <f>LEFT(B440,3)&amp;RIGHT(Sales_Data!B440,3)&amp;LEFT(Sales_Data!I440,2)</f>
        <v>Arj007Ah</v>
      </c>
      <c r="D440" s="4" t="str">
        <f>IF(ISNUMBER(SEARCH("@",Sales_Data!T440)),LOWER(Sales_Data!T440),"Invalid_Email")</f>
        <v>arjun.rao@company.com</v>
      </c>
      <c r="E440" s="13">
        <f ca="1">DATEDIF(Sales_Data!H440,TODAY(),"Y")</f>
        <v>50</v>
      </c>
      <c r="F440" s="13">
        <f>IFERROR(DATEDIF(Sales_Data!D440,Sales_Data!E440,"D"),"Information_Not_Given")</f>
        <v>3</v>
      </c>
      <c r="G440" s="13" t="str" cm="1">
        <f t="array" ref="G440">_xlfn.IFS(F440&lt;=5,"One_Time",F440&gt;5,"Delayed",F440="Information_Not_given","Pending")</f>
        <v>One_Time</v>
      </c>
    </row>
    <row r="441" spans="1:7" x14ac:dyDescent="0.3">
      <c r="A441" s="12" t="str">
        <f>IF(AND(Sales_Data!P441&gt;=100000,Sales_Data!Q441&gt;=4,Sales_Data!V441="Completed",Sales_Data!O441&lt;=10),"Platinum",IF(AND(Sales_Data!P441&gt;=50000,Sales_Data!Q441&gt;=3,Sales_Data!V441="Completed"),"Gold",IF(AND(Sales_Data!P441&lt;50000,Sales_Data!V441="Completed"),"Silver",IF(OR(Sales_Data!Q441&lt;=2,Sales_Data!V441="Canceled"),"Blacklisted","Others"))))</f>
        <v>Others</v>
      </c>
      <c r="B441" s="4" t="str">
        <f>PROPER(TRIM(Sales_Data!F441))</f>
        <v>Arjun Rao</v>
      </c>
      <c r="C441" s="4" t="str">
        <f>LEFT(B441,3)&amp;RIGHT(Sales_Data!B441,3)&amp;LEFT(Sales_Data!I441,2)</f>
        <v>Arj007De</v>
      </c>
      <c r="D441" s="4" t="str">
        <f>IF(ISNUMBER(SEARCH("@",Sales_Data!T441)),LOWER(Sales_Data!T441),"Invalid_Email")</f>
        <v>arjun.rao@company.com</v>
      </c>
      <c r="E441" s="13">
        <f ca="1">DATEDIF(Sales_Data!H441,TODAY(),"Y")</f>
        <v>35</v>
      </c>
      <c r="F441" s="13">
        <f>IFERROR(DATEDIF(Sales_Data!D441,Sales_Data!E441,"D"),"Information_Not_Given")</f>
        <v>5</v>
      </c>
      <c r="G441" s="13" t="str" cm="1">
        <f t="array" ref="G441">_xlfn.IFS(F441&lt;=5,"One_Time",F441&gt;5,"Delayed",F441="Information_Not_given","Pending")</f>
        <v>One_Time</v>
      </c>
    </row>
    <row r="442" spans="1:7" x14ac:dyDescent="0.3">
      <c r="A442" s="12" t="str">
        <f>IF(AND(Sales_Data!P442&gt;=100000,Sales_Data!Q442&gt;=4,Sales_Data!V442="Completed",Sales_Data!O442&lt;=10),"Platinum",IF(AND(Sales_Data!P442&gt;=50000,Sales_Data!Q442&gt;=3,Sales_Data!V442="Completed"),"Gold",IF(AND(Sales_Data!P442&lt;50000,Sales_Data!V442="Completed"),"Silver",IF(OR(Sales_Data!Q442&lt;=2,Sales_Data!V442="Canceled"),"Blacklisted","Others"))))</f>
        <v>Blacklisted</v>
      </c>
      <c r="B442" s="4" t="str">
        <f>PROPER(TRIM(Sales_Data!F442))</f>
        <v>Amit Sharma</v>
      </c>
      <c r="C442" s="4" t="str">
        <f>LEFT(B442,3)&amp;RIGHT(Sales_Data!B442,3)&amp;LEFT(Sales_Data!I442,2)</f>
        <v>Ami001Ah</v>
      </c>
      <c r="D442" s="4" t="str">
        <f>IF(ISNUMBER(SEARCH("@",Sales_Data!T442)),LOWER(Sales_Data!T442),"Invalid_Email")</f>
        <v>amit.sharma@company.com</v>
      </c>
      <c r="E442" s="13">
        <f ca="1">DATEDIF(Sales_Data!H442,TODAY(),"Y")</f>
        <v>38</v>
      </c>
      <c r="F442" s="13">
        <f>IFERROR(DATEDIF(Sales_Data!D442,Sales_Data!E442,"D"),"Information_Not_Given")</f>
        <v>4</v>
      </c>
      <c r="G442" s="13" t="str" cm="1">
        <f t="array" ref="G442">_xlfn.IFS(F442&lt;=5,"One_Time",F442&gt;5,"Delayed",F442="Information_Not_given","Pending")</f>
        <v>One_Time</v>
      </c>
    </row>
    <row r="443" spans="1:7" x14ac:dyDescent="0.3">
      <c r="A443" s="12" t="str">
        <f>IF(AND(Sales_Data!P443&gt;=100000,Sales_Data!Q443&gt;=4,Sales_Data!V443="Completed",Sales_Data!O443&lt;=10),"Platinum",IF(AND(Sales_Data!P443&gt;=50000,Sales_Data!Q443&gt;=3,Sales_Data!V443="Completed"),"Gold",IF(AND(Sales_Data!P443&lt;50000,Sales_Data!V443="Completed"),"Silver",IF(OR(Sales_Data!Q443&lt;=2,Sales_Data!V443="Canceled"),"Blacklisted","Others"))))</f>
        <v>Silver</v>
      </c>
      <c r="B443" s="4" t="str">
        <f>PROPER(TRIM(Sales_Data!F443))</f>
        <v>Arjun Rao</v>
      </c>
      <c r="C443" s="4" t="str">
        <f>LEFT(B443,3)&amp;RIGHT(Sales_Data!B443,3)&amp;LEFT(Sales_Data!I443,2)</f>
        <v>Arj007Ja</v>
      </c>
      <c r="D443" s="4" t="str">
        <f>IF(ISNUMBER(SEARCH("@",Sales_Data!T443)),LOWER(Sales_Data!T443),"Invalid_Email")</f>
        <v>arjun.rao@company.com</v>
      </c>
      <c r="E443" s="13">
        <f ca="1">DATEDIF(Sales_Data!H443,TODAY(),"Y")</f>
        <v>42</v>
      </c>
      <c r="F443" s="13">
        <f>IFERROR(DATEDIF(Sales_Data!D443,Sales_Data!E443,"D"),"Information_Not_Given")</f>
        <v>1</v>
      </c>
      <c r="G443" s="13" t="str" cm="1">
        <f t="array" ref="G443">_xlfn.IFS(F443&lt;=5,"One_Time",F443&gt;5,"Delayed",F443="Information_Not_given","Pending")</f>
        <v>One_Time</v>
      </c>
    </row>
    <row r="444" spans="1:7" x14ac:dyDescent="0.3">
      <c r="A444" s="12" t="str">
        <f>IF(AND(Sales_Data!P444&gt;=100000,Sales_Data!Q444&gt;=4,Sales_Data!V444="Completed",Sales_Data!O444&lt;=10),"Platinum",IF(AND(Sales_Data!P444&gt;=50000,Sales_Data!Q444&gt;=3,Sales_Data!V444="Completed"),"Gold",IF(AND(Sales_Data!P444&lt;50000,Sales_Data!V444="Completed"),"Silver",IF(OR(Sales_Data!Q444&lt;=2,Sales_Data!V444="Canceled"),"Blacklisted","Others"))))</f>
        <v>Others</v>
      </c>
      <c r="B444" s="4" t="str">
        <f>PROPER(TRIM(Sales_Data!F444))</f>
        <v>Rohit Singh</v>
      </c>
      <c r="C444" s="4" t="str">
        <f>LEFT(B444,3)&amp;RIGHT(Sales_Data!B444,3)&amp;LEFT(Sales_Data!I444,2)</f>
        <v>Roh003Mu</v>
      </c>
      <c r="D444" s="4" t="str">
        <f>IF(ISNUMBER(SEARCH("@",Sales_Data!T444)),LOWER(Sales_Data!T444),"Invalid_Email")</f>
        <v>rohit.singh@company.com</v>
      </c>
      <c r="E444" s="13">
        <f ca="1">DATEDIF(Sales_Data!H444,TODAY(),"Y")</f>
        <v>42</v>
      </c>
      <c r="F444" s="13">
        <f>IFERROR(DATEDIF(Sales_Data!D444,Sales_Data!E444,"D"),"Information_Not_Given")</f>
        <v>4</v>
      </c>
      <c r="G444" s="13" t="str" cm="1">
        <f t="array" ref="G444">_xlfn.IFS(F444&lt;=5,"One_Time",F444&gt;5,"Delayed",F444="Information_Not_given","Pending")</f>
        <v>One_Time</v>
      </c>
    </row>
    <row r="445" spans="1:7" x14ac:dyDescent="0.3">
      <c r="A445" s="12" t="str">
        <f>IF(AND(Sales_Data!P445&gt;=100000,Sales_Data!Q445&gt;=4,Sales_Data!V445="Completed",Sales_Data!O445&lt;=10),"Platinum",IF(AND(Sales_Data!P445&gt;=50000,Sales_Data!Q445&gt;=3,Sales_Data!V445="Completed"),"Gold",IF(AND(Sales_Data!P445&lt;50000,Sales_Data!V445="Completed"),"Silver",IF(OR(Sales_Data!Q445&lt;=2,Sales_Data!V445="Canceled"),"Blacklisted","Others"))))</f>
        <v>Silver</v>
      </c>
      <c r="B445" s="4" t="str">
        <f>PROPER(TRIM(Sales_Data!F445))</f>
        <v>Anita Gupta</v>
      </c>
      <c r="C445" s="4" t="str">
        <f>LEFT(B445,3)&amp;RIGHT(Sales_Data!B445,3)&amp;LEFT(Sales_Data!I445,2)</f>
        <v>Ani004Ah</v>
      </c>
      <c r="D445" s="4" t="str">
        <f>IF(ISNUMBER(SEARCH("@",Sales_Data!T445)),LOWER(Sales_Data!T445),"Invalid_Email")</f>
        <v>anita.gupta@company.com</v>
      </c>
      <c r="E445" s="13">
        <f ca="1">DATEDIF(Sales_Data!H445,TODAY(),"Y")</f>
        <v>34</v>
      </c>
      <c r="F445" s="13">
        <f>IFERROR(DATEDIF(Sales_Data!D445,Sales_Data!E445,"D"),"Information_Not_Given")</f>
        <v>1</v>
      </c>
      <c r="G445" s="13" t="str" cm="1">
        <f t="array" ref="G445">_xlfn.IFS(F445&lt;=5,"One_Time",F445&gt;5,"Delayed",F445="Information_Not_given","Pending")</f>
        <v>One_Time</v>
      </c>
    </row>
    <row r="446" spans="1:7" x14ac:dyDescent="0.3">
      <c r="A446" s="12" t="str">
        <f>IF(AND(Sales_Data!P446&gt;=100000,Sales_Data!Q446&gt;=4,Sales_Data!V446="Completed",Sales_Data!O446&lt;=10),"Platinum",IF(AND(Sales_Data!P446&gt;=50000,Sales_Data!Q446&gt;=3,Sales_Data!V446="Completed"),"Gold",IF(AND(Sales_Data!P446&lt;50000,Sales_Data!V446="Completed"),"Silver",IF(OR(Sales_Data!Q446&lt;=2,Sales_Data!V446="Canceled"),"Blacklisted","Others"))))</f>
        <v>Platinum</v>
      </c>
      <c r="B446" s="4" t="str">
        <f>PROPER(TRIM(Sales_Data!F446))</f>
        <v>Pooja Shah</v>
      </c>
      <c r="C446" s="4" t="str">
        <f>LEFT(B446,3)&amp;RIGHT(Sales_Data!B446,3)&amp;LEFT(Sales_Data!I446,2)</f>
        <v>Poo010Hy</v>
      </c>
      <c r="D446" s="4" t="str">
        <f>IF(ISNUMBER(SEARCH("@",Sales_Data!T446)),LOWER(Sales_Data!T446),"Invalid_Email")</f>
        <v>pooja.shah@company.com</v>
      </c>
      <c r="E446" s="13">
        <f ca="1">DATEDIF(Sales_Data!H446,TODAY(),"Y")</f>
        <v>27</v>
      </c>
      <c r="F446" s="13">
        <f>IFERROR(DATEDIF(Sales_Data!D446,Sales_Data!E446,"D"),"Information_Not_Given")</f>
        <v>10</v>
      </c>
      <c r="G446" s="13" t="str" cm="1">
        <f t="array" ref="G446">_xlfn.IFS(F446&lt;=5,"One_Time",F446&gt;5,"Delayed",F446="Information_Not_given","Pending")</f>
        <v>Delayed</v>
      </c>
    </row>
    <row r="447" spans="1:7" x14ac:dyDescent="0.3">
      <c r="A447" s="12" t="str">
        <f>IF(AND(Sales_Data!P447&gt;=100000,Sales_Data!Q447&gt;=4,Sales_Data!V447="Completed",Sales_Data!O447&lt;=10),"Platinum",IF(AND(Sales_Data!P447&gt;=50000,Sales_Data!Q447&gt;=3,Sales_Data!V447="Completed"),"Gold",IF(AND(Sales_Data!P447&lt;50000,Sales_Data!V447="Completed"),"Silver",IF(OR(Sales_Data!Q447&lt;=2,Sales_Data!V447="Canceled"),"Blacklisted","Others"))))</f>
        <v>Blacklisted</v>
      </c>
      <c r="B447" s="4" t="str">
        <f>PROPER(TRIM(Sales_Data!F447))</f>
        <v>Vikas Mehta</v>
      </c>
      <c r="C447" s="4" t="str">
        <f>LEFT(B447,3)&amp;RIGHT(Sales_Data!B447,3)&amp;LEFT(Sales_Data!I447,2)</f>
        <v>Vik005Hy</v>
      </c>
      <c r="D447" s="4" t="str">
        <f>IF(ISNUMBER(SEARCH("@",Sales_Data!T447)),LOWER(Sales_Data!T447),"Invalid_Email")</f>
        <v>vikas.mehta@company.com</v>
      </c>
      <c r="E447" s="13">
        <f ca="1">DATEDIF(Sales_Data!H447,TODAY(),"Y")</f>
        <v>36</v>
      </c>
      <c r="F447" s="13">
        <f>IFERROR(DATEDIF(Sales_Data!D447,Sales_Data!E447,"D"),"Information_Not_Given")</f>
        <v>7</v>
      </c>
      <c r="G447" s="13" t="str" cm="1">
        <f t="array" ref="G447">_xlfn.IFS(F447&lt;=5,"One_Time",F447&gt;5,"Delayed",F447="Information_Not_given","Pending")</f>
        <v>Delayed</v>
      </c>
    </row>
    <row r="448" spans="1:7" x14ac:dyDescent="0.3">
      <c r="A448" s="12" t="str">
        <f>IF(AND(Sales_Data!P448&gt;=100000,Sales_Data!Q448&gt;=4,Sales_Data!V448="Completed",Sales_Data!O448&lt;=10),"Platinum",IF(AND(Sales_Data!P448&gt;=50000,Sales_Data!Q448&gt;=3,Sales_Data!V448="Completed"),"Gold",IF(AND(Sales_Data!P448&lt;50000,Sales_Data!V448="Completed"),"Silver",IF(OR(Sales_Data!Q448&lt;=2,Sales_Data!V448="Canceled"),"Blacklisted","Others"))))</f>
        <v>Silver</v>
      </c>
      <c r="B448" s="4" t="str">
        <f>PROPER(TRIM(Sales_Data!F448))</f>
        <v>Kavya Nair</v>
      </c>
      <c r="C448" s="4" t="str">
        <f>LEFT(B448,3)&amp;RIGHT(Sales_Data!B448,3)&amp;LEFT(Sales_Data!I448,2)</f>
        <v>Kav008Mu</v>
      </c>
      <c r="D448" s="4" t="str">
        <f>IF(ISNUMBER(SEARCH("@",Sales_Data!T448)),LOWER(Sales_Data!T448),"Invalid_Email")</f>
        <v>kavya.nair@company.com</v>
      </c>
      <c r="E448" s="13">
        <f ca="1">DATEDIF(Sales_Data!H448,TODAY(),"Y")</f>
        <v>32</v>
      </c>
      <c r="F448" s="13">
        <f>IFERROR(DATEDIF(Sales_Data!D448,Sales_Data!E448,"D"),"Information_Not_Given")</f>
        <v>10</v>
      </c>
      <c r="G448" s="13" t="str" cm="1">
        <f t="array" ref="G448">_xlfn.IFS(F448&lt;=5,"One_Time",F448&gt;5,"Delayed",F448="Information_Not_given","Pending")</f>
        <v>Delayed</v>
      </c>
    </row>
    <row r="449" spans="1:7" x14ac:dyDescent="0.3">
      <c r="A449" s="12" t="str">
        <f>IF(AND(Sales_Data!P449&gt;=100000,Sales_Data!Q449&gt;=4,Sales_Data!V449="Completed",Sales_Data!O449&lt;=10),"Platinum",IF(AND(Sales_Data!P449&gt;=50000,Sales_Data!Q449&gt;=3,Sales_Data!V449="Completed"),"Gold",IF(AND(Sales_Data!P449&lt;50000,Sales_Data!V449="Completed"),"Silver",IF(OR(Sales_Data!Q449&lt;=2,Sales_Data!V449="Canceled"),"Blacklisted","Others"))))</f>
        <v>Platinum</v>
      </c>
      <c r="B449" s="4" t="str">
        <f>PROPER(TRIM(Sales_Data!F449))</f>
        <v>Kavya Nair</v>
      </c>
      <c r="C449" s="4" t="str">
        <f>LEFT(B449,3)&amp;RIGHT(Sales_Data!B449,3)&amp;LEFT(Sales_Data!I449,2)</f>
        <v>Kav008Pu</v>
      </c>
      <c r="D449" s="4" t="str">
        <f>IF(ISNUMBER(SEARCH("@",Sales_Data!T449)),LOWER(Sales_Data!T449),"Invalid_Email")</f>
        <v>kavya.nair@company.com</v>
      </c>
      <c r="E449" s="13">
        <f ca="1">DATEDIF(Sales_Data!H449,TODAY(),"Y")</f>
        <v>46</v>
      </c>
      <c r="F449" s="13">
        <f>IFERROR(DATEDIF(Sales_Data!D449,Sales_Data!E449,"D"),"Information_Not_Given")</f>
        <v>11</v>
      </c>
      <c r="G449" s="13" t="str" cm="1">
        <f t="array" ref="G449">_xlfn.IFS(F449&lt;=5,"One_Time",F449&gt;5,"Delayed",F449="Information_Not_given","Pending")</f>
        <v>Delayed</v>
      </c>
    </row>
    <row r="450" spans="1:7" x14ac:dyDescent="0.3">
      <c r="A450" s="12" t="str">
        <f>IF(AND(Sales_Data!P450&gt;=100000,Sales_Data!Q450&gt;=4,Sales_Data!V450="Completed",Sales_Data!O450&lt;=10),"Platinum",IF(AND(Sales_Data!P450&gt;=50000,Sales_Data!Q450&gt;=3,Sales_Data!V450="Completed"),"Gold",IF(AND(Sales_Data!P450&lt;50000,Sales_Data!V450="Completed"),"Silver",IF(OR(Sales_Data!Q450&lt;=2,Sales_Data!V450="Canceled"),"Blacklisted","Others"))))</f>
        <v>Others</v>
      </c>
      <c r="B450" s="4" t="str">
        <f>PROPER(TRIM(Sales_Data!F450))</f>
        <v>Amit Sharma</v>
      </c>
      <c r="C450" s="4" t="str">
        <f>LEFT(B450,3)&amp;RIGHT(Sales_Data!B450,3)&amp;LEFT(Sales_Data!I450,2)</f>
        <v>Ami001Ah</v>
      </c>
      <c r="D450" s="4" t="str">
        <f>IF(ISNUMBER(SEARCH("@",Sales_Data!T450)),LOWER(Sales_Data!T450),"Invalid_Email")</f>
        <v>amit.sharma@company.com</v>
      </c>
      <c r="E450" s="13">
        <f ca="1">DATEDIF(Sales_Data!H450,TODAY(),"Y")</f>
        <v>26</v>
      </c>
      <c r="F450" s="13">
        <f>IFERROR(DATEDIF(Sales_Data!D450,Sales_Data!E450,"D"),"Information_Not_Given")</f>
        <v>4</v>
      </c>
      <c r="G450" s="13" t="str" cm="1">
        <f t="array" ref="G450">_xlfn.IFS(F450&lt;=5,"One_Time",F450&gt;5,"Delayed",F450="Information_Not_given","Pending")</f>
        <v>One_Time</v>
      </c>
    </row>
    <row r="451" spans="1:7" x14ac:dyDescent="0.3">
      <c r="A451" s="12" t="str">
        <f>IF(AND(Sales_Data!P451&gt;=100000,Sales_Data!Q451&gt;=4,Sales_Data!V451="Completed",Sales_Data!O451&lt;=10),"Platinum",IF(AND(Sales_Data!P451&gt;=50000,Sales_Data!Q451&gt;=3,Sales_Data!V451="Completed"),"Gold",IF(AND(Sales_Data!P451&lt;50000,Sales_Data!V451="Completed"),"Silver",IF(OR(Sales_Data!Q451&lt;=2,Sales_Data!V451="Canceled"),"Blacklisted","Others"))))</f>
        <v>Platinum</v>
      </c>
      <c r="B451" s="4" t="str">
        <f>PROPER(TRIM(Sales_Data!F451))</f>
        <v>Amit Sharma</v>
      </c>
      <c r="C451" s="4" t="str">
        <f>LEFT(B451,3)&amp;RIGHT(Sales_Data!B451,3)&amp;LEFT(Sales_Data!I451,2)</f>
        <v>Ami001Ko</v>
      </c>
      <c r="D451" s="4" t="str">
        <f>IF(ISNUMBER(SEARCH("@",Sales_Data!T451)),LOWER(Sales_Data!T451),"Invalid_Email")</f>
        <v>amit.sharma@company.com</v>
      </c>
      <c r="E451" s="13">
        <f ca="1">DATEDIF(Sales_Data!H451,TODAY(),"Y")</f>
        <v>28</v>
      </c>
      <c r="F451" s="13">
        <f>IFERROR(DATEDIF(Sales_Data!D451,Sales_Data!E451,"D"),"Information_Not_Given")</f>
        <v>10</v>
      </c>
      <c r="G451" s="13" t="str" cm="1">
        <f t="array" ref="G451">_xlfn.IFS(F451&lt;=5,"One_Time",F451&gt;5,"Delayed",F451="Information_Not_given","Pending")</f>
        <v>Delayed</v>
      </c>
    </row>
    <row r="452" spans="1:7" x14ac:dyDescent="0.3">
      <c r="A452" s="12" t="str">
        <f>IF(AND(Sales_Data!P452&gt;=100000,Sales_Data!Q452&gt;=4,Sales_Data!V452="Completed",Sales_Data!O452&lt;=10),"Platinum",IF(AND(Sales_Data!P452&gt;=50000,Sales_Data!Q452&gt;=3,Sales_Data!V452="Completed"),"Gold",IF(AND(Sales_Data!P452&lt;50000,Sales_Data!V452="Completed"),"Silver",IF(OR(Sales_Data!Q452&lt;=2,Sales_Data!V452="Canceled"),"Blacklisted","Others"))))</f>
        <v>Others</v>
      </c>
      <c r="B452" s="4" t="str">
        <f>PROPER(TRIM(Sales_Data!F452))</f>
        <v>Mohit Verma</v>
      </c>
      <c r="C452" s="4" t="str">
        <f>LEFT(B452,3)&amp;RIGHT(Sales_Data!B452,3)&amp;LEFT(Sales_Data!I452,2)</f>
        <v>Moh009Hy</v>
      </c>
      <c r="D452" s="4" t="str">
        <f>IF(ISNUMBER(SEARCH("@",Sales_Data!T452)),LOWER(Sales_Data!T452),"Invalid_Email")</f>
        <v>mohit.verma@company.com</v>
      </c>
      <c r="E452" s="13">
        <f ca="1">DATEDIF(Sales_Data!H452,TODAY(),"Y")</f>
        <v>42</v>
      </c>
      <c r="F452" s="13">
        <f>IFERROR(DATEDIF(Sales_Data!D452,Sales_Data!E452,"D"),"Information_Not_Given")</f>
        <v>8</v>
      </c>
      <c r="G452" s="13" t="str" cm="1">
        <f t="array" ref="G452">_xlfn.IFS(F452&lt;=5,"One_Time",F452&gt;5,"Delayed",F452="Information_Not_given","Pending")</f>
        <v>Delayed</v>
      </c>
    </row>
    <row r="453" spans="1:7" x14ac:dyDescent="0.3">
      <c r="A453" s="12" t="str">
        <f>IF(AND(Sales_Data!P453&gt;=100000,Sales_Data!Q453&gt;=4,Sales_Data!V453="Completed",Sales_Data!O453&lt;=10),"Platinum",IF(AND(Sales_Data!P453&gt;=50000,Sales_Data!Q453&gt;=3,Sales_Data!V453="Completed"),"Gold",IF(AND(Sales_Data!P453&lt;50000,Sales_Data!V453="Completed"),"Silver",IF(OR(Sales_Data!Q453&lt;=2,Sales_Data!V453="Canceled"),"Blacklisted","Others"))))</f>
        <v>Blacklisted</v>
      </c>
      <c r="B453" s="4" t="str">
        <f>PROPER(TRIM(Sales_Data!F453))</f>
        <v>Mohit Verma</v>
      </c>
      <c r="C453" s="4" t="str">
        <f>LEFT(B453,3)&amp;RIGHT(Sales_Data!B453,3)&amp;LEFT(Sales_Data!I453,2)</f>
        <v>Moh009De</v>
      </c>
      <c r="D453" s="4" t="str">
        <f>IF(ISNUMBER(SEARCH("@",Sales_Data!T453)),LOWER(Sales_Data!T453),"Invalid_Email")</f>
        <v>mohit.verma@company.com</v>
      </c>
      <c r="E453" s="13">
        <f ca="1">DATEDIF(Sales_Data!H453,TODAY(),"Y")</f>
        <v>40</v>
      </c>
      <c r="F453" s="13">
        <f>IFERROR(DATEDIF(Sales_Data!D453,Sales_Data!E453,"D"),"Information_Not_Given")</f>
        <v>11</v>
      </c>
      <c r="G453" s="13" t="str" cm="1">
        <f t="array" ref="G453">_xlfn.IFS(F453&lt;=5,"One_Time",F453&gt;5,"Delayed",F453="Information_Not_given","Pending")</f>
        <v>Delayed</v>
      </c>
    </row>
    <row r="454" spans="1:7" x14ac:dyDescent="0.3">
      <c r="A454" s="12" t="str">
        <f>IF(AND(Sales_Data!P454&gt;=100000,Sales_Data!Q454&gt;=4,Sales_Data!V454="Completed",Sales_Data!O454&lt;=10),"Platinum",IF(AND(Sales_Data!P454&gt;=50000,Sales_Data!Q454&gt;=3,Sales_Data!V454="Completed"),"Gold",IF(AND(Sales_Data!P454&lt;50000,Sales_Data!V454="Completed"),"Silver",IF(OR(Sales_Data!Q454&lt;=2,Sales_Data!V454="Canceled"),"Blacklisted","Others"))))</f>
        <v>Silver</v>
      </c>
      <c r="B454" s="4" t="str">
        <f>PROPER(TRIM(Sales_Data!F454))</f>
        <v>Pooja Shah</v>
      </c>
      <c r="C454" s="4" t="str">
        <f>LEFT(B454,3)&amp;RIGHT(Sales_Data!B454,3)&amp;LEFT(Sales_Data!I454,2)</f>
        <v>Poo010Ah</v>
      </c>
      <c r="D454" s="4" t="str">
        <f>IF(ISNUMBER(SEARCH("@",Sales_Data!T454)),LOWER(Sales_Data!T454),"Invalid_Email")</f>
        <v>pooja.shah@company.com</v>
      </c>
      <c r="E454" s="13">
        <f ca="1">DATEDIF(Sales_Data!H454,TODAY(),"Y")</f>
        <v>22</v>
      </c>
      <c r="F454" s="13">
        <f>IFERROR(DATEDIF(Sales_Data!D454,Sales_Data!E454,"D"),"Information_Not_Given")</f>
        <v>7</v>
      </c>
      <c r="G454" s="13" t="str" cm="1">
        <f t="array" ref="G454">_xlfn.IFS(F454&lt;=5,"One_Time",F454&gt;5,"Delayed",F454="Information_Not_given","Pending")</f>
        <v>Delayed</v>
      </c>
    </row>
    <row r="455" spans="1:7" x14ac:dyDescent="0.3">
      <c r="A455" s="12" t="str">
        <f>IF(AND(Sales_Data!P455&gt;=100000,Sales_Data!Q455&gt;=4,Sales_Data!V455="Completed",Sales_Data!O455&lt;=10),"Platinum",IF(AND(Sales_Data!P455&gt;=50000,Sales_Data!Q455&gt;=3,Sales_Data!V455="Completed"),"Gold",IF(AND(Sales_Data!P455&lt;50000,Sales_Data!V455="Completed"),"Silver",IF(OR(Sales_Data!Q455&lt;=2,Sales_Data!V455="Canceled"),"Blacklisted","Others"))))</f>
        <v>Blacklisted</v>
      </c>
      <c r="B455" s="4" t="str">
        <f>PROPER(TRIM(Sales_Data!F455))</f>
        <v>Sneha Joshi</v>
      </c>
      <c r="C455" s="4" t="str">
        <f>LEFT(B455,3)&amp;RIGHT(Sales_Data!B455,3)&amp;LEFT(Sales_Data!I455,2)</f>
        <v>Sne006Ah</v>
      </c>
      <c r="D455" s="4" t="str">
        <f>IF(ISNUMBER(SEARCH("@",Sales_Data!T455)),LOWER(Sales_Data!T455),"Invalid_Email")</f>
        <v>sneha.joshi@company.com</v>
      </c>
      <c r="E455" s="13">
        <f ca="1">DATEDIF(Sales_Data!H455,TODAY(),"Y")</f>
        <v>23</v>
      </c>
      <c r="F455" s="13">
        <f>IFERROR(DATEDIF(Sales_Data!D455,Sales_Data!E455,"D"),"Information_Not_Given")</f>
        <v>11</v>
      </c>
      <c r="G455" s="13" t="str" cm="1">
        <f t="array" ref="G455">_xlfn.IFS(F455&lt;=5,"One_Time",F455&gt;5,"Delayed",F455="Information_Not_given","Pending")</f>
        <v>Delayed</v>
      </c>
    </row>
    <row r="456" spans="1:7" x14ac:dyDescent="0.3">
      <c r="A456" s="12" t="str">
        <f>IF(AND(Sales_Data!P456&gt;=100000,Sales_Data!Q456&gt;=4,Sales_Data!V456="Completed",Sales_Data!O456&lt;=10),"Platinum",IF(AND(Sales_Data!P456&gt;=50000,Sales_Data!Q456&gt;=3,Sales_Data!V456="Completed"),"Gold",IF(AND(Sales_Data!P456&lt;50000,Sales_Data!V456="Completed"),"Silver",IF(OR(Sales_Data!Q456&lt;=2,Sales_Data!V456="Canceled"),"Blacklisted","Others"))))</f>
        <v>Others</v>
      </c>
      <c r="B456" s="4" t="str">
        <f>PROPER(TRIM(Sales_Data!F456))</f>
        <v>Mohit Verma</v>
      </c>
      <c r="C456" s="4" t="str">
        <f>LEFT(B456,3)&amp;RIGHT(Sales_Data!B456,3)&amp;LEFT(Sales_Data!I456,2)</f>
        <v>Moh009Ko</v>
      </c>
      <c r="D456" s="4" t="str">
        <f>IF(ISNUMBER(SEARCH("@",Sales_Data!T456)),LOWER(Sales_Data!T456),"Invalid_Email")</f>
        <v>mohit.verma@company.com</v>
      </c>
      <c r="E456" s="13">
        <f ca="1">DATEDIF(Sales_Data!H456,TODAY(),"Y")</f>
        <v>36</v>
      </c>
      <c r="F456" s="13">
        <f>IFERROR(DATEDIF(Sales_Data!D456,Sales_Data!E456,"D"),"Information_Not_Given")</f>
        <v>8</v>
      </c>
      <c r="G456" s="13" t="str" cm="1">
        <f t="array" ref="G456">_xlfn.IFS(F456&lt;=5,"One_Time",F456&gt;5,"Delayed",F456="Information_Not_given","Pending")</f>
        <v>Delayed</v>
      </c>
    </row>
    <row r="457" spans="1:7" x14ac:dyDescent="0.3">
      <c r="A457" s="12" t="str">
        <f>IF(AND(Sales_Data!P457&gt;=100000,Sales_Data!Q457&gt;=4,Sales_Data!V457="Completed",Sales_Data!O457&lt;=10),"Platinum",IF(AND(Sales_Data!P457&gt;=50000,Sales_Data!Q457&gt;=3,Sales_Data!V457="Completed"),"Gold",IF(AND(Sales_Data!P457&lt;50000,Sales_Data!V457="Completed"),"Silver",IF(OR(Sales_Data!Q457&lt;=2,Sales_Data!V457="Canceled"),"Blacklisted","Others"))))</f>
        <v>Others</v>
      </c>
      <c r="B457" s="4" t="str">
        <f>PROPER(TRIM(Sales_Data!F457))</f>
        <v>Pooja Shah</v>
      </c>
      <c r="C457" s="4" t="str">
        <f>LEFT(B457,3)&amp;RIGHT(Sales_Data!B457,3)&amp;LEFT(Sales_Data!I457,2)</f>
        <v>Poo010Pu</v>
      </c>
      <c r="D457" s="4" t="str">
        <f>IF(ISNUMBER(SEARCH("@",Sales_Data!T457)),LOWER(Sales_Data!T457),"Invalid_Email")</f>
        <v>pooja.shah@company.com</v>
      </c>
      <c r="E457" s="13">
        <f ca="1">DATEDIF(Sales_Data!H457,TODAY(),"Y")</f>
        <v>23</v>
      </c>
      <c r="F457" s="13">
        <f>IFERROR(DATEDIF(Sales_Data!D457,Sales_Data!E457,"D"),"Information_Not_Given")</f>
        <v>6</v>
      </c>
      <c r="G457" s="13" t="str" cm="1">
        <f t="array" ref="G457">_xlfn.IFS(F457&lt;=5,"One_Time",F457&gt;5,"Delayed",F457="Information_Not_given","Pending")</f>
        <v>Delayed</v>
      </c>
    </row>
    <row r="458" spans="1:7" x14ac:dyDescent="0.3">
      <c r="A458" s="12" t="str">
        <f>IF(AND(Sales_Data!P458&gt;=100000,Sales_Data!Q458&gt;=4,Sales_Data!V458="Completed",Sales_Data!O458&lt;=10),"Platinum",IF(AND(Sales_Data!P458&gt;=50000,Sales_Data!Q458&gt;=3,Sales_Data!V458="Completed"),"Gold",IF(AND(Sales_Data!P458&lt;50000,Sales_Data!V458="Completed"),"Silver",IF(OR(Sales_Data!Q458&lt;=2,Sales_Data!V458="Canceled"),"Blacklisted","Others"))))</f>
        <v>Others</v>
      </c>
      <c r="B458" s="4" t="str">
        <f>PROPER(TRIM(Sales_Data!F458))</f>
        <v>Amit Sharma</v>
      </c>
      <c r="C458" s="4" t="str">
        <f>LEFT(B458,3)&amp;RIGHT(Sales_Data!B458,3)&amp;LEFT(Sales_Data!I458,2)</f>
        <v>Ami001Be</v>
      </c>
      <c r="D458" s="4" t="str">
        <f>IF(ISNUMBER(SEARCH("@",Sales_Data!T458)),LOWER(Sales_Data!T458),"Invalid_Email")</f>
        <v>amit.sharma@company.com</v>
      </c>
      <c r="E458" s="13">
        <f ca="1">DATEDIF(Sales_Data!H458,TODAY(),"Y")</f>
        <v>33</v>
      </c>
      <c r="F458" s="13">
        <f>IFERROR(DATEDIF(Sales_Data!D458,Sales_Data!E458,"D"),"Information_Not_Given")</f>
        <v>1</v>
      </c>
      <c r="G458" s="13" t="str" cm="1">
        <f t="array" ref="G458">_xlfn.IFS(F458&lt;=5,"One_Time",F458&gt;5,"Delayed",F458="Information_Not_given","Pending")</f>
        <v>One_Time</v>
      </c>
    </row>
    <row r="459" spans="1:7" x14ac:dyDescent="0.3">
      <c r="A459" s="12" t="str">
        <f>IF(AND(Sales_Data!P459&gt;=100000,Sales_Data!Q459&gt;=4,Sales_Data!V459="Completed",Sales_Data!O459&lt;=10),"Platinum",IF(AND(Sales_Data!P459&gt;=50000,Sales_Data!Q459&gt;=3,Sales_Data!V459="Completed"),"Gold",IF(AND(Sales_Data!P459&lt;50000,Sales_Data!V459="Completed"),"Silver",IF(OR(Sales_Data!Q459&lt;=2,Sales_Data!V459="Canceled"),"Blacklisted","Others"))))</f>
        <v>Others</v>
      </c>
      <c r="B459" s="4" t="str">
        <f>PROPER(TRIM(Sales_Data!F459))</f>
        <v>Priya Patel</v>
      </c>
      <c r="C459" s="4" t="str">
        <f>LEFT(B459,3)&amp;RIGHT(Sales_Data!B459,3)&amp;LEFT(Sales_Data!I459,2)</f>
        <v>Pri002Ah</v>
      </c>
      <c r="D459" s="4" t="str">
        <f>IF(ISNUMBER(SEARCH("@",Sales_Data!T459)),LOWER(Sales_Data!T459),"Invalid_Email")</f>
        <v>priya.patel@company.com</v>
      </c>
      <c r="E459" s="13">
        <f ca="1">DATEDIF(Sales_Data!H459,TODAY(),"Y")</f>
        <v>51</v>
      </c>
      <c r="F459" s="13">
        <f>IFERROR(DATEDIF(Sales_Data!D459,Sales_Data!E459,"D"),"Information_Not_Given")</f>
        <v>7</v>
      </c>
      <c r="G459" s="13" t="str" cm="1">
        <f t="array" ref="G459">_xlfn.IFS(F459&lt;=5,"One_Time",F459&gt;5,"Delayed",F459="Information_Not_given","Pending")</f>
        <v>Delayed</v>
      </c>
    </row>
    <row r="460" spans="1:7" x14ac:dyDescent="0.3">
      <c r="A460" s="12" t="str">
        <f>IF(AND(Sales_Data!P460&gt;=100000,Sales_Data!Q460&gt;=4,Sales_Data!V460="Completed",Sales_Data!O460&lt;=10),"Platinum",IF(AND(Sales_Data!P460&gt;=50000,Sales_Data!Q460&gt;=3,Sales_Data!V460="Completed"),"Gold",IF(AND(Sales_Data!P460&lt;50000,Sales_Data!V460="Completed"),"Silver",IF(OR(Sales_Data!Q460&lt;=2,Sales_Data!V460="Canceled"),"Blacklisted","Others"))))</f>
        <v>Others</v>
      </c>
      <c r="B460" s="4" t="str">
        <f>PROPER(TRIM(Sales_Data!F460))</f>
        <v>Vikas Mehta</v>
      </c>
      <c r="C460" s="4" t="str">
        <f>LEFT(B460,3)&amp;RIGHT(Sales_Data!B460,3)&amp;LEFT(Sales_Data!I460,2)</f>
        <v>Vik005Mu</v>
      </c>
      <c r="D460" s="4" t="str">
        <f>IF(ISNUMBER(SEARCH("@",Sales_Data!T460)),LOWER(Sales_Data!T460),"Invalid_Email")</f>
        <v>vikas.mehta@company.com</v>
      </c>
      <c r="E460" s="13">
        <f ca="1">DATEDIF(Sales_Data!H460,TODAY(),"Y")</f>
        <v>32</v>
      </c>
      <c r="F460" s="13">
        <f>IFERROR(DATEDIF(Sales_Data!D460,Sales_Data!E460,"D"),"Information_Not_Given")</f>
        <v>8</v>
      </c>
      <c r="G460" s="13" t="str" cm="1">
        <f t="array" ref="G460">_xlfn.IFS(F460&lt;=5,"One_Time",F460&gt;5,"Delayed",F460="Information_Not_given","Pending")</f>
        <v>Delayed</v>
      </c>
    </row>
    <row r="461" spans="1:7" x14ac:dyDescent="0.3">
      <c r="A461" s="12" t="str">
        <f>IF(AND(Sales_Data!P461&gt;=100000,Sales_Data!Q461&gt;=4,Sales_Data!V461="Completed",Sales_Data!O461&lt;=10),"Platinum",IF(AND(Sales_Data!P461&gt;=50000,Sales_Data!Q461&gt;=3,Sales_Data!V461="Completed"),"Gold",IF(AND(Sales_Data!P461&lt;50000,Sales_Data!V461="Completed"),"Silver",IF(OR(Sales_Data!Q461&lt;=2,Sales_Data!V461="Canceled"),"Blacklisted","Others"))))</f>
        <v>Blacklisted</v>
      </c>
      <c r="B461" s="4" t="str">
        <f>PROPER(TRIM(Sales_Data!F461))</f>
        <v>Amit Sharma</v>
      </c>
      <c r="C461" s="4" t="str">
        <f>LEFT(B461,3)&amp;RIGHT(Sales_Data!B461,3)&amp;LEFT(Sales_Data!I461,2)</f>
        <v>Ami001Be</v>
      </c>
      <c r="D461" s="4" t="str">
        <f>IF(ISNUMBER(SEARCH("@",Sales_Data!T461)),LOWER(Sales_Data!T461),"Invalid_Email")</f>
        <v>amit.sharma@company.com</v>
      </c>
      <c r="E461" s="13">
        <f ca="1">DATEDIF(Sales_Data!H461,TODAY(),"Y")</f>
        <v>34</v>
      </c>
      <c r="F461" s="13">
        <f>IFERROR(DATEDIF(Sales_Data!D461,Sales_Data!E461,"D"),"Information_Not_Given")</f>
        <v>9</v>
      </c>
      <c r="G461" s="13" t="str" cm="1">
        <f t="array" ref="G461">_xlfn.IFS(F461&lt;=5,"One_Time",F461&gt;5,"Delayed",F461="Information_Not_given","Pending")</f>
        <v>Delayed</v>
      </c>
    </row>
    <row r="462" spans="1:7" x14ac:dyDescent="0.3">
      <c r="A462" s="12" t="str">
        <f>IF(AND(Sales_Data!P462&gt;=100000,Sales_Data!Q462&gt;=4,Sales_Data!V462="Completed",Sales_Data!O462&lt;=10),"Platinum",IF(AND(Sales_Data!P462&gt;=50000,Sales_Data!Q462&gt;=3,Sales_Data!V462="Completed"),"Gold",IF(AND(Sales_Data!P462&lt;50000,Sales_Data!V462="Completed"),"Silver",IF(OR(Sales_Data!Q462&lt;=2,Sales_Data!V462="Canceled"),"Blacklisted","Others"))))</f>
        <v>Gold</v>
      </c>
      <c r="B462" s="4" t="str">
        <f>PROPER(TRIM(Sales_Data!F462))</f>
        <v>Amit Sharma</v>
      </c>
      <c r="C462" s="4" t="str">
        <f>LEFT(B462,3)&amp;RIGHT(Sales_Data!B462,3)&amp;LEFT(Sales_Data!I462,2)</f>
        <v>Ami001De</v>
      </c>
      <c r="D462" s="4" t="str">
        <f>IF(ISNUMBER(SEARCH("@",Sales_Data!T462)),LOWER(Sales_Data!T462),"Invalid_Email")</f>
        <v>amit.sharma@company.com</v>
      </c>
      <c r="E462" s="13">
        <f ca="1">DATEDIF(Sales_Data!H462,TODAY(),"Y")</f>
        <v>24</v>
      </c>
      <c r="F462" s="13">
        <f>IFERROR(DATEDIF(Sales_Data!D462,Sales_Data!E462,"D"),"Information_Not_Given")</f>
        <v>3</v>
      </c>
      <c r="G462" s="13" t="str" cm="1">
        <f t="array" ref="G462">_xlfn.IFS(F462&lt;=5,"One_Time",F462&gt;5,"Delayed",F462="Information_Not_given","Pending")</f>
        <v>One_Time</v>
      </c>
    </row>
    <row r="463" spans="1:7" x14ac:dyDescent="0.3">
      <c r="A463" s="12" t="str">
        <f>IF(AND(Sales_Data!P463&gt;=100000,Sales_Data!Q463&gt;=4,Sales_Data!V463="Completed",Sales_Data!O463&lt;=10),"Platinum",IF(AND(Sales_Data!P463&gt;=50000,Sales_Data!Q463&gt;=3,Sales_Data!V463="Completed"),"Gold",IF(AND(Sales_Data!P463&lt;50000,Sales_Data!V463="Completed"),"Silver",IF(OR(Sales_Data!Q463&lt;=2,Sales_Data!V463="Canceled"),"Blacklisted","Others"))))</f>
        <v>Others</v>
      </c>
      <c r="B463" s="4" t="str">
        <f>PROPER(TRIM(Sales_Data!F463))</f>
        <v>Rohit Singh</v>
      </c>
      <c r="C463" s="4" t="str">
        <f>LEFT(B463,3)&amp;RIGHT(Sales_Data!B463,3)&amp;LEFT(Sales_Data!I463,2)</f>
        <v>Roh003De</v>
      </c>
      <c r="D463" s="4" t="str">
        <f>IF(ISNUMBER(SEARCH("@",Sales_Data!T463)),LOWER(Sales_Data!T463),"Invalid_Email")</f>
        <v>rohit.singh@company.com</v>
      </c>
      <c r="E463" s="13">
        <f ca="1">DATEDIF(Sales_Data!H463,TODAY(),"Y")</f>
        <v>25</v>
      </c>
      <c r="F463" s="13">
        <f>IFERROR(DATEDIF(Sales_Data!D463,Sales_Data!E463,"D"),"Information_Not_Given")</f>
        <v>7</v>
      </c>
      <c r="G463" s="13" t="str" cm="1">
        <f t="array" ref="G463">_xlfn.IFS(F463&lt;=5,"One_Time",F463&gt;5,"Delayed",F463="Information_Not_given","Pending")</f>
        <v>Delayed</v>
      </c>
    </row>
    <row r="464" spans="1:7" x14ac:dyDescent="0.3">
      <c r="A464" s="12" t="str">
        <f>IF(AND(Sales_Data!P464&gt;=100000,Sales_Data!Q464&gt;=4,Sales_Data!V464="Completed",Sales_Data!O464&lt;=10),"Platinum",IF(AND(Sales_Data!P464&gt;=50000,Sales_Data!Q464&gt;=3,Sales_Data!V464="Completed"),"Gold",IF(AND(Sales_Data!P464&lt;50000,Sales_Data!V464="Completed"),"Silver",IF(OR(Sales_Data!Q464&lt;=2,Sales_Data!V464="Canceled"),"Blacklisted","Others"))))</f>
        <v>Others</v>
      </c>
      <c r="B464" s="4" t="str">
        <f>PROPER(TRIM(Sales_Data!F464))</f>
        <v>Mohit Verma</v>
      </c>
      <c r="C464" s="4" t="str">
        <f>LEFT(B464,3)&amp;RIGHT(Sales_Data!B464,3)&amp;LEFT(Sales_Data!I464,2)</f>
        <v>Moh009Hy</v>
      </c>
      <c r="D464" s="4" t="str">
        <f>IF(ISNUMBER(SEARCH("@",Sales_Data!T464)),LOWER(Sales_Data!T464),"Invalid_Email")</f>
        <v>mohit.verma@company.com</v>
      </c>
      <c r="E464" s="13">
        <f ca="1">DATEDIF(Sales_Data!H464,TODAY(),"Y")</f>
        <v>36</v>
      </c>
      <c r="F464" s="13">
        <f>IFERROR(DATEDIF(Sales_Data!D464,Sales_Data!E464,"D"),"Information_Not_Given")</f>
        <v>7</v>
      </c>
      <c r="G464" s="13" t="str" cm="1">
        <f t="array" ref="G464">_xlfn.IFS(F464&lt;=5,"One_Time",F464&gt;5,"Delayed",F464="Information_Not_given","Pending")</f>
        <v>Delayed</v>
      </c>
    </row>
    <row r="465" spans="1:7" x14ac:dyDescent="0.3">
      <c r="A465" s="12" t="str">
        <f>IF(AND(Sales_Data!P465&gt;=100000,Sales_Data!Q465&gt;=4,Sales_Data!V465="Completed",Sales_Data!O465&lt;=10),"Platinum",IF(AND(Sales_Data!P465&gt;=50000,Sales_Data!Q465&gt;=3,Sales_Data!V465="Completed"),"Gold",IF(AND(Sales_Data!P465&lt;50000,Sales_Data!V465="Completed"),"Silver",IF(OR(Sales_Data!Q465&lt;=2,Sales_Data!V465="Canceled"),"Blacklisted","Others"))))</f>
        <v>Blacklisted</v>
      </c>
      <c r="B465" s="4" t="str">
        <f>PROPER(TRIM(Sales_Data!F465))</f>
        <v>Rohit Singh</v>
      </c>
      <c r="C465" s="4" t="str">
        <f>LEFT(B465,3)&amp;RIGHT(Sales_Data!B465,3)&amp;LEFT(Sales_Data!I465,2)</f>
        <v>Roh003Pu</v>
      </c>
      <c r="D465" s="4" t="str">
        <f>IF(ISNUMBER(SEARCH("@",Sales_Data!T465)),LOWER(Sales_Data!T465),"Invalid_Email")</f>
        <v>rohit.singh@company.com</v>
      </c>
      <c r="E465" s="13">
        <f ca="1">DATEDIF(Sales_Data!H465,TODAY(),"Y")</f>
        <v>48</v>
      </c>
      <c r="F465" s="13">
        <f>IFERROR(DATEDIF(Sales_Data!D465,Sales_Data!E465,"D"),"Information_Not_Given")</f>
        <v>12</v>
      </c>
      <c r="G465" s="13" t="str" cm="1">
        <f t="array" ref="G465">_xlfn.IFS(F465&lt;=5,"One_Time",F465&gt;5,"Delayed",F465="Information_Not_given","Pending")</f>
        <v>Delayed</v>
      </c>
    </row>
    <row r="466" spans="1:7" x14ac:dyDescent="0.3">
      <c r="A466" s="12" t="str">
        <f>IF(AND(Sales_Data!P466&gt;=100000,Sales_Data!Q466&gt;=4,Sales_Data!V466="Completed",Sales_Data!O466&lt;=10),"Platinum",IF(AND(Sales_Data!P466&gt;=50000,Sales_Data!Q466&gt;=3,Sales_Data!V466="Completed"),"Gold",IF(AND(Sales_Data!P466&lt;50000,Sales_Data!V466="Completed"),"Silver",IF(OR(Sales_Data!Q466&lt;=2,Sales_Data!V466="Canceled"),"Blacklisted","Others"))))</f>
        <v>Others</v>
      </c>
      <c r="B466" s="4" t="str">
        <f>PROPER(TRIM(Sales_Data!F466))</f>
        <v>Mohit Verma</v>
      </c>
      <c r="C466" s="4" t="str">
        <f>LEFT(B466,3)&amp;RIGHT(Sales_Data!B466,3)&amp;LEFT(Sales_Data!I466,2)</f>
        <v>Moh009Be</v>
      </c>
      <c r="D466" s="4" t="str">
        <f>IF(ISNUMBER(SEARCH("@",Sales_Data!T466)),LOWER(Sales_Data!T466),"Invalid_Email")</f>
        <v>mohit.verma@company.com</v>
      </c>
      <c r="E466" s="13">
        <f ca="1">DATEDIF(Sales_Data!H466,TODAY(),"Y")</f>
        <v>26</v>
      </c>
      <c r="F466" s="13">
        <f>IFERROR(DATEDIF(Sales_Data!D466,Sales_Data!E466,"D"),"Information_Not_Given")</f>
        <v>1</v>
      </c>
      <c r="G466" s="13" t="str" cm="1">
        <f t="array" ref="G466">_xlfn.IFS(F466&lt;=5,"One_Time",F466&gt;5,"Delayed",F466="Information_Not_given","Pending")</f>
        <v>One_Time</v>
      </c>
    </row>
    <row r="467" spans="1:7" x14ac:dyDescent="0.3">
      <c r="A467" s="12" t="str">
        <f>IF(AND(Sales_Data!P467&gt;=100000,Sales_Data!Q467&gt;=4,Sales_Data!V467="Completed",Sales_Data!O467&lt;=10),"Platinum",IF(AND(Sales_Data!P467&gt;=50000,Sales_Data!Q467&gt;=3,Sales_Data!V467="Completed"),"Gold",IF(AND(Sales_Data!P467&lt;50000,Sales_Data!V467="Completed"),"Silver",IF(OR(Sales_Data!Q467&lt;=2,Sales_Data!V467="Canceled"),"Blacklisted","Others"))))</f>
        <v>Others</v>
      </c>
      <c r="B467" s="4" t="str">
        <f>PROPER(TRIM(Sales_Data!F467))</f>
        <v>Arjun Rao</v>
      </c>
      <c r="C467" s="4" t="str">
        <f>LEFT(B467,3)&amp;RIGHT(Sales_Data!B467,3)&amp;LEFT(Sales_Data!I467,2)</f>
        <v>Arj007Ja</v>
      </c>
      <c r="D467" s="4" t="str">
        <f>IF(ISNUMBER(SEARCH("@",Sales_Data!T467)),LOWER(Sales_Data!T467),"Invalid_Email")</f>
        <v>arjun.rao@company.com</v>
      </c>
      <c r="E467" s="13">
        <f ca="1">DATEDIF(Sales_Data!H467,TODAY(),"Y")</f>
        <v>41</v>
      </c>
      <c r="F467" s="13">
        <f>IFERROR(DATEDIF(Sales_Data!D467,Sales_Data!E467,"D"),"Information_Not_Given")</f>
        <v>8</v>
      </c>
      <c r="G467" s="13" t="str" cm="1">
        <f t="array" ref="G467">_xlfn.IFS(F467&lt;=5,"One_Time",F467&gt;5,"Delayed",F467="Information_Not_given","Pending")</f>
        <v>Delayed</v>
      </c>
    </row>
    <row r="468" spans="1:7" x14ac:dyDescent="0.3">
      <c r="A468" s="12" t="str">
        <f>IF(AND(Sales_Data!P468&gt;=100000,Sales_Data!Q468&gt;=4,Sales_Data!V468="Completed",Sales_Data!O468&lt;=10),"Platinum",IF(AND(Sales_Data!P468&gt;=50000,Sales_Data!Q468&gt;=3,Sales_Data!V468="Completed"),"Gold",IF(AND(Sales_Data!P468&lt;50000,Sales_Data!V468="Completed"),"Silver",IF(OR(Sales_Data!Q468&lt;=2,Sales_Data!V468="Canceled"),"Blacklisted","Others"))))</f>
        <v>Others</v>
      </c>
      <c r="B468" s="4" t="str">
        <f>PROPER(TRIM(Sales_Data!F468))</f>
        <v>Pooja Shah</v>
      </c>
      <c r="C468" s="4" t="str">
        <f>LEFT(B468,3)&amp;RIGHT(Sales_Data!B468,3)&amp;LEFT(Sales_Data!I468,2)</f>
        <v>Poo010Pu</v>
      </c>
      <c r="D468" s="4" t="str">
        <f>IF(ISNUMBER(SEARCH("@",Sales_Data!T468)),LOWER(Sales_Data!T468),"Invalid_Email")</f>
        <v>pooja.shah@company.com</v>
      </c>
      <c r="E468" s="13">
        <f ca="1">DATEDIF(Sales_Data!H468,TODAY(),"Y")</f>
        <v>38</v>
      </c>
      <c r="F468" s="13">
        <f>IFERROR(DATEDIF(Sales_Data!D468,Sales_Data!E468,"D"),"Information_Not_Given")</f>
        <v>6</v>
      </c>
      <c r="G468" s="13" t="str" cm="1">
        <f t="array" ref="G468">_xlfn.IFS(F468&lt;=5,"One_Time",F468&gt;5,"Delayed",F468="Information_Not_given","Pending")</f>
        <v>Delayed</v>
      </c>
    </row>
    <row r="469" spans="1:7" x14ac:dyDescent="0.3">
      <c r="A469" s="12" t="str">
        <f>IF(AND(Sales_Data!P469&gt;=100000,Sales_Data!Q469&gt;=4,Sales_Data!V469="Completed",Sales_Data!O469&lt;=10),"Platinum",IF(AND(Sales_Data!P469&gt;=50000,Sales_Data!Q469&gt;=3,Sales_Data!V469="Completed"),"Gold",IF(AND(Sales_Data!P469&lt;50000,Sales_Data!V469="Completed"),"Silver",IF(OR(Sales_Data!Q469&lt;=2,Sales_Data!V469="Canceled"),"Blacklisted","Others"))))</f>
        <v>Others</v>
      </c>
      <c r="B469" s="4" t="str">
        <f>PROPER(TRIM(Sales_Data!F469))</f>
        <v>Kavya Nair</v>
      </c>
      <c r="C469" s="4" t="str">
        <f>LEFT(B469,3)&amp;RIGHT(Sales_Data!B469,3)&amp;LEFT(Sales_Data!I469,2)</f>
        <v>Kav008Ah</v>
      </c>
      <c r="D469" s="4" t="str">
        <f>IF(ISNUMBER(SEARCH("@",Sales_Data!T469)),LOWER(Sales_Data!T469),"Invalid_Email")</f>
        <v>kavya.nair@company.com</v>
      </c>
      <c r="E469" s="13">
        <f ca="1">DATEDIF(Sales_Data!H469,TODAY(),"Y")</f>
        <v>29</v>
      </c>
      <c r="F469" s="13">
        <f>IFERROR(DATEDIF(Sales_Data!D469,Sales_Data!E469,"D"),"Information_Not_Given")</f>
        <v>4</v>
      </c>
      <c r="G469" s="13" t="str" cm="1">
        <f t="array" ref="G469">_xlfn.IFS(F469&lt;=5,"One_Time",F469&gt;5,"Delayed",F469="Information_Not_given","Pending")</f>
        <v>One_Time</v>
      </c>
    </row>
    <row r="470" spans="1:7" x14ac:dyDescent="0.3">
      <c r="A470" s="12" t="str">
        <f>IF(AND(Sales_Data!P470&gt;=100000,Sales_Data!Q470&gt;=4,Sales_Data!V470="Completed",Sales_Data!O470&lt;=10),"Platinum",IF(AND(Sales_Data!P470&gt;=50000,Sales_Data!Q470&gt;=3,Sales_Data!V470="Completed"),"Gold",IF(AND(Sales_Data!P470&lt;50000,Sales_Data!V470="Completed"),"Silver",IF(OR(Sales_Data!Q470&lt;=2,Sales_Data!V470="Canceled"),"Blacklisted","Others"))))</f>
        <v>Blacklisted</v>
      </c>
      <c r="B470" s="4" t="str">
        <f>PROPER(TRIM(Sales_Data!F470))</f>
        <v>Priya Patel</v>
      </c>
      <c r="C470" s="4" t="str">
        <f>LEFT(B470,3)&amp;RIGHT(Sales_Data!B470,3)&amp;LEFT(Sales_Data!I470,2)</f>
        <v>Pri002Mu</v>
      </c>
      <c r="D470" s="4" t="str">
        <f>IF(ISNUMBER(SEARCH("@",Sales_Data!T470)),LOWER(Sales_Data!T470),"Invalid_Email")</f>
        <v>priya.patel@company.com</v>
      </c>
      <c r="E470" s="13">
        <f ca="1">DATEDIF(Sales_Data!H470,TODAY(),"Y")</f>
        <v>25</v>
      </c>
      <c r="F470" s="13">
        <f>IFERROR(DATEDIF(Sales_Data!D470,Sales_Data!E470,"D"),"Information_Not_Given")</f>
        <v>10</v>
      </c>
      <c r="G470" s="13" t="str" cm="1">
        <f t="array" ref="G470">_xlfn.IFS(F470&lt;=5,"One_Time",F470&gt;5,"Delayed",F470="Information_Not_given","Pending")</f>
        <v>Delayed</v>
      </c>
    </row>
    <row r="471" spans="1:7" x14ac:dyDescent="0.3">
      <c r="A471" s="12" t="str">
        <f>IF(AND(Sales_Data!P471&gt;=100000,Sales_Data!Q471&gt;=4,Sales_Data!V471="Completed",Sales_Data!O471&lt;=10),"Platinum",IF(AND(Sales_Data!P471&gt;=50000,Sales_Data!Q471&gt;=3,Sales_Data!V471="Completed"),"Gold",IF(AND(Sales_Data!P471&lt;50000,Sales_Data!V471="Completed"),"Silver",IF(OR(Sales_Data!Q471&lt;=2,Sales_Data!V471="Canceled"),"Blacklisted","Others"))))</f>
        <v>Others</v>
      </c>
      <c r="B471" s="4" t="str">
        <f>PROPER(TRIM(Sales_Data!F471))</f>
        <v>Amit Sharma</v>
      </c>
      <c r="C471" s="4" t="str">
        <f>LEFT(B471,3)&amp;RIGHT(Sales_Data!B471,3)&amp;LEFT(Sales_Data!I471,2)</f>
        <v>Ami001Pu</v>
      </c>
      <c r="D471" s="4" t="str">
        <f>IF(ISNUMBER(SEARCH("@",Sales_Data!T471)),LOWER(Sales_Data!T471),"Invalid_Email")</f>
        <v>amit.sharma@company.com</v>
      </c>
      <c r="E471" s="13">
        <f ca="1">DATEDIF(Sales_Data!H471,TODAY(),"Y")</f>
        <v>44</v>
      </c>
      <c r="F471" s="13">
        <f>IFERROR(DATEDIF(Sales_Data!D471,Sales_Data!E471,"D"),"Information_Not_Given")</f>
        <v>2</v>
      </c>
      <c r="G471" s="13" t="str" cm="1">
        <f t="array" ref="G471">_xlfn.IFS(F471&lt;=5,"One_Time",F471&gt;5,"Delayed",F471="Information_Not_given","Pending")</f>
        <v>One_Time</v>
      </c>
    </row>
    <row r="472" spans="1:7" x14ac:dyDescent="0.3">
      <c r="A472" s="12" t="str">
        <f>IF(AND(Sales_Data!P472&gt;=100000,Sales_Data!Q472&gt;=4,Sales_Data!V472="Completed",Sales_Data!O472&lt;=10),"Platinum",IF(AND(Sales_Data!P472&gt;=50000,Sales_Data!Q472&gt;=3,Sales_Data!V472="Completed"),"Gold",IF(AND(Sales_Data!P472&lt;50000,Sales_Data!V472="Completed"),"Silver",IF(OR(Sales_Data!Q472&lt;=2,Sales_Data!V472="Canceled"),"Blacklisted","Others"))))</f>
        <v>Blacklisted</v>
      </c>
      <c r="B472" s="4" t="str">
        <f>PROPER(TRIM(Sales_Data!F472))</f>
        <v>Kavya Nair</v>
      </c>
      <c r="C472" s="4" t="str">
        <f>LEFT(B472,3)&amp;RIGHT(Sales_Data!B472,3)&amp;LEFT(Sales_Data!I472,2)</f>
        <v>Kav008Be</v>
      </c>
      <c r="D472" s="4" t="str">
        <f>IF(ISNUMBER(SEARCH("@",Sales_Data!T472)),LOWER(Sales_Data!T472),"Invalid_Email")</f>
        <v>kavya.nair@company.com</v>
      </c>
      <c r="E472" s="13">
        <f ca="1">DATEDIF(Sales_Data!H472,TODAY(),"Y")</f>
        <v>27</v>
      </c>
      <c r="F472" s="13">
        <f>IFERROR(DATEDIF(Sales_Data!D472,Sales_Data!E472,"D"),"Information_Not_Given")</f>
        <v>4</v>
      </c>
      <c r="G472" s="13" t="str" cm="1">
        <f t="array" ref="G472">_xlfn.IFS(F472&lt;=5,"One_Time",F472&gt;5,"Delayed",F472="Information_Not_given","Pending")</f>
        <v>One_Time</v>
      </c>
    </row>
    <row r="473" spans="1:7" x14ac:dyDescent="0.3">
      <c r="A473" s="12" t="str">
        <f>IF(AND(Sales_Data!P473&gt;=100000,Sales_Data!Q473&gt;=4,Sales_Data!V473="Completed",Sales_Data!O473&lt;=10),"Platinum",IF(AND(Sales_Data!P473&gt;=50000,Sales_Data!Q473&gt;=3,Sales_Data!V473="Completed"),"Gold",IF(AND(Sales_Data!P473&lt;50000,Sales_Data!V473="Completed"),"Silver",IF(OR(Sales_Data!Q473&lt;=2,Sales_Data!V473="Canceled"),"Blacklisted","Others"))))</f>
        <v>Blacklisted</v>
      </c>
      <c r="B473" s="4" t="str">
        <f>PROPER(TRIM(Sales_Data!F473))</f>
        <v>Pooja Shah</v>
      </c>
      <c r="C473" s="4" t="str">
        <f>LEFT(B473,3)&amp;RIGHT(Sales_Data!B473,3)&amp;LEFT(Sales_Data!I473,2)</f>
        <v>Poo010Pu</v>
      </c>
      <c r="D473" s="4" t="str">
        <f>IF(ISNUMBER(SEARCH("@",Sales_Data!T473)),LOWER(Sales_Data!T473),"Invalid_Email")</f>
        <v>pooja.shah@company.com</v>
      </c>
      <c r="E473" s="13">
        <f ca="1">DATEDIF(Sales_Data!H473,TODAY(),"Y")</f>
        <v>25</v>
      </c>
      <c r="F473" s="13">
        <f>IFERROR(DATEDIF(Sales_Data!D473,Sales_Data!E473,"D"),"Information_Not_Given")</f>
        <v>8</v>
      </c>
      <c r="G473" s="13" t="str" cm="1">
        <f t="array" ref="G473">_xlfn.IFS(F473&lt;=5,"One_Time",F473&gt;5,"Delayed",F473="Information_Not_given","Pending")</f>
        <v>Delayed</v>
      </c>
    </row>
    <row r="474" spans="1:7" x14ac:dyDescent="0.3">
      <c r="A474" s="12" t="str">
        <f>IF(AND(Sales_Data!P474&gt;=100000,Sales_Data!Q474&gt;=4,Sales_Data!V474="Completed",Sales_Data!O474&lt;=10),"Platinum",IF(AND(Sales_Data!P474&gt;=50000,Sales_Data!Q474&gt;=3,Sales_Data!V474="Completed"),"Gold",IF(AND(Sales_Data!P474&lt;50000,Sales_Data!V474="Completed"),"Silver",IF(OR(Sales_Data!Q474&lt;=2,Sales_Data!V474="Canceled"),"Blacklisted","Others"))))</f>
        <v>Silver</v>
      </c>
      <c r="B474" s="4" t="str">
        <f>PROPER(TRIM(Sales_Data!F474))</f>
        <v>Sneha Joshi</v>
      </c>
      <c r="C474" s="4" t="str">
        <f>LEFT(B474,3)&amp;RIGHT(Sales_Data!B474,3)&amp;LEFT(Sales_Data!I474,2)</f>
        <v>Sne006De</v>
      </c>
      <c r="D474" s="4" t="str">
        <f>IF(ISNUMBER(SEARCH("@",Sales_Data!T474)),LOWER(Sales_Data!T474),"Invalid_Email")</f>
        <v>sneha.joshi@company.com</v>
      </c>
      <c r="E474" s="13">
        <f ca="1">DATEDIF(Sales_Data!H474,TODAY(),"Y")</f>
        <v>27</v>
      </c>
      <c r="F474" s="13">
        <f>IFERROR(DATEDIF(Sales_Data!D474,Sales_Data!E474,"D"),"Information_Not_Given")</f>
        <v>9</v>
      </c>
      <c r="G474" s="13" t="str" cm="1">
        <f t="array" ref="G474">_xlfn.IFS(F474&lt;=5,"One_Time",F474&gt;5,"Delayed",F474="Information_Not_given","Pending")</f>
        <v>Delayed</v>
      </c>
    </row>
    <row r="475" spans="1:7" x14ac:dyDescent="0.3">
      <c r="A475" s="12" t="str">
        <f>IF(AND(Sales_Data!P475&gt;=100000,Sales_Data!Q475&gt;=4,Sales_Data!V475="Completed",Sales_Data!O475&lt;=10),"Platinum",IF(AND(Sales_Data!P475&gt;=50000,Sales_Data!Q475&gt;=3,Sales_Data!V475="Completed"),"Gold",IF(AND(Sales_Data!P475&lt;50000,Sales_Data!V475="Completed"),"Silver",IF(OR(Sales_Data!Q475&lt;=2,Sales_Data!V475="Canceled"),"Blacklisted","Others"))))</f>
        <v>Others</v>
      </c>
      <c r="B475" s="4" t="str">
        <f>PROPER(TRIM(Sales_Data!F475))</f>
        <v>Mohit Verma</v>
      </c>
      <c r="C475" s="4" t="str">
        <f>LEFT(B475,3)&amp;RIGHT(Sales_Data!B475,3)&amp;LEFT(Sales_Data!I475,2)</f>
        <v>Moh009De</v>
      </c>
      <c r="D475" s="4" t="str">
        <f>IF(ISNUMBER(SEARCH("@",Sales_Data!T475)),LOWER(Sales_Data!T475),"Invalid_Email")</f>
        <v>mohit.verma@company.com</v>
      </c>
      <c r="E475" s="13">
        <f ca="1">DATEDIF(Sales_Data!H475,TODAY(),"Y")</f>
        <v>38</v>
      </c>
      <c r="F475" s="13">
        <f>IFERROR(DATEDIF(Sales_Data!D475,Sales_Data!E475,"D"),"Information_Not_Given")</f>
        <v>11</v>
      </c>
      <c r="G475" s="13" t="str" cm="1">
        <f t="array" ref="G475">_xlfn.IFS(F475&lt;=5,"One_Time",F475&gt;5,"Delayed",F475="Information_Not_given","Pending")</f>
        <v>Delayed</v>
      </c>
    </row>
    <row r="476" spans="1:7" x14ac:dyDescent="0.3">
      <c r="A476" s="12" t="str">
        <f>IF(AND(Sales_Data!P476&gt;=100000,Sales_Data!Q476&gt;=4,Sales_Data!V476="Completed",Sales_Data!O476&lt;=10),"Platinum",IF(AND(Sales_Data!P476&gt;=50000,Sales_Data!Q476&gt;=3,Sales_Data!V476="Completed"),"Gold",IF(AND(Sales_Data!P476&lt;50000,Sales_Data!V476="Completed"),"Silver",IF(OR(Sales_Data!Q476&lt;=2,Sales_Data!V476="Canceled"),"Blacklisted","Others"))))</f>
        <v>Blacklisted</v>
      </c>
      <c r="B476" s="4" t="str">
        <f>PROPER(TRIM(Sales_Data!F476))</f>
        <v>Amit Sharma</v>
      </c>
      <c r="C476" s="4" t="str">
        <f>LEFT(B476,3)&amp;RIGHT(Sales_Data!B476,3)&amp;LEFT(Sales_Data!I476,2)</f>
        <v>Ami001Mu</v>
      </c>
      <c r="D476" s="4" t="str">
        <f>IF(ISNUMBER(SEARCH("@",Sales_Data!T476)),LOWER(Sales_Data!T476),"Invalid_Email")</f>
        <v>amit.sharma@company.com</v>
      </c>
      <c r="E476" s="13">
        <f ca="1">DATEDIF(Sales_Data!H476,TODAY(),"Y")</f>
        <v>51</v>
      </c>
      <c r="F476" s="13">
        <f>IFERROR(DATEDIF(Sales_Data!D476,Sales_Data!E476,"D"),"Information_Not_Given")</f>
        <v>7</v>
      </c>
      <c r="G476" s="13" t="str" cm="1">
        <f t="array" ref="G476">_xlfn.IFS(F476&lt;=5,"One_Time",F476&gt;5,"Delayed",F476="Information_Not_given","Pending")</f>
        <v>Delayed</v>
      </c>
    </row>
    <row r="477" spans="1:7" x14ac:dyDescent="0.3">
      <c r="A477" s="12" t="str">
        <f>IF(AND(Sales_Data!P477&gt;=100000,Sales_Data!Q477&gt;=4,Sales_Data!V477="Completed",Sales_Data!O477&lt;=10),"Platinum",IF(AND(Sales_Data!P477&gt;=50000,Sales_Data!Q477&gt;=3,Sales_Data!V477="Completed"),"Gold",IF(AND(Sales_Data!P477&lt;50000,Sales_Data!V477="Completed"),"Silver",IF(OR(Sales_Data!Q477&lt;=2,Sales_Data!V477="Canceled"),"Blacklisted","Others"))))</f>
        <v>Blacklisted</v>
      </c>
      <c r="B477" s="4" t="str">
        <f>PROPER(TRIM(Sales_Data!F477))</f>
        <v>Rohit Singh</v>
      </c>
      <c r="C477" s="4" t="str">
        <f>LEFT(B477,3)&amp;RIGHT(Sales_Data!B477,3)&amp;LEFT(Sales_Data!I477,2)</f>
        <v>Roh003Ko</v>
      </c>
      <c r="D477" s="4" t="str">
        <f>IF(ISNUMBER(SEARCH("@",Sales_Data!T477)),LOWER(Sales_Data!T477),"Invalid_Email")</f>
        <v>rohit.singh@company.com</v>
      </c>
      <c r="E477" s="13">
        <f ca="1">DATEDIF(Sales_Data!H477,TODAY(),"Y")</f>
        <v>22</v>
      </c>
      <c r="F477" s="13">
        <f>IFERROR(DATEDIF(Sales_Data!D477,Sales_Data!E477,"D"),"Information_Not_Given")</f>
        <v>1</v>
      </c>
      <c r="G477" s="13" t="str" cm="1">
        <f t="array" ref="G477">_xlfn.IFS(F477&lt;=5,"One_Time",F477&gt;5,"Delayed",F477="Information_Not_given","Pending")</f>
        <v>One_Time</v>
      </c>
    </row>
    <row r="478" spans="1:7" x14ac:dyDescent="0.3">
      <c r="A478" s="12" t="str">
        <f>IF(AND(Sales_Data!P478&gt;=100000,Sales_Data!Q478&gt;=4,Sales_Data!V478="Completed",Sales_Data!O478&lt;=10),"Platinum",IF(AND(Sales_Data!P478&gt;=50000,Sales_Data!Q478&gt;=3,Sales_Data!V478="Completed"),"Gold",IF(AND(Sales_Data!P478&lt;50000,Sales_Data!V478="Completed"),"Silver",IF(OR(Sales_Data!Q478&lt;=2,Sales_Data!V478="Canceled"),"Blacklisted","Others"))))</f>
        <v>Blacklisted</v>
      </c>
      <c r="B478" s="4" t="str">
        <f>PROPER(TRIM(Sales_Data!F478))</f>
        <v>Pooja Shah</v>
      </c>
      <c r="C478" s="4" t="str">
        <f>LEFT(B478,3)&amp;RIGHT(Sales_Data!B478,3)&amp;LEFT(Sales_Data!I478,2)</f>
        <v>Poo010Mu</v>
      </c>
      <c r="D478" s="4" t="str">
        <f>IF(ISNUMBER(SEARCH("@",Sales_Data!T478)),LOWER(Sales_Data!T478),"Invalid_Email")</f>
        <v>pooja.shah@company.com</v>
      </c>
      <c r="E478" s="13">
        <f ca="1">DATEDIF(Sales_Data!H478,TODAY(),"Y")</f>
        <v>25</v>
      </c>
      <c r="F478" s="13">
        <f>IFERROR(DATEDIF(Sales_Data!D478,Sales_Data!E478,"D"),"Information_Not_Given")</f>
        <v>7</v>
      </c>
      <c r="G478" s="13" t="str" cm="1">
        <f t="array" ref="G478">_xlfn.IFS(F478&lt;=5,"One_Time",F478&gt;5,"Delayed",F478="Information_Not_given","Pending")</f>
        <v>Delayed</v>
      </c>
    </row>
    <row r="479" spans="1:7" x14ac:dyDescent="0.3">
      <c r="A479" s="12" t="str">
        <f>IF(AND(Sales_Data!P479&gt;=100000,Sales_Data!Q479&gt;=4,Sales_Data!V479="Completed",Sales_Data!O479&lt;=10),"Platinum",IF(AND(Sales_Data!P479&gt;=50000,Sales_Data!Q479&gt;=3,Sales_Data!V479="Completed"),"Gold",IF(AND(Sales_Data!P479&lt;50000,Sales_Data!V479="Completed"),"Silver",IF(OR(Sales_Data!Q479&lt;=2,Sales_Data!V479="Canceled"),"Blacklisted","Others"))))</f>
        <v>Silver</v>
      </c>
      <c r="B479" s="4" t="str">
        <f>PROPER(TRIM(Sales_Data!F479))</f>
        <v>Kavya Nair</v>
      </c>
      <c r="C479" s="4" t="str">
        <f>LEFT(B479,3)&amp;RIGHT(Sales_Data!B479,3)&amp;LEFT(Sales_Data!I479,2)</f>
        <v>Kav008Be</v>
      </c>
      <c r="D479" s="4" t="str">
        <f>IF(ISNUMBER(SEARCH("@",Sales_Data!T479)),LOWER(Sales_Data!T479),"Invalid_Email")</f>
        <v>kavya.nair@company.com</v>
      </c>
      <c r="E479" s="13">
        <f ca="1">DATEDIF(Sales_Data!H479,TODAY(),"Y")</f>
        <v>28</v>
      </c>
      <c r="F479" s="13">
        <f>IFERROR(DATEDIF(Sales_Data!D479,Sales_Data!E479,"D"),"Information_Not_Given")</f>
        <v>9</v>
      </c>
      <c r="G479" s="13" t="str" cm="1">
        <f t="array" ref="G479">_xlfn.IFS(F479&lt;=5,"One_Time",F479&gt;5,"Delayed",F479="Information_Not_given","Pending")</f>
        <v>Delayed</v>
      </c>
    </row>
    <row r="480" spans="1:7" x14ac:dyDescent="0.3">
      <c r="A480" s="12" t="str">
        <f>IF(AND(Sales_Data!P480&gt;=100000,Sales_Data!Q480&gt;=4,Sales_Data!V480="Completed",Sales_Data!O480&lt;=10),"Platinum",IF(AND(Sales_Data!P480&gt;=50000,Sales_Data!Q480&gt;=3,Sales_Data!V480="Completed"),"Gold",IF(AND(Sales_Data!P480&lt;50000,Sales_Data!V480="Completed"),"Silver",IF(OR(Sales_Data!Q480&lt;=2,Sales_Data!V480="Canceled"),"Blacklisted","Others"))))</f>
        <v>Others</v>
      </c>
      <c r="B480" s="4" t="str">
        <f>PROPER(TRIM(Sales_Data!F480))</f>
        <v>Anita Gupta</v>
      </c>
      <c r="C480" s="4" t="str">
        <f>LEFT(B480,3)&amp;RIGHT(Sales_Data!B480,3)&amp;LEFT(Sales_Data!I480,2)</f>
        <v>Ani004Ko</v>
      </c>
      <c r="D480" s="4" t="str">
        <f>IF(ISNUMBER(SEARCH("@",Sales_Data!T480)),LOWER(Sales_Data!T480),"Invalid_Email")</f>
        <v>anita.gupta@company.com</v>
      </c>
      <c r="E480" s="13">
        <f ca="1">DATEDIF(Sales_Data!H480,TODAY(),"Y")</f>
        <v>22</v>
      </c>
      <c r="F480" s="13">
        <f>IFERROR(DATEDIF(Sales_Data!D480,Sales_Data!E480,"D"),"Information_Not_Given")</f>
        <v>1</v>
      </c>
      <c r="G480" s="13" t="str" cm="1">
        <f t="array" ref="G480">_xlfn.IFS(F480&lt;=5,"One_Time",F480&gt;5,"Delayed",F480="Information_Not_given","Pending")</f>
        <v>One_Time</v>
      </c>
    </row>
    <row r="481" spans="1:7" x14ac:dyDescent="0.3">
      <c r="A481" s="12" t="str">
        <f>IF(AND(Sales_Data!P481&gt;=100000,Sales_Data!Q481&gt;=4,Sales_Data!V481="Completed",Sales_Data!O481&lt;=10),"Platinum",IF(AND(Sales_Data!P481&gt;=50000,Sales_Data!Q481&gt;=3,Sales_Data!V481="Completed"),"Gold",IF(AND(Sales_Data!P481&lt;50000,Sales_Data!V481="Completed"),"Silver",IF(OR(Sales_Data!Q481&lt;=2,Sales_Data!V481="Canceled"),"Blacklisted","Others"))))</f>
        <v>Blacklisted</v>
      </c>
      <c r="B481" s="4" t="str">
        <f>PROPER(TRIM(Sales_Data!F481))</f>
        <v>Rohit Singh</v>
      </c>
      <c r="C481" s="4" t="str">
        <f>LEFT(B481,3)&amp;RIGHT(Sales_Data!B481,3)&amp;LEFT(Sales_Data!I481,2)</f>
        <v>Roh003Ah</v>
      </c>
      <c r="D481" s="4" t="str">
        <f>IF(ISNUMBER(SEARCH("@",Sales_Data!T481)),LOWER(Sales_Data!T481),"Invalid_Email")</f>
        <v>rohit.singh@company.com</v>
      </c>
      <c r="E481" s="13">
        <f ca="1">DATEDIF(Sales_Data!H481,TODAY(),"Y")</f>
        <v>41</v>
      </c>
      <c r="F481" s="13">
        <f>IFERROR(DATEDIF(Sales_Data!D481,Sales_Data!E481,"D"),"Information_Not_Given")</f>
        <v>6</v>
      </c>
      <c r="G481" s="13" t="str" cm="1">
        <f t="array" ref="G481">_xlfn.IFS(F481&lt;=5,"One_Time",F481&gt;5,"Delayed",F481="Information_Not_given","Pending")</f>
        <v>Delayed</v>
      </c>
    </row>
    <row r="482" spans="1:7" x14ac:dyDescent="0.3">
      <c r="A482" s="12" t="str">
        <f>IF(AND(Sales_Data!P482&gt;=100000,Sales_Data!Q482&gt;=4,Sales_Data!V482="Completed",Sales_Data!O482&lt;=10),"Platinum",IF(AND(Sales_Data!P482&gt;=50000,Sales_Data!Q482&gt;=3,Sales_Data!V482="Completed"),"Gold",IF(AND(Sales_Data!P482&lt;50000,Sales_Data!V482="Completed"),"Silver",IF(OR(Sales_Data!Q482&lt;=2,Sales_Data!V482="Canceled"),"Blacklisted","Others"))))</f>
        <v>Silver</v>
      </c>
      <c r="B482" s="4" t="str">
        <f>PROPER(TRIM(Sales_Data!F482))</f>
        <v>Kavya Nair</v>
      </c>
      <c r="C482" s="4" t="str">
        <f>LEFT(B482,3)&amp;RIGHT(Sales_Data!B482,3)&amp;LEFT(Sales_Data!I482,2)</f>
        <v>Kav008Be</v>
      </c>
      <c r="D482" s="4" t="str">
        <f>IF(ISNUMBER(SEARCH("@",Sales_Data!T482)),LOWER(Sales_Data!T482),"Invalid_Email")</f>
        <v>kavya.nair@company.com</v>
      </c>
      <c r="E482" s="13">
        <f ca="1">DATEDIF(Sales_Data!H482,TODAY(),"Y")</f>
        <v>40</v>
      </c>
      <c r="F482" s="13">
        <f>IFERROR(DATEDIF(Sales_Data!D482,Sales_Data!E482,"D"),"Information_Not_Given")</f>
        <v>6</v>
      </c>
      <c r="G482" s="13" t="str" cm="1">
        <f t="array" ref="G482">_xlfn.IFS(F482&lt;=5,"One_Time",F482&gt;5,"Delayed",F482="Information_Not_given","Pending")</f>
        <v>Delayed</v>
      </c>
    </row>
    <row r="483" spans="1:7" x14ac:dyDescent="0.3">
      <c r="A483" s="12" t="str">
        <f>IF(AND(Sales_Data!P483&gt;=100000,Sales_Data!Q483&gt;=4,Sales_Data!V483="Completed",Sales_Data!O483&lt;=10),"Platinum",IF(AND(Sales_Data!P483&gt;=50000,Sales_Data!Q483&gt;=3,Sales_Data!V483="Completed"),"Gold",IF(AND(Sales_Data!P483&lt;50000,Sales_Data!V483="Completed"),"Silver",IF(OR(Sales_Data!Q483&lt;=2,Sales_Data!V483="Canceled"),"Blacklisted","Others"))))</f>
        <v>Others</v>
      </c>
      <c r="B483" s="4" t="str">
        <f>PROPER(TRIM(Sales_Data!F483))</f>
        <v>Rohit Singh</v>
      </c>
      <c r="C483" s="4" t="str">
        <f>LEFT(B483,3)&amp;RIGHT(Sales_Data!B483,3)&amp;LEFT(Sales_Data!I483,2)</f>
        <v>Roh003Ko</v>
      </c>
      <c r="D483" s="4" t="str">
        <f>IF(ISNUMBER(SEARCH("@",Sales_Data!T483)),LOWER(Sales_Data!T483),"Invalid_Email")</f>
        <v>rohit.singh@company.com</v>
      </c>
      <c r="E483" s="13">
        <f ca="1">DATEDIF(Sales_Data!H483,TODAY(),"Y")</f>
        <v>45</v>
      </c>
      <c r="F483" s="13">
        <f>IFERROR(DATEDIF(Sales_Data!D483,Sales_Data!E483,"D"),"Information_Not_Given")</f>
        <v>1</v>
      </c>
      <c r="G483" s="13" t="str" cm="1">
        <f t="array" ref="G483">_xlfn.IFS(F483&lt;=5,"One_Time",F483&gt;5,"Delayed",F483="Information_Not_given","Pending")</f>
        <v>One_Time</v>
      </c>
    </row>
    <row r="484" spans="1:7" x14ac:dyDescent="0.3">
      <c r="A484" s="12" t="str">
        <f>IF(AND(Sales_Data!P484&gt;=100000,Sales_Data!Q484&gt;=4,Sales_Data!V484="Completed",Sales_Data!O484&lt;=10),"Platinum",IF(AND(Sales_Data!P484&gt;=50000,Sales_Data!Q484&gt;=3,Sales_Data!V484="Completed"),"Gold",IF(AND(Sales_Data!P484&lt;50000,Sales_Data!V484="Completed"),"Silver",IF(OR(Sales_Data!Q484&lt;=2,Sales_Data!V484="Canceled"),"Blacklisted","Others"))))</f>
        <v>Blacklisted</v>
      </c>
      <c r="B484" s="4" t="str">
        <f>PROPER(TRIM(Sales_Data!F484))</f>
        <v>Mohit Verma</v>
      </c>
      <c r="C484" s="4" t="str">
        <f>LEFT(B484,3)&amp;RIGHT(Sales_Data!B484,3)&amp;LEFT(Sales_Data!I484,2)</f>
        <v>Moh009Ko</v>
      </c>
      <c r="D484" s="4" t="str">
        <f>IF(ISNUMBER(SEARCH("@",Sales_Data!T484)),LOWER(Sales_Data!T484),"Invalid_Email")</f>
        <v>mohit.verma@company.com</v>
      </c>
      <c r="E484" s="13">
        <f ca="1">DATEDIF(Sales_Data!H484,TODAY(),"Y")</f>
        <v>34</v>
      </c>
      <c r="F484" s="13">
        <f>IFERROR(DATEDIF(Sales_Data!D484,Sales_Data!E484,"D"),"Information_Not_Given")</f>
        <v>10</v>
      </c>
      <c r="G484" s="13" t="str" cm="1">
        <f t="array" ref="G484">_xlfn.IFS(F484&lt;=5,"One_Time",F484&gt;5,"Delayed",F484="Information_Not_given","Pending")</f>
        <v>Delayed</v>
      </c>
    </row>
    <row r="485" spans="1:7" x14ac:dyDescent="0.3">
      <c r="A485" s="12" t="str">
        <f>IF(AND(Sales_Data!P485&gt;=100000,Sales_Data!Q485&gt;=4,Sales_Data!V485="Completed",Sales_Data!O485&lt;=10),"Platinum",IF(AND(Sales_Data!P485&gt;=50000,Sales_Data!Q485&gt;=3,Sales_Data!V485="Completed"),"Gold",IF(AND(Sales_Data!P485&lt;50000,Sales_Data!V485="Completed"),"Silver",IF(OR(Sales_Data!Q485&lt;=2,Sales_Data!V485="Canceled"),"Blacklisted","Others"))))</f>
        <v>Silver</v>
      </c>
      <c r="B485" s="4" t="str">
        <f>PROPER(TRIM(Sales_Data!F485))</f>
        <v>Kavya Nair</v>
      </c>
      <c r="C485" s="4" t="str">
        <f>LEFT(B485,3)&amp;RIGHT(Sales_Data!B485,3)&amp;LEFT(Sales_Data!I485,2)</f>
        <v>Kav008Hy</v>
      </c>
      <c r="D485" s="4" t="str">
        <f>IF(ISNUMBER(SEARCH("@",Sales_Data!T485)),LOWER(Sales_Data!T485),"Invalid_Email")</f>
        <v>kavya.nair@company.com</v>
      </c>
      <c r="E485" s="13">
        <f ca="1">DATEDIF(Sales_Data!H485,TODAY(),"Y")</f>
        <v>35</v>
      </c>
      <c r="F485" s="13">
        <f>IFERROR(DATEDIF(Sales_Data!D485,Sales_Data!E485,"D"),"Information_Not_Given")</f>
        <v>10</v>
      </c>
      <c r="G485" s="13" t="str" cm="1">
        <f t="array" ref="G485">_xlfn.IFS(F485&lt;=5,"One_Time",F485&gt;5,"Delayed",F485="Information_Not_given","Pending")</f>
        <v>Delayed</v>
      </c>
    </row>
    <row r="486" spans="1:7" x14ac:dyDescent="0.3">
      <c r="A486" s="12" t="str">
        <f>IF(AND(Sales_Data!P486&gt;=100000,Sales_Data!Q486&gt;=4,Sales_Data!V486="Completed",Sales_Data!O486&lt;=10),"Platinum",IF(AND(Sales_Data!P486&gt;=50000,Sales_Data!Q486&gt;=3,Sales_Data!V486="Completed"),"Gold",IF(AND(Sales_Data!P486&lt;50000,Sales_Data!V486="Completed"),"Silver",IF(OR(Sales_Data!Q486&lt;=2,Sales_Data!V486="Canceled"),"Blacklisted","Others"))))</f>
        <v>Silver</v>
      </c>
      <c r="B486" s="4" t="str">
        <f>PROPER(TRIM(Sales_Data!F486))</f>
        <v>Amit Sharma</v>
      </c>
      <c r="C486" s="4" t="str">
        <f>LEFT(B486,3)&amp;RIGHT(Sales_Data!B486,3)&amp;LEFT(Sales_Data!I486,2)</f>
        <v>Ami001Ah</v>
      </c>
      <c r="D486" s="4" t="str">
        <f>IF(ISNUMBER(SEARCH("@",Sales_Data!T486)),LOWER(Sales_Data!T486),"Invalid_Email")</f>
        <v>amit.sharma@company.com</v>
      </c>
      <c r="E486" s="13">
        <f ca="1">DATEDIF(Sales_Data!H486,TODAY(),"Y")</f>
        <v>48</v>
      </c>
      <c r="F486" s="13">
        <f>IFERROR(DATEDIF(Sales_Data!D486,Sales_Data!E486,"D"),"Information_Not_Given")</f>
        <v>10</v>
      </c>
      <c r="G486" s="13" t="str" cm="1">
        <f t="array" ref="G486">_xlfn.IFS(F486&lt;=5,"One_Time",F486&gt;5,"Delayed",F486="Information_Not_given","Pending")</f>
        <v>Delayed</v>
      </c>
    </row>
    <row r="487" spans="1:7" x14ac:dyDescent="0.3">
      <c r="A487" s="12" t="str">
        <f>IF(AND(Sales_Data!P487&gt;=100000,Sales_Data!Q487&gt;=4,Sales_Data!V487="Completed",Sales_Data!O487&lt;=10),"Platinum",IF(AND(Sales_Data!P487&gt;=50000,Sales_Data!Q487&gt;=3,Sales_Data!V487="Completed"),"Gold",IF(AND(Sales_Data!P487&lt;50000,Sales_Data!V487="Completed"),"Silver",IF(OR(Sales_Data!Q487&lt;=2,Sales_Data!V487="Canceled"),"Blacklisted","Others"))))</f>
        <v>Blacklisted</v>
      </c>
      <c r="B487" s="4" t="str">
        <f>PROPER(TRIM(Sales_Data!F487))</f>
        <v>Priya Patel</v>
      </c>
      <c r="C487" s="4" t="str">
        <f>LEFT(B487,3)&amp;RIGHT(Sales_Data!B487,3)&amp;LEFT(Sales_Data!I487,2)</f>
        <v>Pri002Ja</v>
      </c>
      <c r="D487" s="4" t="str">
        <f>IF(ISNUMBER(SEARCH("@",Sales_Data!T487)),LOWER(Sales_Data!T487),"Invalid_Email")</f>
        <v>priya.patel@company.com</v>
      </c>
      <c r="E487" s="13">
        <f ca="1">DATEDIF(Sales_Data!H487,TODAY(),"Y")</f>
        <v>27</v>
      </c>
      <c r="F487" s="13">
        <f>IFERROR(DATEDIF(Sales_Data!D487,Sales_Data!E487,"D"),"Information_Not_Given")</f>
        <v>6</v>
      </c>
      <c r="G487" s="13" t="str" cm="1">
        <f t="array" ref="G487">_xlfn.IFS(F487&lt;=5,"One_Time",F487&gt;5,"Delayed",F487="Information_Not_given","Pending")</f>
        <v>Delayed</v>
      </c>
    </row>
    <row r="488" spans="1:7" x14ac:dyDescent="0.3">
      <c r="A488" s="12" t="str">
        <f>IF(AND(Sales_Data!P488&gt;=100000,Sales_Data!Q488&gt;=4,Sales_Data!V488="Completed",Sales_Data!O488&lt;=10),"Platinum",IF(AND(Sales_Data!P488&gt;=50000,Sales_Data!Q488&gt;=3,Sales_Data!V488="Completed"),"Gold",IF(AND(Sales_Data!P488&lt;50000,Sales_Data!V488="Completed"),"Silver",IF(OR(Sales_Data!Q488&lt;=2,Sales_Data!V488="Canceled"),"Blacklisted","Others"))))</f>
        <v>Silver</v>
      </c>
      <c r="B488" s="4" t="str">
        <f>PROPER(TRIM(Sales_Data!F488))</f>
        <v>Sneha Joshi</v>
      </c>
      <c r="C488" s="4" t="str">
        <f>LEFT(B488,3)&amp;RIGHT(Sales_Data!B488,3)&amp;LEFT(Sales_Data!I488,2)</f>
        <v>Sne006Ko</v>
      </c>
      <c r="D488" s="4" t="str">
        <f>IF(ISNUMBER(SEARCH("@",Sales_Data!T488)),LOWER(Sales_Data!T488),"Invalid_Email")</f>
        <v>sneha.joshi@company.com</v>
      </c>
      <c r="E488" s="13">
        <f ca="1">DATEDIF(Sales_Data!H488,TODAY(),"Y")</f>
        <v>38</v>
      </c>
      <c r="F488" s="13">
        <f>IFERROR(DATEDIF(Sales_Data!D488,Sales_Data!E488,"D"),"Information_Not_Given")</f>
        <v>5</v>
      </c>
      <c r="G488" s="13" t="str" cm="1">
        <f t="array" ref="G488">_xlfn.IFS(F488&lt;=5,"One_Time",F488&gt;5,"Delayed",F488="Information_Not_given","Pending")</f>
        <v>One_Time</v>
      </c>
    </row>
    <row r="489" spans="1:7" x14ac:dyDescent="0.3">
      <c r="A489" s="12" t="str">
        <f>IF(AND(Sales_Data!P489&gt;=100000,Sales_Data!Q489&gt;=4,Sales_Data!V489="Completed",Sales_Data!O489&lt;=10),"Platinum",IF(AND(Sales_Data!P489&gt;=50000,Sales_Data!Q489&gt;=3,Sales_Data!V489="Completed"),"Gold",IF(AND(Sales_Data!P489&lt;50000,Sales_Data!V489="Completed"),"Silver",IF(OR(Sales_Data!Q489&lt;=2,Sales_Data!V489="Canceled"),"Blacklisted","Others"))))</f>
        <v>Others</v>
      </c>
      <c r="B489" s="4" t="str">
        <f>PROPER(TRIM(Sales_Data!F489))</f>
        <v>Pooja Shah</v>
      </c>
      <c r="C489" s="4" t="str">
        <f>LEFT(B489,3)&amp;RIGHT(Sales_Data!B489,3)&amp;LEFT(Sales_Data!I489,2)</f>
        <v>Poo010Ko</v>
      </c>
      <c r="D489" s="4" t="str">
        <f>IF(ISNUMBER(SEARCH("@",Sales_Data!T489)),LOWER(Sales_Data!T489),"Invalid_Email")</f>
        <v>pooja.shah@company.com</v>
      </c>
      <c r="E489" s="13">
        <f ca="1">DATEDIF(Sales_Data!H489,TODAY(),"Y")</f>
        <v>47</v>
      </c>
      <c r="F489" s="13">
        <f>IFERROR(DATEDIF(Sales_Data!D489,Sales_Data!E489,"D"),"Information_Not_Given")</f>
        <v>4</v>
      </c>
      <c r="G489" s="13" t="str" cm="1">
        <f t="array" ref="G489">_xlfn.IFS(F489&lt;=5,"One_Time",F489&gt;5,"Delayed",F489="Information_Not_given","Pending")</f>
        <v>One_Time</v>
      </c>
    </row>
    <row r="490" spans="1:7" x14ac:dyDescent="0.3">
      <c r="A490" s="12" t="str">
        <f>IF(AND(Sales_Data!P490&gt;=100000,Sales_Data!Q490&gt;=4,Sales_Data!V490="Completed",Sales_Data!O490&lt;=10),"Platinum",IF(AND(Sales_Data!P490&gt;=50000,Sales_Data!Q490&gt;=3,Sales_Data!V490="Completed"),"Gold",IF(AND(Sales_Data!P490&lt;50000,Sales_Data!V490="Completed"),"Silver",IF(OR(Sales_Data!Q490&lt;=2,Sales_Data!V490="Canceled"),"Blacklisted","Others"))))</f>
        <v>Blacklisted</v>
      </c>
      <c r="B490" s="4" t="str">
        <f>PROPER(TRIM(Sales_Data!F490))</f>
        <v>Anita Gupta</v>
      </c>
      <c r="C490" s="4" t="str">
        <f>LEFT(B490,3)&amp;RIGHT(Sales_Data!B490,3)&amp;LEFT(Sales_Data!I490,2)</f>
        <v>Ani004Pu</v>
      </c>
      <c r="D490" s="4" t="str">
        <f>IF(ISNUMBER(SEARCH("@",Sales_Data!T490)),LOWER(Sales_Data!T490),"Invalid_Email")</f>
        <v>anita.gupta@company.com</v>
      </c>
      <c r="E490" s="13">
        <f ca="1">DATEDIF(Sales_Data!H490,TODAY(),"Y")</f>
        <v>32</v>
      </c>
      <c r="F490" s="13">
        <f>IFERROR(DATEDIF(Sales_Data!D490,Sales_Data!E490,"D"),"Information_Not_Given")</f>
        <v>12</v>
      </c>
      <c r="G490" s="13" t="str" cm="1">
        <f t="array" ref="G490">_xlfn.IFS(F490&lt;=5,"One_Time",F490&gt;5,"Delayed",F490="Information_Not_given","Pending")</f>
        <v>Delayed</v>
      </c>
    </row>
    <row r="491" spans="1:7" x14ac:dyDescent="0.3">
      <c r="A491" s="12" t="str">
        <f>IF(AND(Sales_Data!P491&gt;=100000,Sales_Data!Q491&gt;=4,Sales_Data!V491="Completed",Sales_Data!O491&lt;=10),"Platinum",IF(AND(Sales_Data!P491&gt;=50000,Sales_Data!Q491&gt;=3,Sales_Data!V491="Completed"),"Gold",IF(AND(Sales_Data!P491&lt;50000,Sales_Data!V491="Completed"),"Silver",IF(OR(Sales_Data!Q491&lt;=2,Sales_Data!V491="Canceled"),"Blacklisted","Others"))))</f>
        <v>Silver</v>
      </c>
      <c r="B491" s="4" t="str">
        <f>PROPER(TRIM(Sales_Data!F491))</f>
        <v>Amit Sharma</v>
      </c>
      <c r="C491" s="4" t="str">
        <f>LEFT(B491,3)&amp;RIGHT(Sales_Data!B491,3)&amp;LEFT(Sales_Data!I491,2)</f>
        <v>Ami001Hy</v>
      </c>
      <c r="D491" s="4" t="str">
        <f>IF(ISNUMBER(SEARCH("@",Sales_Data!T491)),LOWER(Sales_Data!T491),"Invalid_Email")</f>
        <v>amit.sharma@company.com</v>
      </c>
      <c r="E491" s="13">
        <f ca="1">DATEDIF(Sales_Data!H491,TODAY(),"Y")</f>
        <v>33</v>
      </c>
      <c r="F491" s="13">
        <f>IFERROR(DATEDIF(Sales_Data!D491,Sales_Data!E491,"D"),"Information_Not_Given")</f>
        <v>2</v>
      </c>
      <c r="G491" s="13" t="str" cm="1">
        <f t="array" ref="G491">_xlfn.IFS(F491&lt;=5,"One_Time",F491&gt;5,"Delayed",F491="Information_Not_given","Pending")</f>
        <v>One_Time</v>
      </c>
    </row>
    <row r="492" spans="1:7" x14ac:dyDescent="0.3">
      <c r="A492" s="12" t="str">
        <f>IF(AND(Sales_Data!P492&gt;=100000,Sales_Data!Q492&gt;=4,Sales_Data!V492="Completed",Sales_Data!O492&lt;=10),"Platinum",IF(AND(Sales_Data!P492&gt;=50000,Sales_Data!Q492&gt;=3,Sales_Data!V492="Completed"),"Gold",IF(AND(Sales_Data!P492&lt;50000,Sales_Data!V492="Completed"),"Silver",IF(OR(Sales_Data!Q492&lt;=2,Sales_Data!V492="Canceled"),"Blacklisted","Others"))))</f>
        <v>Others</v>
      </c>
      <c r="B492" s="4" t="str">
        <f>PROPER(TRIM(Sales_Data!F492))</f>
        <v>Priya Patel</v>
      </c>
      <c r="C492" s="4" t="str">
        <f>LEFT(B492,3)&amp;RIGHT(Sales_Data!B492,3)&amp;LEFT(Sales_Data!I492,2)</f>
        <v>Pri002Pu</v>
      </c>
      <c r="D492" s="4" t="str">
        <f>IF(ISNUMBER(SEARCH("@",Sales_Data!T492)),LOWER(Sales_Data!T492),"Invalid_Email")</f>
        <v>priya.patel@company.com</v>
      </c>
      <c r="E492" s="13">
        <f ca="1">DATEDIF(Sales_Data!H492,TODAY(),"Y")</f>
        <v>32</v>
      </c>
      <c r="F492" s="13">
        <f>IFERROR(DATEDIF(Sales_Data!D492,Sales_Data!E492,"D"),"Information_Not_Given")</f>
        <v>9</v>
      </c>
      <c r="G492" s="13" t="str" cm="1">
        <f t="array" ref="G492">_xlfn.IFS(F492&lt;=5,"One_Time",F492&gt;5,"Delayed",F492="Information_Not_given","Pending")</f>
        <v>Delayed</v>
      </c>
    </row>
    <row r="493" spans="1:7" x14ac:dyDescent="0.3">
      <c r="A493" s="12" t="str">
        <f>IF(AND(Sales_Data!P493&gt;=100000,Sales_Data!Q493&gt;=4,Sales_Data!V493="Completed",Sales_Data!O493&lt;=10),"Platinum",IF(AND(Sales_Data!P493&gt;=50000,Sales_Data!Q493&gt;=3,Sales_Data!V493="Completed"),"Gold",IF(AND(Sales_Data!P493&lt;50000,Sales_Data!V493="Completed"),"Silver",IF(OR(Sales_Data!Q493&lt;=2,Sales_Data!V493="Canceled"),"Blacklisted","Others"))))</f>
        <v>Gold</v>
      </c>
      <c r="B493" s="4" t="str">
        <f>PROPER(TRIM(Sales_Data!F493))</f>
        <v>Arjun Rao</v>
      </c>
      <c r="C493" s="4" t="str">
        <f>LEFT(B493,3)&amp;RIGHT(Sales_Data!B493,3)&amp;LEFT(Sales_Data!I493,2)</f>
        <v>Arj007De</v>
      </c>
      <c r="D493" s="4" t="str">
        <f>IF(ISNUMBER(SEARCH("@",Sales_Data!T493)),LOWER(Sales_Data!T493),"Invalid_Email")</f>
        <v>arjun.rao@company.com</v>
      </c>
      <c r="E493" s="13">
        <f ca="1">DATEDIF(Sales_Data!H493,TODAY(),"Y")</f>
        <v>43</v>
      </c>
      <c r="F493" s="13">
        <f>IFERROR(DATEDIF(Sales_Data!D493,Sales_Data!E493,"D"),"Information_Not_Given")</f>
        <v>8</v>
      </c>
      <c r="G493" s="13" t="str" cm="1">
        <f t="array" ref="G493">_xlfn.IFS(F493&lt;=5,"One_Time",F493&gt;5,"Delayed",F493="Information_Not_given","Pending")</f>
        <v>Delayed</v>
      </c>
    </row>
    <row r="494" spans="1:7" x14ac:dyDescent="0.3">
      <c r="A494" s="12" t="str">
        <f>IF(AND(Sales_Data!P494&gt;=100000,Sales_Data!Q494&gt;=4,Sales_Data!V494="Completed",Sales_Data!O494&lt;=10),"Platinum",IF(AND(Sales_Data!P494&gt;=50000,Sales_Data!Q494&gt;=3,Sales_Data!V494="Completed"),"Gold",IF(AND(Sales_Data!P494&lt;50000,Sales_Data!V494="Completed"),"Silver",IF(OR(Sales_Data!Q494&lt;=2,Sales_Data!V494="Canceled"),"Blacklisted","Others"))))</f>
        <v>Blacklisted</v>
      </c>
      <c r="B494" s="4" t="str">
        <f>PROPER(TRIM(Sales_Data!F494))</f>
        <v>Rohit Singh</v>
      </c>
      <c r="C494" s="4" t="str">
        <f>LEFT(B494,3)&amp;RIGHT(Sales_Data!B494,3)&amp;LEFT(Sales_Data!I494,2)</f>
        <v>Roh003Hy</v>
      </c>
      <c r="D494" s="4" t="str">
        <f>IF(ISNUMBER(SEARCH("@",Sales_Data!T494)),LOWER(Sales_Data!T494),"Invalid_Email")</f>
        <v>rohit.singh@company.com</v>
      </c>
      <c r="E494" s="13">
        <f ca="1">DATEDIF(Sales_Data!H494,TODAY(),"Y")</f>
        <v>24</v>
      </c>
      <c r="F494" s="13">
        <f>IFERROR(DATEDIF(Sales_Data!D494,Sales_Data!E494,"D"),"Information_Not_Given")</f>
        <v>9</v>
      </c>
      <c r="G494" s="13" t="str" cm="1">
        <f t="array" ref="G494">_xlfn.IFS(F494&lt;=5,"One_Time",F494&gt;5,"Delayed",F494="Information_Not_given","Pending")</f>
        <v>Delayed</v>
      </c>
    </row>
    <row r="495" spans="1:7" x14ac:dyDescent="0.3">
      <c r="A495" s="12" t="str">
        <f>IF(AND(Sales_Data!P495&gt;=100000,Sales_Data!Q495&gt;=4,Sales_Data!V495="Completed",Sales_Data!O495&lt;=10),"Platinum",IF(AND(Sales_Data!P495&gt;=50000,Sales_Data!Q495&gt;=3,Sales_Data!V495="Completed"),"Gold",IF(AND(Sales_Data!P495&lt;50000,Sales_Data!V495="Completed"),"Silver",IF(OR(Sales_Data!Q495&lt;=2,Sales_Data!V495="Canceled"),"Blacklisted","Others"))))</f>
        <v>Blacklisted</v>
      </c>
      <c r="B495" s="4" t="str">
        <f>PROPER(TRIM(Sales_Data!F495))</f>
        <v>Arjun Rao</v>
      </c>
      <c r="C495" s="4" t="str">
        <f>LEFT(B495,3)&amp;RIGHT(Sales_Data!B495,3)&amp;LEFT(Sales_Data!I495,2)</f>
        <v>Arj007Ah</v>
      </c>
      <c r="D495" s="4" t="str">
        <f>IF(ISNUMBER(SEARCH("@",Sales_Data!T495)),LOWER(Sales_Data!T495),"Invalid_Email")</f>
        <v>arjun.rao@company.com</v>
      </c>
      <c r="E495" s="13">
        <f ca="1">DATEDIF(Sales_Data!H495,TODAY(),"Y")</f>
        <v>24</v>
      </c>
      <c r="F495" s="13">
        <f>IFERROR(DATEDIF(Sales_Data!D495,Sales_Data!E495,"D"),"Information_Not_Given")</f>
        <v>3</v>
      </c>
      <c r="G495" s="13" t="str" cm="1">
        <f t="array" ref="G495">_xlfn.IFS(F495&lt;=5,"One_Time",F495&gt;5,"Delayed",F495="Information_Not_given","Pending")</f>
        <v>One_Time</v>
      </c>
    </row>
    <row r="496" spans="1:7" x14ac:dyDescent="0.3">
      <c r="A496" s="12" t="str">
        <f>IF(AND(Sales_Data!P496&gt;=100000,Sales_Data!Q496&gt;=4,Sales_Data!V496="Completed",Sales_Data!O496&lt;=10),"Platinum",IF(AND(Sales_Data!P496&gt;=50000,Sales_Data!Q496&gt;=3,Sales_Data!V496="Completed"),"Gold",IF(AND(Sales_Data!P496&lt;50000,Sales_Data!V496="Completed"),"Silver",IF(OR(Sales_Data!Q496&lt;=2,Sales_Data!V496="Canceled"),"Blacklisted","Others"))))</f>
        <v>Others</v>
      </c>
      <c r="B496" s="4" t="str">
        <f>PROPER(TRIM(Sales_Data!F496))</f>
        <v>Mohit Verma</v>
      </c>
      <c r="C496" s="4" t="str">
        <f>LEFT(B496,3)&amp;RIGHT(Sales_Data!B496,3)&amp;LEFT(Sales_Data!I496,2)</f>
        <v>Moh009Pu</v>
      </c>
      <c r="D496" s="4" t="str">
        <f>IF(ISNUMBER(SEARCH("@",Sales_Data!T496)),LOWER(Sales_Data!T496),"Invalid_Email")</f>
        <v>mohit.verma@company.com</v>
      </c>
      <c r="E496" s="13">
        <f ca="1">DATEDIF(Sales_Data!H496,TODAY(),"Y")</f>
        <v>25</v>
      </c>
      <c r="F496" s="13">
        <f>IFERROR(DATEDIF(Sales_Data!D496,Sales_Data!E496,"D"),"Information_Not_Given")</f>
        <v>11</v>
      </c>
      <c r="G496" s="13" t="str" cm="1">
        <f t="array" ref="G496">_xlfn.IFS(F496&lt;=5,"One_Time",F496&gt;5,"Delayed",F496="Information_Not_given","Pending")</f>
        <v>Delayed</v>
      </c>
    </row>
    <row r="497" spans="1:7" x14ac:dyDescent="0.3">
      <c r="A497" s="12" t="str">
        <f>IF(AND(Sales_Data!P497&gt;=100000,Sales_Data!Q497&gt;=4,Sales_Data!V497="Completed",Sales_Data!O497&lt;=10),"Platinum",IF(AND(Sales_Data!P497&gt;=50000,Sales_Data!Q497&gt;=3,Sales_Data!V497="Completed"),"Gold",IF(AND(Sales_Data!P497&lt;50000,Sales_Data!V497="Completed"),"Silver",IF(OR(Sales_Data!Q497&lt;=2,Sales_Data!V497="Canceled"),"Blacklisted","Others"))))</f>
        <v>Others</v>
      </c>
      <c r="B497" s="4" t="str">
        <f>PROPER(TRIM(Sales_Data!F497))</f>
        <v>Anita Gupta</v>
      </c>
      <c r="C497" s="4" t="str">
        <f>LEFT(B497,3)&amp;RIGHT(Sales_Data!B497,3)&amp;LEFT(Sales_Data!I497,2)</f>
        <v>Ani004Ja</v>
      </c>
      <c r="D497" s="4" t="str">
        <f>IF(ISNUMBER(SEARCH("@",Sales_Data!T497)),LOWER(Sales_Data!T497),"Invalid_Email")</f>
        <v>anita.gupta@company.com</v>
      </c>
      <c r="E497" s="13">
        <f ca="1">DATEDIF(Sales_Data!H497,TODAY(),"Y")</f>
        <v>43</v>
      </c>
      <c r="F497" s="13">
        <f>IFERROR(DATEDIF(Sales_Data!D497,Sales_Data!E497,"D"),"Information_Not_Given")</f>
        <v>12</v>
      </c>
      <c r="G497" s="13" t="str" cm="1">
        <f t="array" ref="G497">_xlfn.IFS(F497&lt;=5,"One_Time",F497&gt;5,"Delayed",F497="Information_Not_given","Pending")</f>
        <v>Delayed</v>
      </c>
    </row>
    <row r="498" spans="1:7" x14ac:dyDescent="0.3">
      <c r="A498" s="12" t="str">
        <f>IF(AND(Sales_Data!P498&gt;=100000,Sales_Data!Q498&gt;=4,Sales_Data!V498="Completed",Sales_Data!O498&lt;=10),"Platinum",IF(AND(Sales_Data!P498&gt;=50000,Sales_Data!Q498&gt;=3,Sales_Data!V498="Completed"),"Gold",IF(AND(Sales_Data!P498&lt;50000,Sales_Data!V498="Completed"),"Silver",IF(OR(Sales_Data!Q498&lt;=2,Sales_Data!V498="Canceled"),"Blacklisted","Others"))))</f>
        <v>Gold</v>
      </c>
      <c r="B498" s="4" t="str">
        <f>PROPER(TRIM(Sales_Data!F498))</f>
        <v>Arjun Rao</v>
      </c>
      <c r="C498" s="4" t="str">
        <f>LEFT(B498,3)&amp;RIGHT(Sales_Data!B498,3)&amp;LEFT(Sales_Data!I498,2)</f>
        <v>Arj007Ja</v>
      </c>
      <c r="D498" s="4" t="str">
        <f>IF(ISNUMBER(SEARCH("@",Sales_Data!T498)),LOWER(Sales_Data!T498),"Invalid_Email")</f>
        <v>arjun.rao@company.com</v>
      </c>
      <c r="E498" s="13">
        <f ca="1">DATEDIF(Sales_Data!H498,TODAY(),"Y")</f>
        <v>38</v>
      </c>
      <c r="F498" s="13">
        <f>IFERROR(DATEDIF(Sales_Data!D498,Sales_Data!E498,"D"),"Information_Not_Given")</f>
        <v>12</v>
      </c>
      <c r="G498" s="13" t="str" cm="1">
        <f t="array" ref="G498">_xlfn.IFS(F498&lt;=5,"One_Time",F498&gt;5,"Delayed",F498="Information_Not_given","Pending")</f>
        <v>Delayed</v>
      </c>
    </row>
    <row r="499" spans="1:7" x14ac:dyDescent="0.3">
      <c r="A499" s="12" t="str">
        <f>IF(AND(Sales_Data!P499&gt;=100000,Sales_Data!Q499&gt;=4,Sales_Data!V499="Completed",Sales_Data!O499&lt;=10),"Platinum",IF(AND(Sales_Data!P499&gt;=50000,Sales_Data!Q499&gt;=3,Sales_Data!V499="Completed"),"Gold",IF(AND(Sales_Data!P499&lt;50000,Sales_Data!V499="Completed"),"Silver",IF(OR(Sales_Data!Q499&lt;=2,Sales_Data!V499="Canceled"),"Blacklisted","Others"))))</f>
        <v>Blacklisted</v>
      </c>
      <c r="B499" s="4" t="str">
        <f>PROPER(TRIM(Sales_Data!F499))</f>
        <v>Vikas Mehta</v>
      </c>
      <c r="C499" s="4" t="str">
        <f>LEFT(B499,3)&amp;RIGHT(Sales_Data!B499,3)&amp;LEFT(Sales_Data!I499,2)</f>
        <v>Vik005De</v>
      </c>
      <c r="D499" s="4" t="str">
        <f>IF(ISNUMBER(SEARCH("@",Sales_Data!T499)),LOWER(Sales_Data!T499),"Invalid_Email")</f>
        <v>Invalid_Email</v>
      </c>
      <c r="E499" s="13">
        <f ca="1">DATEDIF(Sales_Data!H499,TODAY(),"Y")</f>
        <v>34</v>
      </c>
      <c r="F499" s="13">
        <f>IFERROR(DATEDIF(Sales_Data!D499,Sales_Data!E499,"D"),"Information_Not_Given")</f>
        <v>9</v>
      </c>
      <c r="G499" s="13" t="str" cm="1">
        <f t="array" ref="G499">_xlfn.IFS(F499&lt;=5,"One_Time",F499&gt;5,"Delayed",F499="Information_Not_given","Pending")</f>
        <v>Delayed</v>
      </c>
    </row>
    <row r="500" spans="1:7" x14ac:dyDescent="0.3">
      <c r="A500" s="12" t="str">
        <f>IF(AND(Sales_Data!P500&gt;=100000,Sales_Data!Q500&gt;=4,Sales_Data!V500="Completed",Sales_Data!O500&lt;=10),"Platinum",IF(AND(Sales_Data!P500&gt;=50000,Sales_Data!Q500&gt;=3,Sales_Data!V500="Completed"),"Gold",IF(AND(Sales_Data!P500&lt;50000,Sales_Data!V500="Completed"),"Silver",IF(OR(Sales_Data!Q500&lt;=2,Sales_Data!V500="Canceled"),"Blacklisted","Others"))))</f>
        <v>Gold</v>
      </c>
      <c r="B500" s="4" t="str">
        <f>PROPER(TRIM(Sales_Data!F500))</f>
        <v>Priya Patel</v>
      </c>
      <c r="C500" s="4" t="str">
        <f>LEFT(B500,3)&amp;RIGHT(Sales_Data!B500,3)&amp;LEFT(Sales_Data!I500,2)</f>
        <v>Pri002Mu</v>
      </c>
      <c r="D500" s="4" t="str">
        <f>IF(ISNUMBER(SEARCH("@",Sales_Data!T500)),LOWER(Sales_Data!T500),"Invalid_Email")</f>
        <v>priya.patel@company.com</v>
      </c>
      <c r="E500" s="13">
        <f ca="1">DATEDIF(Sales_Data!H500,TODAY(),"Y")</f>
        <v>47</v>
      </c>
      <c r="F500" s="13">
        <f>IFERROR(DATEDIF(Sales_Data!D500,Sales_Data!E500,"D"),"Information_Not_Given")</f>
        <v>1</v>
      </c>
      <c r="G500" s="13" t="str" cm="1">
        <f t="array" ref="G500">_xlfn.IFS(F500&lt;=5,"One_Time",F500&gt;5,"Delayed",F500="Information_Not_given","Pending")</f>
        <v>One_Time</v>
      </c>
    </row>
    <row r="501" spans="1:7" x14ac:dyDescent="0.3">
      <c r="A501" s="12" t="str">
        <f>IF(AND(Sales_Data!P501&gt;=100000,Sales_Data!Q501&gt;=4,Sales_Data!V501="Completed",Sales_Data!O501&lt;=10),"Platinum",IF(AND(Sales_Data!P501&gt;=50000,Sales_Data!Q501&gt;=3,Sales_Data!V501="Completed"),"Gold",IF(AND(Sales_Data!P501&lt;50000,Sales_Data!V501="Completed"),"Silver",IF(OR(Sales_Data!Q501&lt;=2,Sales_Data!V501="Canceled"),"Blacklisted","Others"))))</f>
        <v>Blacklisted</v>
      </c>
      <c r="B501" s="4" t="str">
        <f>PROPER(TRIM(Sales_Data!F501))</f>
        <v>Priya Patel</v>
      </c>
      <c r="C501" s="4" t="str">
        <f>LEFT(B501,3)&amp;RIGHT(Sales_Data!B501,3)&amp;LEFT(Sales_Data!I501,2)</f>
        <v>Pri002Be</v>
      </c>
      <c r="D501" s="4" t="str">
        <f>IF(ISNUMBER(SEARCH("@",Sales_Data!T501)),LOWER(Sales_Data!T501),"Invalid_Email")</f>
        <v>priya.patel@company.com</v>
      </c>
      <c r="E501" s="13">
        <f ca="1">DATEDIF(Sales_Data!H501,TODAY(),"Y")</f>
        <v>49</v>
      </c>
      <c r="F501" s="13">
        <f>IFERROR(DATEDIF(Sales_Data!D501,Sales_Data!E501,"D"),"Information_Not_Given")</f>
        <v>7</v>
      </c>
      <c r="G501" s="13" t="str" cm="1">
        <f t="array" ref="G501">_xlfn.IFS(F501&lt;=5,"One_Time",F501&gt;5,"Delayed",F501="Information_Not_given","Pending")</f>
        <v>Delayed</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dimension ref="A1:F2"/>
  <sheetViews>
    <sheetView workbookViewId="0">
      <selection activeCell="A3" sqref="A3"/>
    </sheetView>
  </sheetViews>
  <sheetFormatPr defaultRowHeight="14.4" x14ac:dyDescent="0.3"/>
  <cols>
    <col min="1" max="1" width="14.5546875" bestFit="1" customWidth="1"/>
    <col min="2" max="2" width="20.33203125" customWidth="1"/>
    <col min="3" max="3" width="20" customWidth="1"/>
    <col min="4" max="4" width="14.6640625" customWidth="1"/>
    <col min="5" max="5" width="14.77734375" customWidth="1"/>
    <col min="6" max="6" width="24.77734375" customWidth="1"/>
  </cols>
  <sheetData>
    <row r="1" spans="1:6" ht="21" x14ac:dyDescent="0.3">
      <c r="A1" s="21" t="s">
        <v>658</v>
      </c>
      <c r="B1" s="21" t="s">
        <v>11</v>
      </c>
      <c r="C1" s="21" t="s">
        <v>10</v>
      </c>
      <c r="D1" s="21" t="s">
        <v>659</v>
      </c>
      <c r="E1" s="21" t="s">
        <v>660</v>
      </c>
      <c r="F1" s="21" t="s">
        <v>661</v>
      </c>
    </row>
    <row r="2" spans="1:6" ht="15.6" x14ac:dyDescent="0.3">
      <c r="A2" s="22" t="s">
        <v>128</v>
      </c>
      <c r="B2" s="20" t="str" cm="1">
        <f t="array" ref="B2:F2">IFERROR(VLOOKUP(A2,Corporate_sales_data_xlsx___Product_master[],{2,3,4,5,6},FALSE),"Product Not Found")</f>
        <v>Pen</v>
      </c>
      <c r="C2" s="20" t="str">
        <v>Stationery</v>
      </c>
      <c r="D2" s="20" t="str">
        <v>Prime Supplies</v>
      </c>
      <c r="E2" s="20">
        <v>15</v>
      </c>
      <c r="F2" s="20">
        <v>12</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C40D4-A826-4087-A899-1F5C4B1F8DA9}">
  <sheetPr codeName="Sheet7"/>
  <dimension ref="A1:B5"/>
  <sheetViews>
    <sheetView workbookViewId="0">
      <selection activeCell="C6" sqref="C6"/>
    </sheetView>
  </sheetViews>
  <sheetFormatPr defaultRowHeight="14.4" x14ac:dyDescent="0.3"/>
  <cols>
    <col min="1" max="1" width="55.21875" bestFit="1" customWidth="1"/>
    <col min="2" max="2" width="19.109375" bestFit="1" customWidth="1"/>
  </cols>
  <sheetData>
    <row r="1" spans="1:2" ht="18" x14ac:dyDescent="0.3">
      <c r="A1" s="31" t="s">
        <v>676</v>
      </c>
      <c r="B1" s="32">
        <f>SUMIFS(Sales_Data!P:P,Sales_Data!K:K,"Electronics",Sales_Data!V:V,"Completed")</f>
        <v>7222090</v>
      </c>
    </row>
    <row r="2" spans="1:2" ht="18" x14ac:dyDescent="0.3">
      <c r="A2" s="25" t="s">
        <v>677</v>
      </c>
      <c r="B2" s="26">
        <f>SUMIFS(Sales_Data!P:P,Sales_Data!S:S,"Neha",Sales_Data!J:J,"North")</f>
        <v>1550369.25</v>
      </c>
    </row>
    <row r="3" spans="1:2" ht="18" x14ac:dyDescent="0.3">
      <c r="A3" s="31" t="s">
        <v>678</v>
      </c>
      <c r="B3" s="31">
        <f>COUNTIFS(Sales_Data!O:O,"&gt;=15",Sales_Data!R:R,"UPI")</f>
        <v>45</v>
      </c>
    </row>
    <row r="4" spans="1:2" ht="18" x14ac:dyDescent="0.3">
      <c r="A4" s="25" t="s">
        <v>679</v>
      </c>
      <c r="B4" s="25">
        <f>COUNTIFS(Sales_Data!Q:Q,"=5",Sales_Data!V:V,"Completed")</f>
        <v>27</v>
      </c>
    </row>
    <row r="5" spans="1:2" ht="18" x14ac:dyDescent="0.3">
      <c r="A5" s="31" t="s">
        <v>680</v>
      </c>
      <c r="B5" s="32">
        <f>SUMIFS(Sales_Data!P:P,Sales_Data!J:J,"West",Sales_Data!M:M,"&gt;5")</f>
        <v>12589316.5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6704C-45DC-44AA-A74F-233A8750BDED}">
  <sheetPr codeName="Sheet8"/>
  <dimension ref="A1:B6"/>
  <sheetViews>
    <sheetView workbookViewId="0">
      <selection activeCell="D6" sqref="D6"/>
    </sheetView>
  </sheetViews>
  <sheetFormatPr defaultRowHeight="14.4" x14ac:dyDescent="0.3"/>
  <cols>
    <col min="1" max="1" width="32.21875" bestFit="1" customWidth="1"/>
    <col min="2" max="2" width="17" style="24" bestFit="1" customWidth="1"/>
  </cols>
  <sheetData>
    <row r="1" spans="1:2" ht="18" x14ac:dyDescent="0.3">
      <c r="A1" s="31" t="s">
        <v>681</v>
      </c>
      <c r="B1" s="32">
        <f>AVERAGE(Sales_Data!P:P)</f>
        <v>69531.875</v>
      </c>
    </row>
    <row r="2" spans="1:2" ht="18" x14ac:dyDescent="0.3">
      <c r="A2" s="25" t="s">
        <v>682</v>
      </c>
      <c r="B2" s="26">
        <f>MEDIAN(Sales_Data!P:P)</f>
        <v>10475</v>
      </c>
    </row>
    <row r="3" spans="1:2" ht="18" x14ac:dyDescent="0.3">
      <c r="A3" s="31" t="s">
        <v>684</v>
      </c>
      <c r="B3" s="32">
        <f>MAX(Sales_Data!P:P)</f>
        <v>1045000</v>
      </c>
    </row>
    <row r="4" spans="1:2" ht="18" x14ac:dyDescent="0.3">
      <c r="A4" s="25" t="s">
        <v>683</v>
      </c>
      <c r="B4" s="26">
        <f>MIN(Sales_Data!P:P)</f>
        <v>19</v>
      </c>
    </row>
    <row r="5" spans="1:2" ht="18" x14ac:dyDescent="0.3">
      <c r="A5" s="31" t="s">
        <v>685</v>
      </c>
      <c r="B5" s="32">
        <f>_xlfn.STDEV.P(Sales_Data!P:P)</f>
        <v>166984.2108186059</v>
      </c>
    </row>
    <row r="6" spans="1:2" ht="18" x14ac:dyDescent="0.3">
      <c r="A6" s="25" t="s">
        <v>686</v>
      </c>
      <c r="B6" s="26">
        <f>_xlfn.PERCENTILE.INC(Sales_Data!P:P,0.9)</f>
        <v>163880.00000000015</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BECB7-ACE9-497A-9573-39800FF78125}">
  <sheetPr codeName="Sheet9"/>
  <dimension ref="A1:B4"/>
  <sheetViews>
    <sheetView workbookViewId="0">
      <selection activeCell="C4" sqref="C4"/>
    </sheetView>
  </sheetViews>
  <sheetFormatPr defaultRowHeight="14.4" x14ac:dyDescent="0.3"/>
  <cols>
    <col min="1" max="1" width="37.21875" bestFit="1" customWidth="1"/>
    <col min="2" max="2" width="19.109375" style="24" bestFit="1" customWidth="1"/>
  </cols>
  <sheetData>
    <row r="1" spans="1:2" ht="18" x14ac:dyDescent="0.3">
      <c r="A1" s="30" t="s">
        <v>687</v>
      </c>
      <c r="B1" s="29">
        <f>SUMPRODUCT(Sales_Data!M:M,Sales_Data!N:N)</f>
        <v>36610875</v>
      </c>
    </row>
    <row r="2" spans="1:2" ht="18" x14ac:dyDescent="0.3">
      <c r="A2" s="27" t="s">
        <v>688</v>
      </c>
      <c r="B2" s="28">
        <f>SUMPRODUCT(Sales_Data!M:M,Sales_Data!N:N)/SUM(Sales_Data!M:M)</f>
        <v>6990.8105785755206</v>
      </c>
    </row>
    <row r="3" spans="1:2" ht="18" x14ac:dyDescent="0.3">
      <c r="A3" s="30" t="s">
        <v>689</v>
      </c>
      <c r="B3" s="29">
        <f>SUM(Sales_Data!P:P)</f>
        <v>34765937.5</v>
      </c>
    </row>
    <row r="4" spans="1:2" ht="18" x14ac:dyDescent="0.3">
      <c r="A4" s="27" t="s">
        <v>690</v>
      </c>
      <c r="B4" s="28">
        <f>SUMPRODUCT(Sales_Data!M:M,Sales_Data!N:N,Sales_Data!O:O)/100</f>
        <v>2918151.5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9A48F-A7C9-4807-8FA3-D4062F225389}">
  <sheetPr codeName="Sheet10"/>
  <dimension ref="A1:B4"/>
  <sheetViews>
    <sheetView workbookViewId="0">
      <selection activeCell="D4" sqref="D4"/>
    </sheetView>
  </sheetViews>
  <sheetFormatPr defaultRowHeight="14.4" x14ac:dyDescent="0.3"/>
  <cols>
    <col min="1" max="1" width="23" bestFit="1" customWidth="1"/>
    <col min="2" max="2" width="17" bestFit="1" customWidth="1"/>
  </cols>
  <sheetData>
    <row r="1" spans="1:2" ht="18" x14ac:dyDescent="0.3">
      <c r="A1" s="25" t="s">
        <v>694</v>
      </c>
      <c r="B1" s="33" t="s">
        <v>695</v>
      </c>
    </row>
    <row r="2" spans="1:2" ht="18" x14ac:dyDescent="0.3">
      <c r="A2" s="25" t="s">
        <v>691</v>
      </c>
      <c r="B2" s="33">
        <f>ROUND(FV(10%/12,5*12,-50000),2)</f>
        <v>3871853.61</v>
      </c>
    </row>
    <row r="3" spans="1:2" ht="18" x14ac:dyDescent="0.3">
      <c r="A3" s="25" t="s">
        <v>692</v>
      </c>
      <c r="B3" s="33">
        <f>-PMT(10%/12,5*12,0,5000000)</f>
        <v>64568.556889674721</v>
      </c>
    </row>
    <row r="4" spans="1:2" ht="18" x14ac:dyDescent="0.3">
      <c r="A4" s="25" t="s">
        <v>693</v>
      </c>
      <c r="B4" s="33">
        <f>ROUND(PMT(9%/12,5*12,-1000000),0)</f>
        <v>20758</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764E3-81A5-473E-8A90-E6BEBAB2547D}">
  <sheetPr codeName="Sheet11" filterMode="1"/>
  <dimension ref="A1:V501"/>
  <sheetViews>
    <sheetView workbookViewId="0">
      <selection activeCell="H25" sqref="A1:V499"/>
    </sheetView>
  </sheetViews>
  <sheetFormatPr defaultRowHeight="14.4" x14ac:dyDescent="0.3"/>
  <cols>
    <col min="1" max="1" width="9.6640625" bestFit="1" customWidth="1"/>
    <col min="2" max="2" width="11.6640625" bestFit="1" customWidth="1"/>
    <col min="3" max="3" width="10.109375" bestFit="1" customWidth="1"/>
    <col min="4" max="4" width="10.5546875" style="39" bestFit="1" customWidth="1"/>
    <col min="5" max="5" width="12.44140625" style="39" bestFit="1" customWidth="1"/>
    <col min="6" max="6" width="16.77734375" bestFit="1" customWidth="1"/>
    <col min="7" max="7" width="6.88671875" bestFit="1" customWidth="1"/>
    <col min="8" max="8" width="10.5546875" style="39" bestFit="1" customWidth="1"/>
    <col min="9" max="9" width="10.6640625" bestFit="1" customWidth="1"/>
    <col min="10" max="10" width="6.5546875" bestFit="1" customWidth="1"/>
    <col min="11" max="11" width="15.109375" bestFit="1" customWidth="1"/>
    <col min="12" max="12" width="13.33203125" bestFit="1" customWidth="1"/>
    <col min="13" max="13" width="8" bestFit="1" customWidth="1"/>
    <col min="14" max="14" width="9.44140625" bestFit="1" customWidth="1"/>
    <col min="15" max="15" width="10.5546875" bestFit="1" customWidth="1"/>
    <col min="16" max="16" width="10.33203125" bestFit="1" customWidth="1"/>
    <col min="17" max="17" width="6.109375" bestFit="1" customWidth="1"/>
    <col min="18" max="18" width="14" bestFit="1" customWidth="1"/>
    <col min="19" max="19" width="12.109375" bestFit="1" customWidth="1"/>
    <col min="20" max="20" width="25.21875" bestFit="1" customWidth="1"/>
    <col min="21" max="21" width="11" bestFit="1" customWidth="1"/>
    <col min="22" max="22" width="11.6640625" bestFit="1" customWidth="1"/>
  </cols>
  <sheetData>
    <row r="1" spans="1:22" x14ac:dyDescent="0.3">
      <c r="A1" s="4" t="s">
        <v>0</v>
      </c>
      <c r="B1" s="4" t="s">
        <v>1</v>
      </c>
      <c r="C1" s="4" t="s">
        <v>2</v>
      </c>
      <c r="D1" s="37" t="s">
        <v>3</v>
      </c>
      <c r="E1" s="37" t="s">
        <v>4</v>
      </c>
      <c r="F1" s="4" t="s">
        <v>5</v>
      </c>
      <c r="G1" s="4" t="s">
        <v>6</v>
      </c>
      <c r="H1" s="37" t="s">
        <v>7</v>
      </c>
      <c r="I1" s="4" t="s">
        <v>8</v>
      </c>
      <c r="J1" s="4" t="s">
        <v>9</v>
      </c>
      <c r="K1" s="4" t="s">
        <v>10</v>
      </c>
      <c r="L1" s="4" t="s">
        <v>11</v>
      </c>
      <c r="M1" s="4" t="s">
        <v>12</v>
      </c>
      <c r="N1" s="6" t="s">
        <v>13</v>
      </c>
      <c r="O1" s="4" t="s">
        <v>14</v>
      </c>
      <c r="P1" s="6" t="s">
        <v>15</v>
      </c>
      <c r="Q1" s="4" t="s">
        <v>16</v>
      </c>
      <c r="R1" s="4" t="s">
        <v>17</v>
      </c>
      <c r="S1" s="4" t="s">
        <v>18</v>
      </c>
      <c r="T1" s="4" t="s">
        <v>19</v>
      </c>
      <c r="U1" s="4" t="s">
        <v>20</v>
      </c>
      <c r="V1" s="4" t="s">
        <v>21</v>
      </c>
    </row>
    <row r="2" spans="1:22" x14ac:dyDescent="0.3">
      <c r="A2" s="2" t="s">
        <v>22</v>
      </c>
      <c r="B2" s="2" t="s">
        <v>23</v>
      </c>
      <c r="C2" s="2" t="s">
        <v>24</v>
      </c>
      <c r="D2" s="38">
        <v>45918</v>
      </c>
      <c r="E2" s="38">
        <v>45922</v>
      </c>
      <c r="F2" s="2" t="s">
        <v>25</v>
      </c>
      <c r="G2" s="2" t="s">
        <v>26</v>
      </c>
      <c r="H2" s="38">
        <v>27973</v>
      </c>
      <c r="I2" s="2" t="s">
        <v>27</v>
      </c>
      <c r="J2" s="2" t="s">
        <v>28</v>
      </c>
      <c r="K2" s="2" t="s">
        <v>29</v>
      </c>
      <c r="L2" s="2" t="s">
        <v>30</v>
      </c>
      <c r="M2" s="2">
        <v>4</v>
      </c>
      <c r="N2" s="7">
        <v>2200</v>
      </c>
      <c r="O2" s="23">
        <v>10</v>
      </c>
      <c r="P2" s="7">
        <v>7920</v>
      </c>
      <c r="Q2" s="2">
        <v>4</v>
      </c>
      <c r="R2" s="2" t="s">
        <v>31</v>
      </c>
      <c r="S2" s="2" t="s">
        <v>32</v>
      </c>
      <c r="T2" s="2" t="s">
        <v>33</v>
      </c>
      <c r="U2" s="2">
        <v>9431429797</v>
      </c>
      <c r="V2" s="2" t="s">
        <v>34</v>
      </c>
    </row>
    <row r="3" spans="1:22" x14ac:dyDescent="0.3">
      <c r="A3" s="2" t="s">
        <v>35</v>
      </c>
      <c r="B3" s="2" t="s">
        <v>23</v>
      </c>
      <c r="C3" s="2" t="s">
        <v>36</v>
      </c>
      <c r="D3" s="38">
        <v>45774</v>
      </c>
      <c r="E3" s="38">
        <v>45781</v>
      </c>
      <c r="F3" s="2" t="s">
        <v>25</v>
      </c>
      <c r="G3" s="2" t="s">
        <v>26</v>
      </c>
      <c r="H3" s="38">
        <v>36815</v>
      </c>
      <c r="I3" s="2" t="s">
        <v>37</v>
      </c>
      <c r="J3" s="2" t="s">
        <v>38</v>
      </c>
      <c r="K3" s="2" t="s">
        <v>39</v>
      </c>
      <c r="L3" s="2" t="s">
        <v>40</v>
      </c>
      <c r="M3" s="2">
        <v>17</v>
      </c>
      <c r="N3" s="7">
        <v>12000</v>
      </c>
      <c r="O3" s="2">
        <v>10</v>
      </c>
      <c r="P3" s="7">
        <v>183600</v>
      </c>
      <c r="Q3" s="2">
        <v>1</v>
      </c>
      <c r="R3" s="2" t="s">
        <v>41</v>
      </c>
      <c r="S3" s="2" t="s">
        <v>42</v>
      </c>
      <c r="T3" s="2" t="s">
        <v>43</v>
      </c>
      <c r="U3" s="2">
        <v>9129865339</v>
      </c>
      <c r="V3" s="2" t="s">
        <v>34</v>
      </c>
    </row>
    <row r="4" spans="1:22" x14ac:dyDescent="0.3">
      <c r="A4" s="2" t="s">
        <v>44</v>
      </c>
      <c r="B4" s="2" t="s">
        <v>45</v>
      </c>
      <c r="C4" s="2" t="s">
        <v>46</v>
      </c>
      <c r="D4" s="38">
        <v>45903</v>
      </c>
      <c r="E4" s="38">
        <v>45914</v>
      </c>
      <c r="F4" s="2" t="s">
        <v>102</v>
      </c>
      <c r="G4" s="2" t="s">
        <v>26</v>
      </c>
      <c r="H4" s="38">
        <v>34593</v>
      </c>
      <c r="I4" s="2" t="s">
        <v>48</v>
      </c>
      <c r="J4" s="2" t="s">
        <v>28</v>
      </c>
      <c r="K4" s="2" t="s">
        <v>39</v>
      </c>
      <c r="L4" s="2" t="s">
        <v>49</v>
      </c>
      <c r="M4" s="2">
        <v>5</v>
      </c>
      <c r="N4" s="7">
        <v>55000</v>
      </c>
      <c r="O4" s="2">
        <v>5</v>
      </c>
      <c r="P4" s="7">
        <v>261250</v>
      </c>
      <c r="Q4" s="2">
        <v>3</v>
      </c>
      <c r="R4" s="2" t="s">
        <v>41</v>
      </c>
      <c r="S4" s="2" t="s">
        <v>50</v>
      </c>
      <c r="T4" s="2" t="s">
        <v>51</v>
      </c>
      <c r="U4" s="2">
        <v>9380975626</v>
      </c>
      <c r="V4" s="2" t="s">
        <v>52</v>
      </c>
    </row>
    <row r="5" spans="1:22" x14ac:dyDescent="0.3">
      <c r="A5" s="2" t="s">
        <v>54</v>
      </c>
      <c r="B5" s="2" t="s">
        <v>55</v>
      </c>
      <c r="C5" s="2" t="s">
        <v>56</v>
      </c>
      <c r="D5" s="38">
        <v>45927</v>
      </c>
      <c r="E5" s="38">
        <v>45937</v>
      </c>
      <c r="F5" s="2" t="s">
        <v>125</v>
      </c>
      <c r="G5" s="2" t="s">
        <v>58</v>
      </c>
      <c r="H5" s="38">
        <v>27863</v>
      </c>
      <c r="I5" s="2" t="s">
        <v>37</v>
      </c>
      <c r="J5" s="2" t="s">
        <v>38</v>
      </c>
      <c r="K5" s="2" t="s">
        <v>39</v>
      </c>
      <c r="L5" s="2" t="s">
        <v>59</v>
      </c>
      <c r="M5" s="2">
        <v>8</v>
      </c>
      <c r="N5" s="7">
        <v>1200</v>
      </c>
      <c r="O5" s="2">
        <v>5</v>
      </c>
      <c r="P5" s="7">
        <v>9120</v>
      </c>
      <c r="Q5" s="2">
        <v>2</v>
      </c>
      <c r="R5" s="2" t="s">
        <v>60</v>
      </c>
      <c r="S5" s="2" t="s">
        <v>50</v>
      </c>
      <c r="T5" s="2" t="s">
        <v>61</v>
      </c>
      <c r="U5" s="2">
        <v>9724635978</v>
      </c>
      <c r="V5" s="2" t="s">
        <v>52</v>
      </c>
    </row>
    <row r="6" spans="1:22" x14ac:dyDescent="0.3">
      <c r="A6" s="2" t="s">
        <v>62</v>
      </c>
      <c r="B6" s="2" t="s">
        <v>63</v>
      </c>
      <c r="C6" s="2" t="s">
        <v>24</v>
      </c>
      <c r="D6" s="38">
        <v>46026</v>
      </c>
      <c r="E6" s="38">
        <v>46034</v>
      </c>
      <c r="F6" s="2" t="s">
        <v>111</v>
      </c>
      <c r="G6" s="2" t="s">
        <v>58</v>
      </c>
      <c r="H6" s="38">
        <v>32180</v>
      </c>
      <c r="I6" s="2" t="s">
        <v>27</v>
      </c>
      <c r="J6" s="2" t="s">
        <v>28</v>
      </c>
      <c r="K6" s="2" t="s">
        <v>29</v>
      </c>
      <c r="L6" s="2" t="s">
        <v>30</v>
      </c>
      <c r="M6" s="2">
        <v>4</v>
      </c>
      <c r="N6" s="7">
        <v>2200</v>
      </c>
      <c r="O6" s="2">
        <v>0</v>
      </c>
      <c r="P6" s="7">
        <v>8800</v>
      </c>
      <c r="Q6" s="2">
        <v>1</v>
      </c>
      <c r="R6" s="2" t="s">
        <v>65</v>
      </c>
      <c r="S6" s="2" t="s">
        <v>32</v>
      </c>
      <c r="T6" s="2" t="s">
        <v>66</v>
      </c>
      <c r="U6" s="2">
        <v>9780584905</v>
      </c>
      <c r="V6" s="2" t="s">
        <v>34</v>
      </c>
    </row>
    <row r="7" spans="1:22" x14ac:dyDescent="0.3">
      <c r="A7" s="2" t="s">
        <v>67</v>
      </c>
      <c r="B7" s="2" t="s">
        <v>23</v>
      </c>
      <c r="C7" s="2" t="s">
        <v>68</v>
      </c>
      <c r="D7" s="38">
        <v>45710</v>
      </c>
      <c r="E7" s="38">
        <v>46078</v>
      </c>
      <c r="F7" s="2" t="s">
        <v>25</v>
      </c>
      <c r="G7" s="2" t="s">
        <v>26</v>
      </c>
      <c r="H7" s="38">
        <v>37700</v>
      </c>
      <c r="I7" s="2" t="s">
        <v>27</v>
      </c>
      <c r="J7" s="2" t="s">
        <v>28</v>
      </c>
      <c r="K7" s="2" t="s">
        <v>29</v>
      </c>
      <c r="L7" s="2" t="s">
        <v>71</v>
      </c>
      <c r="M7" s="2">
        <v>2</v>
      </c>
      <c r="N7" s="7">
        <v>3500</v>
      </c>
      <c r="O7" s="2">
        <v>5</v>
      </c>
      <c r="P7" s="7">
        <v>6650</v>
      </c>
      <c r="Q7" s="2">
        <v>1</v>
      </c>
      <c r="R7" s="2" t="s">
        <v>65</v>
      </c>
      <c r="S7" s="2" t="s">
        <v>32</v>
      </c>
      <c r="T7" s="2" t="s">
        <v>43</v>
      </c>
      <c r="U7" s="2">
        <v>9958252176</v>
      </c>
      <c r="V7" s="2" t="s">
        <v>34</v>
      </c>
    </row>
    <row r="8" spans="1:22" x14ac:dyDescent="0.3">
      <c r="A8" s="2" t="s">
        <v>72</v>
      </c>
      <c r="B8" s="2" t="s">
        <v>73</v>
      </c>
      <c r="C8" s="2" t="s">
        <v>36</v>
      </c>
      <c r="D8" s="38">
        <v>45760</v>
      </c>
      <c r="E8" s="38">
        <v>45766</v>
      </c>
      <c r="F8" s="2" t="s">
        <v>74</v>
      </c>
      <c r="G8" s="2" t="s">
        <v>26</v>
      </c>
      <c r="H8" s="38">
        <v>34765</v>
      </c>
      <c r="I8" s="2" t="s">
        <v>75</v>
      </c>
      <c r="J8" s="2" t="s">
        <v>76</v>
      </c>
      <c r="K8" s="2" t="s">
        <v>39</v>
      </c>
      <c r="L8" s="2" t="s">
        <v>40</v>
      </c>
      <c r="M8" s="2">
        <v>14</v>
      </c>
      <c r="N8" s="7">
        <v>12000</v>
      </c>
      <c r="O8" s="2">
        <v>15</v>
      </c>
      <c r="P8" s="7">
        <v>142800</v>
      </c>
      <c r="Q8" s="2">
        <v>4</v>
      </c>
      <c r="R8" s="2" t="s">
        <v>41</v>
      </c>
      <c r="S8" s="2" t="s">
        <v>32</v>
      </c>
      <c r="T8" s="2" t="s">
        <v>77</v>
      </c>
      <c r="U8" s="2">
        <v>9705521654</v>
      </c>
      <c r="V8" s="2" t="s">
        <v>34</v>
      </c>
    </row>
    <row r="9" spans="1:22" x14ac:dyDescent="0.3">
      <c r="A9" s="2" t="s">
        <v>78</v>
      </c>
      <c r="B9" s="2" t="s">
        <v>23</v>
      </c>
      <c r="C9" s="2" t="s">
        <v>36</v>
      </c>
      <c r="D9" s="38">
        <v>46053</v>
      </c>
      <c r="E9" s="38">
        <v>46055</v>
      </c>
      <c r="F9" s="2" t="s">
        <v>25</v>
      </c>
      <c r="G9" s="2" t="s">
        <v>26</v>
      </c>
      <c r="H9" s="38">
        <v>35526</v>
      </c>
      <c r="I9" s="2" t="s">
        <v>80</v>
      </c>
      <c r="J9" s="2" t="s">
        <v>76</v>
      </c>
      <c r="K9" s="2" t="s">
        <v>39</v>
      </c>
      <c r="L9" s="2" t="s">
        <v>40</v>
      </c>
      <c r="M9" s="2">
        <v>4</v>
      </c>
      <c r="N9" s="7">
        <v>12000</v>
      </c>
      <c r="O9" s="2">
        <v>15</v>
      </c>
      <c r="P9" s="7">
        <v>40800</v>
      </c>
      <c r="Q9" s="2">
        <v>4</v>
      </c>
      <c r="R9" s="2" t="s">
        <v>65</v>
      </c>
      <c r="S9" s="2" t="s">
        <v>81</v>
      </c>
      <c r="T9" s="2" t="s">
        <v>43</v>
      </c>
      <c r="U9" s="2">
        <v>9588041011</v>
      </c>
      <c r="V9" s="2" t="s">
        <v>34</v>
      </c>
    </row>
    <row r="10" spans="1:22" x14ac:dyDescent="0.3">
      <c r="A10" s="2" t="s">
        <v>82</v>
      </c>
      <c r="B10" s="2" t="s">
        <v>73</v>
      </c>
      <c r="C10" s="2" t="s">
        <v>83</v>
      </c>
      <c r="D10" s="38">
        <v>45741</v>
      </c>
      <c r="E10" s="38">
        <v>45743</v>
      </c>
      <c r="F10" s="2" t="s">
        <v>74</v>
      </c>
      <c r="G10" s="2" t="s">
        <v>26</v>
      </c>
      <c r="H10" s="38">
        <v>32880</v>
      </c>
      <c r="I10" s="2" t="s">
        <v>75</v>
      </c>
      <c r="J10" s="2" t="s">
        <v>76</v>
      </c>
      <c r="K10" s="2" t="s">
        <v>84</v>
      </c>
      <c r="L10" s="2" t="s">
        <v>85</v>
      </c>
      <c r="M10" s="2">
        <v>6</v>
      </c>
      <c r="N10" s="7">
        <v>60</v>
      </c>
      <c r="O10" s="2">
        <v>0</v>
      </c>
      <c r="P10" s="7">
        <v>360</v>
      </c>
      <c r="Q10" s="2">
        <v>4</v>
      </c>
      <c r="R10" s="2" t="s">
        <v>60</v>
      </c>
      <c r="S10" s="2" t="s">
        <v>81</v>
      </c>
      <c r="T10" s="2" t="s">
        <v>86</v>
      </c>
      <c r="U10" s="2">
        <v>9340540608</v>
      </c>
      <c r="V10" s="2" t="s">
        <v>34</v>
      </c>
    </row>
    <row r="11" spans="1:22" x14ac:dyDescent="0.3">
      <c r="A11" s="2" t="s">
        <v>87</v>
      </c>
      <c r="B11" s="2" t="s">
        <v>88</v>
      </c>
      <c r="C11" s="2" t="s">
        <v>24</v>
      </c>
      <c r="D11" s="38">
        <v>45919</v>
      </c>
      <c r="E11" s="38">
        <v>45923</v>
      </c>
      <c r="F11" s="2" t="s">
        <v>119</v>
      </c>
      <c r="G11" s="2" t="s">
        <v>58</v>
      </c>
      <c r="H11" s="38">
        <v>30081</v>
      </c>
      <c r="I11" s="2" t="s">
        <v>37</v>
      </c>
      <c r="J11" s="2" t="s">
        <v>38</v>
      </c>
      <c r="K11" s="2" t="s">
        <v>29</v>
      </c>
      <c r="L11" s="2" t="s">
        <v>30</v>
      </c>
      <c r="M11" s="2">
        <v>-3</v>
      </c>
      <c r="N11" s="7">
        <v>2200</v>
      </c>
      <c r="O11" s="2">
        <v>0</v>
      </c>
      <c r="P11" s="7">
        <v>35200</v>
      </c>
      <c r="Q11" s="2">
        <v>2</v>
      </c>
      <c r="R11" s="2" t="s">
        <v>60</v>
      </c>
      <c r="S11" s="2" t="s">
        <v>42</v>
      </c>
      <c r="T11" s="2" t="s">
        <v>90</v>
      </c>
      <c r="U11" s="2">
        <v>9521710321</v>
      </c>
      <c r="V11" s="2" t="s">
        <v>52</v>
      </c>
    </row>
    <row r="12" spans="1:22" x14ac:dyDescent="0.3">
      <c r="A12" s="2" t="s">
        <v>91</v>
      </c>
      <c r="B12" s="2" t="s">
        <v>23</v>
      </c>
      <c r="C12" s="2" t="s">
        <v>68</v>
      </c>
      <c r="D12" s="38">
        <v>45724</v>
      </c>
      <c r="E12" s="38">
        <v>45731</v>
      </c>
      <c r="F12" s="2" t="s">
        <v>25</v>
      </c>
      <c r="G12" s="2" t="s">
        <v>26</v>
      </c>
      <c r="H12" s="38">
        <v>29974</v>
      </c>
      <c r="I12" s="2" t="s">
        <v>92</v>
      </c>
      <c r="J12" s="2" t="s">
        <v>76</v>
      </c>
      <c r="K12" s="2" t="s">
        <v>29</v>
      </c>
      <c r="L12" s="2" t="s">
        <v>71</v>
      </c>
      <c r="M12" s="2">
        <v>10</v>
      </c>
      <c r="N12" s="7">
        <v>3500</v>
      </c>
      <c r="O12" s="2">
        <v>5</v>
      </c>
      <c r="P12" s="7">
        <v>33250</v>
      </c>
      <c r="Q12" s="2">
        <v>5</v>
      </c>
      <c r="R12" s="2" t="s">
        <v>60</v>
      </c>
      <c r="S12" s="2" t="s">
        <v>50</v>
      </c>
      <c r="T12" s="2" t="s">
        <v>43</v>
      </c>
      <c r="U12" s="2">
        <v>9123535241</v>
      </c>
      <c r="V12" s="2" t="s">
        <v>53</v>
      </c>
    </row>
    <row r="13" spans="1:22" x14ac:dyDescent="0.3">
      <c r="A13" s="2" t="s">
        <v>93</v>
      </c>
      <c r="B13" s="2" t="s">
        <v>73</v>
      </c>
      <c r="C13" s="2" t="s">
        <v>24</v>
      </c>
      <c r="D13" s="38">
        <v>45667</v>
      </c>
      <c r="E13" s="38">
        <v>45672</v>
      </c>
      <c r="F13" s="2" t="s">
        <v>74</v>
      </c>
      <c r="G13" s="2" t="s">
        <v>26</v>
      </c>
      <c r="H13" s="38">
        <v>33791</v>
      </c>
      <c r="I13" s="2" t="s">
        <v>80</v>
      </c>
      <c r="J13" s="2" t="s">
        <v>76</v>
      </c>
      <c r="K13" s="2" t="s">
        <v>29</v>
      </c>
      <c r="L13" s="2" t="s">
        <v>30</v>
      </c>
      <c r="M13" s="2">
        <v>15</v>
      </c>
      <c r="N13" s="7">
        <v>2200</v>
      </c>
      <c r="O13" s="2">
        <v>10</v>
      </c>
      <c r="P13" s="7">
        <v>29700</v>
      </c>
      <c r="Q13" s="2">
        <v>1</v>
      </c>
      <c r="R13" s="2" t="s">
        <v>65</v>
      </c>
      <c r="S13" s="2" t="s">
        <v>81</v>
      </c>
      <c r="T13" s="2" t="s">
        <v>94</v>
      </c>
      <c r="U13" s="2">
        <v>9367316892</v>
      </c>
      <c r="V13" s="2" t="s">
        <v>52</v>
      </c>
    </row>
    <row r="14" spans="1:22" x14ac:dyDescent="0.3">
      <c r="A14" s="2" t="s">
        <v>95</v>
      </c>
      <c r="B14" s="2" t="s">
        <v>88</v>
      </c>
      <c r="C14" s="2" t="s">
        <v>24</v>
      </c>
      <c r="D14" s="38">
        <v>45725</v>
      </c>
      <c r="E14" s="38">
        <v>45729</v>
      </c>
      <c r="F14" s="2" t="s">
        <v>119</v>
      </c>
      <c r="G14" s="2" t="s">
        <v>58</v>
      </c>
      <c r="H14" s="38">
        <v>37334</v>
      </c>
      <c r="I14" s="2" t="s">
        <v>75</v>
      </c>
      <c r="J14" s="2" t="s">
        <v>76</v>
      </c>
      <c r="K14" s="2" t="s">
        <v>29</v>
      </c>
      <c r="L14" s="2" t="s">
        <v>30</v>
      </c>
      <c r="M14" s="2">
        <v>17</v>
      </c>
      <c r="N14" s="7">
        <v>2200</v>
      </c>
      <c r="O14" s="2">
        <v>5</v>
      </c>
      <c r="P14" s="7">
        <v>35530</v>
      </c>
      <c r="Q14" s="2">
        <v>1</v>
      </c>
      <c r="R14" s="2" t="s">
        <v>31</v>
      </c>
      <c r="S14" s="2" t="s">
        <v>97</v>
      </c>
      <c r="T14" s="2" t="s">
        <v>98</v>
      </c>
      <c r="U14" s="2">
        <v>9778489803</v>
      </c>
      <c r="V14" s="2" t="s">
        <v>34</v>
      </c>
    </row>
    <row r="15" spans="1:22" x14ac:dyDescent="0.3">
      <c r="A15" s="2" t="s">
        <v>99</v>
      </c>
      <c r="B15" s="2" t="s">
        <v>23</v>
      </c>
      <c r="C15" s="2" t="s">
        <v>68</v>
      </c>
      <c r="D15" s="38">
        <v>45864</v>
      </c>
      <c r="E15" s="38">
        <v>45876</v>
      </c>
      <c r="F15" s="2" t="s">
        <v>25</v>
      </c>
      <c r="G15" s="2" t="s">
        <v>26</v>
      </c>
      <c r="H15" s="38">
        <v>36908</v>
      </c>
      <c r="I15" s="2" t="s">
        <v>75</v>
      </c>
      <c r="J15" s="2" t="s">
        <v>76</v>
      </c>
      <c r="K15" s="2" t="s">
        <v>29</v>
      </c>
      <c r="L15" s="2" t="s">
        <v>71</v>
      </c>
      <c r="M15" s="2">
        <v>15</v>
      </c>
      <c r="N15" s="7">
        <v>3500</v>
      </c>
      <c r="O15" s="2">
        <v>15</v>
      </c>
      <c r="P15" s="7">
        <v>44625</v>
      </c>
      <c r="Q15" s="2">
        <v>2</v>
      </c>
      <c r="R15" s="2" t="s">
        <v>31</v>
      </c>
      <c r="S15" s="2" t="s">
        <v>81</v>
      </c>
      <c r="T15" s="2" t="s">
        <v>43</v>
      </c>
      <c r="U15" s="2">
        <v>9582960180</v>
      </c>
      <c r="V15" s="2" t="s">
        <v>53</v>
      </c>
    </row>
    <row r="16" spans="1:22" x14ac:dyDescent="0.3">
      <c r="A16" s="2" t="s">
        <v>101</v>
      </c>
      <c r="B16" s="2" t="s">
        <v>45</v>
      </c>
      <c r="C16" s="2" t="s">
        <v>56</v>
      </c>
      <c r="D16" s="38">
        <v>46120</v>
      </c>
      <c r="E16" s="38">
        <v>46123</v>
      </c>
      <c r="F16" s="2" t="s">
        <v>102</v>
      </c>
      <c r="G16" s="2" t="s">
        <v>26</v>
      </c>
      <c r="H16" s="38">
        <v>37357</v>
      </c>
      <c r="I16" s="2" t="s">
        <v>27</v>
      </c>
      <c r="J16" s="2" t="s">
        <v>28</v>
      </c>
      <c r="K16" s="2" t="s">
        <v>39</v>
      </c>
      <c r="L16" s="2" t="s">
        <v>59</v>
      </c>
      <c r="M16" s="2">
        <v>3</v>
      </c>
      <c r="N16" s="7">
        <v>1200</v>
      </c>
      <c r="O16" s="2">
        <v>5</v>
      </c>
      <c r="P16" s="7">
        <v>3420</v>
      </c>
      <c r="Q16" s="2">
        <v>5</v>
      </c>
      <c r="R16" s="2" t="s">
        <v>65</v>
      </c>
      <c r="S16" s="2" t="s">
        <v>32</v>
      </c>
      <c r="T16" s="2" t="s">
        <v>103</v>
      </c>
      <c r="U16" s="2">
        <v>9611394005</v>
      </c>
      <c r="V16" s="2" t="s">
        <v>34</v>
      </c>
    </row>
    <row r="17" spans="1:22" x14ac:dyDescent="0.3">
      <c r="A17" s="2" t="s">
        <v>104</v>
      </c>
      <c r="B17" s="2" t="s">
        <v>105</v>
      </c>
      <c r="C17" s="2" t="s">
        <v>106</v>
      </c>
      <c r="D17" s="38">
        <v>46075</v>
      </c>
      <c r="E17" s="38">
        <v>46084</v>
      </c>
      <c r="F17" s="2" t="s">
        <v>179</v>
      </c>
      <c r="G17" s="2" t="s">
        <v>26</v>
      </c>
      <c r="H17" s="38">
        <v>37272</v>
      </c>
      <c r="I17" s="2" t="s">
        <v>80</v>
      </c>
      <c r="J17" s="2" t="s">
        <v>76</v>
      </c>
      <c r="K17" s="2" t="s">
        <v>29</v>
      </c>
      <c r="L17" s="2" t="s">
        <v>108</v>
      </c>
      <c r="M17" s="2">
        <v>13</v>
      </c>
      <c r="N17" s="7">
        <v>8500</v>
      </c>
      <c r="O17" s="2">
        <v>20</v>
      </c>
      <c r="P17" s="7">
        <v>88400</v>
      </c>
      <c r="Q17" s="2">
        <v>4</v>
      </c>
      <c r="R17" s="2" t="s">
        <v>60</v>
      </c>
      <c r="S17" s="2" t="s">
        <v>42</v>
      </c>
      <c r="T17" s="2" t="s">
        <v>109</v>
      </c>
      <c r="U17" s="2">
        <v>9692599404</v>
      </c>
      <c r="V17" s="2" t="s">
        <v>52</v>
      </c>
    </row>
    <row r="18" spans="1:22" x14ac:dyDescent="0.3">
      <c r="A18" s="2" t="s">
        <v>110</v>
      </c>
      <c r="B18" s="2" t="s">
        <v>63</v>
      </c>
      <c r="C18" s="2" t="s">
        <v>106</v>
      </c>
      <c r="D18" s="38">
        <v>46081</v>
      </c>
      <c r="E18" s="38">
        <v>46086</v>
      </c>
      <c r="F18" s="2" t="s">
        <v>111</v>
      </c>
      <c r="G18" s="2" t="s">
        <v>58</v>
      </c>
      <c r="H18" s="38">
        <v>32790</v>
      </c>
      <c r="I18" s="2" t="s">
        <v>92</v>
      </c>
      <c r="J18" s="2" t="s">
        <v>76</v>
      </c>
      <c r="K18" s="2" t="s">
        <v>29</v>
      </c>
      <c r="L18" s="2" t="s">
        <v>108</v>
      </c>
      <c r="M18" s="2">
        <v>4</v>
      </c>
      <c r="N18" s="7">
        <v>8500</v>
      </c>
      <c r="O18" s="2">
        <v>20</v>
      </c>
      <c r="P18" s="7">
        <v>27200</v>
      </c>
      <c r="Q18" s="2">
        <v>5</v>
      </c>
      <c r="R18" s="2" t="s">
        <v>60</v>
      </c>
      <c r="S18" s="2" t="s">
        <v>50</v>
      </c>
      <c r="T18" s="2" t="s">
        <v>66</v>
      </c>
      <c r="U18" s="2">
        <v>9426119622</v>
      </c>
      <c r="V18" s="2" t="s">
        <v>52</v>
      </c>
    </row>
    <row r="19" spans="1:22" x14ac:dyDescent="0.3">
      <c r="A19" s="2" t="s">
        <v>112</v>
      </c>
      <c r="B19" s="2" t="s">
        <v>63</v>
      </c>
      <c r="C19" s="2" t="s">
        <v>113</v>
      </c>
      <c r="D19" s="38">
        <v>45992</v>
      </c>
      <c r="E19" s="38">
        <v>45995</v>
      </c>
      <c r="F19" s="2" t="s">
        <v>111</v>
      </c>
      <c r="G19" s="2" t="s">
        <v>58</v>
      </c>
      <c r="H19" s="38">
        <v>33539</v>
      </c>
      <c r="I19" s="2" t="s">
        <v>75</v>
      </c>
      <c r="J19" s="2" t="s">
        <v>76</v>
      </c>
      <c r="K19" s="2" t="s">
        <v>39</v>
      </c>
      <c r="L19" s="2" t="s">
        <v>115</v>
      </c>
      <c r="M19" s="2">
        <v>9</v>
      </c>
      <c r="N19" s="7">
        <v>700</v>
      </c>
      <c r="O19" s="2">
        <v>5</v>
      </c>
      <c r="P19" s="7">
        <v>5985</v>
      </c>
      <c r="Q19" s="2">
        <v>3</v>
      </c>
      <c r="R19" s="2" t="s">
        <v>65</v>
      </c>
      <c r="S19" s="2" t="s">
        <v>32</v>
      </c>
      <c r="T19" s="2" t="s">
        <v>116</v>
      </c>
      <c r="U19" s="2">
        <v>9184436009</v>
      </c>
      <c r="V19" s="2" t="s">
        <v>52</v>
      </c>
    </row>
    <row r="20" spans="1:22" x14ac:dyDescent="0.3">
      <c r="A20" s="2" t="s">
        <v>117</v>
      </c>
      <c r="B20" s="2" t="s">
        <v>23</v>
      </c>
      <c r="C20" s="2" t="s">
        <v>46</v>
      </c>
      <c r="D20" s="38">
        <v>45833</v>
      </c>
      <c r="E20" s="38">
        <v>45841</v>
      </c>
      <c r="F20" s="2" t="s">
        <v>25</v>
      </c>
      <c r="G20" s="2" t="s">
        <v>26</v>
      </c>
      <c r="H20" s="38">
        <v>32933</v>
      </c>
      <c r="I20" s="2" t="s">
        <v>92</v>
      </c>
      <c r="J20" s="2" t="s">
        <v>76</v>
      </c>
      <c r="K20" s="2" t="s">
        <v>39</v>
      </c>
      <c r="L20" s="2" t="s">
        <v>49</v>
      </c>
      <c r="M20" s="2">
        <v>8</v>
      </c>
      <c r="N20" s="7">
        <v>55000</v>
      </c>
      <c r="O20" s="2">
        <v>20</v>
      </c>
      <c r="P20" s="7">
        <v>352000</v>
      </c>
      <c r="Q20" s="2">
        <v>1</v>
      </c>
      <c r="R20" s="2" t="s">
        <v>31</v>
      </c>
      <c r="S20" s="2" t="s">
        <v>97</v>
      </c>
      <c r="T20" s="2" t="s">
        <v>43</v>
      </c>
      <c r="U20" s="2">
        <v>9263774934</v>
      </c>
      <c r="V20" s="2" t="s">
        <v>34</v>
      </c>
    </row>
    <row r="21" spans="1:22" x14ac:dyDescent="0.3">
      <c r="A21" s="2" t="s">
        <v>118</v>
      </c>
      <c r="B21" s="2" t="s">
        <v>88</v>
      </c>
      <c r="C21" s="2" t="s">
        <v>113</v>
      </c>
      <c r="D21" s="38">
        <v>45773</v>
      </c>
      <c r="E21" s="38">
        <v>45782</v>
      </c>
      <c r="F21" s="2" t="s">
        <v>119</v>
      </c>
      <c r="G21" s="2" t="s">
        <v>58</v>
      </c>
      <c r="H21" s="38">
        <v>37455</v>
      </c>
      <c r="I21" s="2" t="s">
        <v>37</v>
      </c>
      <c r="J21" s="2" t="s">
        <v>38</v>
      </c>
      <c r="K21" s="2" t="s">
        <v>120</v>
      </c>
      <c r="L21" s="2" t="s">
        <v>115</v>
      </c>
      <c r="M21" s="2">
        <v>10</v>
      </c>
      <c r="N21" s="7">
        <v>700</v>
      </c>
      <c r="O21" s="2">
        <v>20</v>
      </c>
      <c r="P21" s="7">
        <v>5600</v>
      </c>
      <c r="Q21" s="2">
        <v>4</v>
      </c>
      <c r="R21" s="2" t="s">
        <v>60</v>
      </c>
      <c r="S21" s="2" t="s">
        <v>50</v>
      </c>
      <c r="T21" s="2" t="s">
        <v>90</v>
      </c>
      <c r="U21" s="2">
        <v>9473159572</v>
      </c>
      <c r="V21" s="2" t="s">
        <v>53</v>
      </c>
    </row>
    <row r="22" spans="1:22" x14ac:dyDescent="0.3">
      <c r="A22" s="2" t="s">
        <v>121</v>
      </c>
      <c r="B22" s="2" t="s">
        <v>23</v>
      </c>
      <c r="C22" s="2" t="s">
        <v>68</v>
      </c>
      <c r="D22" s="38">
        <v>45660</v>
      </c>
      <c r="E22" s="38">
        <v>45665</v>
      </c>
      <c r="F22" s="2" t="s">
        <v>25</v>
      </c>
      <c r="G22" s="2" t="s">
        <v>26</v>
      </c>
      <c r="H22" s="38">
        <v>38336</v>
      </c>
      <c r="I22" s="2" t="s">
        <v>48</v>
      </c>
      <c r="J22" s="2" t="s">
        <v>28</v>
      </c>
      <c r="K22" s="2" t="s">
        <v>29</v>
      </c>
      <c r="L22" s="2" t="s">
        <v>71</v>
      </c>
      <c r="M22" s="2">
        <v>1</v>
      </c>
      <c r="N22" s="7">
        <v>3500</v>
      </c>
      <c r="O22" s="2">
        <v>5</v>
      </c>
      <c r="P22" s="7">
        <v>3325</v>
      </c>
      <c r="Q22" s="2">
        <v>3</v>
      </c>
      <c r="R22" s="2" t="s">
        <v>65</v>
      </c>
      <c r="S22" s="2" t="s">
        <v>81</v>
      </c>
      <c r="T22" s="2" t="s">
        <v>43</v>
      </c>
      <c r="U22" s="2">
        <v>9660493688</v>
      </c>
      <c r="V22" s="2" t="s">
        <v>53</v>
      </c>
    </row>
    <row r="23" spans="1:22" x14ac:dyDescent="0.3">
      <c r="A23" s="2" t="s">
        <v>122</v>
      </c>
      <c r="B23" s="2" t="s">
        <v>73</v>
      </c>
      <c r="C23" s="2" t="s">
        <v>113</v>
      </c>
      <c r="D23" s="38">
        <v>45766</v>
      </c>
      <c r="E23" s="38">
        <v>45777</v>
      </c>
      <c r="F23" s="2" t="s">
        <v>74</v>
      </c>
      <c r="G23" s="2" t="s">
        <v>26</v>
      </c>
      <c r="H23" s="38">
        <v>30867</v>
      </c>
      <c r="I23" s="2" t="s">
        <v>123</v>
      </c>
      <c r="J23" s="2" t="s">
        <v>38</v>
      </c>
      <c r="K23" s="2" t="s">
        <v>39</v>
      </c>
      <c r="L23" s="2" t="s">
        <v>115</v>
      </c>
      <c r="M23" s="2">
        <v>19</v>
      </c>
      <c r="N23" s="7">
        <v>700</v>
      </c>
      <c r="O23" s="2">
        <v>15</v>
      </c>
      <c r="P23" s="7">
        <v>11305</v>
      </c>
      <c r="Q23" s="2">
        <v>3</v>
      </c>
      <c r="R23" s="2" t="s">
        <v>41</v>
      </c>
      <c r="S23" s="2" t="s">
        <v>97</v>
      </c>
      <c r="T23" s="2" t="s">
        <v>94</v>
      </c>
      <c r="U23" s="2">
        <v>9513325819</v>
      </c>
      <c r="V23" s="2" t="s">
        <v>52</v>
      </c>
    </row>
    <row r="24" spans="1:22" x14ac:dyDescent="0.3">
      <c r="A24" s="2" t="s">
        <v>124</v>
      </c>
      <c r="B24" s="2" t="s">
        <v>55</v>
      </c>
      <c r="C24" s="2" t="s">
        <v>46</v>
      </c>
      <c r="D24" s="38">
        <v>46013</v>
      </c>
      <c r="E24" s="38">
        <v>46023</v>
      </c>
      <c r="F24" s="2" t="s">
        <v>125</v>
      </c>
      <c r="G24" s="2" t="s">
        <v>58</v>
      </c>
      <c r="H24" s="38">
        <v>28546</v>
      </c>
      <c r="I24" s="2" t="s">
        <v>48</v>
      </c>
      <c r="J24" s="2" t="s">
        <v>28</v>
      </c>
      <c r="K24" s="2" t="s">
        <v>39</v>
      </c>
      <c r="L24" s="2" t="s">
        <v>49</v>
      </c>
      <c r="M24" s="2">
        <v>12</v>
      </c>
      <c r="N24" s="7">
        <v>55000</v>
      </c>
      <c r="O24" s="2">
        <v>0</v>
      </c>
      <c r="P24" s="7">
        <v>660000</v>
      </c>
      <c r="Q24" s="2">
        <v>1</v>
      </c>
      <c r="R24" s="2" t="s">
        <v>60</v>
      </c>
      <c r="S24" s="2" t="s">
        <v>42</v>
      </c>
      <c r="T24" s="2" t="s">
        <v>61</v>
      </c>
      <c r="U24" s="2">
        <v>9641063242</v>
      </c>
      <c r="V24" s="2" t="s">
        <v>52</v>
      </c>
    </row>
    <row r="25" spans="1:22" x14ac:dyDescent="0.3">
      <c r="A25" s="2" t="s">
        <v>126</v>
      </c>
      <c r="B25" s="2" t="s">
        <v>127</v>
      </c>
      <c r="C25" s="2" t="s">
        <v>128</v>
      </c>
      <c r="D25" s="38">
        <v>46121</v>
      </c>
      <c r="E25" s="38">
        <v>46132</v>
      </c>
      <c r="F25" s="2" t="s">
        <v>129</v>
      </c>
      <c r="G25" s="2" t="s">
        <v>58</v>
      </c>
      <c r="H25" s="38">
        <v>33453</v>
      </c>
      <c r="I25" s="2" t="s">
        <v>75</v>
      </c>
      <c r="J25" s="2" t="s">
        <v>76</v>
      </c>
      <c r="K25" s="2" t="s">
        <v>84</v>
      </c>
      <c r="L25" s="2" t="s">
        <v>130</v>
      </c>
      <c r="M25" s="2">
        <v>1</v>
      </c>
      <c r="N25" s="7">
        <v>20</v>
      </c>
      <c r="O25" s="2">
        <v>5</v>
      </c>
      <c r="P25" s="7">
        <v>19</v>
      </c>
      <c r="Q25" s="2">
        <v>5</v>
      </c>
      <c r="R25" s="2" t="s">
        <v>60</v>
      </c>
      <c r="S25" s="2" t="s">
        <v>32</v>
      </c>
      <c r="T25" s="2" t="s">
        <v>131</v>
      </c>
      <c r="U25" s="2">
        <v>9277372518</v>
      </c>
      <c r="V25" s="2" t="s">
        <v>53</v>
      </c>
    </row>
    <row r="26" spans="1:22" x14ac:dyDescent="0.3">
      <c r="A26" s="2" t="s">
        <v>132</v>
      </c>
      <c r="B26" s="2" t="s">
        <v>63</v>
      </c>
      <c r="C26" s="2" t="s">
        <v>128</v>
      </c>
      <c r="D26" s="38">
        <v>45832</v>
      </c>
      <c r="E26" s="38">
        <v>45840</v>
      </c>
      <c r="F26" s="2" t="s">
        <v>111</v>
      </c>
      <c r="G26" s="2" t="s">
        <v>58</v>
      </c>
      <c r="H26" s="38">
        <v>28470</v>
      </c>
      <c r="I26" s="2" t="s">
        <v>75</v>
      </c>
      <c r="J26" s="2" t="s">
        <v>76</v>
      </c>
      <c r="K26" s="2" t="s">
        <v>84</v>
      </c>
      <c r="L26" s="2" t="s">
        <v>130</v>
      </c>
      <c r="M26" s="2">
        <v>2</v>
      </c>
      <c r="N26" s="7">
        <v>20</v>
      </c>
      <c r="O26" s="2">
        <v>15</v>
      </c>
      <c r="P26" s="7">
        <v>34</v>
      </c>
      <c r="Q26" s="2">
        <v>1</v>
      </c>
      <c r="R26" s="2" t="s">
        <v>65</v>
      </c>
      <c r="S26" s="2" t="s">
        <v>32</v>
      </c>
      <c r="T26" s="2" t="s">
        <v>66</v>
      </c>
      <c r="U26" s="2">
        <v>9193154372</v>
      </c>
      <c r="V26" s="2" t="s">
        <v>52</v>
      </c>
    </row>
    <row r="27" spans="1:22" x14ac:dyDescent="0.3">
      <c r="A27" s="2" t="s">
        <v>133</v>
      </c>
      <c r="B27" s="2" t="s">
        <v>55</v>
      </c>
      <c r="C27" s="2" t="s">
        <v>68</v>
      </c>
      <c r="D27" s="38">
        <v>45799</v>
      </c>
      <c r="E27" s="38">
        <v>45802</v>
      </c>
      <c r="F27" s="2" t="s">
        <v>125</v>
      </c>
      <c r="G27" s="2" t="s">
        <v>58</v>
      </c>
      <c r="H27" s="38">
        <v>33642</v>
      </c>
      <c r="I27" s="2" t="s">
        <v>92</v>
      </c>
      <c r="J27" s="2" t="s">
        <v>76</v>
      </c>
      <c r="K27" s="2" t="s">
        <v>29</v>
      </c>
      <c r="L27" s="2" t="s">
        <v>71</v>
      </c>
      <c r="M27" s="2">
        <v>12</v>
      </c>
      <c r="N27" s="7">
        <v>3500</v>
      </c>
      <c r="O27" s="2">
        <v>15</v>
      </c>
      <c r="P27" s="7">
        <v>35700</v>
      </c>
      <c r="Q27" s="2">
        <v>4</v>
      </c>
      <c r="R27" s="2" t="s">
        <v>31</v>
      </c>
      <c r="S27" s="2" t="s">
        <v>42</v>
      </c>
      <c r="T27" s="2" t="s">
        <v>61</v>
      </c>
      <c r="U27" s="2">
        <v>9400073244</v>
      </c>
      <c r="V27" s="2" t="s">
        <v>53</v>
      </c>
    </row>
    <row r="28" spans="1:22" x14ac:dyDescent="0.3">
      <c r="A28" s="2" t="s">
        <v>134</v>
      </c>
      <c r="B28" s="2" t="s">
        <v>23</v>
      </c>
      <c r="C28" s="2" t="s">
        <v>56</v>
      </c>
      <c r="D28" s="38">
        <v>46094</v>
      </c>
      <c r="E28" s="38">
        <v>46101</v>
      </c>
      <c r="F28" s="2" t="s">
        <v>25</v>
      </c>
      <c r="G28" s="2" t="s">
        <v>26</v>
      </c>
      <c r="H28" s="38">
        <v>38143</v>
      </c>
      <c r="I28" s="2" t="s">
        <v>92</v>
      </c>
      <c r="J28" s="2" t="s">
        <v>76</v>
      </c>
      <c r="K28" s="2" t="s">
        <v>39</v>
      </c>
      <c r="L28" s="2" t="s">
        <v>59</v>
      </c>
      <c r="M28" s="2">
        <v>11</v>
      </c>
      <c r="N28" s="7">
        <v>1200</v>
      </c>
      <c r="O28" s="2">
        <v>0</v>
      </c>
      <c r="P28" s="7">
        <v>13200</v>
      </c>
      <c r="Q28" s="2">
        <v>2</v>
      </c>
      <c r="R28" s="2" t="s">
        <v>65</v>
      </c>
      <c r="S28" s="2" t="s">
        <v>97</v>
      </c>
      <c r="T28" s="2" t="s">
        <v>43</v>
      </c>
      <c r="U28" s="2">
        <v>9771556720</v>
      </c>
      <c r="V28" s="2" t="s">
        <v>34</v>
      </c>
    </row>
    <row r="29" spans="1:22" x14ac:dyDescent="0.3">
      <c r="A29" s="2" t="s">
        <v>135</v>
      </c>
      <c r="B29" s="2" t="s">
        <v>88</v>
      </c>
      <c r="C29" s="2" t="s">
        <v>106</v>
      </c>
      <c r="D29" s="38">
        <v>45908</v>
      </c>
      <c r="E29" s="38">
        <v>45920</v>
      </c>
      <c r="F29" s="2" t="s">
        <v>119</v>
      </c>
      <c r="G29" s="2" t="s">
        <v>58</v>
      </c>
      <c r="H29" s="38">
        <v>37114</v>
      </c>
      <c r="I29" s="2" t="s">
        <v>80</v>
      </c>
      <c r="J29" s="2" t="s">
        <v>76</v>
      </c>
      <c r="K29" s="2" t="s">
        <v>29</v>
      </c>
      <c r="L29" s="2" t="s">
        <v>108</v>
      </c>
      <c r="M29" s="2">
        <v>6</v>
      </c>
      <c r="N29" s="7">
        <v>8500</v>
      </c>
      <c r="O29" s="2">
        <v>65</v>
      </c>
      <c r="P29" s="7">
        <v>51000</v>
      </c>
      <c r="Q29" s="2">
        <v>1</v>
      </c>
      <c r="R29" s="2" t="s">
        <v>60</v>
      </c>
      <c r="S29" s="2" t="s">
        <v>50</v>
      </c>
      <c r="T29" s="2" t="s">
        <v>90</v>
      </c>
      <c r="U29" s="2">
        <v>9127480734</v>
      </c>
      <c r="V29" s="2" t="s">
        <v>34</v>
      </c>
    </row>
    <row r="30" spans="1:22" x14ac:dyDescent="0.3">
      <c r="A30" s="2" t="s">
        <v>136</v>
      </c>
      <c r="B30" s="2" t="s">
        <v>137</v>
      </c>
      <c r="C30" s="2" t="s">
        <v>83</v>
      </c>
      <c r="D30" s="38">
        <v>46033</v>
      </c>
      <c r="E30" s="38">
        <v>46038</v>
      </c>
      <c r="F30" s="2" t="s">
        <v>138</v>
      </c>
      <c r="G30" s="2" t="s">
        <v>26</v>
      </c>
      <c r="H30" s="38">
        <v>29680</v>
      </c>
      <c r="I30" s="2" t="s">
        <v>80</v>
      </c>
      <c r="J30" s="2" t="s">
        <v>76</v>
      </c>
      <c r="K30" s="2" t="s">
        <v>84</v>
      </c>
      <c r="L30" s="2" t="s">
        <v>85</v>
      </c>
      <c r="M30" s="2">
        <v>2</v>
      </c>
      <c r="N30" s="7">
        <v>60</v>
      </c>
      <c r="O30" s="2">
        <v>5</v>
      </c>
      <c r="P30" s="7">
        <v>114</v>
      </c>
      <c r="Q30" s="2">
        <v>3</v>
      </c>
      <c r="R30" s="2" t="s">
        <v>31</v>
      </c>
      <c r="S30" s="2" t="s">
        <v>97</v>
      </c>
      <c r="T30" s="2" t="s">
        <v>139</v>
      </c>
      <c r="U30" s="2">
        <v>9512997042</v>
      </c>
      <c r="V30" s="2" t="s">
        <v>53</v>
      </c>
    </row>
    <row r="31" spans="1:22" x14ac:dyDescent="0.3">
      <c r="A31" s="2" t="s">
        <v>140</v>
      </c>
      <c r="B31" s="2" t="s">
        <v>23</v>
      </c>
      <c r="C31" s="2" t="s">
        <v>141</v>
      </c>
      <c r="D31" s="38">
        <v>45824</v>
      </c>
      <c r="E31" s="38">
        <v>45834</v>
      </c>
      <c r="F31" s="2" t="s">
        <v>25</v>
      </c>
      <c r="G31" s="2" t="s">
        <v>26</v>
      </c>
      <c r="H31" s="38">
        <v>35248</v>
      </c>
      <c r="I31" s="2" t="s">
        <v>48</v>
      </c>
      <c r="J31" s="2" t="s">
        <v>28</v>
      </c>
      <c r="K31" s="2" t="s">
        <v>84</v>
      </c>
      <c r="L31" s="2" t="s">
        <v>142</v>
      </c>
      <c r="M31" s="2">
        <v>19</v>
      </c>
      <c r="N31" s="7">
        <v>45</v>
      </c>
      <c r="O31" s="2">
        <v>20</v>
      </c>
      <c r="P31" s="7">
        <v>684</v>
      </c>
      <c r="Q31" s="2">
        <v>4</v>
      </c>
      <c r="R31" s="2" t="s">
        <v>41</v>
      </c>
      <c r="S31" s="2" t="s">
        <v>50</v>
      </c>
      <c r="T31" s="2" t="s">
        <v>43</v>
      </c>
      <c r="U31" s="2">
        <v>9372748661</v>
      </c>
      <c r="V31" s="2" t="s">
        <v>53</v>
      </c>
    </row>
    <row r="32" spans="1:22" x14ac:dyDescent="0.3">
      <c r="A32" s="2" t="s">
        <v>143</v>
      </c>
      <c r="B32" s="2" t="s">
        <v>73</v>
      </c>
      <c r="C32" s="2" t="s">
        <v>36</v>
      </c>
      <c r="D32" s="38">
        <v>45839</v>
      </c>
      <c r="E32" s="38">
        <v>45851</v>
      </c>
      <c r="F32" s="2" t="s">
        <v>74</v>
      </c>
      <c r="G32" s="2" t="s">
        <v>26</v>
      </c>
      <c r="H32" s="38">
        <v>28079</v>
      </c>
      <c r="I32" s="2" t="s">
        <v>92</v>
      </c>
      <c r="J32" s="2" t="s">
        <v>76</v>
      </c>
      <c r="K32" s="2" t="s">
        <v>39</v>
      </c>
      <c r="L32" s="2" t="s">
        <v>40</v>
      </c>
      <c r="M32" s="2">
        <v>11</v>
      </c>
      <c r="N32" s="7">
        <v>12000</v>
      </c>
      <c r="O32" s="2">
        <v>0</v>
      </c>
      <c r="P32" s="7">
        <v>132000</v>
      </c>
      <c r="Q32" s="2">
        <v>3</v>
      </c>
      <c r="R32" s="2" t="s">
        <v>65</v>
      </c>
      <c r="S32" s="2" t="s">
        <v>32</v>
      </c>
      <c r="T32" s="2" t="s">
        <v>94</v>
      </c>
      <c r="U32" s="2">
        <v>9570437805</v>
      </c>
      <c r="V32" s="2" t="s">
        <v>52</v>
      </c>
    </row>
    <row r="33" spans="1:22" x14ac:dyDescent="0.3">
      <c r="A33" s="2" t="s">
        <v>145</v>
      </c>
      <c r="B33" s="2" t="s">
        <v>137</v>
      </c>
      <c r="C33" s="2" t="s">
        <v>24</v>
      </c>
      <c r="D33" s="38">
        <v>45723</v>
      </c>
      <c r="E33" s="38">
        <v>45731</v>
      </c>
      <c r="F33" s="2" t="s">
        <v>138</v>
      </c>
      <c r="G33" s="2" t="s">
        <v>26</v>
      </c>
      <c r="H33" s="38">
        <v>32444</v>
      </c>
      <c r="I33" s="2" t="s">
        <v>48</v>
      </c>
      <c r="J33" s="2" t="s">
        <v>28</v>
      </c>
      <c r="K33" s="2" t="s">
        <v>29</v>
      </c>
      <c r="L33" s="2" t="s">
        <v>30</v>
      </c>
      <c r="M33" s="2">
        <v>20</v>
      </c>
      <c r="N33" s="7">
        <v>2200</v>
      </c>
      <c r="O33" s="2">
        <v>5</v>
      </c>
      <c r="P33" s="7">
        <v>41800</v>
      </c>
      <c r="Q33" s="2">
        <v>1</v>
      </c>
      <c r="R33" s="2" t="s">
        <v>31</v>
      </c>
      <c r="S33" s="2" t="s">
        <v>42</v>
      </c>
      <c r="T33" s="2" t="s">
        <v>139</v>
      </c>
      <c r="U33" s="2">
        <v>9310669113</v>
      </c>
      <c r="V33" s="2" t="s">
        <v>52</v>
      </c>
    </row>
    <row r="34" spans="1:22" x14ac:dyDescent="0.3">
      <c r="A34" s="2" t="s">
        <v>146</v>
      </c>
      <c r="B34" s="2" t="s">
        <v>63</v>
      </c>
      <c r="C34" s="2" t="s">
        <v>128</v>
      </c>
      <c r="D34" s="38">
        <v>45832</v>
      </c>
      <c r="E34" s="38">
        <v>45842</v>
      </c>
      <c r="F34" s="2" t="s">
        <v>111</v>
      </c>
      <c r="G34" s="2" t="s">
        <v>58</v>
      </c>
      <c r="H34" s="38">
        <v>38161</v>
      </c>
      <c r="I34" s="2" t="s">
        <v>92</v>
      </c>
      <c r="J34" s="2" t="s">
        <v>76</v>
      </c>
      <c r="K34" s="2" t="s">
        <v>84</v>
      </c>
      <c r="L34" s="2" t="s">
        <v>130</v>
      </c>
      <c r="M34" s="2">
        <v>3</v>
      </c>
      <c r="N34" s="7">
        <v>20</v>
      </c>
      <c r="O34" s="2">
        <v>0</v>
      </c>
      <c r="P34" s="7">
        <v>60</v>
      </c>
      <c r="Q34" s="2">
        <v>2</v>
      </c>
      <c r="R34" s="2" t="s">
        <v>60</v>
      </c>
      <c r="S34" s="2" t="s">
        <v>32</v>
      </c>
      <c r="T34" s="2" t="s">
        <v>147</v>
      </c>
      <c r="U34" s="2">
        <v>9437132894</v>
      </c>
      <c r="V34" s="2" t="s">
        <v>53</v>
      </c>
    </row>
    <row r="35" spans="1:22" x14ac:dyDescent="0.3">
      <c r="A35" s="2" t="s">
        <v>148</v>
      </c>
      <c r="B35" s="2" t="s">
        <v>88</v>
      </c>
      <c r="C35" s="2" t="s">
        <v>141</v>
      </c>
      <c r="D35" s="38">
        <v>45939</v>
      </c>
      <c r="E35" s="38">
        <v>45949</v>
      </c>
      <c r="F35" s="2" t="s">
        <v>119</v>
      </c>
      <c r="G35" s="2" t="s">
        <v>58</v>
      </c>
      <c r="H35" s="38">
        <v>35177</v>
      </c>
      <c r="I35" s="2" t="s">
        <v>80</v>
      </c>
      <c r="J35" s="2" t="s">
        <v>76</v>
      </c>
      <c r="K35" s="2" t="s">
        <v>84</v>
      </c>
      <c r="L35" s="2" t="s">
        <v>142</v>
      </c>
      <c r="M35" s="2">
        <v>18</v>
      </c>
      <c r="N35" s="7">
        <v>45</v>
      </c>
      <c r="O35" s="2">
        <v>20</v>
      </c>
      <c r="P35" s="7">
        <v>648</v>
      </c>
      <c r="Q35" s="2">
        <v>4</v>
      </c>
      <c r="R35" s="2" t="s">
        <v>41</v>
      </c>
      <c r="S35" s="2" t="s">
        <v>32</v>
      </c>
      <c r="T35" s="2" t="s">
        <v>90</v>
      </c>
      <c r="U35" s="2">
        <v>9762437243</v>
      </c>
      <c r="V35" s="2" t="s">
        <v>53</v>
      </c>
    </row>
    <row r="36" spans="1:22" x14ac:dyDescent="0.3">
      <c r="A36" s="2" t="s">
        <v>149</v>
      </c>
      <c r="B36" s="2" t="s">
        <v>88</v>
      </c>
      <c r="C36" s="2" t="s">
        <v>56</v>
      </c>
      <c r="D36" s="38">
        <v>45980</v>
      </c>
      <c r="E36" s="38">
        <v>45987</v>
      </c>
      <c r="F36" s="2" t="s">
        <v>119</v>
      </c>
      <c r="G36" s="2" t="s">
        <v>58</v>
      </c>
      <c r="H36" s="38">
        <v>29043</v>
      </c>
      <c r="I36" s="2" t="s">
        <v>48</v>
      </c>
      <c r="J36" s="2" t="s">
        <v>28</v>
      </c>
      <c r="K36" s="2" t="s">
        <v>39</v>
      </c>
      <c r="L36" s="2" t="s">
        <v>59</v>
      </c>
      <c r="M36" s="2">
        <v>4</v>
      </c>
      <c r="N36" s="7">
        <v>1200</v>
      </c>
      <c r="O36" s="2">
        <v>20</v>
      </c>
      <c r="P36" s="7">
        <v>3840</v>
      </c>
      <c r="Q36" s="2">
        <v>3</v>
      </c>
      <c r="R36" s="2" t="s">
        <v>41</v>
      </c>
      <c r="S36" s="2" t="s">
        <v>50</v>
      </c>
      <c r="T36" s="2" t="s">
        <v>90</v>
      </c>
      <c r="U36" s="2">
        <v>9149046970</v>
      </c>
      <c r="V36" s="2" t="s">
        <v>34</v>
      </c>
    </row>
    <row r="37" spans="1:22" x14ac:dyDescent="0.3">
      <c r="A37" s="2" t="s">
        <v>150</v>
      </c>
      <c r="B37" s="2" t="s">
        <v>55</v>
      </c>
      <c r="C37" s="2" t="s">
        <v>46</v>
      </c>
      <c r="D37" s="38">
        <v>45966</v>
      </c>
      <c r="E37" s="38">
        <v>45975</v>
      </c>
      <c r="F37" s="2" t="s">
        <v>125</v>
      </c>
      <c r="G37" s="2" t="s">
        <v>58</v>
      </c>
      <c r="H37" s="38">
        <v>29491</v>
      </c>
      <c r="I37" s="2" t="s">
        <v>151</v>
      </c>
      <c r="J37" s="2" t="s">
        <v>152</v>
      </c>
      <c r="K37" s="2" t="s">
        <v>39</v>
      </c>
      <c r="L37" s="2" t="s">
        <v>49</v>
      </c>
      <c r="M37" s="2">
        <v>10</v>
      </c>
      <c r="N37" s="7">
        <v>55000</v>
      </c>
      <c r="O37" s="2">
        <v>0</v>
      </c>
      <c r="P37" s="7">
        <v>550000</v>
      </c>
      <c r="Q37" s="2">
        <v>1</v>
      </c>
      <c r="R37" s="2" t="s">
        <v>65</v>
      </c>
      <c r="S37" s="2" t="s">
        <v>42</v>
      </c>
      <c r="T37" s="2" t="s">
        <v>61</v>
      </c>
      <c r="U37" s="2">
        <v>9869182901</v>
      </c>
      <c r="V37" s="2" t="s">
        <v>53</v>
      </c>
    </row>
    <row r="38" spans="1:22" x14ac:dyDescent="0.3">
      <c r="A38" s="2" t="s">
        <v>153</v>
      </c>
      <c r="B38" s="2" t="s">
        <v>137</v>
      </c>
      <c r="C38" s="2" t="s">
        <v>68</v>
      </c>
      <c r="D38" s="38">
        <v>46089</v>
      </c>
      <c r="E38" s="38">
        <v>46101</v>
      </c>
      <c r="F38" s="2" t="s">
        <v>138</v>
      </c>
      <c r="G38" s="2" t="s">
        <v>26</v>
      </c>
      <c r="H38" s="38">
        <v>29393</v>
      </c>
      <c r="I38" s="2" t="s">
        <v>37</v>
      </c>
      <c r="J38" s="2" t="s">
        <v>38</v>
      </c>
      <c r="K38" s="2" t="s">
        <v>29</v>
      </c>
      <c r="L38" s="2" t="s">
        <v>71</v>
      </c>
      <c r="M38" s="2">
        <v>20</v>
      </c>
      <c r="N38" s="7">
        <v>3500</v>
      </c>
      <c r="O38" s="2">
        <v>10</v>
      </c>
      <c r="P38" s="7">
        <v>63000</v>
      </c>
      <c r="Q38" s="2">
        <v>3</v>
      </c>
      <c r="R38" s="2" t="s">
        <v>60</v>
      </c>
      <c r="S38" s="2" t="s">
        <v>42</v>
      </c>
      <c r="T38" s="2" t="s">
        <v>139</v>
      </c>
      <c r="U38" s="2">
        <v>9283578533</v>
      </c>
      <c r="V38" s="2" t="s">
        <v>53</v>
      </c>
    </row>
    <row r="39" spans="1:22" x14ac:dyDescent="0.3">
      <c r="A39" s="2" t="s">
        <v>154</v>
      </c>
      <c r="B39" s="2" t="s">
        <v>23</v>
      </c>
      <c r="C39" s="2" t="s">
        <v>128</v>
      </c>
      <c r="D39" s="38">
        <v>45701</v>
      </c>
      <c r="E39" s="38">
        <v>45707</v>
      </c>
      <c r="F39" s="2" t="s">
        <v>25</v>
      </c>
      <c r="G39" s="2" t="s">
        <v>26</v>
      </c>
      <c r="H39" s="38">
        <v>29023</v>
      </c>
      <c r="I39" s="2" t="s">
        <v>80</v>
      </c>
      <c r="J39" s="2" t="s">
        <v>76</v>
      </c>
      <c r="K39" s="2" t="s">
        <v>84</v>
      </c>
      <c r="L39" s="2" t="s">
        <v>130</v>
      </c>
      <c r="M39" s="2">
        <v>5</v>
      </c>
      <c r="N39" s="7">
        <v>1200</v>
      </c>
      <c r="O39" s="2">
        <v>0</v>
      </c>
      <c r="P39" s="7">
        <v>100</v>
      </c>
      <c r="Q39" s="2">
        <v>1</v>
      </c>
      <c r="R39" s="2" t="s">
        <v>31</v>
      </c>
      <c r="S39" s="2" t="s">
        <v>42</v>
      </c>
      <c r="T39" s="2" t="s">
        <v>43</v>
      </c>
      <c r="U39" s="2">
        <v>9963005771</v>
      </c>
      <c r="V39" s="2" t="s">
        <v>53</v>
      </c>
    </row>
    <row r="40" spans="1:22" x14ac:dyDescent="0.3">
      <c r="A40" s="2" t="s">
        <v>155</v>
      </c>
      <c r="B40" s="2" t="s">
        <v>45</v>
      </c>
      <c r="C40" s="2" t="s">
        <v>106</v>
      </c>
      <c r="D40" s="38">
        <v>45935</v>
      </c>
      <c r="E40" s="38">
        <v>45945</v>
      </c>
      <c r="F40" s="2" t="s">
        <v>102</v>
      </c>
      <c r="G40" s="2" t="s">
        <v>26</v>
      </c>
      <c r="H40" s="38">
        <v>33773</v>
      </c>
      <c r="I40" s="2" t="s">
        <v>75</v>
      </c>
      <c r="J40" s="2" t="s">
        <v>76</v>
      </c>
      <c r="K40" s="2" t="s">
        <v>29</v>
      </c>
      <c r="L40" s="2" t="s">
        <v>108</v>
      </c>
      <c r="M40" s="2">
        <v>20</v>
      </c>
      <c r="N40" s="7">
        <v>8500</v>
      </c>
      <c r="O40" s="2">
        <v>0</v>
      </c>
      <c r="P40" s="7">
        <v>170000</v>
      </c>
      <c r="Q40" s="2">
        <v>1</v>
      </c>
      <c r="R40" s="2" t="s">
        <v>65</v>
      </c>
      <c r="S40" s="2" t="s">
        <v>81</v>
      </c>
      <c r="T40" s="2" t="s">
        <v>51</v>
      </c>
      <c r="U40" s="2">
        <v>9484632635</v>
      </c>
      <c r="V40" s="2" t="s">
        <v>53</v>
      </c>
    </row>
    <row r="41" spans="1:22" x14ac:dyDescent="0.3">
      <c r="A41" s="2" t="s">
        <v>156</v>
      </c>
      <c r="B41" s="2" t="s">
        <v>63</v>
      </c>
      <c r="C41" s="2" t="s">
        <v>83</v>
      </c>
      <c r="D41" s="38">
        <v>46063</v>
      </c>
      <c r="E41" s="38">
        <v>46065</v>
      </c>
      <c r="F41" s="2" t="s">
        <v>111</v>
      </c>
      <c r="G41" s="2" t="s">
        <v>58</v>
      </c>
      <c r="H41" s="38">
        <v>34491</v>
      </c>
      <c r="I41" s="2" t="s">
        <v>48</v>
      </c>
      <c r="J41" s="2" t="s">
        <v>28</v>
      </c>
      <c r="K41" s="2" t="s">
        <v>84</v>
      </c>
      <c r="L41" s="2" t="s">
        <v>85</v>
      </c>
      <c r="M41" s="2">
        <v>8</v>
      </c>
      <c r="N41" s="7">
        <v>60</v>
      </c>
      <c r="O41" s="2">
        <v>15</v>
      </c>
      <c r="P41" s="7">
        <v>408</v>
      </c>
      <c r="Q41" s="2">
        <v>5</v>
      </c>
      <c r="R41" s="2" t="s">
        <v>65</v>
      </c>
      <c r="S41" s="2" t="s">
        <v>42</v>
      </c>
      <c r="T41" s="2" t="s">
        <v>66</v>
      </c>
      <c r="U41" s="2">
        <v>9276319484</v>
      </c>
      <c r="V41" s="2" t="s">
        <v>52</v>
      </c>
    </row>
    <row r="42" spans="1:22" x14ac:dyDescent="0.3">
      <c r="A42" s="2" t="s">
        <v>157</v>
      </c>
      <c r="B42" s="2" t="s">
        <v>45</v>
      </c>
      <c r="C42" s="2" t="s">
        <v>68</v>
      </c>
      <c r="D42" s="38">
        <v>45812</v>
      </c>
      <c r="E42" s="38">
        <v>45824</v>
      </c>
      <c r="F42" s="2" t="s">
        <v>102</v>
      </c>
      <c r="G42" s="2" t="s">
        <v>26</v>
      </c>
      <c r="H42" s="38">
        <v>32408</v>
      </c>
      <c r="I42" s="2" t="s">
        <v>80</v>
      </c>
      <c r="J42" s="2" t="s">
        <v>76</v>
      </c>
      <c r="K42" s="2" t="s">
        <v>29</v>
      </c>
      <c r="L42" s="2" t="s">
        <v>71</v>
      </c>
      <c r="M42" s="2">
        <v>8</v>
      </c>
      <c r="N42" s="7">
        <v>3500</v>
      </c>
      <c r="O42" s="2">
        <v>5</v>
      </c>
      <c r="P42" s="7">
        <v>26600</v>
      </c>
      <c r="Q42" s="2">
        <v>1</v>
      </c>
      <c r="R42" s="2" t="s">
        <v>60</v>
      </c>
      <c r="S42" s="2" t="s">
        <v>81</v>
      </c>
      <c r="T42" s="2" t="s">
        <v>51</v>
      </c>
      <c r="U42" s="2">
        <v>9619034852</v>
      </c>
      <c r="V42" s="2" t="s">
        <v>52</v>
      </c>
    </row>
    <row r="43" spans="1:22" x14ac:dyDescent="0.3">
      <c r="A43" s="2" t="s">
        <v>158</v>
      </c>
      <c r="B43" s="2" t="s">
        <v>55</v>
      </c>
      <c r="C43" s="2" t="s">
        <v>106</v>
      </c>
      <c r="D43" s="38">
        <v>46061</v>
      </c>
      <c r="E43" s="38">
        <v>46067</v>
      </c>
      <c r="F43" s="2" t="s">
        <v>125</v>
      </c>
      <c r="G43" s="2" t="s">
        <v>58</v>
      </c>
      <c r="H43" s="38">
        <v>37086</v>
      </c>
      <c r="I43" s="2" t="s">
        <v>123</v>
      </c>
      <c r="J43" s="2" t="s">
        <v>38</v>
      </c>
      <c r="K43" s="2" t="s">
        <v>29</v>
      </c>
      <c r="L43" s="2" t="s">
        <v>108</v>
      </c>
      <c r="M43" s="2">
        <v>1</v>
      </c>
      <c r="N43" s="7">
        <v>8500</v>
      </c>
      <c r="O43" s="2">
        <v>0</v>
      </c>
      <c r="P43" s="7">
        <v>8500</v>
      </c>
      <c r="Q43" s="2">
        <v>2</v>
      </c>
      <c r="R43" s="2" t="s">
        <v>60</v>
      </c>
      <c r="S43" s="2" t="s">
        <v>81</v>
      </c>
      <c r="T43" s="2" t="s">
        <v>61</v>
      </c>
      <c r="U43" s="2">
        <v>9636416962</v>
      </c>
      <c r="V43" s="2" t="s">
        <v>52</v>
      </c>
    </row>
    <row r="44" spans="1:22" x14ac:dyDescent="0.3">
      <c r="A44" s="2" t="s">
        <v>159</v>
      </c>
      <c r="B44" s="2" t="s">
        <v>160</v>
      </c>
      <c r="C44" s="2" t="s">
        <v>141</v>
      </c>
      <c r="D44" s="38">
        <v>45746</v>
      </c>
      <c r="E44" s="38">
        <v>45747</v>
      </c>
      <c r="F44" s="2" t="s">
        <v>179</v>
      </c>
      <c r="G44" s="2" t="s">
        <v>58</v>
      </c>
      <c r="H44" s="38">
        <v>33459</v>
      </c>
      <c r="I44" s="2" t="s">
        <v>80</v>
      </c>
      <c r="J44" s="2" t="s">
        <v>76</v>
      </c>
      <c r="K44" s="2" t="s">
        <v>84</v>
      </c>
      <c r="L44" s="2" t="s">
        <v>142</v>
      </c>
      <c r="M44" s="2">
        <v>8</v>
      </c>
      <c r="N44" s="7">
        <v>45</v>
      </c>
      <c r="O44" s="2">
        <v>15</v>
      </c>
      <c r="P44" s="7">
        <v>306</v>
      </c>
      <c r="Q44" s="2">
        <v>2</v>
      </c>
      <c r="R44" s="2" t="s">
        <v>60</v>
      </c>
      <c r="S44" s="2" t="s">
        <v>50</v>
      </c>
      <c r="T44" s="2" t="s">
        <v>162</v>
      </c>
      <c r="U44" s="2">
        <v>9357133880</v>
      </c>
      <c r="V44" s="2" t="s">
        <v>34</v>
      </c>
    </row>
    <row r="45" spans="1:22" x14ac:dyDescent="0.3">
      <c r="A45" s="2" t="s">
        <v>163</v>
      </c>
      <c r="B45" s="2" t="s">
        <v>137</v>
      </c>
      <c r="C45" s="2" t="s">
        <v>24</v>
      </c>
      <c r="D45" s="38">
        <v>45772</v>
      </c>
      <c r="E45" s="38">
        <v>45775</v>
      </c>
      <c r="F45" s="2" t="s">
        <v>138</v>
      </c>
      <c r="G45" s="2" t="s">
        <v>26</v>
      </c>
      <c r="H45" s="38">
        <v>32437</v>
      </c>
      <c r="I45" s="2" t="s">
        <v>80</v>
      </c>
      <c r="J45" s="2" t="s">
        <v>76</v>
      </c>
      <c r="K45" s="2" t="s">
        <v>29</v>
      </c>
      <c r="L45" s="2" t="s">
        <v>30</v>
      </c>
      <c r="M45" s="2">
        <v>16</v>
      </c>
      <c r="N45" s="7">
        <v>2200</v>
      </c>
      <c r="O45" s="2">
        <v>5</v>
      </c>
      <c r="P45" s="7">
        <v>33440</v>
      </c>
      <c r="Q45" s="2">
        <v>5</v>
      </c>
      <c r="R45" s="2" t="s">
        <v>60</v>
      </c>
      <c r="S45" s="2" t="s">
        <v>50</v>
      </c>
      <c r="T45" s="2" t="s">
        <v>139</v>
      </c>
      <c r="U45" s="2">
        <v>9575210324</v>
      </c>
      <c r="V45" s="2" t="s">
        <v>53</v>
      </c>
    </row>
    <row r="46" spans="1:22" x14ac:dyDescent="0.3">
      <c r="A46" s="2" t="s">
        <v>164</v>
      </c>
      <c r="B46" s="2" t="s">
        <v>55</v>
      </c>
      <c r="C46" s="2" t="s">
        <v>68</v>
      </c>
      <c r="D46" s="38">
        <v>45943</v>
      </c>
      <c r="E46" s="38">
        <v>45953</v>
      </c>
      <c r="F46" s="2" t="s">
        <v>125</v>
      </c>
      <c r="G46" s="2" t="s">
        <v>58</v>
      </c>
      <c r="H46" s="38">
        <v>37579</v>
      </c>
      <c r="I46" s="2" t="s">
        <v>48</v>
      </c>
      <c r="J46" s="2" t="s">
        <v>28</v>
      </c>
      <c r="K46" s="2" t="s">
        <v>29</v>
      </c>
      <c r="L46" s="2" t="s">
        <v>71</v>
      </c>
      <c r="M46" s="2">
        <v>19</v>
      </c>
      <c r="N46" s="7">
        <v>3500</v>
      </c>
      <c r="O46" s="2">
        <v>20</v>
      </c>
      <c r="P46" s="7">
        <v>53200</v>
      </c>
      <c r="Q46" s="2">
        <v>3</v>
      </c>
      <c r="R46" s="2" t="s">
        <v>31</v>
      </c>
      <c r="S46" s="2" t="s">
        <v>97</v>
      </c>
      <c r="T46" s="2" t="s">
        <v>61</v>
      </c>
      <c r="U46" s="2">
        <v>9276080204</v>
      </c>
      <c r="V46" s="2" t="s">
        <v>53</v>
      </c>
    </row>
    <row r="47" spans="1:22" x14ac:dyDescent="0.3">
      <c r="A47" s="2" t="s">
        <v>165</v>
      </c>
      <c r="B47" s="2" t="s">
        <v>137</v>
      </c>
      <c r="C47" s="2" t="s">
        <v>113</v>
      </c>
      <c r="D47" s="38">
        <v>45941</v>
      </c>
      <c r="E47" s="38">
        <v>45944</v>
      </c>
      <c r="F47" s="2" t="s">
        <v>138</v>
      </c>
      <c r="G47" s="2" t="s">
        <v>26</v>
      </c>
      <c r="H47" s="38">
        <v>36713</v>
      </c>
      <c r="I47" s="2" t="s">
        <v>80</v>
      </c>
      <c r="J47" s="2" t="s">
        <v>76</v>
      </c>
      <c r="K47" s="2" t="s">
        <v>39</v>
      </c>
      <c r="L47" s="2" t="s">
        <v>115</v>
      </c>
      <c r="M47" s="2">
        <v>15</v>
      </c>
      <c r="N47" s="7">
        <v>700</v>
      </c>
      <c r="O47" s="2">
        <v>15</v>
      </c>
      <c r="P47" s="7">
        <v>8925</v>
      </c>
      <c r="Q47" s="2">
        <v>4</v>
      </c>
      <c r="R47" s="2" t="s">
        <v>65</v>
      </c>
      <c r="S47" s="2" t="s">
        <v>81</v>
      </c>
      <c r="T47" s="2" t="s">
        <v>166</v>
      </c>
      <c r="U47" s="2">
        <v>9856624471</v>
      </c>
      <c r="V47" s="2" t="s">
        <v>34</v>
      </c>
    </row>
    <row r="48" spans="1:22" x14ac:dyDescent="0.3">
      <c r="A48" s="2" t="s">
        <v>167</v>
      </c>
      <c r="B48" s="2" t="s">
        <v>137</v>
      </c>
      <c r="C48" s="2" t="s">
        <v>113</v>
      </c>
      <c r="D48" s="38">
        <v>45988</v>
      </c>
      <c r="E48" s="38">
        <v>45994</v>
      </c>
      <c r="F48" s="2" t="s">
        <v>138</v>
      </c>
      <c r="G48" s="2" t="s">
        <v>26</v>
      </c>
      <c r="H48" s="38">
        <v>36125</v>
      </c>
      <c r="I48" s="2" t="s">
        <v>123</v>
      </c>
      <c r="J48" s="2" t="s">
        <v>38</v>
      </c>
      <c r="K48" s="2" t="s">
        <v>39</v>
      </c>
      <c r="L48" s="2" t="s">
        <v>115</v>
      </c>
      <c r="M48" s="2">
        <v>19</v>
      </c>
      <c r="N48" s="7">
        <v>700</v>
      </c>
      <c r="O48" s="2">
        <v>20</v>
      </c>
      <c r="P48" s="7">
        <v>10640</v>
      </c>
      <c r="Q48" s="2">
        <v>1</v>
      </c>
      <c r="R48" s="2" t="s">
        <v>31</v>
      </c>
      <c r="S48" s="2" t="s">
        <v>81</v>
      </c>
      <c r="T48" s="2" t="s">
        <v>139</v>
      </c>
      <c r="U48" s="2">
        <v>9238141322</v>
      </c>
      <c r="V48" s="2" t="s">
        <v>34</v>
      </c>
    </row>
    <row r="49" spans="1:22" x14ac:dyDescent="0.3">
      <c r="A49" s="2" t="s">
        <v>168</v>
      </c>
      <c r="B49" s="2" t="s">
        <v>55</v>
      </c>
      <c r="C49" s="2" t="s">
        <v>36</v>
      </c>
      <c r="D49" s="38">
        <v>46131</v>
      </c>
      <c r="E49" s="38" t="s">
        <v>52</v>
      </c>
      <c r="F49" s="2" t="s">
        <v>125</v>
      </c>
      <c r="G49" s="2" t="s">
        <v>58</v>
      </c>
      <c r="H49" s="38">
        <v>35219</v>
      </c>
      <c r="I49" s="2" t="s">
        <v>37</v>
      </c>
      <c r="J49" s="2" t="s">
        <v>38</v>
      </c>
      <c r="K49" s="2" t="s">
        <v>39</v>
      </c>
      <c r="L49" s="2" t="s">
        <v>40</v>
      </c>
      <c r="M49" s="2">
        <v>19</v>
      </c>
      <c r="N49" s="7">
        <v>12000</v>
      </c>
      <c r="O49" s="2">
        <v>0</v>
      </c>
      <c r="P49" s="7">
        <v>228000</v>
      </c>
      <c r="Q49" s="2">
        <v>1</v>
      </c>
      <c r="R49" s="2" t="s">
        <v>41</v>
      </c>
      <c r="S49" s="2" t="s">
        <v>50</v>
      </c>
      <c r="T49" s="2" t="s">
        <v>61</v>
      </c>
      <c r="U49" s="2">
        <v>9890380030</v>
      </c>
      <c r="V49" s="2" t="s">
        <v>34</v>
      </c>
    </row>
    <row r="50" spans="1:22" x14ac:dyDescent="0.3">
      <c r="A50" s="2" t="s">
        <v>169</v>
      </c>
      <c r="B50" s="2" t="s">
        <v>105</v>
      </c>
      <c r="C50" s="2" t="s">
        <v>56</v>
      </c>
      <c r="D50" s="38">
        <v>46131</v>
      </c>
      <c r="E50" s="38">
        <v>46133</v>
      </c>
      <c r="F50" s="2" t="s">
        <v>170</v>
      </c>
      <c r="G50" s="2" t="s">
        <v>26</v>
      </c>
      <c r="H50" s="38">
        <v>31851</v>
      </c>
      <c r="I50" s="2" t="s">
        <v>80</v>
      </c>
      <c r="J50" s="2" t="s">
        <v>76</v>
      </c>
      <c r="K50" s="2" t="s">
        <v>39</v>
      </c>
      <c r="L50" s="2" t="s">
        <v>59</v>
      </c>
      <c r="M50" s="2">
        <v>6</v>
      </c>
      <c r="N50" s="7">
        <v>1200</v>
      </c>
      <c r="O50" s="2">
        <v>5</v>
      </c>
      <c r="P50" s="7">
        <v>6840</v>
      </c>
      <c r="Q50" s="2">
        <v>2</v>
      </c>
      <c r="R50" s="2" t="s">
        <v>31</v>
      </c>
      <c r="S50" s="2" t="s">
        <v>32</v>
      </c>
      <c r="T50" s="2" t="s">
        <v>109</v>
      </c>
      <c r="U50" s="2">
        <v>9495893170</v>
      </c>
      <c r="V50" s="2" t="s">
        <v>52</v>
      </c>
    </row>
    <row r="51" spans="1:22" x14ac:dyDescent="0.3">
      <c r="A51" s="2" t="s">
        <v>171</v>
      </c>
      <c r="B51" s="2" t="s">
        <v>45</v>
      </c>
      <c r="C51" s="2" t="s">
        <v>24</v>
      </c>
      <c r="D51" s="38">
        <v>45744</v>
      </c>
      <c r="E51" s="38">
        <v>45754</v>
      </c>
      <c r="F51" s="2" t="s">
        <v>102</v>
      </c>
      <c r="G51" s="2" t="s">
        <v>26</v>
      </c>
      <c r="H51" s="38">
        <v>28906</v>
      </c>
      <c r="I51" s="2" t="s">
        <v>48</v>
      </c>
      <c r="J51" s="2" t="s">
        <v>28</v>
      </c>
      <c r="K51" s="2" t="s">
        <v>29</v>
      </c>
      <c r="L51" s="2" t="s">
        <v>30</v>
      </c>
      <c r="M51" s="2">
        <v>7</v>
      </c>
      <c r="N51" s="7">
        <v>2200</v>
      </c>
      <c r="O51" s="2">
        <v>15</v>
      </c>
      <c r="P51" s="7">
        <v>13090</v>
      </c>
      <c r="Q51" s="2">
        <v>1</v>
      </c>
      <c r="R51" s="2" t="s">
        <v>65</v>
      </c>
      <c r="S51" s="2" t="s">
        <v>50</v>
      </c>
      <c r="T51" s="2" t="s">
        <v>51</v>
      </c>
      <c r="U51" s="2">
        <v>9485166307</v>
      </c>
      <c r="V51" s="2" t="s">
        <v>34</v>
      </c>
    </row>
    <row r="52" spans="1:22" x14ac:dyDescent="0.3">
      <c r="A52" s="2" t="s">
        <v>173</v>
      </c>
      <c r="B52" s="2" t="s">
        <v>73</v>
      </c>
      <c r="C52" s="2" t="s">
        <v>83</v>
      </c>
      <c r="D52" s="38">
        <v>45894</v>
      </c>
      <c r="E52" s="38">
        <v>45897</v>
      </c>
      <c r="F52" s="2" t="s">
        <v>74</v>
      </c>
      <c r="G52" s="2" t="s">
        <v>26</v>
      </c>
      <c r="H52" s="38">
        <v>36747</v>
      </c>
      <c r="I52" s="2" t="s">
        <v>123</v>
      </c>
      <c r="J52" s="2" t="s">
        <v>38</v>
      </c>
      <c r="K52" s="2" t="s">
        <v>84</v>
      </c>
      <c r="L52" s="2" t="s">
        <v>85</v>
      </c>
      <c r="M52" s="2">
        <v>8</v>
      </c>
      <c r="N52" s="7">
        <v>60</v>
      </c>
      <c r="O52" s="2">
        <v>10</v>
      </c>
      <c r="P52" s="7">
        <v>432</v>
      </c>
      <c r="Q52" s="2">
        <v>5</v>
      </c>
      <c r="R52" s="2" t="s">
        <v>60</v>
      </c>
      <c r="S52" s="2" t="s">
        <v>50</v>
      </c>
      <c r="T52" s="2" t="s">
        <v>94</v>
      </c>
      <c r="U52" s="2">
        <v>9924709648</v>
      </c>
      <c r="V52" s="2" t="s">
        <v>53</v>
      </c>
    </row>
    <row r="53" spans="1:22" x14ac:dyDescent="0.3">
      <c r="A53" s="2" t="s">
        <v>174</v>
      </c>
      <c r="B53" s="2" t="s">
        <v>127</v>
      </c>
      <c r="C53" s="2" t="s">
        <v>46</v>
      </c>
      <c r="D53" s="38">
        <v>45888</v>
      </c>
      <c r="E53" s="38">
        <v>45892</v>
      </c>
      <c r="F53" s="2" t="s">
        <v>129</v>
      </c>
      <c r="G53" s="2" t="s">
        <v>58</v>
      </c>
      <c r="H53" s="38">
        <v>27776</v>
      </c>
      <c r="I53" s="2" t="s">
        <v>151</v>
      </c>
      <c r="J53" s="2" t="s">
        <v>152</v>
      </c>
      <c r="K53" s="2" t="s">
        <v>39</v>
      </c>
      <c r="L53" s="2" t="s">
        <v>49</v>
      </c>
      <c r="M53" s="2">
        <v>12</v>
      </c>
      <c r="N53" s="7">
        <v>55000</v>
      </c>
      <c r="O53" s="2">
        <v>5</v>
      </c>
      <c r="P53" s="7">
        <v>627000</v>
      </c>
      <c r="Q53" s="2">
        <v>2</v>
      </c>
      <c r="R53" s="2" t="s">
        <v>65</v>
      </c>
      <c r="S53" s="2" t="s">
        <v>42</v>
      </c>
      <c r="T53" s="2" t="s">
        <v>131</v>
      </c>
      <c r="U53" s="2">
        <v>9350554626</v>
      </c>
      <c r="V53" s="2" t="s">
        <v>52</v>
      </c>
    </row>
    <row r="54" spans="1:22" x14ac:dyDescent="0.3">
      <c r="A54" s="2" t="s">
        <v>175</v>
      </c>
      <c r="B54" s="2" t="s">
        <v>23</v>
      </c>
      <c r="C54" s="2" t="s">
        <v>113</v>
      </c>
      <c r="D54" s="38">
        <v>45865</v>
      </c>
      <c r="E54" s="38">
        <v>45874</v>
      </c>
      <c r="F54" s="2" t="s">
        <v>25</v>
      </c>
      <c r="G54" s="2" t="s">
        <v>26</v>
      </c>
      <c r="H54" s="38">
        <v>27488</v>
      </c>
      <c r="I54" s="2" t="s">
        <v>123</v>
      </c>
      <c r="J54" s="2" t="s">
        <v>38</v>
      </c>
      <c r="K54" s="2" t="s">
        <v>39</v>
      </c>
      <c r="L54" s="2" t="s">
        <v>115</v>
      </c>
      <c r="M54" s="2">
        <v>3</v>
      </c>
      <c r="N54" s="7">
        <v>700</v>
      </c>
      <c r="O54" s="2">
        <v>0</v>
      </c>
      <c r="P54" s="7">
        <v>2100</v>
      </c>
      <c r="Q54" s="2">
        <v>3</v>
      </c>
      <c r="R54" s="2" t="s">
        <v>60</v>
      </c>
      <c r="S54" s="2" t="s">
        <v>97</v>
      </c>
      <c r="T54" s="2" t="s">
        <v>43</v>
      </c>
      <c r="U54" s="2">
        <v>9743295580</v>
      </c>
      <c r="V54" s="2" t="s">
        <v>53</v>
      </c>
    </row>
    <row r="55" spans="1:22" x14ac:dyDescent="0.3">
      <c r="A55" s="2" t="s">
        <v>176</v>
      </c>
      <c r="B55" s="2" t="s">
        <v>88</v>
      </c>
      <c r="C55" s="2" t="s">
        <v>83</v>
      </c>
      <c r="D55" s="38">
        <v>45709</v>
      </c>
      <c r="E55" s="38">
        <v>45714</v>
      </c>
      <c r="F55" s="2" t="s">
        <v>119</v>
      </c>
      <c r="G55" s="2" t="s">
        <v>58</v>
      </c>
      <c r="H55" s="38">
        <v>28105</v>
      </c>
      <c r="I55" s="2" t="s">
        <v>92</v>
      </c>
      <c r="J55" s="2" t="s">
        <v>76</v>
      </c>
      <c r="K55" s="2" t="s">
        <v>84</v>
      </c>
      <c r="L55" s="2" t="s">
        <v>85</v>
      </c>
      <c r="M55" s="2">
        <v>19</v>
      </c>
      <c r="N55" s="7">
        <v>60</v>
      </c>
      <c r="O55" s="2">
        <v>15</v>
      </c>
      <c r="P55" s="7">
        <v>969</v>
      </c>
      <c r="Q55" s="2">
        <v>4</v>
      </c>
      <c r="R55" s="2" t="s">
        <v>60</v>
      </c>
      <c r="S55" s="2" t="s">
        <v>42</v>
      </c>
      <c r="T55" s="2" t="s">
        <v>90</v>
      </c>
      <c r="U55" s="2">
        <v>9822926495</v>
      </c>
      <c r="V55" s="2" t="s">
        <v>53</v>
      </c>
    </row>
    <row r="56" spans="1:22" x14ac:dyDescent="0.3">
      <c r="A56" s="2" t="s">
        <v>178</v>
      </c>
      <c r="B56" s="2" t="s">
        <v>160</v>
      </c>
      <c r="C56" s="2" t="s">
        <v>83</v>
      </c>
      <c r="D56" s="38">
        <v>45879</v>
      </c>
      <c r="E56" s="38">
        <v>45880</v>
      </c>
      <c r="F56" s="2" t="s">
        <v>179</v>
      </c>
      <c r="G56" s="2" t="s">
        <v>58</v>
      </c>
      <c r="H56" s="38">
        <v>29192</v>
      </c>
      <c r="I56" s="2" t="s">
        <v>123</v>
      </c>
      <c r="J56" s="2" t="s">
        <v>38</v>
      </c>
      <c r="K56" s="2" t="s">
        <v>84</v>
      </c>
      <c r="L56" s="2" t="s">
        <v>85</v>
      </c>
      <c r="M56" s="2">
        <v>9</v>
      </c>
      <c r="N56" s="7">
        <v>60</v>
      </c>
      <c r="O56" s="2">
        <v>20</v>
      </c>
      <c r="P56" s="7">
        <v>432</v>
      </c>
      <c r="Q56" s="2">
        <v>1</v>
      </c>
      <c r="R56" s="2" t="s">
        <v>41</v>
      </c>
      <c r="S56" s="2" t="s">
        <v>81</v>
      </c>
      <c r="T56" s="2" t="s">
        <v>162</v>
      </c>
      <c r="U56" s="2">
        <v>9518298190</v>
      </c>
      <c r="V56" s="2" t="s">
        <v>52</v>
      </c>
    </row>
    <row r="57" spans="1:22" x14ac:dyDescent="0.3">
      <c r="A57" s="2" t="s">
        <v>180</v>
      </c>
      <c r="B57" s="2" t="s">
        <v>160</v>
      </c>
      <c r="C57" s="2" t="s">
        <v>113</v>
      </c>
      <c r="D57" s="38">
        <v>46105</v>
      </c>
      <c r="E57" s="38">
        <v>46111</v>
      </c>
      <c r="F57" s="2" t="s">
        <v>179</v>
      </c>
      <c r="G57" s="2" t="s">
        <v>58</v>
      </c>
      <c r="H57" s="38">
        <v>28851</v>
      </c>
      <c r="I57" s="2" t="s">
        <v>48</v>
      </c>
      <c r="J57" s="2" t="s">
        <v>28</v>
      </c>
      <c r="K57" s="2" t="s">
        <v>39</v>
      </c>
      <c r="L57" s="2" t="s">
        <v>115</v>
      </c>
      <c r="M57" s="2">
        <v>6</v>
      </c>
      <c r="N57" s="7">
        <v>700</v>
      </c>
      <c r="O57" s="2">
        <v>0</v>
      </c>
      <c r="P57" s="7">
        <v>4200</v>
      </c>
      <c r="Q57" s="2">
        <v>4</v>
      </c>
      <c r="R57" s="2" t="s">
        <v>65</v>
      </c>
      <c r="S57" s="2" t="s">
        <v>42</v>
      </c>
      <c r="T57" s="2" t="s">
        <v>181</v>
      </c>
      <c r="U57" s="2">
        <v>9366223547</v>
      </c>
      <c r="V57" s="2" t="s">
        <v>53</v>
      </c>
    </row>
    <row r="58" spans="1:22" x14ac:dyDescent="0.3">
      <c r="A58" s="2" t="s">
        <v>182</v>
      </c>
      <c r="B58" s="2" t="s">
        <v>88</v>
      </c>
      <c r="C58" s="2" t="s">
        <v>141</v>
      </c>
      <c r="D58" s="38">
        <v>46094</v>
      </c>
      <c r="E58" s="38">
        <v>46100</v>
      </c>
      <c r="F58" s="2" t="s">
        <v>119</v>
      </c>
      <c r="G58" s="2" t="s">
        <v>58</v>
      </c>
      <c r="H58" s="38">
        <v>27499</v>
      </c>
      <c r="I58" s="2" t="s">
        <v>37</v>
      </c>
      <c r="J58" s="2" t="s">
        <v>38</v>
      </c>
      <c r="K58" s="2" t="s">
        <v>84</v>
      </c>
      <c r="L58" s="2" t="s">
        <v>142</v>
      </c>
      <c r="M58" s="2">
        <v>18</v>
      </c>
      <c r="N58" s="7">
        <v>45</v>
      </c>
      <c r="O58" s="2">
        <v>5</v>
      </c>
      <c r="P58" s="7">
        <v>769.5</v>
      </c>
      <c r="Q58" s="2">
        <v>1</v>
      </c>
      <c r="R58" s="2" t="s">
        <v>60</v>
      </c>
      <c r="S58" s="2" t="s">
        <v>50</v>
      </c>
      <c r="T58" s="2" t="s">
        <v>90</v>
      </c>
      <c r="U58" s="2">
        <v>9701988524</v>
      </c>
      <c r="V58" s="2" t="s">
        <v>52</v>
      </c>
    </row>
    <row r="59" spans="1:22" x14ac:dyDescent="0.3">
      <c r="A59" s="2" t="s">
        <v>183</v>
      </c>
      <c r="B59" s="2" t="s">
        <v>63</v>
      </c>
      <c r="C59" s="2" t="s">
        <v>128</v>
      </c>
      <c r="D59" s="38">
        <v>45823</v>
      </c>
      <c r="E59" s="38">
        <v>45834</v>
      </c>
      <c r="F59" s="2" t="s">
        <v>111</v>
      </c>
      <c r="G59" s="2" t="s">
        <v>58</v>
      </c>
      <c r="H59" s="38">
        <v>32496</v>
      </c>
      <c r="I59" s="2" t="s">
        <v>123</v>
      </c>
      <c r="J59" s="2" t="s">
        <v>38</v>
      </c>
      <c r="K59" s="2" t="s">
        <v>84</v>
      </c>
      <c r="L59" s="2" t="s">
        <v>130</v>
      </c>
      <c r="M59" s="2">
        <v>8</v>
      </c>
      <c r="N59" s="7">
        <v>20</v>
      </c>
      <c r="O59" s="2">
        <v>5</v>
      </c>
      <c r="P59" s="7">
        <v>152</v>
      </c>
      <c r="Q59" s="2">
        <v>1</v>
      </c>
      <c r="R59" s="2" t="s">
        <v>60</v>
      </c>
      <c r="S59" s="2" t="s">
        <v>32</v>
      </c>
      <c r="T59" s="2" t="s">
        <v>66</v>
      </c>
      <c r="U59" s="2">
        <v>9836327649</v>
      </c>
      <c r="V59" s="2" t="s">
        <v>184</v>
      </c>
    </row>
    <row r="60" spans="1:22" x14ac:dyDescent="0.3">
      <c r="A60" s="2" t="s">
        <v>185</v>
      </c>
      <c r="B60" s="2" t="s">
        <v>127</v>
      </c>
      <c r="C60" s="2" t="s">
        <v>113</v>
      </c>
      <c r="D60" s="38">
        <v>45721</v>
      </c>
      <c r="E60" s="38">
        <v>45722</v>
      </c>
      <c r="F60" s="2" t="s">
        <v>129</v>
      </c>
      <c r="G60" s="2" t="s">
        <v>58</v>
      </c>
      <c r="H60" s="38">
        <v>28921</v>
      </c>
      <c r="I60" s="2" t="s">
        <v>123</v>
      </c>
      <c r="J60" s="2" t="s">
        <v>38</v>
      </c>
      <c r="K60" s="2" t="s">
        <v>39</v>
      </c>
      <c r="L60" s="2" t="s">
        <v>115</v>
      </c>
      <c r="M60" s="2">
        <v>8</v>
      </c>
      <c r="N60" s="7">
        <v>700</v>
      </c>
      <c r="O60" s="2">
        <v>10</v>
      </c>
      <c r="P60" s="7">
        <v>5040</v>
      </c>
      <c r="Q60" s="2">
        <v>1</v>
      </c>
      <c r="R60" s="2" t="s">
        <v>41</v>
      </c>
      <c r="S60" s="2" t="s">
        <v>50</v>
      </c>
      <c r="T60" s="2" t="s">
        <v>186</v>
      </c>
      <c r="U60" s="2">
        <v>9261800516</v>
      </c>
      <c r="V60" s="2" t="s">
        <v>53</v>
      </c>
    </row>
    <row r="61" spans="1:22" x14ac:dyDescent="0.3">
      <c r="A61" s="2" t="s">
        <v>187</v>
      </c>
      <c r="B61" s="2" t="s">
        <v>23</v>
      </c>
      <c r="C61" s="2" t="s">
        <v>128</v>
      </c>
      <c r="D61" s="38">
        <v>46121</v>
      </c>
      <c r="E61" s="38">
        <v>46131</v>
      </c>
      <c r="F61" s="2" t="s">
        <v>25</v>
      </c>
      <c r="G61" s="2" t="s">
        <v>26</v>
      </c>
      <c r="H61" s="38">
        <v>37972</v>
      </c>
      <c r="I61" s="2" t="s">
        <v>37</v>
      </c>
      <c r="J61" s="2" t="s">
        <v>38</v>
      </c>
      <c r="K61" s="2" t="s">
        <v>84</v>
      </c>
      <c r="L61" s="2" t="s">
        <v>130</v>
      </c>
      <c r="M61" s="2">
        <v>7</v>
      </c>
      <c r="N61" s="7">
        <v>20</v>
      </c>
      <c r="O61" s="2">
        <v>15</v>
      </c>
      <c r="P61" s="7">
        <v>119</v>
      </c>
      <c r="Q61" s="2">
        <v>5</v>
      </c>
      <c r="R61" s="2" t="s">
        <v>60</v>
      </c>
      <c r="S61" s="2" t="s">
        <v>42</v>
      </c>
      <c r="T61" s="2" t="s">
        <v>43</v>
      </c>
      <c r="U61" s="2">
        <v>9950802015</v>
      </c>
      <c r="V61" s="2" t="s">
        <v>34</v>
      </c>
    </row>
    <row r="62" spans="1:22" x14ac:dyDescent="0.3">
      <c r="A62" s="2" t="s">
        <v>188</v>
      </c>
      <c r="B62" s="2" t="s">
        <v>73</v>
      </c>
      <c r="C62" s="2" t="s">
        <v>128</v>
      </c>
      <c r="D62" s="38">
        <v>45885</v>
      </c>
      <c r="E62" s="38">
        <v>45894</v>
      </c>
      <c r="F62" s="2" t="s">
        <v>74</v>
      </c>
      <c r="G62" s="2" t="s">
        <v>26</v>
      </c>
      <c r="H62" s="38">
        <v>30777</v>
      </c>
      <c r="I62" s="2" t="s">
        <v>80</v>
      </c>
      <c r="J62" s="2" t="s">
        <v>76</v>
      </c>
      <c r="K62" s="2" t="s">
        <v>84</v>
      </c>
      <c r="L62" s="2" t="s">
        <v>130</v>
      </c>
      <c r="M62" s="2">
        <v>16</v>
      </c>
      <c r="N62" s="7">
        <v>20</v>
      </c>
      <c r="O62" s="2">
        <v>0</v>
      </c>
      <c r="P62" s="7">
        <v>320</v>
      </c>
      <c r="Q62" s="2">
        <v>5</v>
      </c>
      <c r="R62" s="2" t="s">
        <v>41</v>
      </c>
      <c r="S62" s="2" t="s">
        <v>50</v>
      </c>
      <c r="T62" s="2" t="s">
        <v>94</v>
      </c>
      <c r="U62" s="2">
        <v>9595183767</v>
      </c>
      <c r="V62" s="2" t="s">
        <v>52</v>
      </c>
    </row>
    <row r="63" spans="1:22" x14ac:dyDescent="0.3">
      <c r="A63" s="2" t="s">
        <v>189</v>
      </c>
      <c r="B63" s="2" t="s">
        <v>45</v>
      </c>
      <c r="C63" s="2" t="s">
        <v>141</v>
      </c>
      <c r="D63" s="38">
        <v>46155</v>
      </c>
      <c r="E63" s="38">
        <v>46162</v>
      </c>
      <c r="F63" s="2" t="s">
        <v>102</v>
      </c>
      <c r="G63" s="2" t="s">
        <v>26</v>
      </c>
      <c r="H63" s="38">
        <v>35168</v>
      </c>
      <c r="I63" s="2" t="s">
        <v>75</v>
      </c>
      <c r="J63" s="2" t="s">
        <v>76</v>
      </c>
      <c r="K63" s="2" t="s">
        <v>84</v>
      </c>
      <c r="L63" s="2" t="s">
        <v>142</v>
      </c>
      <c r="M63" s="2">
        <v>15</v>
      </c>
      <c r="N63" s="7">
        <v>45</v>
      </c>
      <c r="O63" s="2">
        <v>0</v>
      </c>
      <c r="P63" s="7">
        <v>675</v>
      </c>
      <c r="Q63" s="2">
        <v>4</v>
      </c>
      <c r="R63" s="2" t="s">
        <v>31</v>
      </c>
      <c r="S63" s="2" t="s">
        <v>50</v>
      </c>
      <c r="T63" s="2" t="s">
        <v>51</v>
      </c>
      <c r="U63" s="2">
        <v>9560201307</v>
      </c>
      <c r="V63" s="2" t="s">
        <v>53</v>
      </c>
    </row>
    <row r="64" spans="1:22" x14ac:dyDescent="0.3">
      <c r="A64" s="2" t="s">
        <v>190</v>
      </c>
      <c r="B64" s="2" t="s">
        <v>137</v>
      </c>
      <c r="C64" s="2" t="s">
        <v>113</v>
      </c>
      <c r="D64" s="38">
        <v>45717</v>
      </c>
      <c r="E64" s="38">
        <v>45721</v>
      </c>
      <c r="F64" s="2" t="s">
        <v>138</v>
      </c>
      <c r="G64" s="2" t="s">
        <v>26</v>
      </c>
      <c r="H64" s="38">
        <v>37872</v>
      </c>
      <c r="I64" s="2" t="s">
        <v>92</v>
      </c>
      <c r="J64" s="2" t="s">
        <v>76</v>
      </c>
      <c r="K64" s="2" t="s">
        <v>39</v>
      </c>
      <c r="L64" s="2" t="s">
        <v>115</v>
      </c>
      <c r="M64" s="2">
        <v>15</v>
      </c>
      <c r="N64" s="7">
        <v>700</v>
      </c>
      <c r="O64" s="2">
        <v>10</v>
      </c>
      <c r="P64" s="7">
        <v>9450</v>
      </c>
      <c r="Q64" s="2">
        <v>3</v>
      </c>
      <c r="R64" s="2" t="s">
        <v>41</v>
      </c>
      <c r="S64" s="2" t="s">
        <v>97</v>
      </c>
      <c r="T64" s="2" t="s">
        <v>139</v>
      </c>
      <c r="U64" s="2">
        <v>9826484650</v>
      </c>
      <c r="V64" s="2" t="s">
        <v>34</v>
      </c>
    </row>
    <row r="65" spans="1:22" x14ac:dyDescent="0.3">
      <c r="A65" s="2" t="s">
        <v>191</v>
      </c>
      <c r="B65" s="2" t="s">
        <v>45</v>
      </c>
      <c r="C65" s="2" t="s">
        <v>141</v>
      </c>
      <c r="D65" s="38">
        <v>45697</v>
      </c>
      <c r="E65" s="38">
        <v>45700</v>
      </c>
      <c r="F65" s="2" t="s">
        <v>102</v>
      </c>
      <c r="G65" s="2" t="s">
        <v>26</v>
      </c>
      <c r="H65" s="38">
        <v>33871</v>
      </c>
      <c r="I65" s="2" t="s">
        <v>151</v>
      </c>
      <c r="J65" s="2" t="s">
        <v>152</v>
      </c>
      <c r="K65" s="2" t="s">
        <v>84</v>
      </c>
      <c r="L65" s="2" t="s">
        <v>142</v>
      </c>
      <c r="M65" s="2">
        <v>3</v>
      </c>
      <c r="N65" s="7">
        <v>45</v>
      </c>
      <c r="O65" s="2">
        <v>15</v>
      </c>
      <c r="P65" s="7">
        <v>114.75</v>
      </c>
      <c r="Q65" s="2">
        <v>2</v>
      </c>
      <c r="R65" s="2" t="s">
        <v>65</v>
      </c>
      <c r="S65" s="2" t="s">
        <v>81</v>
      </c>
      <c r="T65" s="2" t="s">
        <v>51</v>
      </c>
      <c r="U65" s="2">
        <v>9219978007</v>
      </c>
      <c r="V65" s="2" t="s">
        <v>52</v>
      </c>
    </row>
    <row r="66" spans="1:22" x14ac:dyDescent="0.3">
      <c r="A66" s="2" t="s">
        <v>192</v>
      </c>
      <c r="B66" s="2" t="s">
        <v>73</v>
      </c>
      <c r="C66" s="2" t="s">
        <v>24</v>
      </c>
      <c r="D66" s="38">
        <v>46031</v>
      </c>
      <c r="E66" s="38">
        <v>46032</v>
      </c>
      <c r="F66" s="2" t="s">
        <v>74</v>
      </c>
      <c r="G66" s="2" t="s">
        <v>26</v>
      </c>
      <c r="H66" s="38">
        <v>31674</v>
      </c>
      <c r="I66" s="2" t="s">
        <v>151</v>
      </c>
      <c r="J66" s="2" t="s">
        <v>152</v>
      </c>
      <c r="K66" s="2" t="s">
        <v>29</v>
      </c>
      <c r="L66" s="2" t="s">
        <v>30</v>
      </c>
      <c r="M66" s="2">
        <v>7</v>
      </c>
      <c r="N66" s="7">
        <v>2200</v>
      </c>
      <c r="O66" s="2">
        <v>15</v>
      </c>
      <c r="P66" s="7">
        <v>13090</v>
      </c>
      <c r="Q66" s="2">
        <v>5</v>
      </c>
      <c r="R66" s="2" t="s">
        <v>65</v>
      </c>
      <c r="S66" s="2" t="s">
        <v>81</v>
      </c>
      <c r="T66" s="2" t="s">
        <v>94</v>
      </c>
      <c r="U66" s="2">
        <v>9662063276</v>
      </c>
      <c r="V66" s="2" t="s">
        <v>34</v>
      </c>
    </row>
    <row r="67" spans="1:22" x14ac:dyDescent="0.3">
      <c r="A67" s="2" t="s">
        <v>193</v>
      </c>
      <c r="B67" s="2" t="s">
        <v>23</v>
      </c>
      <c r="C67" s="2" t="s">
        <v>141</v>
      </c>
      <c r="D67" s="38">
        <v>45901</v>
      </c>
      <c r="E67" s="38">
        <v>45905</v>
      </c>
      <c r="F67" s="2" t="s">
        <v>25</v>
      </c>
      <c r="G67" s="2" t="s">
        <v>26</v>
      </c>
      <c r="H67" s="38">
        <v>31195</v>
      </c>
      <c r="I67" s="2" t="s">
        <v>37</v>
      </c>
      <c r="J67" s="2" t="s">
        <v>38</v>
      </c>
      <c r="K67" s="2" t="s">
        <v>84</v>
      </c>
      <c r="L67" s="2" t="s">
        <v>142</v>
      </c>
      <c r="M67" s="2">
        <v>19</v>
      </c>
      <c r="N67" s="7">
        <v>45</v>
      </c>
      <c r="O67" s="2">
        <v>10</v>
      </c>
      <c r="P67" s="7">
        <v>769.5</v>
      </c>
      <c r="Q67" s="2">
        <v>5</v>
      </c>
      <c r="R67" s="2" t="s">
        <v>60</v>
      </c>
      <c r="S67" s="2" t="s">
        <v>81</v>
      </c>
      <c r="T67" s="2" t="s">
        <v>43</v>
      </c>
      <c r="U67" s="2">
        <v>9190393639</v>
      </c>
      <c r="V67" s="2" t="s">
        <v>53</v>
      </c>
    </row>
    <row r="68" spans="1:22" x14ac:dyDescent="0.3">
      <c r="A68" s="2" t="s">
        <v>194</v>
      </c>
      <c r="B68" s="2" t="s">
        <v>137</v>
      </c>
      <c r="C68" s="2" t="s">
        <v>68</v>
      </c>
      <c r="D68" s="38">
        <v>46062</v>
      </c>
      <c r="E68" s="38">
        <v>46067</v>
      </c>
      <c r="F68" s="2" t="s">
        <v>138</v>
      </c>
      <c r="G68" s="2" t="s">
        <v>26</v>
      </c>
      <c r="H68" s="38">
        <v>29094</v>
      </c>
      <c r="I68" s="2" t="s">
        <v>27</v>
      </c>
      <c r="J68" s="2" t="s">
        <v>28</v>
      </c>
      <c r="K68" s="2" t="s">
        <v>29</v>
      </c>
      <c r="L68" s="2" t="s">
        <v>71</v>
      </c>
      <c r="M68" s="2">
        <v>7</v>
      </c>
      <c r="N68" s="7">
        <v>3500</v>
      </c>
      <c r="O68" s="2">
        <v>15</v>
      </c>
      <c r="P68" s="7">
        <v>20825</v>
      </c>
      <c r="Q68" s="2">
        <v>1</v>
      </c>
      <c r="R68" s="2" t="s">
        <v>31</v>
      </c>
      <c r="S68" s="2" t="s">
        <v>97</v>
      </c>
      <c r="T68" s="2" t="s">
        <v>139</v>
      </c>
      <c r="U68" s="2">
        <v>9106328582</v>
      </c>
      <c r="V68" s="2" t="s">
        <v>52</v>
      </c>
    </row>
    <row r="69" spans="1:22" x14ac:dyDescent="0.3">
      <c r="A69" s="2" t="s">
        <v>195</v>
      </c>
      <c r="B69" s="2" t="s">
        <v>45</v>
      </c>
      <c r="C69" s="2" t="s">
        <v>106</v>
      </c>
      <c r="D69" s="38">
        <v>46005</v>
      </c>
      <c r="E69" s="38">
        <v>46010</v>
      </c>
      <c r="F69" s="2" t="s">
        <v>102</v>
      </c>
      <c r="G69" s="2" t="s">
        <v>26</v>
      </c>
      <c r="H69" s="38">
        <v>28116</v>
      </c>
      <c r="I69" s="2" t="s">
        <v>123</v>
      </c>
      <c r="J69" s="2" t="s">
        <v>38</v>
      </c>
      <c r="K69" s="2" t="s">
        <v>29</v>
      </c>
      <c r="L69" s="2" t="s">
        <v>108</v>
      </c>
      <c r="M69" s="2">
        <v>7</v>
      </c>
      <c r="N69" s="7">
        <v>8500</v>
      </c>
      <c r="O69" s="2">
        <v>20</v>
      </c>
      <c r="P69" s="7">
        <v>47600</v>
      </c>
      <c r="Q69" s="2">
        <v>4</v>
      </c>
      <c r="R69" s="2" t="s">
        <v>41</v>
      </c>
      <c r="S69" s="2" t="s">
        <v>81</v>
      </c>
      <c r="T69" s="2" t="s">
        <v>51</v>
      </c>
      <c r="U69" s="2">
        <v>9264401015</v>
      </c>
      <c r="V69" s="2" t="s">
        <v>34</v>
      </c>
    </row>
    <row r="70" spans="1:22" x14ac:dyDescent="0.3">
      <c r="A70" s="2" t="s">
        <v>196</v>
      </c>
      <c r="B70" s="2" t="s">
        <v>23</v>
      </c>
      <c r="C70" s="2" t="s">
        <v>46</v>
      </c>
      <c r="D70" s="38">
        <v>45754</v>
      </c>
      <c r="E70" s="38">
        <v>45757</v>
      </c>
      <c r="F70" s="2" t="s">
        <v>25</v>
      </c>
      <c r="G70" s="2" t="s">
        <v>26</v>
      </c>
      <c r="H70" s="38">
        <v>36561</v>
      </c>
      <c r="I70" s="2" t="s">
        <v>48</v>
      </c>
      <c r="J70" s="2" t="s">
        <v>28</v>
      </c>
      <c r="K70" s="2" t="s">
        <v>39</v>
      </c>
      <c r="L70" s="2" t="s">
        <v>49</v>
      </c>
      <c r="M70" s="2">
        <v>16</v>
      </c>
      <c r="N70" s="7">
        <v>55000</v>
      </c>
      <c r="O70" s="2">
        <v>10</v>
      </c>
      <c r="P70" s="7">
        <v>792000</v>
      </c>
      <c r="Q70" s="2">
        <v>1</v>
      </c>
      <c r="R70" s="2" t="s">
        <v>60</v>
      </c>
      <c r="S70" s="2" t="s">
        <v>50</v>
      </c>
      <c r="T70" s="2" t="s">
        <v>43</v>
      </c>
      <c r="U70" s="2">
        <v>9959237375</v>
      </c>
      <c r="V70" s="2" t="s">
        <v>34</v>
      </c>
    </row>
    <row r="71" spans="1:22" x14ac:dyDescent="0.3">
      <c r="A71" s="2" t="s">
        <v>197</v>
      </c>
      <c r="B71" s="2" t="s">
        <v>105</v>
      </c>
      <c r="C71" s="2" t="s">
        <v>36</v>
      </c>
      <c r="D71" s="38">
        <v>46015</v>
      </c>
      <c r="E71" s="38">
        <v>46025</v>
      </c>
      <c r="F71" s="2" t="s">
        <v>170</v>
      </c>
      <c r="G71" s="2" t="s">
        <v>26</v>
      </c>
      <c r="H71" s="38">
        <v>31832</v>
      </c>
      <c r="I71" s="2" t="s">
        <v>75</v>
      </c>
      <c r="J71" s="2" t="s">
        <v>76</v>
      </c>
      <c r="K71" s="2" t="s">
        <v>39</v>
      </c>
      <c r="L71" s="2" t="s">
        <v>40</v>
      </c>
      <c r="M71" s="2">
        <v>2</v>
      </c>
      <c r="N71" s="7">
        <v>12000</v>
      </c>
      <c r="O71" s="2">
        <v>20</v>
      </c>
      <c r="P71" s="7">
        <v>19200</v>
      </c>
      <c r="Q71" s="2">
        <v>1</v>
      </c>
      <c r="R71" s="2" t="s">
        <v>31</v>
      </c>
      <c r="S71" s="2" t="s">
        <v>97</v>
      </c>
      <c r="T71" s="2" t="s">
        <v>198</v>
      </c>
      <c r="U71" s="2">
        <v>9561836580</v>
      </c>
      <c r="V71" s="2" t="s">
        <v>52</v>
      </c>
    </row>
    <row r="72" spans="1:22" x14ac:dyDescent="0.3">
      <c r="A72" s="2" t="s">
        <v>199</v>
      </c>
      <c r="B72" s="2" t="s">
        <v>88</v>
      </c>
      <c r="C72" s="2" t="s">
        <v>141</v>
      </c>
      <c r="D72" s="38">
        <v>45899</v>
      </c>
      <c r="E72" s="38">
        <v>45905</v>
      </c>
      <c r="F72" s="2" t="s">
        <v>119</v>
      </c>
      <c r="G72" s="2" t="s">
        <v>58</v>
      </c>
      <c r="H72" s="38">
        <v>30887</v>
      </c>
      <c r="I72" s="2" t="s">
        <v>48</v>
      </c>
      <c r="J72" s="2" t="s">
        <v>28</v>
      </c>
      <c r="K72" s="2" t="s">
        <v>84</v>
      </c>
      <c r="L72" s="2" t="s">
        <v>142</v>
      </c>
      <c r="M72" s="2">
        <v>4</v>
      </c>
      <c r="N72" s="7">
        <v>45</v>
      </c>
      <c r="O72" s="2">
        <v>5</v>
      </c>
      <c r="P72" s="7">
        <v>171</v>
      </c>
      <c r="Q72" s="2">
        <v>1</v>
      </c>
      <c r="R72" s="2" t="s">
        <v>60</v>
      </c>
      <c r="S72" s="2" t="s">
        <v>42</v>
      </c>
      <c r="T72" s="2" t="s">
        <v>90</v>
      </c>
      <c r="U72" s="2">
        <v>9512666401</v>
      </c>
      <c r="V72" s="2" t="s">
        <v>52</v>
      </c>
    </row>
    <row r="73" spans="1:22" x14ac:dyDescent="0.3">
      <c r="A73" s="2" t="s">
        <v>200</v>
      </c>
      <c r="B73" s="2" t="s">
        <v>23</v>
      </c>
      <c r="C73" s="2" t="s">
        <v>56</v>
      </c>
      <c r="D73" s="38">
        <v>46004</v>
      </c>
      <c r="E73" s="38">
        <v>46014</v>
      </c>
      <c r="F73" s="2" t="s">
        <v>25</v>
      </c>
      <c r="G73" s="2" t="s">
        <v>26</v>
      </c>
      <c r="H73" s="38">
        <v>29851</v>
      </c>
      <c r="I73" s="2" t="s">
        <v>123</v>
      </c>
      <c r="J73" s="2" t="s">
        <v>38</v>
      </c>
      <c r="K73" s="2" t="s">
        <v>39</v>
      </c>
      <c r="L73" s="2" t="s">
        <v>59</v>
      </c>
      <c r="M73" s="2">
        <v>1</v>
      </c>
      <c r="N73" s="7">
        <v>1200</v>
      </c>
      <c r="O73" s="2">
        <v>5</v>
      </c>
      <c r="P73" s="7">
        <v>1140</v>
      </c>
      <c r="Q73" s="2">
        <v>3</v>
      </c>
      <c r="R73" s="2" t="s">
        <v>65</v>
      </c>
      <c r="S73" s="2" t="s">
        <v>50</v>
      </c>
      <c r="T73" s="2" t="s">
        <v>43</v>
      </c>
      <c r="U73" s="2">
        <v>9808988530</v>
      </c>
      <c r="V73" s="2" t="s">
        <v>53</v>
      </c>
    </row>
    <row r="74" spans="1:22" x14ac:dyDescent="0.3">
      <c r="A74" s="2" t="s">
        <v>201</v>
      </c>
      <c r="B74" s="2" t="s">
        <v>45</v>
      </c>
      <c r="C74" s="2" t="s">
        <v>24</v>
      </c>
      <c r="D74" s="38">
        <v>46057</v>
      </c>
      <c r="E74" s="38">
        <v>46069</v>
      </c>
      <c r="F74" s="2" t="s">
        <v>102</v>
      </c>
      <c r="G74" s="2" t="s">
        <v>26</v>
      </c>
      <c r="H74" s="38">
        <v>29392</v>
      </c>
      <c r="I74" s="2"/>
      <c r="J74" s="2" t="s">
        <v>28</v>
      </c>
      <c r="K74" s="2" t="s">
        <v>29</v>
      </c>
      <c r="L74" s="2" t="s">
        <v>30</v>
      </c>
      <c r="M74" s="2">
        <v>1</v>
      </c>
      <c r="N74" s="7">
        <v>2200</v>
      </c>
      <c r="O74" s="2">
        <v>15</v>
      </c>
      <c r="P74" s="7">
        <v>1870</v>
      </c>
      <c r="Q74" s="2">
        <v>4</v>
      </c>
      <c r="R74" s="2" t="s">
        <v>60</v>
      </c>
      <c r="S74" s="2" t="s">
        <v>50</v>
      </c>
      <c r="T74" s="2" t="s">
        <v>51</v>
      </c>
      <c r="U74" s="2">
        <v>9286410494</v>
      </c>
      <c r="V74" s="2" t="s">
        <v>34</v>
      </c>
    </row>
    <row r="75" spans="1:22" x14ac:dyDescent="0.3">
      <c r="A75" s="2" t="s">
        <v>202</v>
      </c>
      <c r="B75" s="2" t="s">
        <v>88</v>
      </c>
      <c r="C75" s="2" t="s">
        <v>56</v>
      </c>
      <c r="D75" s="38">
        <v>46048</v>
      </c>
      <c r="E75" s="38">
        <v>46050</v>
      </c>
      <c r="F75" s="2" t="s">
        <v>119</v>
      </c>
      <c r="G75" s="2" t="s">
        <v>58</v>
      </c>
      <c r="H75" s="38">
        <v>30257</v>
      </c>
      <c r="I75" s="2" t="s">
        <v>80</v>
      </c>
      <c r="J75" s="2" t="s">
        <v>76</v>
      </c>
      <c r="K75" s="2" t="s">
        <v>39</v>
      </c>
      <c r="L75" s="2" t="s">
        <v>59</v>
      </c>
      <c r="M75" s="2">
        <v>3</v>
      </c>
      <c r="N75" s="7">
        <v>1200</v>
      </c>
      <c r="O75" s="2">
        <v>10</v>
      </c>
      <c r="P75" s="7">
        <v>3240</v>
      </c>
      <c r="Q75" s="2">
        <v>5</v>
      </c>
      <c r="R75" s="2" t="s">
        <v>31</v>
      </c>
      <c r="S75" s="2" t="s">
        <v>42</v>
      </c>
      <c r="T75" s="2" t="s">
        <v>90</v>
      </c>
      <c r="U75" s="2">
        <v>9311555196</v>
      </c>
      <c r="V75" s="2" t="s">
        <v>34</v>
      </c>
    </row>
    <row r="76" spans="1:22" x14ac:dyDescent="0.3">
      <c r="A76" s="2" t="s">
        <v>203</v>
      </c>
      <c r="B76" s="2" t="s">
        <v>23</v>
      </c>
      <c r="C76" s="2" t="s">
        <v>68</v>
      </c>
      <c r="D76" s="38">
        <v>45835</v>
      </c>
      <c r="E76" s="38">
        <v>45845</v>
      </c>
      <c r="F76" s="2" t="s">
        <v>25</v>
      </c>
      <c r="G76" s="2" t="s">
        <v>26</v>
      </c>
      <c r="H76" s="38">
        <v>29230</v>
      </c>
      <c r="I76" s="2" t="s">
        <v>48</v>
      </c>
      <c r="J76" s="2" t="s">
        <v>28</v>
      </c>
      <c r="K76" s="2" t="s">
        <v>29</v>
      </c>
      <c r="L76" s="2" t="s">
        <v>71</v>
      </c>
      <c r="M76" s="2">
        <v>10</v>
      </c>
      <c r="N76" s="7">
        <v>3500</v>
      </c>
      <c r="O76" s="2">
        <v>20</v>
      </c>
      <c r="P76" s="7">
        <v>28000</v>
      </c>
      <c r="Q76" s="2">
        <v>5</v>
      </c>
      <c r="R76" s="2" t="s">
        <v>60</v>
      </c>
      <c r="S76" s="2" t="s">
        <v>32</v>
      </c>
      <c r="T76" s="2" t="s">
        <v>43</v>
      </c>
      <c r="U76" s="2">
        <v>9101810266</v>
      </c>
      <c r="V76" s="2" t="s">
        <v>34</v>
      </c>
    </row>
    <row r="77" spans="1:22" x14ac:dyDescent="0.3">
      <c r="A77" s="2" t="s">
        <v>204</v>
      </c>
      <c r="B77" s="2" t="s">
        <v>63</v>
      </c>
      <c r="C77" s="2" t="s">
        <v>113</v>
      </c>
      <c r="D77" s="38">
        <v>46098</v>
      </c>
      <c r="E77" s="38">
        <v>46100</v>
      </c>
      <c r="F77" s="2" t="s">
        <v>111</v>
      </c>
      <c r="G77" s="2" t="s">
        <v>58</v>
      </c>
      <c r="H77" s="38">
        <v>29703</v>
      </c>
      <c r="I77" s="2" t="s">
        <v>37</v>
      </c>
      <c r="J77" s="2" t="s">
        <v>38</v>
      </c>
      <c r="K77" s="2" t="s">
        <v>39</v>
      </c>
      <c r="L77" s="2" t="s">
        <v>115</v>
      </c>
      <c r="M77" s="2">
        <v>18</v>
      </c>
      <c r="N77" s="7">
        <v>700</v>
      </c>
      <c r="O77" s="2">
        <v>5</v>
      </c>
      <c r="P77" s="7">
        <v>11970</v>
      </c>
      <c r="Q77" s="2">
        <v>3</v>
      </c>
      <c r="R77" s="2" t="s">
        <v>60</v>
      </c>
      <c r="S77" s="2" t="s">
        <v>81</v>
      </c>
      <c r="T77" s="2" t="s">
        <v>66</v>
      </c>
      <c r="U77" s="2">
        <v>9464556593</v>
      </c>
      <c r="V77" s="2" t="s">
        <v>53</v>
      </c>
    </row>
    <row r="78" spans="1:22" x14ac:dyDescent="0.3">
      <c r="A78" s="2" t="s">
        <v>205</v>
      </c>
      <c r="B78" s="2" t="s">
        <v>127</v>
      </c>
      <c r="C78" s="2" t="s">
        <v>113</v>
      </c>
      <c r="D78" s="38">
        <v>45817</v>
      </c>
      <c r="E78" s="38">
        <v>45826</v>
      </c>
      <c r="F78" s="2" t="s">
        <v>129</v>
      </c>
      <c r="G78" s="2" t="s">
        <v>58</v>
      </c>
      <c r="H78" s="38">
        <v>31118</v>
      </c>
      <c r="I78" s="2" t="s">
        <v>48</v>
      </c>
      <c r="J78" s="2" t="s">
        <v>28</v>
      </c>
      <c r="K78" s="2" t="s">
        <v>39</v>
      </c>
      <c r="L78" s="2" t="s">
        <v>115</v>
      </c>
      <c r="M78" s="2">
        <v>12</v>
      </c>
      <c r="N78" s="7">
        <v>700</v>
      </c>
      <c r="O78" s="2">
        <v>15</v>
      </c>
      <c r="P78" s="7">
        <v>7140</v>
      </c>
      <c r="Q78" s="2">
        <v>2</v>
      </c>
      <c r="R78" s="2" t="s">
        <v>65</v>
      </c>
      <c r="S78" s="2" t="s">
        <v>42</v>
      </c>
      <c r="T78" s="2" t="s">
        <v>131</v>
      </c>
      <c r="U78" s="2">
        <v>9338278358</v>
      </c>
      <c r="V78" s="2" t="s">
        <v>34</v>
      </c>
    </row>
    <row r="79" spans="1:22" x14ac:dyDescent="0.3">
      <c r="A79" s="2" t="s">
        <v>206</v>
      </c>
      <c r="B79" s="2" t="s">
        <v>55</v>
      </c>
      <c r="C79" s="2" t="s">
        <v>56</v>
      </c>
      <c r="D79" s="38">
        <v>45976</v>
      </c>
      <c r="E79" s="38">
        <v>45977</v>
      </c>
      <c r="F79" s="2" t="s">
        <v>125</v>
      </c>
      <c r="G79" s="2" t="s">
        <v>58</v>
      </c>
      <c r="H79" s="38">
        <v>36234</v>
      </c>
      <c r="I79" s="2" t="s">
        <v>75</v>
      </c>
      <c r="J79" s="2" t="s">
        <v>76</v>
      </c>
      <c r="K79" s="2" t="s">
        <v>39</v>
      </c>
      <c r="L79" s="2" t="s">
        <v>59</v>
      </c>
      <c r="M79" s="2">
        <v>8</v>
      </c>
      <c r="N79" s="7">
        <v>1200</v>
      </c>
      <c r="O79" s="2">
        <v>0</v>
      </c>
      <c r="P79" s="7">
        <v>9600</v>
      </c>
      <c r="Q79" s="2">
        <v>4</v>
      </c>
      <c r="R79" s="2" t="s">
        <v>60</v>
      </c>
      <c r="S79" s="2" t="s">
        <v>42</v>
      </c>
      <c r="T79" s="2" t="s">
        <v>61</v>
      </c>
      <c r="U79" s="2">
        <v>9621410770</v>
      </c>
      <c r="V79" s="2" t="s">
        <v>52</v>
      </c>
    </row>
    <row r="80" spans="1:22" x14ac:dyDescent="0.3">
      <c r="A80" s="2" t="s">
        <v>207</v>
      </c>
      <c r="B80" s="2" t="s">
        <v>88</v>
      </c>
      <c r="C80" s="2" t="s">
        <v>83</v>
      </c>
      <c r="D80" s="38">
        <v>45967</v>
      </c>
      <c r="E80" s="38">
        <v>45971</v>
      </c>
      <c r="F80" s="2" t="s">
        <v>119</v>
      </c>
      <c r="G80" s="2" t="s">
        <v>58</v>
      </c>
      <c r="H80" s="38">
        <v>30504</v>
      </c>
      <c r="I80" s="2" t="s">
        <v>80</v>
      </c>
      <c r="J80" s="2" t="s">
        <v>76</v>
      </c>
      <c r="K80" s="2" t="s">
        <v>84</v>
      </c>
      <c r="L80" s="2" t="s">
        <v>85</v>
      </c>
      <c r="M80" s="2">
        <v>2</v>
      </c>
      <c r="N80" s="7">
        <v>60</v>
      </c>
      <c r="O80" s="2">
        <v>0</v>
      </c>
      <c r="P80" s="7">
        <v>120</v>
      </c>
      <c r="Q80" s="2">
        <v>2</v>
      </c>
      <c r="R80" s="2" t="s">
        <v>65</v>
      </c>
      <c r="S80" s="2" t="s">
        <v>42</v>
      </c>
      <c r="T80" s="2" t="s">
        <v>90</v>
      </c>
      <c r="U80" s="2">
        <v>9981333189</v>
      </c>
      <c r="V80" s="2" t="s">
        <v>34</v>
      </c>
    </row>
    <row r="81" spans="1:22" x14ac:dyDescent="0.3">
      <c r="A81" s="2" t="s">
        <v>208</v>
      </c>
      <c r="B81" s="2" t="s">
        <v>160</v>
      </c>
      <c r="C81" s="2" t="s">
        <v>141</v>
      </c>
      <c r="D81" s="38">
        <v>45658</v>
      </c>
      <c r="E81" s="38">
        <v>45664</v>
      </c>
      <c r="F81" s="2" t="s">
        <v>179</v>
      </c>
      <c r="G81" s="2" t="s">
        <v>58</v>
      </c>
      <c r="H81" s="38">
        <v>32573</v>
      </c>
      <c r="I81" s="2" t="s">
        <v>80</v>
      </c>
      <c r="J81" s="2" t="s">
        <v>76</v>
      </c>
      <c r="K81" s="2" t="s">
        <v>84</v>
      </c>
      <c r="L81" s="2" t="s">
        <v>142</v>
      </c>
      <c r="M81" s="2">
        <v>10</v>
      </c>
      <c r="N81" s="7">
        <v>45</v>
      </c>
      <c r="O81" s="2">
        <v>15</v>
      </c>
      <c r="P81" s="7">
        <v>382.5</v>
      </c>
      <c r="Q81" s="2">
        <v>3</v>
      </c>
      <c r="R81" s="2" t="s">
        <v>41</v>
      </c>
      <c r="S81" s="2" t="s">
        <v>32</v>
      </c>
      <c r="T81" s="2" t="s">
        <v>162</v>
      </c>
      <c r="U81" s="2">
        <v>9723450355</v>
      </c>
      <c r="V81" s="2" t="s">
        <v>53</v>
      </c>
    </row>
    <row r="82" spans="1:22" x14ac:dyDescent="0.3">
      <c r="A82" s="2" t="s">
        <v>209</v>
      </c>
      <c r="B82" s="2" t="s">
        <v>127</v>
      </c>
      <c r="C82" s="2" t="s">
        <v>68</v>
      </c>
      <c r="D82" s="38">
        <v>46137</v>
      </c>
      <c r="E82" s="38">
        <v>46145</v>
      </c>
      <c r="F82" s="2" t="s">
        <v>129</v>
      </c>
      <c r="G82" s="2" t="s">
        <v>58</v>
      </c>
      <c r="H82" s="38">
        <v>30122</v>
      </c>
      <c r="I82" s="2" t="s">
        <v>151</v>
      </c>
      <c r="J82" s="2" t="s">
        <v>152</v>
      </c>
      <c r="K82" s="2" t="s">
        <v>29</v>
      </c>
      <c r="L82" s="2" t="s">
        <v>71</v>
      </c>
      <c r="M82" s="2">
        <v>12</v>
      </c>
      <c r="N82" s="7">
        <v>3500</v>
      </c>
      <c r="O82" s="2">
        <v>5</v>
      </c>
      <c r="P82" s="7">
        <v>39900</v>
      </c>
      <c r="Q82" s="2">
        <v>3</v>
      </c>
      <c r="R82" s="2" t="s">
        <v>41</v>
      </c>
      <c r="S82" s="2" t="s">
        <v>50</v>
      </c>
      <c r="T82" s="2" t="s">
        <v>131</v>
      </c>
      <c r="U82" s="2">
        <v>9886243907</v>
      </c>
      <c r="V82" s="2" t="s">
        <v>52</v>
      </c>
    </row>
    <row r="83" spans="1:22" x14ac:dyDescent="0.3">
      <c r="A83" s="2" t="s">
        <v>210</v>
      </c>
      <c r="B83" s="2" t="s">
        <v>88</v>
      </c>
      <c r="C83" s="2" t="s">
        <v>83</v>
      </c>
      <c r="D83" s="38">
        <v>45919</v>
      </c>
      <c r="E83" s="38">
        <v>45927</v>
      </c>
      <c r="F83" s="2" t="s">
        <v>119</v>
      </c>
      <c r="G83" s="2" t="s">
        <v>58</v>
      </c>
      <c r="H83" s="38">
        <v>37065</v>
      </c>
      <c r="I83" s="2" t="s">
        <v>75</v>
      </c>
      <c r="J83" s="2" t="s">
        <v>76</v>
      </c>
      <c r="K83" s="2" t="s">
        <v>84</v>
      </c>
      <c r="L83" s="2" t="s">
        <v>85</v>
      </c>
      <c r="M83" s="2">
        <v>2</v>
      </c>
      <c r="N83" s="7">
        <v>60</v>
      </c>
      <c r="O83" s="2">
        <v>15</v>
      </c>
      <c r="P83" s="7">
        <v>102</v>
      </c>
      <c r="Q83" s="2">
        <v>1</v>
      </c>
      <c r="R83" s="2" t="s">
        <v>65</v>
      </c>
      <c r="S83" s="2" t="s">
        <v>81</v>
      </c>
      <c r="T83" s="2" t="s">
        <v>90</v>
      </c>
      <c r="U83" s="2">
        <v>9473931904</v>
      </c>
      <c r="V83" s="2" t="s">
        <v>34</v>
      </c>
    </row>
    <row r="84" spans="1:22" x14ac:dyDescent="0.3">
      <c r="A84" s="2" t="s">
        <v>211</v>
      </c>
      <c r="B84" s="2" t="s">
        <v>88</v>
      </c>
      <c r="C84" s="2" t="s">
        <v>56</v>
      </c>
      <c r="D84" s="38">
        <v>45734</v>
      </c>
      <c r="E84" s="38">
        <v>45737</v>
      </c>
      <c r="F84" s="2" t="s">
        <v>119</v>
      </c>
      <c r="G84" s="2" t="s">
        <v>58</v>
      </c>
      <c r="H84" s="38">
        <v>30516</v>
      </c>
      <c r="I84" s="2" t="s">
        <v>27</v>
      </c>
      <c r="J84" s="2" t="s">
        <v>28</v>
      </c>
      <c r="K84" s="2" t="s">
        <v>39</v>
      </c>
      <c r="L84" s="2" t="s">
        <v>59</v>
      </c>
      <c r="M84" s="2">
        <v>18</v>
      </c>
      <c r="N84" s="7">
        <v>1200</v>
      </c>
      <c r="O84" s="2">
        <v>15</v>
      </c>
      <c r="P84" s="7">
        <v>18360</v>
      </c>
      <c r="Q84" s="2">
        <v>3</v>
      </c>
      <c r="R84" s="2" t="s">
        <v>60</v>
      </c>
      <c r="S84" s="2" t="s">
        <v>81</v>
      </c>
      <c r="T84" s="2" t="s">
        <v>90</v>
      </c>
      <c r="U84" s="2">
        <v>9287159610</v>
      </c>
      <c r="V84" s="2" t="s">
        <v>52</v>
      </c>
    </row>
    <row r="85" spans="1:22" x14ac:dyDescent="0.3">
      <c r="A85" s="2" t="s">
        <v>212</v>
      </c>
      <c r="B85" s="2" t="s">
        <v>23</v>
      </c>
      <c r="C85" s="2" t="s">
        <v>36</v>
      </c>
      <c r="D85" s="38">
        <v>45960</v>
      </c>
      <c r="E85" s="38">
        <v>45961</v>
      </c>
      <c r="F85" s="2" t="s">
        <v>25</v>
      </c>
      <c r="G85" s="2" t="s">
        <v>26</v>
      </c>
      <c r="H85" s="38">
        <v>34052</v>
      </c>
      <c r="I85" s="2" t="s">
        <v>75</v>
      </c>
      <c r="J85" s="2" t="s">
        <v>76</v>
      </c>
      <c r="K85" s="2" t="s">
        <v>39</v>
      </c>
      <c r="L85" s="2" t="s">
        <v>40</v>
      </c>
      <c r="M85" s="2">
        <v>18</v>
      </c>
      <c r="N85" s="7">
        <v>12000</v>
      </c>
      <c r="O85" s="2">
        <v>15</v>
      </c>
      <c r="P85" s="7">
        <v>183600</v>
      </c>
      <c r="Q85" s="2">
        <v>2</v>
      </c>
      <c r="R85" s="2" t="s">
        <v>31</v>
      </c>
      <c r="S85" s="2" t="s">
        <v>42</v>
      </c>
      <c r="T85" s="2" t="s">
        <v>43</v>
      </c>
      <c r="U85" s="2">
        <v>9876513858</v>
      </c>
      <c r="V85" s="2" t="s">
        <v>34</v>
      </c>
    </row>
    <row r="86" spans="1:22" x14ac:dyDescent="0.3">
      <c r="A86" s="2" t="s">
        <v>213</v>
      </c>
      <c r="B86" s="2" t="s">
        <v>63</v>
      </c>
      <c r="C86" s="2" t="s">
        <v>128</v>
      </c>
      <c r="D86" s="38">
        <v>45961</v>
      </c>
      <c r="E86" s="38">
        <v>45972</v>
      </c>
      <c r="F86" s="2" t="s">
        <v>111</v>
      </c>
      <c r="G86" s="2" t="s">
        <v>58</v>
      </c>
      <c r="H86" s="38">
        <v>34829</v>
      </c>
      <c r="I86" s="2" t="s">
        <v>92</v>
      </c>
      <c r="J86" s="2" t="s">
        <v>76</v>
      </c>
      <c r="K86" s="2" t="s">
        <v>84</v>
      </c>
      <c r="L86" s="2" t="s">
        <v>130</v>
      </c>
      <c r="M86" s="2">
        <v>7</v>
      </c>
      <c r="N86" s="7">
        <v>20</v>
      </c>
      <c r="O86" s="2">
        <v>0</v>
      </c>
      <c r="P86" s="7">
        <v>140</v>
      </c>
      <c r="Q86" s="2">
        <v>2</v>
      </c>
      <c r="R86" s="2" t="s">
        <v>60</v>
      </c>
      <c r="S86" s="2" t="s">
        <v>32</v>
      </c>
      <c r="T86" s="2" t="s">
        <v>66</v>
      </c>
      <c r="U86" s="2">
        <v>9237400853</v>
      </c>
      <c r="V86" s="2" t="s">
        <v>53</v>
      </c>
    </row>
    <row r="87" spans="1:22" x14ac:dyDescent="0.3">
      <c r="A87" s="2" t="s">
        <v>214</v>
      </c>
      <c r="B87" s="2" t="s">
        <v>137</v>
      </c>
      <c r="C87" s="2" t="s">
        <v>68</v>
      </c>
      <c r="D87" s="38">
        <v>45757</v>
      </c>
      <c r="E87" s="38">
        <v>45765</v>
      </c>
      <c r="F87" s="2" t="s">
        <v>138</v>
      </c>
      <c r="G87" s="2" t="s">
        <v>26</v>
      </c>
      <c r="H87" s="38">
        <v>36937</v>
      </c>
      <c r="I87" s="2" t="s">
        <v>80</v>
      </c>
      <c r="J87" s="2" t="s">
        <v>76</v>
      </c>
      <c r="K87" s="2" t="s">
        <v>29</v>
      </c>
      <c r="L87" s="2" t="s">
        <v>71</v>
      </c>
      <c r="M87" s="2">
        <v>20</v>
      </c>
      <c r="N87" s="7">
        <v>3500</v>
      </c>
      <c r="O87" s="2">
        <v>20</v>
      </c>
      <c r="P87" s="7">
        <v>56000</v>
      </c>
      <c r="Q87" s="2">
        <v>4</v>
      </c>
      <c r="R87" s="2" t="s">
        <v>60</v>
      </c>
      <c r="S87" s="2" t="s">
        <v>81</v>
      </c>
      <c r="T87" s="2" t="s">
        <v>139</v>
      </c>
      <c r="U87" s="2">
        <v>9599597595</v>
      </c>
      <c r="V87" s="2" t="s">
        <v>52</v>
      </c>
    </row>
    <row r="88" spans="1:22" x14ac:dyDescent="0.3">
      <c r="A88" s="2" t="s">
        <v>215</v>
      </c>
      <c r="B88" s="2" t="s">
        <v>73</v>
      </c>
      <c r="C88" s="2" t="s">
        <v>106</v>
      </c>
      <c r="D88" s="38">
        <v>46097</v>
      </c>
      <c r="E88" s="38">
        <v>46107</v>
      </c>
      <c r="F88" s="2" t="s">
        <v>74</v>
      </c>
      <c r="G88" s="2" t="s">
        <v>26</v>
      </c>
      <c r="H88" s="38">
        <v>36386</v>
      </c>
      <c r="I88" s="2" t="s">
        <v>92</v>
      </c>
      <c r="J88" s="2" t="s">
        <v>76</v>
      </c>
      <c r="K88" s="2" t="s">
        <v>29</v>
      </c>
      <c r="L88" s="2" t="s">
        <v>108</v>
      </c>
      <c r="M88" s="2">
        <v>8</v>
      </c>
      <c r="N88" s="7">
        <v>8500</v>
      </c>
      <c r="O88" s="2">
        <v>20</v>
      </c>
      <c r="P88" s="7">
        <v>54400</v>
      </c>
      <c r="Q88" s="2">
        <v>3</v>
      </c>
      <c r="R88" s="2" t="s">
        <v>60</v>
      </c>
      <c r="S88" s="2" t="s">
        <v>81</v>
      </c>
      <c r="T88" s="2" t="s">
        <v>94</v>
      </c>
      <c r="U88" s="2">
        <v>9230007509</v>
      </c>
      <c r="V88" s="2" t="s">
        <v>52</v>
      </c>
    </row>
    <row r="89" spans="1:22" x14ac:dyDescent="0.3">
      <c r="A89" s="2" t="s">
        <v>216</v>
      </c>
      <c r="B89" s="2" t="s">
        <v>160</v>
      </c>
      <c r="C89" s="2" t="s">
        <v>36</v>
      </c>
      <c r="D89" s="38">
        <v>45915</v>
      </c>
      <c r="E89" s="38">
        <v>45924</v>
      </c>
      <c r="F89" s="2" t="s">
        <v>179</v>
      </c>
      <c r="G89" s="2" t="s">
        <v>58</v>
      </c>
      <c r="H89" s="38">
        <v>37335</v>
      </c>
      <c r="I89" s="2" t="s">
        <v>92</v>
      </c>
      <c r="J89" s="2" t="s">
        <v>217</v>
      </c>
      <c r="K89" s="2" t="s">
        <v>39</v>
      </c>
      <c r="L89" s="2" t="s">
        <v>40</v>
      </c>
      <c r="M89" s="2">
        <v>6</v>
      </c>
      <c r="N89" s="7">
        <v>12000</v>
      </c>
      <c r="O89" s="2">
        <v>5</v>
      </c>
      <c r="P89" s="7">
        <v>68400</v>
      </c>
      <c r="Q89" s="2">
        <v>4</v>
      </c>
      <c r="R89" s="2" t="s">
        <v>41</v>
      </c>
      <c r="S89" s="2" t="s">
        <v>32</v>
      </c>
      <c r="T89" s="2" t="s">
        <v>162</v>
      </c>
      <c r="U89" s="2">
        <v>9823428025</v>
      </c>
      <c r="V89" s="2" t="s">
        <v>34</v>
      </c>
    </row>
    <row r="90" spans="1:22" x14ac:dyDescent="0.3">
      <c r="A90" s="2" t="s">
        <v>218</v>
      </c>
      <c r="B90" s="2" t="s">
        <v>23</v>
      </c>
      <c r="C90" s="2" t="s">
        <v>106</v>
      </c>
      <c r="D90" s="38">
        <v>46092</v>
      </c>
      <c r="E90" s="38">
        <v>46100</v>
      </c>
      <c r="F90" s="2" t="s">
        <v>25</v>
      </c>
      <c r="G90" s="2" t="s">
        <v>26</v>
      </c>
      <c r="H90" s="38">
        <v>33768</v>
      </c>
      <c r="I90" s="2" t="s">
        <v>80</v>
      </c>
      <c r="J90" s="2" t="s">
        <v>76</v>
      </c>
      <c r="K90" s="2" t="s">
        <v>29</v>
      </c>
      <c r="L90" s="2" t="s">
        <v>108</v>
      </c>
      <c r="M90" s="2">
        <v>15</v>
      </c>
      <c r="N90" s="7">
        <v>8500</v>
      </c>
      <c r="O90" s="2">
        <v>0</v>
      </c>
      <c r="P90" s="7">
        <v>127500</v>
      </c>
      <c r="Q90" s="2">
        <v>4</v>
      </c>
      <c r="R90" s="2" t="s">
        <v>41</v>
      </c>
      <c r="S90" s="2" t="s">
        <v>32</v>
      </c>
      <c r="T90" s="2" t="s">
        <v>43</v>
      </c>
      <c r="U90" s="2">
        <v>9505048912</v>
      </c>
      <c r="V90" s="2" t="s">
        <v>53</v>
      </c>
    </row>
    <row r="91" spans="1:22" x14ac:dyDescent="0.3">
      <c r="A91" s="2" t="s">
        <v>219</v>
      </c>
      <c r="B91" s="2" t="s">
        <v>45</v>
      </c>
      <c r="C91" s="2" t="s">
        <v>56</v>
      </c>
      <c r="D91" s="38">
        <v>45889</v>
      </c>
      <c r="E91" s="38">
        <v>45892</v>
      </c>
      <c r="F91" s="2" t="s">
        <v>102</v>
      </c>
      <c r="G91" s="2" t="s">
        <v>26</v>
      </c>
      <c r="H91" s="38">
        <v>35234</v>
      </c>
      <c r="I91" s="2" t="s">
        <v>123</v>
      </c>
      <c r="J91" s="2" t="s">
        <v>38</v>
      </c>
      <c r="K91" s="2" t="s">
        <v>39</v>
      </c>
      <c r="L91" s="2" t="s">
        <v>59</v>
      </c>
      <c r="M91" s="2">
        <v>5</v>
      </c>
      <c r="N91" s="7">
        <v>1200</v>
      </c>
      <c r="O91" s="2">
        <v>15</v>
      </c>
      <c r="P91" s="7">
        <v>5100</v>
      </c>
      <c r="Q91" s="2">
        <v>1</v>
      </c>
      <c r="R91" s="2" t="s">
        <v>41</v>
      </c>
      <c r="S91" s="2" t="s">
        <v>32</v>
      </c>
      <c r="T91" s="2" t="s">
        <v>51</v>
      </c>
      <c r="U91" s="2">
        <v>9508068393</v>
      </c>
      <c r="V91" s="2" t="s">
        <v>53</v>
      </c>
    </row>
    <row r="92" spans="1:22" x14ac:dyDescent="0.3">
      <c r="A92" s="2" t="s">
        <v>220</v>
      </c>
      <c r="B92" s="2" t="s">
        <v>45</v>
      </c>
      <c r="C92" s="2" t="s">
        <v>128</v>
      </c>
      <c r="D92" s="38">
        <v>45882</v>
      </c>
      <c r="E92" s="38">
        <v>45883</v>
      </c>
      <c r="F92" s="2" t="s">
        <v>102</v>
      </c>
      <c r="G92" s="2" t="s">
        <v>26</v>
      </c>
      <c r="H92" s="38">
        <v>30263</v>
      </c>
      <c r="I92" s="2" t="s">
        <v>27</v>
      </c>
      <c r="J92" s="2" t="s">
        <v>28</v>
      </c>
      <c r="K92" s="2" t="s">
        <v>84</v>
      </c>
      <c r="L92" s="2" t="s">
        <v>130</v>
      </c>
      <c r="M92" s="2">
        <v>4</v>
      </c>
      <c r="N92" s="7">
        <v>20</v>
      </c>
      <c r="O92" s="2">
        <v>0</v>
      </c>
      <c r="P92" s="7">
        <v>80</v>
      </c>
      <c r="Q92" s="2">
        <v>4</v>
      </c>
      <c r="R92" s="2" t="s">
        <v>41</v>
      </c>
      <c r="S92" s="2" t="s">
        <v>42</v>
      </c>
      <c r="T92" s="2" t="s">
        <v>51</v>
      </c>
      <c r="U92" s="2">
        <v>9785807771</v>
      </c>
      <c r="V92" s="2" t="s">
        <v>34</v>
      </c>
    </row>
    <row r="93" spans="1:22" x14ac:dyDescent="0.3">
      <c r="A93" s="2" t="s">
        <v>221</v>
      </c>
      <c r="B93" s="2" t="s">
        <v>23</v>
      </c>
      <c r="C93" s="2" t="s">
        <v>128</v>
      </c>
      <c r="D93" s="38">
        <v>45732</v>
      </c>
      <c r="E93" s="38">
        <v>45736</v>
      </c>
      <c r="F93" s="2" t="s">
        <v>25</v>
      </c>
      <c r="G93" s="2" t="s">
        <v>26</v>
      </c>
      <c r="H93" s="38">
        <v>30858</v>
      </c>
      <c r="I93" s="2" t="s">
        <v>48</v>
      </c>
      <c r="J93" s="2" t="s">
        <v>28</v>
      </c>
      <c r="K93" s="2" t="s">
        <v>84</v>
      </c>
      <c r="L93" s="2" t="s">
        <v>130</v>
      </c>
      <c r="M93" s="2">
        <v>10</v>
      </c>
      <c r="N93" s="7">
        <v>20</v>
      </c>
      <c r="O93" s="2">
        <v>0</v>
      </c>
      <c r="P93" s="7">
        <v>200</v>
      </c>
      <c r="Q93" s="2">
        <v>3</v>
      </c>
      <c r="R93" s="2" t="s">
        <v>31</v>
      </c>
      <c r="S93" s="2" t="s">
        <v>97</v>
      </c>
      <c r="T93" s="2" t="s">
        <v>43</v>
      </c>
      <c r="U93" s="2">
        <v>9215250979</v>
      </c>
      <c r="V93" s="2" t="s">
        <v>52</v>
      </c>
    </row>
    <row r="94" spans="1:22" x14ac:dyDescent="0.3">
      <c r="A94" s="2" t="s">
        <v>222</v>
      </c>
      <c r="B94" s="2" t="s">
        <v>105</v>
      </c>
      <c r="C94" s="2" t="s">
        <v>24</v>
      </c>
      <c r="D94" s="38">
        <v>45904</v>
      </c>
      <c r="E94" s="38">
        <v>45910</v>
      </c>
      <c r="F94" s="2" t="s">
        <v>170</v>
      </c>
      <c r="G94" s="2" t="s">
        <v>26</v>
      </c>
      <c r="H94" s="38">
        <v>34506</v>
      </c>
      <c r="I94" s="2" t="s">
        <v>37</v>
      </c>
      <c r="J94" s="2" t="s">
        <v>38</v>
      </c>
      <c r="K94" s="2" t="s">
        <v>29</v>
      </c>
      <c r="L94" s="2" t="s">
        <v>30</v>
      </c>
      <c r="M94" s="2">
        <v>18</v>
      </c>
      <c r="N94" s="7">
        <v>2200</v>
      </c>
      <c r="O94" s="2">
        <v>10</v>
      </c>
      <c r="P94" s="7">
        <v>35640</v>
      </c>
      <c r="Q94" s="2">
        <v>3</v>
      </c>
      <c r="R94" s="2" t="s">
        <v>31</v>
      </c>
      <c r="S94" s="2" t="s">
        <v>32</v>
      </c>
      <c r="T94" s="2" t="s">
        <v>109</v>
      </c>
      <c r="U94" s="2">
        <v>9845884906</v>
      </c>
      <c r="V94" s="2" t="s">
        <v>53</v>
      </c>
    </row>
    <row r="95" spans="1:22" x14ac:dyDescent="0.3">
      <c r="A95" s="2" t="s">
        <v>223</v>
      </c>
      <c r="B95" s="2" t="s">
        <v>160</v>
      </c>
      <c r="C95" s="2" t="s">
        <v>68</v>
      </c>
      <c r="D95" s="38">
        <v>45759</v>
      </c>
      <c r="E95" s="38">
        <v>45762</v>
      </c>
      <c r="F95" s="2" t="s">
        <v>179</v>
      </c>
      <c r="G95" s="2" t="s">
        <v>58</v>
      </c>
      <c r="H95" s="38">
        <v>33163</v>
      </c>
      <c r="I95" s="2" t="s">
        <v>37</v>
      </c>
      <c r="J95" s="2" t="s">
        <v>38</v>
      </c>
      <c r="K95" s="2" t="s">
        <v>29</v>
      </c>
      <c r="L95" s="2" t="s">
        <v>71</v>
      </c>
      <c r="M95" s="2">
        <v>7</v>
      </c>
      <c r="N95" s="7">
        <v>3500</v>
      </c>
      <c r="O95" s="2">
        <v>15</v>
      </c>
      <c r="P95" s="7">
        <v>20825</v>
      </c>
      <c r="Q95" s="2">
        <v>3</v>
      </c>
      <c r="R95" s="2" t="s">
        <v>41</v>
      </c>
      <c r="S95" s="2" t="s">
        <v>42</v>
      </c>
      <c r="T95" s="2" t="s">
        <v>162</v>
      </c>
      <c r="U95" s="2">
        <v>9393097397</v>
      </c>
      <c r="V95" s="2" t="s">
        <v>34</v>
      </c>
    </row>
    <row r="96" spans="1:22" x14ac:dyDescent="0.3">
      <c r="A96" s="2" t="s">
        <v>224</v>
      </c>
      <c r="B96" s="2" t="s">
        <v>73</v>
      </c>
      <c r="C96" s="2" t="s">
        <v>106</v>
      </c>
      <c r="D96" s="38">
        <v>46146</v>
      </c>
      <c r="E96" s="38">
        <v>46149</v>
      </c>
      <c r="F96" s="2" t="s">
        <v>74</v>
      </c>
      <c r="G96" s="2" t="s">
        <v>26</v>
      </c>
      <c r="H96" s="38">
        <v>31805</v>
      </c>
      <c r="I96" s="2" t="s">
        <v>151</v>
      </c>
      <c r="J96" s="2" t="s">
        <v>152</v>
      </c>
      <c r="K96" s="2" t="s">
        <v>29</v>
      </c>
      <c r="L96" s="2" t="s">
        <v>108</v>
      </c>
      <c r="M96" s="2">
        <v>19</v>
      </c>
      <c r="N96" s="7">
        <v>8500</v>
      </c>
      <c r="O96" s="2">
        <v>15</v>
      </c>
      <c r="P96" s="7">
        <v>137275</v>
      </c>
      <c r="Q96" s="2">
        <v>4</v>
      </c>
      <c r="R96" s="2" t="s">
        <v>60</v>
      </c>
      <c r="S96" s="2" t="s">
        <v>97</v>
      </c>
      <c r="T96" s="2" t="s">
        <v>94</v>
      </c>
      <c r="U96" s="2">
        <v>9958032109</v>
      </c>
      <c r="V96" s="2" t="s">
        <v>52</v>
      </c>
    </row>
    <row r="97" spans="1:22" x14ac:dyDescent="0.3">
      <c r="A97" s="2" t="s">
        <v>225</v>
      </c>
      <c r="B97" s="2" t="s">
        <v>137</v>
      </c>
      <c r="C97" s="2" t="s">
        <v>36</v>
      </c>
      <c r="D97" s="38">
        <v>46040</v>
      </c>
      <c r="E97" s="38">
        <v>46049</v>
      </c>
      <c r="F97" s="2" t="s">
        <v>138</v>
      </c>
      <c r="G97" s="2" t="s">
        <v>26</v>
      </c>
      <c r="H97" s="38">
        <v>30580</v>
      </c>
      <c r="I97" s="2" t="s">
        <v>92</v>
      </c>
      <c r="J97" s="2" t="s">
        <v>76</v>
      </c>
      <c r="K97" s="2" t="s">
        <v>39</v>
      </c>
      <c r="L97" s="2" t="s">
        <v>40</v>
      </c>
      <c r="M97" s="2">
        <v>13</v>
      </c>
      <c r="N97" s="7">
        <v>12000</v>
      </c>
      <c r="O97" s="2">
        <v>15</v>
      </c>
      <c r="P97" s="7">
        <v>132600</v>
      </c>
      <c r="Q97" s="2">
        <v>4</v>
      </c>
      <c r="R97" s="2" t="s">
        <v>31</v>
      </c>
      <c r="S97" s="2" t="s">
        <v>42</v>
      </c>
      <c r="T97" s="2" t="s">
        <v>139</v>
      </c>
      <c r="U97" s="2">
        <v>9755082957</v>
      </c>
      <c r="V97" s="2" t="s">
        <v>34</v>
      </c>
    </row>
    <row r="98" spans="1:22" x14ac:dyDescent="0.3">
      <c r="A98" s="2" t="s">
        <v>226</v>
      </c>
      <c r="B98" s="2" t="s">
        <v>160</v>
      </c>
      <c r="C98" s="2" t="s">
        <v>128</v>
      </c>
      <c r="D98" s="38">
        <v>46095</v>
      </c>
      <c r="E98" s="38">
        <v>46105</v>
      </c>
      <c r="F98" s="2" t="s">
        <v>179</v>
      </c>
      <c r="G98" s="2" t="s">
        <v>58</v>
      </c>
      <c r="H98" s="38">
        <v>32602</v>
      </c>
      <c r="I98" s="2" t="s">
        <v>80</v>
      </c>
      <c r="J98" s="2" t="s">
        <v>76</v>
      </c>
      <c r="K98" s="2" t="s">
        <v>84</v>
      </c>
      <c r="L98" s="2" t="s">
        <v>130</v>
      </c>
      <c r="M98" s="2">
        <v>7</v>
      </c>
      <c r="N98" s="7">
        <v>20</v>
      </c>
      <c r="O98" s="2">
        <v>0</v>
      </c>
      <c r="P98" s="7">
        <v>140</v>
      </c>
      <c r="Q98" s="2">
        <v>1</v>
      </c>
      <c r="R98" s="2" t="s">
        <v>60</v>
      </c>
      <c r="S98" s="2" t="s">
        <v>97</v>
      </c>
      <c r="T98" s="2" t="s">
        <v>162</v>
      </c>
      <c r="U98" s="2">
        <v>9872235856</v>
      </c>
      <c r="V98" s="2" t="s">
        <v>53</v>
      </c>
    </row>
    <row r="99" spans="1:22" x14ac:dyDescent="0.3">
      <c r="A99" s="2" t="s">
        <v>227</v>
      </c>
      <c r="B99" s="2" t="s">
        <v>105</v>
      </c>
      <c r="C99" s="2" t="s">
        <v>113</v>
      </c>
      <c r="D99" s="38">
        <v>45786</v>
      </c>
      <c r="E99" s="38">
        <v>45788</v>
      </c>
      <c r="F99" s="2" t="s">
        <v>170</v>
      </c>
      <c r="G99" s="2" t="s">
        <v>26</v>
      </c>
      <c r="H99" s="38">
        <v>32045</v>
      </c>
      <c r="I99" s="2" t="s">
        <v>37</v>
      </c>
      <c r="J99" s="2" t="s">
        <v>38</v>
      </c>
      <c r="K99" s="2" t="s">
        <v>39</v>
      </c>
      <c r="L99" s="2" t="s">
        <v>115</v>
      </c>
      <c r="M99" s="2">
        <v>5</v>
      </c>
      <c r="N99" s="7">
        <v>700</v>
      </c>
      <c r="O99" s="2">
        <v>15</v>
      </c>
      <c r="P99" s="7">
        <v>999999</v>
      </c>
      <c r="Q99" s="2">
        <v>4</v>
      </c>
      <c r="R99" s="2" t="s">
        <v>60</v>
      </c>
      <c r="S99" s="2" t="s">
        <v>32</v>
      </c>
      <c r="T99" s="2" t="s">
        <v>109</v>
      </c>
      <c r="U99" s="2">
        <v>9335138816</v>
      </c>
      <c r="V99" s="2" t="s">
        <v>52</v>
      </c>
    </row>
    <row r="100" spans="1:22" x14ac:dyDescent="0.3">
      <c r="A100" s="2" t="s">
        <v>228</v>
      </c>
      <c r="B100" s="2" t="s">
        <v>63</v>
      </c>
      <c r="C100" s="2" t="s">
        <v>141</v>
      </c>
      <c r="D100" s="38">
        <v>46149</v>
      </c>
      <c r="E100" s="38">
        <v>46152</v>
      </c>
      <c r="F100" s="2" t="s">
        <v>111</v>
      </c>
      <c r="G100" s="2" t="s">
        <v>58</v>
      </c>
      <c r="H100" s="38">
        <v>30170</v>
      </c>
      <c r="I100" s="2" t="s">
        <v>48</v>
      </c>
      <c r="J100" s="2" t="s">
        <v>28</v>
      </c>
      <c r="K100" s="2" t="s">
        <v>84</v>
      </c>
      <c r="L100" s="2" t="s">
        <v>142</v>
      </c>
      <c r="M100" s="2">
        <v>9</v>
      </c>
      <c r="N100" s="7">
        <v>45</v>
      </c>
      <c r="O100" s="2">
        <v>5</v>
      </c>
      <c r="P100" s="7">
        <v>384.75</v>
      </c>
      <c r="Q100" s="2">
        <v>3</v>
      </c>
      <c r="R100" s="2" t="s">
        <v>31</v>
      </c>
      <c r="S100" s="2" t="s">
        <v>32</v>
      </c>
      <c r="T100" s="2" t="s">
        <v>66</v>
      </c>
      <c r="U100" s="2">
        <v>9750365609</v>
      </c>
      <c r="V100" s="2" t="s">
        <v>34</v>
      </c>
    </row>
    <row r="101" spans="1:22" x14ac:dyDescent="0.3">
      <c r="A101" s="2" t="s">
        <v>229</v>
      </c>
      <c r="B101" s="2" t="s">
        <v>88</v>
      </c>
      <c r="C101" s="2" t="s">
        <v>83</v>
      </c>
      <c r="D101" s="38">
        <v>45768</v>
      </c>
      <c r="E101" s="38">
        <v>45776</v>
      </c>
      <c r="F101" s="2" t="s">
        <v>119</v>
      </c>
      <c r="G101" s="2" t="s">
        <v>58</v>
      </c>
      <c r="H101" s="38">
        <v>31610</v>
      </c>
      <c r="I101" s="2" t="s">
        <v>151</v>
      </c>
      <c r="J101" s="2" t="s">
        <v>152</v>
      </c>
      <c r="K101" s="2" t="s">
        <v>84</v>
      </c>
      <c r="L101" s="2" t="s">
        <v>85</v>
      </c>
      <c r="M101" s="2">
        <v>19</v>
      </c>
      <c r="N101" s="7">
        <v>60</v>
      </c>
      <c r="O101" s="2">
        <v>10</v>
      </c>
      <c r="P101" s="7">
        <v>1026</v>
      </c>
      <c r="Q101" s="2">
        <v>5</v>
      </c>
      <c r="R101" s="2" t="s">
        <v>41</v>
      </c>
      <c r="S101" s="2" t="s">
        <v>81</v>
      </c>
      <c r="T101" s="2" t="s">
        <v>90</v>
      </c>
      <c r="U101" s="2">
        <v>9736812737</v>
      </c>
      <c r="V101" s="2" t="s">
        <v>34</v>
      </c>
    </row>
    <row r="102" spans="1:22" x14ac:dyDescent="0.3">
      <c r="A102" s="2" t="s">
        <v>230</v>
      </c>
      <c r="B102" s="2" t="s">
        <v>160</v>
      </c>
      <c r="C102" s="2" t="s">
        <v>113</v>
      </c>
      <c r="D102" s="38">
        <v>46002</v>
      </c>
      <c r="E102" s="38">
        <v>46011</v>
      </c>
      <c r="F102" s="2" t="s">
        <v>179</v>
      </c>
      <c r="G102" s="2" t="s">
        <v>58</v>
      </c>
      <c r="H102" s="38">
        <v>31873</v>
      </c>
      <c r="I102" s="2" t="s">
        <v>92</v>
      </c>
      <c r="J102" s="2" t="s">
        <v>76</v>
      </c>
      <c r="K102" s="2" t="s">
        <v>39</v>
      </c>
      <c r="L102" s="2" t="s">
        <v>115</v>
      </c>
      <c r="M102" s="2">
        <v>4</v>
      </c>
      <c r="N102" s="7">
        <v>700</v>
      </c>
      <c r="O102" s="2">
        <v>5</v>
      </c>
      <c r="P102" s="7">
        <v>2660</v>
      </c>
      <c r="Q102" s="2">
        <v>3</v>
      </c>
      <c r="R102" s="2" t="s">
        <v>41</v>
      </c>
      <c r="S102" s="2" t="s">
        <v>50</v>
      </c>
      <c r="T102" s="2" t="s">
        <v>162</v>
      </c>
      <c r="U102" s="2">
        <v>9271420931</v>
      </c>
      <c r="V102" s="2" t="s">
        <v>34</v>
      </c>
    </row>
    <row r="103" spans="1:22" x14ac:dyDescent="0.3">
      <c r="A103" s="2" t="s">
        <v>231</v>
      </c>
      <c r="B103" s="2" t="s">
        <v>160</v>
      </c>
      <c r="C103" s="2" t="s">
        <v>68</v>
      </c>
      <c r="D103" s="38">
        <v>46149</v>
      </c>
      <c r="E103" s="38">
        <v>46157</v>
      </c>
      <c r="F103" s="2" t="s">
        <v>179</v>
      </c>
      <c r="G103" s="2" t="s">
        <v>58</v>
      </c>
      <c r="H103" s="38">
        <v>38042</v>
      </c>
      <c r="I103" s="2" t="s">
        <v>80</v>
      </c>
      <c r="J103" s="2" t="s">
        <v>76</v>
      </c>
      <c r="K103" s="2" t="s">
        <v>29</v>
      </c>
      <c r="L103" s="2" t="s">
        <v>71</v>
      </c>
      <c r="M103" s="2">
        <v>16</v>
      </c>
      <c r="N103" s="7">
        <v>3500</v>
      </c>
      <c r="O103" s="2">
        <v>0</v>
      </c>
      <c r="P103" s="7">
        <v>56000</v>
      </c>
      <c r="Q103" s="2">
        <v>2</v>
      </c>
      <c r="R103" s="2" t="s">
        <v>60</v>
      </c>
      <c r="S103" s="2" t="s">
        <v>42</v>
      </c>
      <c r="T103" s="2" t="s">
        <v>162</v>
      </c>
      <c r="U103" s="2">
        <v>9781411370</v>
      </c>
      <c r="V103" s="2" t="s">
        <v>34</v>
      </c>
    </row>
    <row r="104" spans="1:22" x14ac:dyDescent="0.3">
      <c r="A104" s="2" t="s">
        <v>232</v>
      </c>
      <c r="B104" s="2" t="s">
        <v>137</v>
      </c>
      <c r="C104" s="2" t="s">
        <v>141</v>
      </c>
      <c r="D104" s="38">
        <v>45670</v>
      </c>
      <c r="E104" s="38">
        <v>45677</v>
      </c>
      <c r="F104" s="2" t="s">
        <v>138</v>
      </c>
      <c r="G104" s="2" t="s">
        <v>26</v>
      </c>
      <c r="H104" s="38">
        <v>37005</v>
      </c>
      <c r="I104" s="2" t="s">
        <v>48</v>
      </c>
      <c r="J104" s="2" t="s">
        <v>28</v>
      </c>
      <c r="K104" s="2" t="s">
        <v>84</v>
      </c>
      <c r="L104" s="2" t="s">
        <v>142</v>
      </c>
      <c r="M104" s="2">
        <v>5</v>
      </c>
      <c r="N104" s="7">
        <v>45</v>
      </c>
      <c r="O104" s="2">
        <v>20</v>
      </c>
      <c r="P104" s="7">
        <v>180</v>
      </c>
      <c r="Q104" s="2">
        <v>3</v>
      </c>
      <c r="R104" s="2" t="s">
        <v>60</v>
      </c>
      <c r="S104" s="2" t="s">
        <v>32</v>
      </c>
      <c r="T104" s="2" t="s">
        <v>139</v>
      </c>
      <c r="U104" s="2">
        <v>9584152818</v>
      </c>
      <c r="V104" s="2" t="s">
        <v>34</v>
      </c>
    </row>
    <row r="105" spans="1:22" x14ac:dyDescent="0.3">
      <c r="A105" s="2" t="s">
        <v>233</v>
      </c>
      <c r="B105" s="2" t="s">
        <v>63</v>
      </c>
      <c r="C105" s="2" t="s">
        <v>128</v>
      </c>
      <c r="D105" s="38">
        <v>45733</v>
      </c>
      <c r="E105" s="38">
        <v>45734</v>
      </c>
      <c r="F105" s="2" t="s">
        <v>111</v>
      </c>
      <c r="G105" s="2" t="s">
        <v>58</v>
      </c>
      <c r="H105" s="38">
        <v>35247</v>
      </c>
      <c r="I105" s="2" t="s">
        <v>75</v>
      </c>
      <c r="J105" s="2" t="s">
        <v>76</v>
      </c>
      <c r="K105" s="2" t="s">
        <v>84</v>
      </c>
      <c r="L105" s="2" t="s">
        <v>130</v>
      </c>
      <c r="M105" s="2">
        <v>9</v>
      </c>
      <c r="N105" s="7">
        <v>20</v>
      </c>
      <c r="O105" s="2">
        <v>10</v>
      </c>
      <c r="P105" s="7">
        <v>162</v>
      </c>
      <c r="Q105" s="2">
        <v>4</v>
      </c>
      <c r="R105" s="2" t="s">
        <v>60</v>
      </c>
      <c r="S105" s="2" t="s">
        <v>32</v>
      </c>
      <c r="T105" s="2" t="s">
        <v>66</v>
      </c>
      <c r="U105" s="2">
        <v>9507986836</v>
      </c>
      <c r="V105" s="2" t="s">
        <v>52</v>
      </c>
    </row>
    <row r="106" spans="1:22" x14ac:dyDescent="0.3">
      <c r="A106" s="2" t="s">
        <v>234</v>
      </c>
      <c r="B106" s="2" t="s">
        <v>45</v>
      </c>
      <c r="C106" s="2" t="s">
        <v>56</v>
      </c>
      <c r="D106" s="38">
        <v>45713</v>
      </c>
      <c r="E106" s="38">
        <v>45717</v>
      </c>
      <c r="F106" s="2" t="s">
        <v>102</v>
      </c>
      <c r="G106" s="2" t="s">
        <v>26</v>
      </c>
      <c r="H106" s="38">
        <v>28892</v>
      </c>
      <c r="I106" s="2" t="s">
        <v>37</v>
      </c>
      <c r="J106" s="2" t="s">
        <v>38</v>
      </c>
      <c r="K106" s="2" t="s">
        <v>39</v>
      </c>
      <c r="L106" s="2" t="s">
        <v>59</v>
      </c>
      <c r="M106" s="2">
        <v>9</v>
      </c>
      <c r="N106" s="7">
        <v>1200</v>
      </c>
      <c r="O106" s="2">
        <v>5</v>
      </c>
      <c r="P106" s="7">
        <v>10260</v>
      </c>
      <c r="Q106" s="2">
        <v>3</v>
      </c>
      <c r="R106" s="2" t="s">
        <v>65</v>
      </c>
      <c r="S106" s="2" t="s">
        <v>32</v>
      </c>
      <c r="T106" s="2" t="s">
        <v>51</v>
      </c>
      <c r="U106" s="2">
        <v>9518249687</v>
      </c>
      <c r="V106" s="2" t="s">
        <v>52</v>
      </c>
    </row>
    <row r="107" spans="1:22" x14ac:dyDescent="0.3">
      <c r="A107" s="2" t="s">
        <v>235</v>
      </c>
      <c r="B107" s="2" t="s">
        <v>73</v>
      </c>
      <c r="C107" s="2" t="s">
        <v>68</v>
      </c>
      <c r="D107" s="38">
        <v>45714</v>
      </c>
      <c r="E107" s="38">
        <v>45715</v>
      </c>
      <c r="F107" s="2" t="s">
        <v>74</v>
      </c>
      <c r="G107" s="2" t="s">
        <v>26</v>
      </c>
      <c r="H107" s="38">
        <v>31393</v>
      </c>
      <c r="I107" s="2" t="s">
        <v>37</v>
      </c>
      <c r="J107" s="2" t="s">
        <v>38</v>
      </c>
      <c r="K107" s="2" t="s">
        <v>29</v>
      </c>
      <c r="L107" s="2" t="s">
        <v>71</v>
      </c>
      <c r="M107" s="2">
        <v>3</v>
      </c>
      <c r="N107" s="7">
        <v>3500</v>
      </c>
      <c r="O107" s="2">
        <v>10</v>
      </c>
      <c r="P107" s="7">
        <v>9450</v>
      </c>
      <c r="Q107" s="2">
        <v>2</v>
      </c>
      <c r="R107" s="2" t="s">
        <v>60</v>
      </c>
      <c r="S107" s="2" t="s">
        <v>97</v>
      </c>
      <c r="T107" s="2" t="s">
        <v>94</v>
      </c>
      <c r="U107" s="2">
        <v>9179328207</v>
      </c>
      <c r="V107" s="2" t="s">
        <v>53</v>
      </c>
    </row>
    <row r="108" spans="1:22" x14ac:dyDescent="0.3">
      <c r="A108" s="2" t="s">
        <v>236</v>
      </c>
      <c r="B108" s="2" t="s">
        <v>127</v>
      </c>
      <c r="C108" s="2" t="s">
        <v>56</v>
      </c>
      <c r="D108" s="38">
        <v>46094</v>
      </c>
      <c r="E108" s="38">
        <v>46099</v>
      </c>
      <c r="F108" s="2" t="s">
        <v>129</v>
      </c>
      <c r="G108" s="2" t="s">
        <v>58</v>
      </c>
      <c r="H108" s="38">
        <v>33631</v>
      </c>
      <c r="I108" s="2" t="s">
        <v>75</v>
      </c>
      <c r="J108" s="2" t="s">
        <v>76</v>
      </c>
      <c r="K108" s="2" t="s">
        <v>39</v>
      </c>
      <c r="L108" s="2" t="s">
        <v>59</v>
      </c>
      <c r="M108" s="2">
        <v>6</v>
      </c>
      <c r="N108" s="7">
        <v>1200</v>
      </c>
      <c r="O108" s="2">
        <v>15</v>
      </c>
      <c r="P108" s="7">
        <v>6120</v>
      </c>
      <c r="Q108" s="2">
        <v>4</v>
      </c>
      <c r="R108" s="2" t="s">
        <v>65</v>
      </c>
      <c r="S108" s="2" t="s">
        <v>32</v>
      </c>
      <c r="T108" s="2" t="s">
        <v>131</v>
      </c>
      <c r="U108" s="2">
        <v>9778490728</v>
      </c>
      <c r="V108" s="2" t="s">
        <v>53</v>
      </c>
    </row>
    <row r="109" spans="1:22" x14ac:dyDescent="0.3">
      <c r="A109" s="2" t="s">
        <v>237</v>
      </c>
      <c r="B109" s="2" t="s">
        <v>63</v>
      </c>
      <c r="C109" s="2" t="s">
        <v>56</v>
      </c>
      <c r="D109" s="38">
        <v>45848</v>
      </c>
      <c r="E109" s="38">
        <v>45850</v>
      </c>
      <c r="F109" s="2" t="s">
        <v>111</v>
      </c>
      <c r="G109" s="2" t="s">
        <v>58</v>
      </c>
      <c r="H109" s="38">
        <v>34155</v>
      </c>
      <c r="I109" s="2" t="s">
        <v>123</v>
      </c>
      <c r="J109" s="2" t="s">
        <v>38</v>
      </c>
      <c r="K109" s="2" t="s">
        <v>39</v>
      </c>
      <c r="L109" s="2" t="s">
        <v>59</v>
      </c>
      <c r="M109" s="2">
        <v>17</v>
      </c>
      <c r="N109" s="7">
        <v>1200</v>
      </c>
      <c r="O109" s="2">
        <v>15</v>
      </c>
      <c r="P109" s="7">
        <v>17340</v>
      </c>
      <c r="Q109" s="2">
        <v>1</v>
      </c>
      <c r="R109" s="2" t="s">
        <v>31</v>
      </c>
      <c r="S109" s="2" t="s">
        <v>50</v>
      </c>
      <c r="T109" s="2" t="s">
        <v>66</v>
      </c>
      <c r="U109" s="2">
        <v>9223058722</v>
      </c>
      <c r="V109" s="2" t="s">
        <v>34</v>
      </c>
    </row>
    <row r="110" spans="1:22" x14ac:dyDescent="0.3">
      <c r="A110" s="2" t="s">
        <v>238</v>
      </c>
      <c r="B110" s="2" t="s">
        <v>127</v>
      </c>
      <c r="C110" s="2" t="s">
        <v>106</v>
      </c>
      <c r="D110" s="38">
        <v>45979</v>
      </c>
      <c r="E110" s="38">
        <v>45987</v>
      </c>
      <c r="F110" s="2" t="s">
        <v>129</v>
      </c>
      <c r="G110" s="2" t="s">
        <v>58</v>
      </c>
      <c r="H110" s="38">
        <v>28381</v>
      </c>
      <c r="I110" s="2" t="s">
        <v>48</v>
      </c>
      <c r="J110" s="2" t="s">
        <v>28</v>
      </c>
      <c r="K110" s="2" t="s">
        <v>29</v>
      </c>
      <c r="L110" s="2" t="s">
        <v>108</v>
      </c>
      <c r="M110" s="2">
        <v>15</v>
      </c>
      <c r="N110" s="7">
        <v>8500</v>
      </c>
      <c r="O110" s="2">
        <v>0</v>
      </c>
      <c r="P110" s="7">
        <v>127500</v>
      </c>
      <c r="Q110" s="2">
        <v>3</v>
      </c>
      <c r="R110" s="2" t="s">
        <v>31</v>
      </c>
      <c r="S110" s="2" t="s">
        <v>81</v>
      </c>
      <c r="T110" s="2" t="s">
        <v>131</v>
      </c>
      <c r="U110" s="2">
        <v>9999889465</v>
      </c>
      <c r="V110" s="2" t="s">
        <v>52</v>
      </c>
    </row>
    <row r="111" spans="1:22" x14ac:dyDescent="0.3">
      <c r="A111" s="2" t="s">
        <v>239</v>
      </c>
      <c r="B111" s="2" t="s">
        <v>88</v>
      </c>
      <c r="C111" s="2" t="s">
        <v>56</v>
      </c>
      <c r="D111" s="38">
        <v>45760</v>
      </c>
      <c r="E111" s="38">
        <v>45766</v>
      </c>
      <c r="F111" s="2" t="s">
        <v>119</v>
      </c>
      <c r="G111" s="2" t="s">
        <v>58</v>
      </c>
      <c r="H111" s="38">
        <v>31331</v>
      </c>
      <c r="I111" s="2" t="s">
        <v>27</v>
      </c>
      <c r="J111" s="2" t="s">
        <v>28</v>
      </c>
      <c r="K111" s="2" t="s">
        <v>39</v>
      </c>
      <c r="L111" s="2" t="s">
        <v>59</v>
      </c>
      <c r="M111" s="2">
        <v>1</v>
      </c>
      <c r="N111" s="7">
        <v>1200</v>
      </c>
      <c r="O111" s="2">
        <v>20</v>
      </c>
      <c r="P111" s="7">
        <v>960</v>
      </c>
      <c r="Q111" s="2">
        <v>1</v>
      </c>
      <c r="R111" s="2" t="s">
        <v>65</v>
      </c>
      <c r="S111" s="2" t="s">
        <v>81</v>
      </c>
      <c r="T111" s="2" t="s">
        <v>90</v>
      </c>
      <c r="U111" s="2">
        <v>9489687402</v>
      </c>
      <c r="V111" s="2" t="s">
        <v>52</v>
      </c>
    </row>
    <row r="112" spans="1:22" x14ac:dyDescent="0.3">
      <c r="A112" s="2" t="s">
        <v>240</v>
      </c>
      <c r="B112" s="2" t="s">
        <v>88</v>
      </c>
      <c r="C112" s="2" t="s">
        <v>106</v>
      </c>
      <c r="D112" s="38">
        <v>45756</v>
      </c>
      <c r="E112" s="38">
        <v>45765</v>
      </c>
      <c r="F112" s="2" t="s">
        <v>119</v>
      </c>
      <c r="G112" s="2" t="s">
        <v>58</v>
      </c>
      <c r="H112" s="38">
        <v>37166</v>
      </c>
      <c r="I112" s="2" t="s">
        <v>151</v>
      </c>
      <c r="J112" s="2" t="s">
        <v>152</v>
      </c>
      <c r="K112" s="2" t="s">
        <v>29</v>
      </c>
      <c r="L112" s="2" t="s">
        <v>108</v>
      </c>
      <c r="M112" s="2">
        <v>5</v>
      </c>
      <c r="N112" s="7">
        <v>8500</v>
      </c>
      <c r="O112" s="2">
        <v>10</v>
      </c>
      <c r="P112" s="7">
        <v>38250</v>
      </c>
      <c r="Q112" s="2">
        <v>1</v>
      </c>
      <c r="R112" s="2" t="s">
        <v>60</v>
      </c>
      <c r="S112" s="2" t="s">
        <v>50</v>
      </c>
      <c r="T112" s="2" t="s">
        <v>90</v>
      </c>
      <c r="U112" s="2">
        <v>9236963301</v>
      </c>
      <c r="V112" s="2" t="s">
        <v>34</v>
      </c>
    </row>
    <row r="113" spans="1:22" x14ac:dyDescent="0.3">
      <c r="A113" s="2" t="s">
        <v>241</v>
      </c>
      <c r="B113" s="2" t="s">
        <v>45</v>
      </c>
      <c r="C113" s="2" t="s">
        <v>141</v>
      </c>
      <c r="D113" s="38">
        <v>46115</v>
      </c>
      <c r="E113" s="38">
        <v>46122</v>
      </c>
      <c r="F113" s="2" t="s">
        <v>102</v>
      </c>
      <c r="G113" s="2" t="s">
        <v>26</v>
      </c>
      <c r="H113" s="38">
        <v>31510</v>
      </c>
      <c r="I113" s="2" t="s">
        <v>27</v>
      </c>
      <c r="J113" s="2" t="s">
        <v>28</v>
      </c>
      <c r="K113" s="2" t="s">
        <v>84</v>
      </c>
      <c r="L113" s="2" t="s">
        <v>142</v>
      </c>
      <c r="M113" s="2">
        <v>12</v>
      </c>
      <c r="N113" s="7">
        <v>45</v>
      </c>
      <c r="O113" s="2">
        <v>5</v>
      </c>
      <c r="P113" s="7">
        <v>513</v>
      </c>
      <c r="Q113" s="2">
        <v>2</v>
      </c>
      <c r="R113" s="2" t="s">
        <v>41</v>
      </c>
      <c r="S113" s="2" t="s">
        <v>32</v>
      </c>
      <c r="T113" s="2" t="s">
        <v>51</v>
      </c>
      <c r="U113" s="2">
        <v>9653594592</v>
      </c>
      <c r="V113" s="2" t="s">
        <v>53</v>
      </c>
    </row>
    <row r="114" spans="1:22" x14ac:dyDescent="0.3">
      <c r="A114" s="2" t="s">
        <v>242</v>
      </c>
      <c r="B114" s="2" t="s">
        <v>127</v>
      </c>
      <c r="C114" s="2" t="s">
        <v>83</v>
      </c>
      <c r="D114" s="38">
        <v>45953</v>
      </c>
      <c r="E114" s="38">
        <v>45958</v>
      </c>
      <c r="F114" s="2" t="s">
        <v>129</v>
      </c>
      <c r="G114" s="2" t="s">
        <v>58</v>
      </c>
      <c r="H114" s="38">
        <v>33075</v>
      </c>
      <c r="I114" s="2" t="s">
        <v>80</v>
      </c>
      <c r="J114" s="2" t="s">
        <v>76</v>
      </c>
      <c r="K114" s="2" t="s">
        <v>84</v>
      </c>
      <c r="L114" s="2" t="s">
        <v>85</v>
      </c>
      <c r="M114" s="2">
        <v>5</v>
      </c>
      <c r="N114" s="7">
        <v>60</v>
      </c>
      <c r="O114" s="2">
        <v>5</v>
      </c>
      <c r="P114" s="7">
        <v>285</v>
      </c>
      <c r="Q114" s="2">
        <v>2</v>
      </c>
      <c r="R114" s="2" t="s">
        <v>31</v>
      </c>
      <c r="S114" s="2" t="s">
        <v>50</v>
      </c>
      <c r="T114" s="2" t="s">
        <v>131</v>
      </c>
      <c r="U114" s="2">
        <v>9781970426</v>
      </c>
      <c r="V114" s="2" t="s">
        <v>34</v>
      </c>
    </row>
    <row r="115" spans="1:22" x14ac:dyDescent="0.3">
      <c r="A115" s="2" t="s">
        <v>243</v>
      </c>
      <c r="B115" s="2" t="s">
        <v>45</v>
      </c>
      <c r="C115" s="2" t="s">
        <v>113</v>
      </c>
      <c r="D115" s="38">
        <v>45750</v>
      </c>
      <c r="E115" s="38">
        <v>45761</v>
      </c>
      <c r="F115" s="2" t="s">
        <v>102</v>
      </c>
      <c r="G115" s="2" t="s">
        <v>26</v>
      </c>
      <c r="H115" s="38">
        <v>34435</v>
      </c>
      <c r="I115" s="2" t="s">
        <v>151</v>
      </c>
      <c r="J115" s="2" t="s">
        <v>152</v>
      </c>
      <c r="K115" s="2" t="s">
        <v>39</v>
      </c>
      <c r="L115" s="2" t="s">
        <v>115</v>
      </c>
      <c r="M115" s="2">
        <v>3</v>
      </c>
      <c r="N115" s="7">
        <v>700</v>
      </c>
      <c r="O115" s="2">
        <v>0</v>
      </c>
      <c r="P115" s="7">
        <v>2100</v>
      </c>
      <c r="Q115" s="2">
        <v>4</v>
      </c>
      <c r="R115" s="2" t="s">
        <v>60</v>
      </c>
      <c r="S115" s="2" t="s">
        <v>50</v>
      </c>
      <c r="T115" s="2" t="s">
        <v>51</v>
      </c>
      <c r="U115" s="2">
        <v>9862165194</v>
      </c>
      <c r="V115" s="2" t="s">
        <v>34</v>
      </c>
    </row>
    <row r="116" spans="1:22" x14ac:dyDescent="0.3">
      <c r="A116" s="2" t="s">
        <v>244</v>
      </c>
      <c r="B116" s="2" t="s">
        <v>105</v>
      </c>
      <c r="C116" s="2" t="s">
        <v>128</v>
      </c>
      <c r="D116" s="38">
        <v>45772</v>
      </c>
      <c r="E116" s="38">
        <v>45776</v>
      </c>
      <c r="F116" s="2" t="s">
        <v>170</v>
      </c>
      <c r="G116" s="2" t="s">
        <v>26</v>
      </c>
      <c r="H116" s="38">
        <v>33728</v>
      </c>
      <c r="I116" s="2" t="s">
        <v>37</v>
      </c>
      <c r="J116" s="2" t="s">
        <v>38</v>
      </c>
      <c r="K116" s="2" t="s">
        <v>84</v>
      </c>
      <c r="L116" s="2" t="s">
        <v>130</v>
      </c>
      <c r="M116" s="2">
        <v>6</v>
      </c>
      <c r="N116" s="7">
        <v>20</v>
      </c>
      <c r="O116" s="2">
        <v>15</v>
      </c>
      <c r="P116" s="7">
        <v>102</v>
      </c>
      <c r="Q116" s="2">
        <v>5</v>
      </c>
      <c r="R116" s="2" t="s">
        <v>60</v>
      </c>
      <c r="S116" s="2" t="s">
        <v>97</v>
      </c>
      <c r="T116" s="2" t="s">
        <v>109</v>
      </c>
      <c r="U116" s="2">
        <v>9661280388</v>
      </c>
      <c r="V116" s="2" t="s">
        <v>34</v>
      </c>
    </row>
    <row r="117" spans="1:22" x14ac:dyDescent="0.3">
      <c r="A117" s="2" t="s">
        <v>245</v>
      </c>
      <c r="B117" s="2" t="s">
        <v>73</v>
      </c>
      <c r="C117" s="2" t="s">
        <v>113</v>
      </c>
      <c r="D117" s="38">
        <v>45893</v>
      </c>
      <c r="E117" s="38">
        <v>45900</v>
      </c>
      <c r="F117" s="2" t="s">
        <v>74</v>
      </c>
      <c r="G117" s="2" t="s">
        <v>26</v>
      </c>
      <c r="H117" s="38">
        <v>29354</v>
      </c>
      <c r="I117" s="2" t="s">
        <v>48</v>
      </c>
      <c r="J117" s="2" t="s">
        <v>28</v>
      </c>
      <c r="K117" s="2" t="s">
        <v>39</v>
      </c>
      <c r="L117" s="2" t="s">
        <v>115</v>
      </c>
      <c r="M117" s="2">
        <v>2</v>
      </c>
      <c r="N117" s="7">
        <v>700</v>
      </c>
      <c r="O117" s="2">
        <v>15</v>
      </c>
      <c r="P117" s="7">
        <v>1190</v>
      </c>
      <c r="Q117" s="2">
        <v>4</v>
      </c>
      <c r="R117" s="2" t="s">
        <v>31</v>
      </c>
      <c r="S117" s="2" t="s">
        <v>97</v>
      </c>
      <c r="T117" s="2" t="s">
        <v>94</v>
      </c>
      <c r="U117" s="2">
        <v>9896985355</v>
      </c>
      <c r="V117" s="2" t="s">
        <v>52</v>
      </c>
    </row>
    <row r="118" spans="1:22" x14ac:dyDescent="0.3">
      <c r="A118" s="2" t="s">
        <v>246</v>
      </c>
      <c r="B118" s="2" t="s">
        <v>160</v>
      </c>
      <c r="C118" s="2" t="s">
        <v>141</v>
      </c>
      <c r="D118" s="38">
        <v>45808</v>
      </c>
      <c r="E118" s="38">
        <v>45819</v>
      </c>
      <c r="F118" s="2" t="s">
        <v>179</v>
      </c>
      <c r="G118" s="2" t="s">
        <v>58</v>
      </c>
      <c r="H118" s="38">
        <v>34949</v>
      </c>
      <c r="I118" s="2" t="s">
        <v>80</v>
      </c>
      <c r="J118" s="2" t="s">
        <v>76</v>
      </c>
      <c r="K118" s="2" t="s">
        <v>84</v>
      </c>
      <c r="L118" s="2" t="s">
        <v>142</v>
      </c>
      <c r="M118" s="2">
        <v>16</v>
      </c>
      <c r="N118" s="7">
        <v>45</v>
      </c>
      <c r="O118" s="2">
        <v>0</v>
      </c>
      <c r="P118" s="7">
        <v>720</v>
      </c>
      <c r="Q118" s="2">
        <v>1</v>
      </c>
      <c r="R118" s="2" t="s">
        <v>41</v>
      </c>
      <c r="S118" s="2" t="s">
        <v>50</v>
      </c>
      <c r="T118" s="2" t="s">
        <v>162</v>
      </c>
      <c r="U118" s="2">
        <v>9807154421</v>
      </c>
      <c r="V118" s="2" t="s">
        <v>34</v>
      </c>
    </row>
    <row r="119" spans="1:22" x14ac:dyDescent="0.3">
      <c r="A119" s="2" t="s">
        <v>247</v>
      </c>
      <c r="B119" s="2" t="s">
        <v>55</v>
      </c>
      <c r="C119" s="2" t="s">
        <v>56</v>
      </c>
      <c r="D119" s="38">
        <v>45807</v>
      </c>
      <c r="E119" s="38">
        <v>45810</v>
      </c>
      <c r="F119" s="2" t="s">
        <v>125</v>
      </c>
      <c r="G119" s="2" t="s">
        <v>58</v>
      </c>
      <c r="H119" s="38">
        <v>32210</v>
      </c>
      <c r="I119" s="2" t="s">
        <v>92</v>
      </c>
      <c r="J119" s="2" t="s">
        <v>76</v>
      </c>
      <c r="K119" s="2" t="s">
        <v>39</v>
      </c>
      <c r="L119" s="2" t="s">
        <v>59</v>
      </c>
      <c r="M119" s="2" t="s">
        <v>248</v>
      </c>
      <c r="N119" s="7">
        <v>1200</v>
      </c>
      <c r="O119" s="2">
        <v>15</v>
      </c>
      <c r="P119" s="7">
        <v>7140</v>
      </c>
      <c r="Q119" s="2">
        <v>4</v>
      </c>
      <c r="R119" s="2" t="s">
        <v>65</v>
      </c>
      <c r="S119" s="2" t="s">
        <v>97</v>
      </c>
      <c r="T119" s="2" t="s">
        <v>61</v>
      </c>
      <c r="U119" s="2">
        <v>9919834000</v>
      </c>
      <c r="V119" s="2" t="s">
        <v>52</v>
      </c>
    </row>
    <row r="120" spans="1:22" x14ac:dyDescent="0.3">
      <c r="A120" s="2" t="s">
        <v>249</v>
      </c>
      <c r="B120" s="2" t="s">
        <v>73</v>
      </c>
      <c r="C120" s="2" t="s">
        <v>36</v>
      </c>
      <c r="D120" s="38">
        <v>45888</v>
      </c>
      <c r="E120" s="38">
        <v>45899</v>
      </c>
      <c r="F120" s="2" t="s">
        <v>74</v>
      </c>
      <c r="G120" s="2" t="s">
        <v>26</v>
      </c>
      <c r="H120" s="38">
        <v>32696</v>
      </c>
      <c r="I120" s="2" t="s">
        <v>123</v>
      </c>
      <c r="J120" s="2" t="s">
        <v>38</v>
      </c>
      <c r="K120" s="2" t="s">
        <v>39</v>
      </c>
      <c r="L120" s="2" t="s">
        <v>40</v>
      </c>
      <c r="M120" s="2">
        <v>14</v>
      </c>
      <c r="N120" s="7">
        <v>12000</v>
      </c>
      <c r="O120" s="2">
        <v>15</v>
      </c>
      <c r="P120" s="7">
        <v>142800</v>
      </c>
      <c r="Q120" s="2">
        <v>2</v>
      </c>
      <c r="R120" s="2" t="s">
        <v>41</v>
      </c>
      <c r="S120" s="2" t="s">
        <v>50</v>
      </c>
      <c r="T120" s="2" t="s">
        <v>94</v>
      </c>
      <c r="U120" s="2">
        <v>9739798818</v>
      </c>
      <c r="V120" s="2" t="s">
        <v>52</v>
      </c>
    </row>
    <row r="121" spans="1:22" x14ac:dyDescent="0.3">
      <c r="A121" s="2" t="s">
        <v>250</v>
      </c>
      <c r="B121" s="2" t="s">
        <v>88</v>
      </c>
      <c r="C121" s="2" t="s">
        <v>106</v>
      </c>
      <c r="D121" s="38">
        <v>46005</v>
      </c>
      <c r="E121" s="38">
        <v>46007</v>
      </c>
      <c r="F121" s="2" t="s">
        <v>119</v>
      </c>
      <c r="G121" s="2" t="s">
        <v>58</v>
      </c>
      <c r="H121" s="38">
        <v>34284</v>
      </c>
      <c r="I121" s="2" t="s">
        <v>80</v>
      </c>
      <c r="J121" s="2" t="s">
        <v>76</v>
      </c>
      <c r="K121" s="2" t="s">
        <v>29</v>
      </c>
      <c r="L121" s="2" t="s">
        <v>108</v>
      </c>
      <c r="M121" s="2">
        <v>8</v>
      </c>
      <c r="N121" s="7">
        <v>8500</v>
      </c>
      <c r="O121" s="2">
        <v>20</v>
      </c>
      <c r="P121" s="7">
        <v>54400</v>
      </c>
      <c r="Q121" s="2">
        <v>3</v>
      </c>
      <c r="R121" s="2" t="s">
        <v>60</v>
      </c>
      <c r="S121" s="2" t="s">
        <v>42</v>
      </c>
      <c r="T121" s="2" t="s">
        <v>90</v>
      </c>
      <c r="U121" s="2">
        <v>9208625306</v>
      </c>
      <c r="V121" s="2" t="s">
        <v>34</v>
      </c>
    </row>
    <row r="122" spans="1:22" x14ac:dyDescent="0.3">
      <c r="A122" s="2" t="s">
        <v>251</v>
      </c>
      <c r="B122" s="2" t="s">
        <v>63</v>
      </c>
      <c r="C122" s="2" t="s">
        <v>141</v>
      </c>
      <c r="D122" s="38">
        <v>46053</v>
      </c>
      <c r="E122" s="38">
        <v>46063</v>
      </c>
      <c r="F122" s="2" t="s">
        <v>111</v>
      </c>
      <c r="G122" s="2" t="s">
        <v>58</v>
      </c>
      <c r="H122" s="38">
        <v>36557</v>
      </c>
      <c r="I122" s="2" t="s">
        <v>48</v>
      </c>
      <c r="J122" s="2" t="s">
        <v>28</v>
      </c>
      <c r="K122" s="2" t="s">
        <v>84</v>
      </c>
      <c r="L122" s="2" t="s">
        <v>142</v>
      </c>
      <c r="M122" s="2">
        <v>3</v>
      </c>
      <c r="N122" s="7">
        <v>45</v>
      </c>
      <c r="O122" s="2">
        <v>0</v>
      </c>
      <c r="P122" s="7">
        <v>135</v>
      </c>
      <c r="Q122" s="2">
        <v>4</v>
      </c>
      <c r="R122" s="2" t="s">
        <v>65</v>
      </c>
      <c r="S122" s="2" t="s">
        <v>50</v>
      </c>
      <c r="T122" s="2" t="s">
        <v>66</v>
      </c>
      <c r="U122" s="2">
        <v>9970178536</v>
      </c>
      <c r="V122" s="2" t="s">
        <v>53</v>
      </c>
    </row>
    <row r="123" spans="1:22" x14ac:dyDescent="0.3">
      <c r="A123" s="2" t="s">
        <v>252</v>
      </c>
      <c r="B123" s="2" t="s">
        <v>160</v>
      </c>
      <c r="C123" s="2" t="s">
        <v>113</v>
      </c>
      <c r="D123" s="38">
        <v>46025</v>
      </c>
      <c r="E123" s="38">
        <v>46026</v>
      </c>
      <c r="F123" s="2" t="s">
        <v>179</v>
      </c>
      <c r="G123" s="2" t="s">
        <v>58</v>
      </c>
      <c r="H123" s="38">
        <v>31585</v>
      </c>
      <c r="I123" s="2" t="s">
        <v>123</v>
      </c>
      <c r="J123" s="2" t="s">
        <v>38</v>
      </c>
      <c r="K123" s="2" t="s">
        <v>39</v>
      </c>
      <c r="L123" s="2" t="s">
        <v>115</v>
      </c>
      <c r="M123" s="2">
        <v>13</v>
      </c>
      <c r="N123" s="7">
        <v>700</v>
      </c>
      <c r="O123" s="2">
        <v>5</v>
      </c>
      <c r="P123" s="7">
        <v>8645</v>
      </c>
      <c r="Q123" s="2">
        <v>3</v>
      </c>
      <c r="R123" s="2" t="s">
        <v>60</v>
      </c>
      <c r="S123" s="2" t="s">
        <v>81</v>
      </c>
      <c r="T123" s="2" t="s">
        <v>162</v>
      </c>
      <c r="U123" s="2">
        <v>9633745195</v>
      </c>
      <c r="V123" s="2" t="s">
        <v>52</v>
      </c>
    </row>
    <row r="124" spans="1:22" x14ac:dyDescent="0.3">
      <c r="A124" s="2" t="s">
        <v>253</v>
      </c>
      <c r="B124" s="2" t="s">
        <v>105</v>
      </c>
      <c r="C124" s="2" t="s">
        <v>56</v>
      </c>
      <c r="D124" s="38">
        <v>45950</v>
      </c>
      <c r="E124" s="38">
        <v>45956</v>
      </c>
      <c r="F124" s="2" t="s">
        <v>170</v>
      </c>
      <c r="G124" s="2" t="s">
        <v>26</v>
      </c>
      <c r="H124" s="38">
        <v>31459</v>
      </c>
      <c r="I124" s="2" t="s">
        <v>75</v>
      </c>
      <c r="J124" s="2" t="s">
        <v>76</v>
      </c>
      <c r="K124" s="2" t="s">
        <v>39</v>
      </c>
      <c r="L124" s="2" t="s">
        <v>59</v>
      </c>
      <c r="M124" s="2">
        <v>14</v>
      </c>
      <c r="N124" s="7">
        <v>1200</v>
      </c>
      <c r="O124" s="2">
        <v>20</v>
      </c>
      <c r="P124" s="7">
        <v>13440</v>
      </c>
      <c r="Q124" s="2">
        <v>5</v>
      </c>
      <c r="R124" s="2" t="s">
        <v>41</v>
      </c>
      <c r="S124" s="2" t="s">
        <v>50</v>
      </c>
      <c r="T124" s="2" t="s">
        <v>109</v>
      </c>
      <c r="U124" s="2">
        <v>9922102053</v>
      </c>
      <c r="V124" s="2" t="s">
        <v>34</v>
      </c>
    </row>
    <row r="125" spans="1:22" x14ac:dyDescent="0.3">
      <c r="A125" s="2" t="s">
        <v>254</v>
      </c>
      <c r="B125" s="2" t="s">
        <v>73</v>
      </c>
      <c r="C125" s="2" t="s">
        <v>141</v>
      </c>
      <c r="D125" s="38">
        <v>45788</v>
      </c>
      <c r="E125" s="38">
        <v>45798</v>
      </c>
      <c r="F125" s="2" t="s">
        <v>74</v>
      </c>
      <c r="G125" s="2" t="s">
        <v>26</v>
      </c>
      <c r="H125" s="38">
        <v>33499</v>
      </c>
      <c r="I125" s="2" t="s">
        <v>37</v>
      </c>
      <c r="J125" s="2" t="s">
        <v>38</v>
      </c>
      <c r="K125" s="2" t="s">
        <v>84</v>
      </c>
      <c r="L125" s="2" t="s">
        <v>142</v>
      </c>
      <c r="M125" s="2">
        <v>2</v>
      </c>
      <c r="N125" s="7">
        <v>45</v>
      </c>
      <c r="O125" s="2">
        <v>5</v>
      </c>
      <c r="P125" s="7">
        <v>85.5</v>
      </c>
      <c r="Q125" s="2">
        <v>3</v>
      </c>
      <c r="R125" s="2" t="s">
        <v>65</v>
      </c>
      <c r="S125" s="2" t="s">
        <v>32</v>
      </c>
      <c r="T125" s="2" t="s">
        <v>94</v>
      </c>
      <c r="U125" s="2">
        <v>9135963930</v>
      </c>
      <c r="V125" s="2" t="s">
        <v>53</v>
      </c>
    </row>
    <row r="126" spans="1:22" x14ac:dyDescent="0.3">
      <c r="A126" s="2" t="s">
        <v>255</v>
      </c>
      <c r="B126" s="2" t="s">
        <v>105</v>
      </c>
      <c r="C126" s="2" t="s">
        <v>56</v>
      </c>
      <c r="D126" s="38">
        <v>46024</v>
      </c>
      <c r="E126" s="38">
        <v>46028</v>
      </c>
      <c r="F126" s="2" t="s">
        <v>170</v>
      </c>
      <c r="G126" s="2" t="s">
        <v>26</v>
      </c>
      <c r="H126" s="38">
        <v>29590</v>
      </c>
      <c r="I126" s="2" t="s">
        <v>48</v>
      </c>
      <c r="J126" s="2" t="s">
        <v>28</v>
      </c>
      <c r="K126" s="2" t="s">
        <v>39</v>
      </c>
      <c r="L126" s="2" t="s">
        <v>59</v>
      </c>
      <c r="M126" s="2">
        <v>2</v>
      </c>
      <c r="N126" s="7">
        <v>1200</v>
      </c>
      <c r="O126" s="2">
        <v>20</v>
      </c>
      <c r="P126" s="7">
        <v>1920</v>
      </c>
      <c r="Q126" s="2">
        <v>3</v>
      </c>
      <c r="R126" s="2" t="s">
        <v>60</v>
      </c>
      <c r="S126" s="2" t="s">
        <v>81</v>
      </c>
      <c r="T126" s="2" t="s">
        <v>109</v>
      </c>
      <c r="U126" s="2">
        <v>9429405275</v>
      </c>
      <c r="V126" s="2" t="s">
        <v>34</v>
      </c>
    </row>
    <row r="127" spans="1:22" x14ac:dyDescent="0.3">
      <c r="A127" s="2" t="s">
        <v>256</v>
      </c>
      <c r="B127" s="2" t="s">
        <v>88</v>
      </c>
      <c r="C127" s="2" t="s">
        <v>46</v>
      </c>
      <c r="D127" s="38">
        <v>46132</v>
      </c>
      <c r="E127" s="38">
        <v>46138</v>
      </c>
      <c r="F127" s="2" t="s">
        <v>119</v>
      </c>
      <c r="G127" s="2" t="s">
        <v>58</v>
      </c>
      <c r="H127" s="38">
        <v>38272</v>
      </c>
      <c r="I127" s="2" t="s">
        <v>48</v>
      </c>
      <c r="J127" s="2" t="s">
        <v>28</v>
      </c>
      <c r="K127" s="2" t="s">
        <v>39</v>
      </c>
      <c r="L127" s="2" t="s">
        <v>49</v>
      </c>
      <c r="M127" s="2">
        <v>10</v>
      </c>
      <c r="N127" s="7">
        <v>55000</v>
      </c>
      <c r="O127" s="2">
        <v>5</v>
      </c>
      <c r="P127" s="7">
        <v>522500</v>
      </c>
      <c r="Q127" s="2">
        <v>5</v>
      </c>
      <c r="R127" s="2" t="s">
        <v>65</v>
      </c>
      <c r="S127" s="2" t="s">
        <v>50</v>
      </c>
      <c r="T127" s="2" t="s">
        <v>90</v>
      </c>
      <c r="U127" s="2">
        <v>9521757571</v>
      </c>
      <c r="V127" s="2" t="s">
        <v>52</v>
      </c>
    </row>
    <row r="128" spans="1:22" x14ac:dyDescent="0.3">
      <c r="A128" s="2" t="s">
        <v>257</v>
      </c>
      <c r="B128" s="2" t="s">
        <v>137</v>
      </c>
      <c r="C128" s="2" t="s">
        <v>68</v>
      </c>
      <c r="D128" s="38">
        <v>45873</v>
      </c>
      <c r="E128" s="38">
        <v>45874</v>
      </c>
      <c r="F128" s="2" t="s">
        <v>138</v>
      </c>
      <c r="G128" s="2" t="s">
        <v>26</v>
      </c>
      <c r="H128" s="38">
        <v>30766</v>
      </c>
      <c r="I128" s="2" t="s">
        <v>123</v>
      </c>
      <c r="J128" s="2" t="s">
        <v>38</v>
      </c>
      <c r="K128" s="2" t="s">
        <v>29</v>
      </c>
      <c r="L128" s="2" t="s">
        <v>71</v>
      </c>
      <c r="M128" s="2">
        <v>15</v>
      </c>
      <c r="N128" s="7">
        <v>3500</v>
      </c>
      <c r="O128" s="2">
        <v>10</v>
      </c>
      <c r="P128" s="7">
        <v>47250</v>
      </c>
      <c r="Q128" s="2">
        <v>3</v>
      </c>
      <c r="R128" s="2" t="s">
        <v>41</v>
      </c>
      <c r="S128" s="2" t="s">
        <v>81</v>
      </c>
      <c r="T128" s="2" t="s">
        <v>139</v>
      </c>
      <c r="U128" s="2">
        <v>9467375455</v>
      </c>
      <c r="V128" s="2" t="s">
        <v>34</v>
      </c>
    </row>
    <row r="129" spans="1:22" x14ac:dyDescent="0.3">
      <c r="A129" s="2" t="s">
        <v>258</v>
      </c>
      <c r="B129" s="2" t="s">
        <v>73</v>
      </c>
      <c r="C129" s="2" t="s">
        <v>24</v>
      </c>
      <c r="D129" s="38">
        <v>45882</v>
      </c>
      <c r="E129" s="38">
        <v>45887</v>
      </c>
      <c r="F129" s="2" t="s">
        <v>74</v>
      </c>
      <c r="G129" s="2" t="s">
        <v>26</v>
      </c>
      <c r="H129" s="38">
        <v>30203</v>
      </c>
      <c r="I129" s="2" t="s">
        <v>48</v>
      </c>
      <c r="J129" s="2" t="s">
        <v>28</v>
      </c>
      <c r="K129" s="2" t="s">
        <v>29</v>
      </c>
      <c r="L129" s="2" t="s">
        <v>30</v>
      </c>
      <c r="M129" s="2">
        <v>10</v>
      </c>
      <c r="N129" s="7">
        <v>2200</v>
      </c>
      <c r="O129" s="2">
        <v>15</v>
      </c>
      <c r="P129" s="7">
        <v>18700</v>
      </c>
      <c r="Q129" s="2">
        <v>4</v>
      </c>
      <c r="R129" s="2" t="s">
        <v>60</v>
      </c>
      <c r="S129" s="2" t="s">
        <v>42</v>
      </c>
      <c r="T129" s="2" t="s">
        <v>94</v>
      </c>
      <c r="U129" s="2">
        <v>9838809695</v>
      </c>
      <c r="V129" s="2" t="s">
        <v>52</v>
      </c>
    </row>
    <row r="130" spans="1:22" x14ac:dyDescent="0.3">
      <c r="A130" s="2" t="s">
        <v>259</v>
      </c>
      <c r="B130" s="2" t="s">
        <v>137</v>
      </c>
      <c r="C130" s="2" t="s">
        <v>68</v>
      </c>
      <c r="D130" s="38">
        <v>45824</v>
      </c>
      <c r="E130" s="38">
        <v>45832</v>
      </c>
      <c r="F130" s="2" t="s">
        <v>138</v>
      </c>
      <c r="G130" s="2" t="s">
        <v>26</v>
      </c>
      <c r="H130" s="38">
        <v>34015</v>
      </c>
      <c r="I130" s="2" t="s">
        <v>80</v>
      </c>
      <c r="J130" s="2" t="s">
        <v>76</v>
      </c>
      <c r="K130" s="2" t="s">
        <v>29</v>
      </c>
      <c r="L130" s="2" t="s">
        <v>71</v>
      </c>
      <c r="M130" s="2">
        <v>11</v>
      </c>
      <c r="N130" s="7">
        <v>3500</v>
      </c>
      <c r="O130" s="2">
        <v>5</v>
      </c>
      <c r="P130" s="7">
        <v>36575</v>
      </c>
      <c r="Q130" s="2">
        <v>5</v>
      </c>
      <c r="R130" s="2" t="s">
        <v>31</v>
      </c>
      <c r="S130" s="2" t="s">
        <v>32</v>
      </c>
      <c r="T130" s="2" t="s">
        <v>139</v>
      </c>
      <c r="U130" s="2">
        <v>9296609782</v>
      </c>
      <c r="V130" s="2" t="s">
        <v>53</v>
      </c>
    </row>
    <row r="131" spans="1:22" x14ac:dyDescent="0.3">
      <c r="A131" s="2" t="s">
        <v>260</v>
      </c>
      <c r="B131" s="2" t="s">
        <v>105</v>
      </c>
      <c r="C131" s="2" t="s">
        <v>56</v>
      </c>
      <c r="D131" s="38">
        <v>46139</v>
      </c>
      <c r="E131" s="38">
        <v>46142</v>
      </c>
      <c r="F131" s="2" t="s">
        <v>170</v>
      </c>
      <c r="G131" s="2" t="s">
        <v>26</v>
      </c>
      <c r="H131" s="38">
        <v>37719</v>
      </c>
      <c r="I131" s="2" t="s">
        <v>48</v>
      </c>
      <c r="J131" s="2" t="s">
        <v>28</v>
      </c>
      <c r="K131" s="2" t="s">
        <v>39</v>
      </c>
      <c r="L131" s="2" t="s">
        <v>59</v>
      </c>
      <c r="M131" s="2">
        <v>14</v>
      </c>
      <c r="N131" s="7">
        <v>1200</v>
      </c>
      <c r="O131" s="2">
        <v>0</v>
      </c>
      <c r="P131" s="7">
        <v>16800</v>
      </c>
      <c r="Q131" s="2">
        <v>5</v>
      </c>
      <c r="R131" s="2" t="s">
        <v>31</v>
      </c>
      <c r="S131" s="2" t="s">
        <v>42</v>
      </c>
      <c r="T131" s="2" t="s">
        <v>109</v>
      </c>
      <c r="U131" s="2">
        <v>9848259992</v>
      </c>
      <c r="V131" s="2" t="s">
        <v>53</v>
      </c>
    </row>
    <row r="132" spans="1:22" x14ac:dyDescent="0.3">
      <c r="A132" s="2" t="s">
        <v>261</v>
      </c>
      <c r="B132" s="2" t="s">
        <v>73</v>
      </c>
      <c r="C132" s="2" t="s">
        <v>128</v>
      </c>
      <c r="D132" s="38">
        <v>46070</v>
      </c>
      <c r="E132" s="38">
        <v>46075</v>
      </c>
      <c r="F132" s="2" t="s">
        <v>74</v>
      </c>
      <c r="G132" s="2" t="s">
        <v>26</v>
      </c>
      <c r="H132" s="38">
        <v>32801</v>
      </c>
      <c r="I132" s="2" t="s">
        <v>37</v>
      </c>
      <c r="J132" s="2" t="s">
        <v>38</v>
      </c>
      <c r="K132" s="2" t="s">
        <v>84</v>
      </c>
      <c r="L132" s="2" t="s">
        <v>130</v>
      </c>
      <c r="M132" s="2">
        <v>11</v>
      </c>
      <c r="N132" s="7">
        <v>20</v>
      </c>
      <c r="O132" s="2">
        <v>20</v>
      </c>
      <c r="P132" s="7">
        <v>176</v>
      </c>
      <c r="Q132" s="2">
        <v>4</v>
      </c>
      <c r="R132" s="2" t="s">
        <v>41</v>
      </c>
      <c r="S132" s="2" t="s">
        <v>32</v>
      </c>
      <c r="T132" s="2" t="s">
        <v>94</v>
      </c>
      <c r="U132" s="2">
        <v>9254082295</v>
      </c>
      <c r="V132" s="2" t="s">
        <v>34</v>
      </c>
    </row>
    <row r="133" spans="1:22" x14ac:dyDescent="0.3">
      <c r="A133" s="2" t="s">
        <v>262</v>
      </c>
      <c r="B133" s="2" t="s">
        <v>55</v>
      </c>
      <c r="C133" s="2" t="s">
        <v>36</v>
      </c>
      <c r="D133" s="38">
        <v>46116</v>
      </c>
      <c r="E133" s="38">
        <v>46122</v>
      </c>
      <c r="F133" s="2" t="s">
        <v>125</v>
      </c>
      <c r="G133" s="2" t="s">
        <v>58</v>
      </c>
      <c r="H133" s="38">
        <v>34957</v>
      </c>
      <c r="I133" s="2" t="s">
        <v>80</v>
      </c>
      <c r="J133" s="2" t="s">
        <v>76</v>
      </c>
      <c r="K133" s="2" t="s">
        <v>39</v>
      </c>
      <c r="L133" s="2" t="s">
        <v>40</v>
      </c>
      <c r="M133" s="2">
        <v>6</v>
      </c>
      <c r="N133" s="7">
        <v>12000</v>
      </c>
      <c r="O133" s="2">
        <v>10</v>
      </c>
      <c r="P133" s="7">
        <v>64800</v>
      </c>
      <c r="Q133" s="2">
        <v>5</v>
      </c>
      <c r="R133" s="2" t="s">
        <v>65</v>
      </c>
      <c r="S133" s="2" t="s">
        <v>97</v>
      </c>
      <c r="T133" s="2" t="s">
        <v>61</v>
      </c>
      <c r="U133" s="2">
        <v>9687923860</v>
      </c>
      <c r="V133" s="2" t="s">
        <v>34</v>
      </c>
    </row>
    <row r="134" spans="1:22" x14ac:dyDescent="0.3">
      <c r="A134" s="2" t="s">
        <v>263</v>
      </c>
      <c r="B134" s="2" t="s">
        <v>55</v>
      </c>
      <c r="C134" s="2" t="s">
        <v>24</v>
      </c>
      <c r="D134" s="38">
        <v>45756</v>
      </c>
      <c r="E134" s="38">
        <v>45765</v>
      </c>
      <c r="F134" s="2" t="s">
        <v>125</v>
      </c>
      <c r="G134" s="2" t="s">
        <v>58</v>
      </c>
      <c r="H134" s="38">
        <v>34431</v>
      </c>
      <c r="I134" s="2" t="s">
        <v>27</v>
      </c>
      <c r="J134" s="2" t="s">
        <v>28</v>
      </c>
      <c r="K134" s="2" t="s">
        <v>29</v>
      </c>
      <c r="L134" s="2" t="s">
        <v>30</v>
      </c>
      <c r="M134" s="2">
        <v>6</v>
      </c>
      <c r="N134" s="7">
        <v>2200</v>
      </c>
      <c r="O134" s="2">
        <v>5</v>
      </c>
      <c r="P134" s="7">
        <v>12540</v>
      </c>
      <c r="Q134" s="2">
        <v>4</v>
      </c>
      <c r="R134" s="2" t="s">
        <v>31</v>
      </c>
      <c r="S134" s="2" t="s">
        <v>42</v>
      </c>
      <c r="T134" s="2" t="s">
        <v>61</v>
      </c>
      <c r="U134" s="2">
        <v>9426459149</v>
      </c>
      <c r="V134" s="2" t="s">
        <v>34</v>
      </c>
    </row>
    <row r="135" spans="1:22" x14ac:dyDescent="0.3">
      <c r="A135" s="2" t="s">
        <v>264</v>
      </c>
      <c r="B135" s="2" t="s">
        <v>45</v>
      </c>
      <c r="C135" s="2" t="s">
        <v>68</v>
      </c>
      <c r="D135" s="38">
        <v>45823</v>
      </c>
      <c r="E135" s="38">
        <v>45835</v>
      </c>
      <c r="F135" s="2" t="s">
        <v>102</v>
      </c>
      <c r="G135" s="2" t="s">
        <v>26</v>
      </c>
      <c r="H135" s="38">
        <v>37896</v>
      </c>
      <c r="I135" s="2" t="s">
        <v>37</v>
      </c>
      <c r="J135" s="2" t="s">
        <v>38</v>
      </c>
      <c r="K135" s="2" t="s">
        <v>29</v>
      </c>
      <c r="L135" s="2" t="s">
        <v>71</v>
      </c>
      <c r="M135" s="2">
        <v>3</v>
      </c>
      <c r="N135" s="7">
        <v>3500</v>
      </c>
      <c r="O135" s="2">
        <v>5</v>
      </c>
      <c r="P135" s="7">
        <v>9975</v>
      </c>
      <c r="Q135" s="2">
        <v>4</v>
      </c>
      <c r="R135" s="2" t="s">
        <v>41</v>
      </c>
      <c r="S135" s="2" t="s">
        <v>42</v>
      </c>
      <c r="T135" s="2" t="s">
        <v>51</v>
      </c>
      <c r="U135" s="2">
        <v>9155925975</v>
      </c>
      <c r="V135" s="2" t="s">
        <v>52</v>
      </c>
    </row>
    <row r="136" spans="1:22" x14ac:dyDescent="0.3">
      <c r="A136" s="2" t="s">
        <v>265</v>
      </c>
      <c r="B136" s="2" t="s">
        <v>55</v>
      </c>
      <c r="C136" s="2" t="s">
        <v>106</v>
      </c>
      <c r="D136" s="38">
        <v>45816</v>
      </c>
      <c r="E136" s="38">
        <v>45818</v>
      </c>
      <c r="F136" s="2" t="s">
        <v>125</v>
      </c>
      <c r="G136" s="2" t="s">
        <v>58</v>
      </c>
      <c r="H136" s="38">
        <v>35625</v>
      </c>
      <c r="I136" s="2" t="s">
        <v>27</v>
      </c>
      <c r="J136" s="2" t="s">
        <v>28</v>
      </c>
      <c r="K136" s="2" t="s">
        <v>29</v>
      </c>
      <c r="L136" s="2" t="s">
        <v>108</v>
      </c>
      <c r="M136" s="2">
        <v>5</v>
      </c>
      <c r="N136" s="7">
        <v>8500</v>
      </c>
      <c r="O136" s="2">
        <v>20</v>
      </c>
      <c r="P136" s="7">
        <v>34000</v>
      </c>
      <c r="Q136" s="2">
        <v>5</v>
      </c>
      <c r="R136" s="2" t="s">
        <v>31</v>
      </c>
      <c r="S136" s="2" t="s">
        <v>50</v>
      </c>
      <c r="T136" s="2" t="s">
        <v>61</v>
      </c>
      <c r="U136" s="2">
        <v>9945247701</v>
      </c>
      <c r="V136" s="2" t="s">
        <v>52</v>
      </c>
    </row>
    <row r="137" spans="1:22" x14ac:dyDescent="0.3">
      <c r="A137" s="2" t="s">
        <v>266</v>
      </c>
      <c r="B137" s="2" t="s">
        <v>23</v>
      </c>
      <c r="C137" s="2" t="s">
        <v>68</v>
      </c>
      <c r="D137" s="38">
        <v>45863</v>
      </c>
      <c r="E137" s="38">
        <v>45870</v>
      </c>
      <c r="F137" s="2" t="s">
        <v>25</v>
      </c>
      <c r="G137" s="2" t="s">
        <v>26</v>
      </c>
      <c r="H137" s="38">
        <v>29076</v>
      </c>
      <c r="I137" s="2" t="s">
        <v>48</v>
      </c>
      <c r="J137" s="2" t="s">
        <v>28</v>
      </c>
      <c r="K137" s="2" t="s">
        <v>29</v>
      </c>
      <c r="L137" s="2" t="s">
        <v>71</v>
      </c>
      <c r="M137" s="2">
        <v>14</v>
      </c>
      <c r="N137" s="7">
        <v>3500</v>
      </c>
      <c r="O137" s="2">
        <v>10</v>
      </c>
      <c r="P137" s="7">
        <v>44100</v>
      </c>
      <c r="Q137" s="2">
        <v>4</v>
      </c>
      <c r="R137" s="2" t="s">
        <v>65</v>
      </c>
      <c r="S137" s="2" t="s">
        <v>32</v>
      </c>
      <c r="T137" s="2" t="s">
        <v>43</v>
      </c>
      <c r="U137" s="2">
        <v>9597378398</v>
      </c>
      <c r="V137" s="2" t="s">
        <v>53</v>
      </c>
    </row>
    <row r="138" spans="1:22" x14ac:dyDescent="0.3">
      <c r="A138" s="2" t="s">
        <v>267</v>
      </c>
      <c r="B138" s="2" t="s">
        <v>160</v>
      </c>
      <c r="C138" s="2" t="s">
        <v>141</v>
      </c>
      <c r="D138" s="38">
        <v>45673</v>
      </c>
      <c r="E138" s="38">
        <v>45678</v>
      </c>
      <c r="F138" s="2" t="s">
        <v>179</v>
      </c>
      <c r="G138" s="2" t="s">
        <v>58</v>
      </c>
      <c r="H138" s="38">
        <v>37549</v>
      </c>
      <c r="I138" s="2" t="s">
        <v>92</v>
      </c>
      <c r="J138" s="2" t="s">
        <v>76</v>
      </c>
      <c r="K138" s="2" t="s">
        <v>84</v>
      </c>
      <c r="L138" s="2" t="s">
        <v>142</v>
      </c>
      <c r="M138" s="2">
        <v>8</v>
      </c>
      <c r="N138" s="7">
        <v>45</v>
      </c>
      <c r="O138" s="2">
        <v>0</v>
      </c>
      <c r="P138" s="7">
        <v>360</v>
      </c>
      <c r="Q138" s="2">
        <v>1</v>
      </c>
      <c r="R138" s="2" t="s">
        <v>60</v>
      </c>
      <c r="S138" s="2" t="s">
        <v>97</v>
      </c>
      <c r="T138" s="2" t="s">
        <v>162</v>
      </c>
      <c r="U138" s="2">
        <v>9343963736</v>
      </c>
      <c r="V138" s="2" t="s">
        <v>53</v>
      </c>
    </row>
    <row r="139" spans="1:22" x14ac:dyDescent="0.3">
      <c r="A139" s="2" t="s">
        <v>268</v>
      </c>
      <c r="B139" s="2" t="s">
        <v>127</v>
      </c>
      <c r="C139" s="2" t="s">
        <v>141</v>
      </c>
      <c r="D139" s="38">
        <v>45692</v>
      </c>
      <c r="E139" s="38">
        <v>45693</v>
      </c>
      <c r="F139" s="2" t="s">
        <v>129</v>
      </c>
      <c r="G139" s="2" t="s">
        <v>58</v>
      </c>
      <c r="H139" s="38">
        <v>31252</v>
      </c>
      <c r="I139" s="2" t="s">
        <v>37</v>
      </c>
      <c r="J139" s="2" t="s">
        <v>38</v>
      </c>
      <c r="K139" s="2" t="s">
        <v>84</v>
      </c>
      <c r="L139" s="2" t="s">
        <v>142</v>
      </c>
      <c r="M139" s="2">
        <v>11</v>
      </c>
      <c r="N139" s="7">
        <v>45</v>
      </c>
      <c r="O139" s="2">
        <v>5</v>
      </c>
      <c r="P139" s="7">
        <v>470.25</v>
      </c>
      <c r="Q139" s="2">
        <v>3</v>
      </c>
      <c r="R139" s="2" t="s">
        <v>60</v>
      </c>
      <c r="S139" s="2" t="s">
        <v>42</v>
      </c>
      <c r="T139" s="2" t="s">
        <v>131</v>
      </c>
      <c r="U139" s="2">
        <v>9548742147</v>
      </c>
      <c r="V139" s="2" t="s">
        <v>34</v>
      </c>
    </row>
    <row r="140" spans="1:22" x14ac:dyDescent="0.3">
      <c r="A140" s="2" t="s">
        <v>269</v>
      </c>
      <c r="B140" s="2" t="s">
        <v>63</v>
      </c>
      <c r="C140" s="2" t="s">
        <v>46</v>
      </c>
      <c r="D140" s="38">
        <v>45679</v>
      </c>
      <c r="E140" s="38">
        <v>45687</v>
      </c>
      <c r="F140" s="2" t="s">
        <v>111</v>
      </c>
      <c r="G140" s="2" t="s">
        <v>58</v>
      </c>
      <c r="H140" s="38">
        <v>32378</v>
      </c>
      <c r="I140" s="2" t="s">
        <v>92</v>
      </c>
      <c r="J140" s="2" t="s">
        <v>76</v>
      </c>
      <c r="K140" s="2" t="s">
        <v>39</v>
      </c>
      <c r="L140" s="2" t="s">
        <v>49</v>
      </c>
      <c r="M140" s="2">
        <v>19</v>
      </c>
      <c r="N140" s="7">
        <v>55000</v>
      </c>
      <c r="O140" s="2">
        <v>0</v>
      </c>
      <c r="P140" s="7">
        <v>1045000</v>
      </c>
      <c r="Q140" s="2">
        <v>2</v>
      </c>
      <c r="R140" s="2" t="s">
        <v>60</v>
      </c>
      <c r="S140" s="2" t="s">
        <v>32</v>
      </c>
      <c r="T140" s="2" t="s">
        <v>66</v>
      </c>
      <c r="U140" s="2">
        <v>9912945471</v>
      </c>
      <c r="V140" s="2" t="s">
        <v>53</v>
      </c>
    </row>
    <row r="141" spans="1:22" x14ac:dyDescent="0.3">
      <c r="A141" s="2" t="s">
        <v>270</v>
      </c>
      <c r="B141" s="2" t="s">
        <v>45</v>
      </c>
      <c r="C141" s="2" t="s">
        <v>68</v>
      </c>
      <c r="D141" s="38">
        <v>45758</v>
      </c>
      <c r="E141" s="38">
        <v>45765</v>
      </c>
      <c r="F141" s="2" t="s">
        <v>102</v>
      </c>
      <c r="G141" s="2" t="s">
        <v>26</v>
      </c>
      <c r="H141" s="38">
        <v>28864</v>
      </c>
      <c r="I141" s="2" t="s">
        <v>80</v>
      </c>
      <c r="J141" s="2" t="s">
        <v>76</v>
      </c>
      <c r="K141" s="2" t="s">
        <v>29</v>
      </c>
      <c r="L141" s="2" t="s">
        <v>71</v>
      </c>
      <c r="M141" s="2">
        <v>20</v>
      </c>
      <c r="N141" s="7">
        <v>3500</v>
      </c>
      <c r="O141" s="2">
        <v>20</v>
      </c>
      <c r="P141" s="7">
        <v>56000</v>
      </c>
      <c r="Q141" s="2">
        <v>4</v>
      </c>
      <c r="R141" s="2" t="s">
        <v>41</v>
      </c>
      <c r="S141" s="2" t="s">
        <v>42</v>
      </c>
      <c r="T141" s="2" t="s">
        <v>51</v>
      </c>
      <c r="U141" s="2">
        <v>9912630684</v>
      </c>
      <c r="V141" s="2" t="s">
        <v>34</v>
      </c>
    </row>
    <row r="142" spans="1:22" x14ac:dyDescent="0.3">
      <c r="A142" s="2" t="s">
        <v>271</v>
      </c>
      <c r="B142" s="2" t="s">
        <v>63</v>
      </c>
      <c r="C142" s="2" t="s">
        <v>24</v>
      </c>
      <c r="D142" s="38">
        <v>45842</v>
      </c>
      <c r="E142" s="38">
        <v>45852</v>
      </c>
      <c r="F142" s="2" t="s">
        <v>111</v>
      </c>
      <c r="G142" s="2" t="s">
        <v>58</v>
      </c>
      <c r="H142" s="38">
        <v>31649</v>
      </c>
      <c r="I142" s="2" t="s">
        <v>80</v>
      </c>
      <c r="J142" s="2" t="s">
        <v>76</v>
      </c>
      <c r="K142" s="2" t="s">
        <v>29</v>
      </c>
      <c r="L142" s="2" t="s">
        <v>30</v>
      </c>
      <c r="M142" s="2">
        <v>17</v>
      </c>
      <c r="N142" s="7">
        <v>2200</v>
      </c>
      <c r="O142" s="2">
        <v>0</v>
      </c>
      <c r="P142" s="7">
        <v>37400</v>
      </c>
      <c r="Q142" s="2">
        <v>5</v>
      </c>
      <c r="R142" s="2" t="s">
        <v>41</v>
      </c>
      <c r="S142" s="2" t="s">
        <v>32</v>
      </c>
      <c r="T142" s="2" t="s">
        <v>66</v>
      </c>
      <c r="U142" s="2">
        <v>9114017237</v>
      </c>
      <c r="V142" s="2" t="s">
        <v>52</v>
      </c>
    </row>
    <row r="143" spans="1:22" x14ac:dyDescent="0.3">
      <c r="A143" s="2" t="s">
        <v>272</v>
      </c>
      <c r="B143" s="2" t="s">
        <v>63</v>
      </c>
      <c r="C143" s="2" t="s">
        <v>56</v>
      </c>
      <c r="D143" s="38">
        <v>45679</v>
      </c>
      <c r="E143" s="38">
        <v>45686</v>
      </c>
      <c r="F143" s="2" t="s">
        <v>111</v>
      </c>
      <c r="G143" s="2" t="s">
        <v>58</v>
      </c>
      <c r="H143" s="38">
        <v>28216</v>
      </c>
      <c r="I143" s="2" t="s">
        <v>80</v>
      </c>
      <c r="J143" s="2" t="s">
        <v>76</v>
      </c>
      <c r="K143" s="2" t="s">
        <v>39</v>
      </c>
      <c r="L143" s="2" t="s">
        <v>59</v>
      </c>
      <c r="M143" s="2">
        <v>10</v>
      </c>
      <c r="N143" s="7">
        <v>1200</v>
      </c>
      <c r="O143" s="2">
        <v>5</v>
      </c>
      <c r="P143" s="7">
        <v>11400</v>
      </c>
      <c r="Q143" s="2">
        <v>2</v>
      </c>
      <c r="R143" s="2" t="s">
        <v>31</v>
      </c>
      <c r="S143" s="2" t="s">
        <v>42</v>
      </c>
      <c r="T143" s="2" t="s">
        <v>66</v>
      </c>
      <c r="U143" s="2">
        <v>9872471236</v>
      </c>
      <c r="V143" s="2" t="s">
        <v>53</v>
      </c>
    </row>
    <row r="144" spans="1:22" x14ac:dyDescent="0.3">
      <c r="A144" s="2" t="s">
        <v>273</v>
      </c>
      <c r="B144" s="2" t="s">
        <v>127</v>
      </c>
      <c r="C144" s="2" t="s">
        <v>83</v>
      </c>
      <c r="D144" s="38">
        <v>46008</v>
      </c>
      <c r="E144" s="38">
        <v>46009</v>
      </c>
      <c r="F144" s="2" t="s">
        <v>129</v>
      </c>
      <c r="G144" s="2" t="s">
        <v>58</v>
      </c>
      <c r="H144" s="38">
        <v>30532</v>
      </c>
      <c r="I144" s="2" t="s">
        <v>27</v>
      </c>
      <c r="J144" s="2" t="s">
        <v>28</v>
      </c>
      <c r="K144" s="2" t="s">
        <v>84</v>
      </c>
      <c r="L144" s="2" t="s">
        <v>85</v>
      </c>
      <c r="M144" s="2">
        <v>3</v>
      </c>
      <c r="N144" s="7">
        <v>60</v>
      </c>
      <c r="O144" s="2">
        <v>0</v>
      </c>
      <c r="P144" s="7">
        <v>180</v>
      </c>
      <c r="Q144" s="2">
        <v>4</v>
      </c>
      <c r="R144" s="2" t="s">
        <v>41</v>
      </c>
      <c r="S144" s="2" t="s">
        <v>97</v>
      </c>
      <c r="T144" s="2" t="s">
        <v>131</v>
      </c>
      <c r="U144" s="2">
        <v>9461383824</v>
      </c>
      <c r="V144" s="2" t="s">
        <v>34</v>
      </c>
    </row>
    <row r="145" spans="1:22" x14ac:dyDescent="0.3">
      <c r="A145" s="2" t="s">
        <v>274</v>
      </c>
      <c r="B145" s="2" t="s">
        <v>45</v>
      </c>
      <c r="C145" s="2" t="s">
        <v>24</v>
      </c>
      <c r="D145" s="38">
        <v>45940</v>
      </c>
      <c r="E145" s="38">
        <v>45951</v>
      </c>
      <c r="F145" s="2" t="s">
        <v>102</v>
      </c>
      <c r="G145" s="2" t="s">
        <v>26</v>
      </c>
      <c r="H145" s="38">
        <v>28587</v>
      </c>
      <c r="I145" s="2" t="s">
        <v>75</v>
      </c>
      <c r="J145" s="2" t="s">
        <v>76</v>
      </c>
      <c r="K145" s="2" t="s">
        <v>29</v>
      </c>
      <c r="L145" s="2" t="s">
        <v>30</v>
      </c>
      <c r="M145" s="2">
        <v>18</v>
      </c>
      <c r="N145" s="7">
        <v>2200</v>
      </c>
      <c r="O145" s="2">
        <v>10</v>
      </c>
      <c r="P145" s="7">
        <v>35640</v>
      </c>
      <c r="Q145" s="2">
        <v>1</v>
      </c>
      <c r="R145" s="2" t="s">
        <v>60</v>
      </c>
      <c r="S145" s="2" t="s">
        <v>97</v>
      </c>
      <c r="T145" s="2" t="s">
        <v>51</v>
      </c>
      <c r="U145" s="2">
        <v>9243407457</v>
      </c>
      <c r="V145" s="2" t="s">
        <v>53</v>
      </c>
    </row>
    <row r="146" spans="1:22" x14ac:dyDescent="0.3">
      <c r="A146" s="2" t="s">
        <v>275</v>
      </c>
      <c r="B146" s="2" t="s">
        <v>55</v>
      </c>
      <c r="C146" s="2" t="s">
        <v>83</v>
      </c>
      <c r="D146" s="38">
        <v>46088</v>
      </c>
      <c r="E146" s="38">
        <v>46091</v>
      </c>
      <c r="F146" s="2" t="s">
        <v>125</v>
      </c>
      <c r="G146" s="2" t="s">
        <v>58</v>
      </c>
      <c r="H146" s="38">
        <v>30379</v>
      </c>
      <c r="I146" s="2" t="s">
        <v>37</v>
      </c>
      <c r="J146" s="2" t="s">
        <v>38</v>
      </c>
      <c r="K146" s="2" t="s">
        <v>84</v>
      </c>
      <c r="L146" s="2" t="s">
        <v>85</v>
      </c>
      <c r="M146" s="2">
        <v>18</v>
      </c>
      <c r="N146" s="7">
        <v>60</v>
      </c>
      <c r="O146" s="2">
        <v>5</v>
      </c>
      <c r="P146" s="7">
        <v>1026</v>
      </c>
      <c r="Q146" s="2">
        <v>3</v>
      </c>
      <c r="R146" s="2" t="s">
        <v>60</v>
      </c>
      <c r="S146" s="2" t="s">
        <v>42</v>
      </c>
      <c r="T146" s="2" t="s">
        <v>61</v>
      </c>
      <c r="U146" s="2">
        <v>9418672379</v>
      </c>
      <c r="V146" s="2" t="s">
        <v>52</v>
      </c>
    </row>
    <row r="147" spans="1:22" x14ac:dyDescent="0.3">
      <c r="A147" s="2" t="s">
        <v>276</v>
      </c>
      <c r="B147" s="2" t="s">
        <v>88</v>
      </c>
      <c r="C147" s="2" t="s">
        <v>46</v>
      </c>
      <c r="D147" s="38">
        <v>45885</v>
      </c>
      <c r="E147" s="38">
        <v>45892</v>
      </c>
      <c r="F147" s="2" t="s">
        <v>119</v>
      </c>
      <c r="G147" s="2" t="s">
        <v>58</v>
      </c>
      <c r="H147" s="38">
        <v>32077</v>
      </c>
      <c r="I147" s="2" t="s">
        <v>80</v>
      </c>
      <c r="J147" s="2" t="s">
        <v>76</v>
      </c>
      <c r="K147" s="2" t="s">
        <v>39</v>
      </c>
      <c r="L147" s="2" t="s">
        <v>49</v>
      </c>
      <c r="M147" s="2">
        <v>11</v>
      </c>
      <c r="N147" s="7">
        <v>55000</v>
      </c>
      <c r="O147" s="2">
        <v>15</v>
      </c>
      <c r="P147" s="7">
        <v>514250</v>
      </c>
      <c r="Q147" s="2">
        <v>4</v>
      </c>
      <c r="R147" s="2" t="s">
        <v>65</v>
      </c>
      <c r="S147" s="2" t="s">
        <v>81</v>
      </c>
      <c r="T147" s="2" t="s">
        <v>90</v>
      </c>
      <c r="U147" s="2">
        <v>9222733065</v>
      </c>
      <c r="V147" s="2" t="s">
        <v>53</v>
      </c>
    </row>
    <row r="148" spans="1:22" x14ac:dyDescent="0.3">
      <c r="A148" s="2" t="s">
        <v>277</v>
      </c>
      <c r="B148" s="2" t="s">
        <v>137</v>
      </c>
      <c r="C148" s="2" t="s">
        <v>106</v>
      </c>
      <c r="D148" s="38">
        <v>46014</v>
      </c>
      <c r="E148" s="38">
        <v>46025</v>
      </c>
      <c r="F148" s="2" t="s">
        <v>138</v>
      </c>
      <c r="G148" s="2" t="s">
        <v>26</v>
      </c>
      <c r="H148" s="38">
        <v>37730</v>
      </c>
      <c r="I148" s="2" t="s">
        <v>151</v>
      </c>
      <c r="J148" s="2" t="s">
        <v>152</v>
      </c>
      <c r="K148" s="2" t="s">
        <v>29</v>
      </c>
      <c r="L148" s="2" t="s">
        <v>108</v>
      </c>
      <c r="M148" s="2">
        <v>5</v>
      </c>
      <c r="N148" s="7">
        <v>8500</v>
      </c>
      <c r="O148" s="2">
        <v>5</v>
      </c>
      <c r="P148" s="7">
        <v>40375</v>
      </c>
      <c r="Q148" s="2">
        <v>4</v>
      </c>
      <c r="R148" s="2" t="s">
        <v>31</v>
      </c>
      <c r="S148" s="2" t="s">
        <v>97</v>
      </c>
      <c r="T148" s="2" t="s">
        <v>139</v>
      </c>
      <c r="U148" s="2">
        <v>9684246902</v>
      </c>
      <c r="V148" s="2" t="s">
        <v>34</v>
      </c>
    </row>
    <row r="149" spans="1:22" x14ac:dyDescent="0.3">
      <c r="A149" s="2" t="s">
        <v>278</v>
      </c>
      <c r="B149" s="2" t="s">
        <v>88</v>
      </c>
      <c r="C149" s="2" t="s">
        <v>113</v>
      </c>
      <c r="D149" s="38">
        <v>45845</v>
      </c>
      <c r="E149" s="38">
        <v>45851</v>
      </c>
      <c r="F149" s="2" t="s">
        <v>119</v>
      </c>
      <c r="G149" s="2" t="s">
        <v>58</v>
      </c>
      <c r="H149" s="38">
        <v>27580</v>
      </c>
      <c r="I149" s="2" t="s">
        <v>80</v>
      </c>
      <c r="J149" s="2" t="s">
        <v>76</v>
      </c>
      <c r="K149" s="2" t="s">
        <v>39</v>
      </c>
      <c r="L149" s="2" t="s">
        <v>115</v>
      </c>
      <c r="M149" s="2">
        <v>6</v>
      </c>
      <c r="N149" s="7">
        <v>700</v>
      </c>
      <c r="O149" s="2">
        <v>10</v>
      </c>
      <c r="P149" s="7">
        <v>3780</v>
      </c>
      <c r="Q149" s="2">
        <v>4</v>
      </c>
      <c r="R149" s="2" t="s">
        <v>31</v>
      </c>
      <c r="S149" s="2" t="s">
        <v>42</v>
      </c>
      <c r="T149" s="2" t="s">
        <v>90</v>
      </c>
      <c r="U149" s="2">
        <v>9110269572</v>
      </c>
      <c r="V149" s="2" t="s">
        <v>53</v>
      </c>
    </row>
    <row r="150" spans="1:22" x14ac:dyDescent="0.3">
      <c r="A150" s="2" t="s">
        <v>279</v>
      </c>
      <c r="B150" s="2" t="s">
        <v>45</v>
      </c>
      <c r="C150" s="2" t="s">
        <v>68</v>
      </c>
      <c r="D150" s="38">
        <v>46145</v>
      </c>
      <c r="E150" s="38">
        <v>46157</v>
      </c>
      <c r="F150" s="2" t="s">
        <v>102</v>
      </c>
      <c r="G150" s="2" t="s">
        <v>26</v>
      </c>
      <c r="H150" s="38">
        <v>33668</v>
      </c>
      <c r="I150" s="2" t="s">
        <v>37</v>
      </c>
      <c r="J150" s="2" t="s">
        <v>38</v>
      </c>
      <c r="K150" s="2" t="s">
        <v>29</v>
      </c>
      <c r="L150" s="2" t="s">
        <v>71</v>
      </c>
      <c r="M150" s="2">
        <v>20</v>
      </c>
      <c r="N150" s="7">
        <v>3500</v>
      </c>
      <c r="O150" s="2">
        <v>10</v>
      </c>
      <c r="P150" s="7">
        <v>63000</v>
      </c>
      <c r="Q150" s="2">
        <v>4</v>
      </c>
      <c r="R150" s="2" t="s">
        <v>65</v>
      </c>
      <c r="S150" s="2" t="s">
        <v>42</v>
      </c>
      <c r="T150" s="2" t="s">
        <v>51</v>
      </c>
      <c r="U150" s="2">
        <v>9745972422</v>
      </c>
      <c r="V150" s="2" t="s">
        <v>52</v>
      </c>
    </row>
    <row r="151" spans="1:22" x14ac:dyDescent="0.3">
      <c r="A151" s="2" t="s">
        <v>280</v>
      </c>
      <c r="B151" s="2" t="s">
        <v>23</v>
      </c>
      <c r="C151" s="2" t="s">
        <v>128</v>
      </c>
      <c r="D151" s="38">
        <v>45990</v>
      </c>
      <c r="E151" s="38">
        <v>45998</v>
      </c>
      <c r="F151" s="2" t="s">
        <v>25</v>
      </c>
      <c r="G151" s="2" t="s">
        <v>26</v>
      </c>
      <c r="H151" s="38">
        <v>35949</v>
      </c>
      <c r="I151" s="2" t="s">
        <v>48</v>
      </c>
      <c r="J151" s="2" t="s">
        <v>28</v>
      </c>
      <c r="K151" s="2" t="s">
        <v>84</v>
      </c>
      <c r="L151" s="2" t="s">
        <v>130</v>
      </c>
      <c r="M151" s="2">
        <v>2</v>
      </c>
      <c r="N151" s="7">
        <v>20</v>
      </c>
      <c r="O151" s="2">
        <v>10</v>
      </c>
      <c r="P151" s="7">
        <v>36</v>
      </c>
      <c r="Q151" s="2">
        <v>1</v>
      </c>
      <c r="R151" s="2" t="s">
        <v>41</v>
      </c>
      <c r="S151" s="2" t="s">
        <v>81</v>
      </c>
      <c r="T151" s="2" t="s">
        <v>43</v>
      </c>
      <c r="U151" s="2">
        <v>9123712257</v>
      </c>
      <c r="V151" s="2" t="s">
        <v>52</v>
      </c>
    </row>
    <row r="152" spans="1:22" x14ac:dyDescent="0.3">
      <c r="A152" s="2" t="s">
        <v>281</v>
      </c>
      <c r="B152" s="2" t="s">
        <v>73</v>
      </c>
      <c r="C152" s="2" t="s">
        <v>24</v>
      </c>
      <c r="D152" s="38">
        <v>45852</v>
      </c>
      <c r="E152" s="38">
        <v>45857</v>
      </c>
      <c r="F152" s="2" t="s">
        <v>74</v>
      </c>
      <c r="G152" s="2" t="s">
        <v>26</v>
      </c>
      <c r="H152" s="38">
        <v>35336</v>
      </c>
      <c r="I152" s="2" t="s">
        <v>80</v>
      </c>
      <c r="J152" s="2" t="s">
        <v>76</v>
      </c>
      <c r="K152" s="2" t="s">
        <v>29</v>
      </c>
      <c r="L152" s="2" t="s">
        <v>30</v>
      </c>
      <c r="M152" s="2">
        <v>16</v>
      </c>
      <c r="N152" s="7">
        <v>2200</v>
      </c>
      <c r="O152" s="2">
        <v>20</v>
      </c>
      <c r="P152" s="7">
        <v>28160</v>
      </c>
      <c r="Q152" s="2">
        <v>2</v>
      </c>
      <c r="R152" s="2" t="s">
        <v>65</v>
      </c>
      <c r="S152" s="2" t="s">
        <v>97</v>
      </c>
      <c r="T152" s="2" t="s">
        <v>94</v>
      </c>
      <c r="U152" s="2">
        <v>9665525431</v>
      </c>
      <c r="V152" s="2" t="s">
        <v>52</v>
      </c>
    </row>
    <row r="153" spans="1:22" x14ac:dyDescent="0.3">
      <c r="A153" s="2" t="s">
        <v>282</v>
      </c>
      <c r="B153" s="2" t="s">
        <v>127</v>
      </c>
      <c r="C153" s="2" t="s">
        <v>36</v>
      </c>
      <c r="D153" s="38">
        <v>45729</v>
      </c>
      <c r="E153" s="38">
        <v>45739</v>
      </c>
      <c r="F153" s="2" t="s">
        <v>129</v>
      </c>
      <c r="G153" s="2" t="s">
        <v>58</v>
      </c>
      <c r="H153" s="38">
        <v>35048</v>
      </c>
      <c r="I153" s="2" t="s">
        <v>80</v>
      </c>
      <c r="J153" s="2" t="s">
        <v>76</v>
      </c>
      <c r="K153" s="2" t="s">
        <v>39</v>
      </c>
      <c r="L153" s="2" t="s">
        <v>40</v>
      </c>
      <c r="M153" s="2">
        <v>15</v>
      </c>
      <c r="N153" s="7">
        <v>12000</v>
      </c>
      <c r="O153" s="2">
        <v>0</v>
      </c>
      <c r="P153" s="7">
        <v>180000</v>
      </c>
      <c r="Q153" s="2">
        <v>1</v>
      </c>
      <c r="R153" s="2" t="s">
        <v>60</v>
      </c>
      <c r="S153" s="2" t="s">
        <v>50</v>
      </c>
      <c r="T153" s="2" t="s">
        <v>131</v>
      </c>
      <c r="U153" s="2">
        <v>9682415134</v>
      </c>
      <c r="V153" s="2" t="s">
        <v>52</v>
      </c>
    </row>
    <row r="154" spans="1:22" x14ac:dyDescent="0.3">
      <c r="A154" s="2" t="s">
        <v>283</v>
      </c>
      <c r="B154" s="2" t="s">
        <v>23</v>
      </c>
      <c r="C154" s="2" t="s">
        <v>83</v>
      </c>
      <c r="D154" s="38">
        <v>45860</v>
      </c>
      <c r="E154" s="38">
        <v>45861</v>
      </c>
      <c r="F154" s="2" t="s">
        <v>25</v>
      </c>
      <c r="G154" s="2" t="s">
        <v>26</v>
      </c>
      <c r="H154" s="38">
        <v>27965</v>
      </c>
      <c r="I154" s="2" t="s">
        <v>37</v>
      </c>
      <c r="J154" s="2" t="s">
        <v>38</v>
      </c>
      <c r="K154" s="2" t="s">
        <v>84</v>
      </c>
      <c r="L154" s="2" t="s">
        <v>85</v>
      </c>
      <c r="M154" s="2">
        <v>14</v>
      </c>
      <c r="N154" s="7">
        <v>60</v>
      </c>
      <c r="O154" s="2">
        <v>15</v>
      </c>
      <c r="P154" s="7">
        <v>714</v>
      </c>
      <c r="Q154" s="2">
        <v>4</v>
      </c>
      <c r="R154" s="2" t="s">
        <v>65</v>
      </c>
      <c r="S154" s="2" t="s">
        <v>42</v>
      </c>
      <c r="T154" s="2" t="s">
        <v>43</v>
      </c>
      <c r="U154" s="2">
        <v>9808223872</v>
      </c>
      <c r="V154" s="2" t="s">
        <v>34</v>
      </c>
    </row>
    <row r="155" spans="1:22" x14ac:dyDescent="0.3">
      <c r="A155" s="2" t="s">
        <v>284</v>
      </c>
      <c r="B155" s="2" t="s">
        <v>45</v>
      </c>
      <c r="C155" s="2" t="s">
        <v>56</v>
      </c>
      <c r="D155" s="38">
        <v>45859</v>
      </c>
      <c r="E155" s="38">
        <v>45862</v>
      </c>
      <c r="F155" s="2" t="s">
        <v>102</v>
      </c>
      <c r="G155" s="2" t="s">
        <v>26</v>
      </c>
      <c r="H155" s="38">
        <v>30855</v>
      </c>
      <c r="I155" s="2" t="s">
        <v>27</v>
      </c>
      <c r="J155" s="2" t="s">
        <v>28</v>
      </c>
      <c r="K155" s="2" t="s">
        <v>39</v>
      </c>
      <c r="L155" s="2" t="s">
        <v>59</v>
      </c>
      <c r="M155" s="2">
        <v>9</v>
      </c>
      <c r="N155" s="7">
        <v>1200</v>
      </c>
      <c r="O155" s="2">
        <v>5</v>
      </c>
      <c r="P155" s="7">
        <v>10260</v>
      </c>
      <c r="Q155" s="2">
        <v>5</v>
      </c>
      <c r="R155" s="2" t="s">
        <v>41</v>
      </c>
      <c r="S155" s="2" t="s">
        <v>50</v>
      </c>
      <c r="T155" s="2" t="s">
        <v>51</v>
      </c>
      <c r="U155" s="2">
        <v>9193549730</v>
      </c>
      <c r="V155" s="2" t="s">
        <v>52</v>
      </c>
    </row>
    <row r="156" spans="1:22" x14ac:dyDescent="0.3">
      <c r="A156" s="2" t="s">
        <v>285</v>
      </c>
      <c r="B156" s="2" t="s">
        <v>127</v>
      </c>
      <c r="C156" s="2" t="s">
        <v>56</v>
      </c>
      <c r="D156" s="38">
        <v>45857</v>
      </c>
      <c r="E156" s="38">
        <v>45867</v>
      </c>
      <c r="F156" s="2" t="s">
        <v>129</v>
      </c>
      <c r="G156" s="2" t="s">
        <v>58</v>
      </c>
      <c r="H156" s="38">
        <v>36013</v>
      </c>
      <c r="I156" s="2" t="s">
        <v>151</v>
      </c>
      <c r="J156" s="2" t="s">
        <v>152</v>
      </c>
      <c r="K156" s="2" t="s">
        <v>39</v>
      </c>
      <c r="L156" s="2" t="s">
        <v>59</v>
      </c>
      <c r="M156" s="2">
        <v>3</v>
      </c>
      <c r="N156" s="7">
        <v>1200</v>
      </c>
      <c r="O156" s="2">
        <v>10</v>
      </c>
      <c r="P156" s="7">
        <v>3240</v>
      </c>
      <c r="Q156" s="2">
        <v>2</v>
      </c>
      <c r="R156" s="2" t="s">
        <v>60</v>
      </c>
      <c r="S156" s="2" t="s">
        <v>97</v>
      </c>
      <c r="T156" s="2" t="s">
        <v>131</v>
      </c>
      <c r="U156" s="2">
        <v>9520617130</v>
      </c>
      <c r="V156" s="2" t="s">
        <v>53</v>
      </c>
    </row>
    <row r="157" spans="1:22" x14ac:dyDescent="0.3">
      <c r="A157" s="2" t="s">
        <v>286</v>
      </c>
      <c r="B157" s="2" t="s">
        <v>160</v>
      </c>
      <c r="C157" s="2" t="s">
        <v>83</v>
      </c>
      <c r="D157" s="38">
        <v>45757</v>
      </c>
      <c r="E157" s="38">
        <v>45759</v>
      </c>
      <c r="F157" s="2" t="s">
        <v>179</v>
      </c>
      <c r="G157" s="2" t="s">
        <v>58</v>
      </c>
      <c r="H157" s="38">
        <v>37060</v>
      </c>
      <c r="I157" s="2" t="s">
        <v>27</v>
      </c>
      <c r="J157" s="2" t="s">
        <v>28</v>
      </c>
      <c r="K157" s="2" t="s">
        <v>84</v>
      </c>
      <c r="L157" s="2" t="s">
        <v>85</v>
      </c>
      <c r="M157" s="2">
        <v>2</v>
      </c>
      <c r="N157" s="7">
        <v>60</v>
      </c>
      <c r="O157" s="2">
        <v>10</v>
      </c>
      <c r="P157" s="7">
        <v>108</v>
      </c>
      <c r="Q157" s="2">
        <v>2</v>
      </c>
      <c r="R157" s="2" t="s">
        <v>65</v>
      </c>
      <c r="S157" s="2" t="s">
        <v>50</v>
      </c>
      <c r="T157" s="2" t="s">
        <v>162</v>
      </c>
      <c r="U157" s="2">
        <v>9264578122</v>
      </c>
      <c r="V157" s="2" t="s">
        <v>34</v>
      </c>
    </row>
    <row r="158" spans="1:22" x14ac:dyDescent="0.3">
      <c r="A158" s="2" t="s">
        <v>287</v>
      </c>
      <c r="B158" s="2" t="s">
        <v>55</v>
      </c>
      <c r="C158" s="2" t="s">
        <v>68</v>
      </c>
      <c r="D158" s="38">
        <v>46155</v>
      </c>
      <c r="E158" s="38">
        <v>46165</v>
      </c>
      <c r="F158" s="2" t="s">
        <v>125</v>
      </c>
      <c r="G158" s="2" t="s">
        <v>58</v>
      </c>
      <c r="H158" s="38">
        <v>36414</v>
      </c>
      <c r="I158" s="2" t="s">
        <v>37</v>
      </c>
      <c r="J158" s="2" t="s">
        <v>38</v>
      </c>
      <c r="K158" s="2" t="s">
        <v>29</v>
      </c>
      <c r="L158" s="2" t="s">
        <v>71</v>
      </c>
      <c r="M158" s="2">
        <v>9</v>
      </c>
      <c r="N158" s="7">
        <v>3500</v>
      </c>
      <c r="O158" s="2">
        <v>20</v>
      </c>
      <c r="P158" s="7">
        <v>25200</v>
      </c>
      <c r="Q158" s="2">
        <v>1</v>
      </c>
      <c r="R158" s="2" t="s">
        <v>41</v>
      </c>
      <c r="S158" s="2" t="s">
        <v>32</v>
      </c>
      <c r="T158" s="2" t="s">
        <v>61</v>
      </c>
      <c r="U158" s="2">
        <v>9275071213</v>
      </c>
      <c r="V158" s="2" t="s">
        <v>34</v>
      </c>
    </row>
    <row r="159" spans="1:22" x14ac:dyDescent="0.3">
      <c r="A159" s="2" t="s">
        <v>288</v>
      </c>
      <c r="B159" s="2" t="s">
        <v>127</v>
      </c>
      <c r="C159" s="2" t="s">
        <v>46</v>
      </c>
      <c r="D159" s="38">
        <v>46094</v>
      </c>
      <c r="E159" s="38">
        <v>46097</v>
      </c>
      <c r="F159" s="2" t="s">
        <v>129</v>
      </c>
      <c r="G159" s="2" t="s">
        <v>58</v>
      </c>
      <c r="H159" s="38">
        <v>35040</v>
      </c>
      <c r="I159" s="2" t="s">
        <v>123</v>
      </c>
      <c r="J159" s="2" t="s">
        <v>38</v>
      </c>
      <c r="K159" s="2" t="s">
        <v>39</v>
      </c>
      <c r="L159" s="2" t="s">
        <v>49</v>
      </c>
      <c r="M159" s="2">
        <v>4</v>
      </c>
      <c r="N159" s="7">
        <v>55000</v>
      </c>
      <c r="O159" s="2">
        <v>5</v>
      </c>
      <c r="P159" s="7">
        <v>209000</v>
      </c>
      <c r="Q159" s="2">
        <v>2</v>
      </c>
      <c r="R159" s="2" t="s">
        <v>31</v>
      </c>
      <c r="S159" s="2" t="s">
        <v>97</v>
      </c>
      <c r="T159" s="2" t="s">
        <v>131</v>
      </c>
      <c r="U159" s="2">
        <v>9715222543</v>
      </c>
      <c r="V159" s="2" t="s">
        <v>52</v>
      </c>
    </row>
    <row r="160" spans="1:22" x14ac:dyDescent="0.3">
      <c r="A160" s="2" t="s">
        <v>289</v>
      </c>
      <c r="B160" s="2" t="s">
        <v>160</v>
      </c>
      <c r="C160" s="2" t="s">
        <v>113</v>
      </c>
      <c r="D160" s="38">
        <v>45835</v>
      </c>
      <c r="E160" s="38">
        <v>45839</v>
      </c>
      <c r="F160" s="2" t="s">
        <v>179</v>
      </c>
      <c r="G160" s="2" t="s">
        <v>58</v>
      </c>
      <c r="H160" s="38">
        <v>36363</v>
      </c>
      <c r="I160" s="2" t="s">
        <v>37</v>
      </c>
      <c r="J160" s="2" t="s">
        <v>38</v>
      </c>
      <c r="K160" s="2" t="s">
        <v>39</v>
      </c>
      <c r="L160" s="2" t="s">
        <v>115</v>
      </c>
      <c r="M160" s="2">
        <v>11</v>
      </c>
      <c r="N160" s="7">
        <v>700</v>
      </c>
      <c r="O160" s="2">
        <v>20</v>
      </c>
      <c r="P160" s="7">
        <v>6160</v>
      </c>
      <c r="Q160" s="2">
        <v>4</v>
      </c>
      <c r="R160" s="2" t="s">
        <v>31</v>
      </c>
      <c r="S160" s="2" t="s">
        <v>97</v>
      </c>
      <c r="T160" s="2" t="s">
        <v>162</v>
      </c>
      <c r="U160" s="2">
        <v>9942010833</v>
      </c>
      <c r="V160" s="2" t="s">
        <v>53</v>
      </c>
    </row>
    <row r="161" spans="1:22" x14ac:dyDescent="0.3">
      <c r="A161" s="2" t="s">
        <v>291</v>
      </c>
      <c r="B161" s="2" t="s">
        <v>105</v>
      </c>
      <c r="C161" s="2" t="s">
        <v>56</v>
      </c>
      <c r="D161" s="38">
        <v>45980</v>
      </c>
      <c r="E161" s="38">
        <v>45990</v>
      </c>
      <c r="F161" s="2" t="s">
        <v>170</v>
      </c>
      <c r="G161" s="2" t="s">
        <v>26</v>
      </c>
      <c r="H161" s="38">
        <v>36844</v>
      </c>
      <c r="I161" s="2" t="s">
        <v>151</v>
      </c>
      <c r="J161" s="2" t="s">
        <v>152</v>
      </c>
      <c r="K161" s="2" t="s">
        <v>39</v>
      </c>
      <c r="L161" s="2" t="s">
        <v>59</v>
      </c>
      <c r="M161" s="2">
        <v>16</v>
      </c>
      <c r="N161" s="7">
        <v>1200</v>
      </c>
      <c r="O161" s="2">
        <v>5</v>
      </c>
      <c r="P161" s="7">
        <v>18240</v>
      </c>
      <c r="Q161" s="2">
        <v>1</v>
      </c>
      <c r="R161" s="2" t="s">
        <v>60</v>
      </c>
      <c r="S161" s="2" t="s">
        <v>32</v>
      </c>
      <c r="T161" s="2" t="s">
        <v>109</v>
      </c>
      <c r="U161" s="2">
        <v>9347718932</v>
      </c>
      <c r="V161" s="2" t="s">
        <v>52</v>
      </c>
    </row>
    <row r="162" spans="1:22" x14ac:dyDescent="0.3">
      <c r="A162" s="2" t="s">
        <v>292</v>
      </c>
      <c r="B162" s="2" t="s">
        <v>105</v>
      </c>
      <c r="C162" s="2" t="s">
        <v>56</v>
      </c>
      <c r="D162" s="38">
        <v>45915</v>
      </c>
      <c r="E162" s="38">
        <v>45917</v>
      </c>
      <c r="F162" s="2" t="s">
        <v>170</v>
      </c>
      <c r="G162" s="2" t="s">
        <v>26</v>
      </c>
      <c r="H162" s="38">
        <v>37461</v>
      </c>
      <c r="I162" s="2" t="s">
        <v>80</v>
      </c>
      <c r="J162" s="2" t="s">
        <v>76</v>
      </c>
      <c r="K162" s="2" t="s">
        <v>39</v>
      </c>
      <c r="L162" s="2" t="s">
        <v>59</v>
      </c>
      <c r="M162" s="2">
        <v>1</v>
      </c>
      <c r="N162" s="7">
        <v>1200</v>
      </c>
      <c r="O162" s="2">
        <v>5</v>
      </c>
      <c r="P162" s="7">
        <v>1140</v>
      </c>
      <c r="Q162" s="2">
        <v>4</v>
      </c>
      <c r="R162" s="2" t="s">
        <v>60</v>
      </c>
      <c r="S162" s="2" t="s">
        <v>32</v>
      </c>
      <c r="T162" s="2" t="s">
        <v>109</v>
      </c>
      <c r="U162" s="2">
        <v>9274808844</v>
      </c>
      <c r="V162" s="2" t="s">
        <v>34</v>
      </c>
    </row>
    <row r="163" spans="1:22" x14ac:dyDescent="0.3">
      <c r="A163" s="2" t="s">
        <v>293</v>
      </c>
      <c r="B163" s="2" t="s">
        <v>160</v>
      </c>
      <c r="C163" s="2" t="s">
        <v>83</v>
      </c>
      <c r="D163" s="38">
        <v>45965</v>
      </c>
      <c r="E163" s="38">
        <v>45974</v>
      </c>
      <c r="F163" s="2" t="s">
        <v>179</v>
      </c>
      <c r="G163" s="2" t="s">
        <v>58</v>
      </c>
      <c r="H163" s="38">
        <v>37312</v>
      </c>
      <c r="I163" s="2" t="s">
        <v>123</v>
      </c>
      <c r="J163" s="2" t="s">
        <v>38</v>
      </c>
      <c r="K163" s="2" t="s">
        <v>84</v>
      </c>
      <c r="L163" s="2" t="s">
        <v>85</v>
      </c>
      <c r="M163" s="2">
        <v>7</v>
      </c>
      <c r="N163" s="7">
        <v>60</v>
      </c>
      <c r="O163" s="2">
        <v>0</v>
      </c>
      <c r="P163" s="7">
        <v>420</v>
      </c>
      <c r="Q163" s="2">
        <v>2</v>
      </c>
      <c r="R163" s="2" t="s">
        <v>65</v>
      </c>
      <c r="S163" s="2" t="s">
        <v>97</v>
      </c>
      <c r="T163" s="2" t="s">
        <v>162</v>
      </c>
      <c r="U163" s="2">
        <v>9798996063</v>
      </c>
      <c r="V163" s="2" t="s">
        <v>34</v>
      </c>
    </row>
    <row r="164" spans="1:22" x14ac:dyDescent="0.3">
      <c r="A164" s="2" t="s">
        <v>294</v>
      </c>
      <c r="B164" s="2" t="s">
        <v>105</v>
      </c>
      <c r="C164" s="2" t="s">
        <v>24</v>
      </c>
      <c r="D164" s="38">
        <v>45660</v>
      </c>
      <c r="E164" s="38">
        <v>45664</v>
      </c>
      <c r="F164" s="2" t="s">
        <v>170</v>
      </c>
      <c r="G164" s="2" t="s">
        <v>26</v>
      </c>
      <c r="H164" s="38">
        <v>29418</v>
      </c>
      <c r="I164" s="2" t="s">
        <v>80</v>
      </c>
      <c r="J164" s="2" t="s">
        <v>76</v>
      </c>
      <c r="K164" s="2" t="s">
        <v>29</v>
      </c>
      <c r="L164" s="2" t="s">
        <v>30</v>
      </c>
      <c r="M164" s="2">
        <v>14</v>
      </c>
      <c r="N164" s="7">
        <v>2200</v>
      </c>
      <c r="O164" s="2">
        <v>0</v>
      </c>
      <c r="P164" s="7">
        <v>30800</v>
      </c>
      <c r="Q164" s="2">
        <v>2</v>
      </c>
      <c r="R164" s="2" t="s">
        <v>65</v>
      </c>
      <c r="S164" s="2" t="s">
        <v>32</v>
      </c>
      <c r="T164" s="2" t="s">
        <v>109</v>
      </c>
      <c r="U164" s="2">
        <v>9145200936</v>
      </c>
      <c r="V164" s="2" t="s">
        <v>53</v>
      </c>
    </row>
    <row r="165" spans="1:22" x14ac:dyDescent="0.3">
      <c r="A165" s="2" t="s">
        <v>295</v>
      </c>
      <c r="B165" s="2" t="s">
        <v>105</v>
      </c>
      <c r="C165" s="2" t="s">
        <v>68</v>
      </c>
      <c r="D165" s="38">
        <v>45827</v>
      </c>
      <c r="E165" s="38">
        <v>45835</v>
      </c>
      <c r="F165" s="2" t="s">
        <v>170</v>
      </c>
      <c r="G165" s="2" t="s">
        <v>26</v>
      </c>
      <c r="H165" s="38">
        <v>35210</v>
      </c>
      <c r="I165" s="2" t="s">
        <v>92</v>
      </c>
      <c r="J165" s="2" t="s">
        <v>76</v>
      </c>
      <c r="K165" s="2" t="s">
        <v>29</v>
      </c>
      <c r="L165" s="2" t="s">
        <v>71</v>
      </c>
      <c r="M165" s="2">
        <v>15</v>
      </c>
      <c r="N165" s="7">
        <v>3500</v>
      </c>
      <c r="O165" s="2">
        <v>15</v>
      </c>
      <c r="P165" s="7">
        <v>44625</v>
      </c>
      <c r="Q165" s="2">
        <v>2</v>
      </c>
      <c r="R165" s="2" t="s">
        <v>65</v>
      </c>
      <c r="S165" s="2" t="s">
        <v>50</v>
      </c>
      <c r="T165" s="2" t="s">
        <v>109</v>
      </c>
      <c r="U165" s="2">
        <v>9697654418</v>
      </c>
      <c r="V165" s="2" t="s">
        <v>52</v>
      </c>
    </row>
    <row r="166" spans="1:22" x14ac:dyDescent="0.3">
      <c r="A166" s="2" t="s">
        <v>296</v>
      </c>
      <c r="B166" s="2" t="s">
        <v>88</v>
      </c>
      <c r="C166" s="2" t="s">
        <v>68</v>
      </c>
      <c r="D166" s="38">
        <v>45742</v>
      </c>
      <c r="E166" s="38">
        <v>45753</v>
      </c>
      <c r="F166" s="2" t="s">
        <v>119</v>
      </c>
      <c r="G166" s="2" t="s">
        <v>58</v>
      </c>
      <c r="H166" s="38">
        <v>31543</v>
      </c>
      <c r="I166" s="2" t="s">
        <v>151</v>
      </c>
      <c r="J166" s="2" t="s">
        <v>152</v>
      </c>
      <c r="K166" s="2" t="s">
        <v>29</v>
      </c>
      <c r="L166" s="2" t="s">
        <v>71</v>
      </c>
      <c r="M166" s="2">
        <v>19</v>
      </c>
      <c r="N166" s="7">
        <v>3500</v>
      </c>
      <c r="O166" s="2">
        <v>5</v>
      </c>
      <c r="P166" s="7">
        <v>63175</v>
      </c>
      <c r="Q166" s="2">
        <v>2</v>
      </c>
      <c r="R166" s="2" t="s">
        <v>31</v>
      </c>
      <c r="S166" s="2" t="s">
        <v>81</v>
      </c>
      <c r="T166" s="2" t="s">
        <v>90</v>
      </c>
      <c r="U166" s="2">
        <v>9457923119</v>
      </c>
      <c r="V166" s="2" t="s">
        <v>53</v>
      </c>
    </row>
    <row r="167" spans="1:22" x14ac:dyDescent="0.3">
      <c r="A167" s="2" t="s">
        <v>297</v>
      </c>
      <c r="B167" s="2" t="s">
        <v>160</v>
      </c>
      <c r="C167" s="2" t="s">
        <v>46</v>
      </c>
      <c r="D167" s="38">
        <v>45844</v>
      </c>
      <c r="E167" s="38">
        <v>45848</v>
      </c>
      <c r="F167" s="2" t="s">
        <v>179</v>
      </c>
      <c r="G167" s="2" t="s">
        <v>58</v>
      </c>
      <c r="H167" s="38">
        <v>32653</v>
      </c>
      <c r="I167" s="2" t="s">
        <v>48</v>
      </c>
      <c r="J167" s="2" t="s">
        <v>28</v>
      </c>
      <c r="K167" s="2" t="s">
        <v>39</v>
      </c>
      <c r="L167" s="2" t="s">
        <v>49</v>
      </c>
      <c r="M167" s="2">
        <v>12</v>
      </c>
      <c r="N167" s="7">
        <v>55000</v>
      </c>
      <c r="O167" s="2">
        <v>5</v>
      </c>
      <c r="P167" s="7">
        <v>627000</v>
      </c>
      <c r="Q167" s="2">
        <v>4</v>
      </c>
      <c r="R167" s="2" t="s">
        <v>60</v>
      </c>
      <c r="S167" s="2" t="s">
        <v>50</v>
      </c>
      <c r="T167" s="2" t="s">
        <v>162</v>
      </c>
      <c r="U167" s="2">
        <v>9236111271</v>
      </c>
      <c r="V167" s="2" t="s">
        <v>53</v>
      </c>
    </row>
    <row r="168" spans="1:22" x14ac:dyDescent="0.3">
      <c r="A168" s="2" t="s">
        <v>298</v>
      </c>
      <c r="B168" s="2" t="s">
        <v>45</v>
      </c>
      <c r="C168" s="2" t="s">
        <v>56</v>
      </c>
      <c r="D168" s="38">
        <v>46040</v>
      </c>
      <c r="E168" s="38">
        <v>46048</v>
      </c>
      <c r="F168" s="2" t="s">
        <v>102</v>
      </c>
      <c r="G168" s="2" t="s">
        <v>26</v>
      </c>
      <c r="H168" s="38">
        <v>32745</v>
      </c>
      <c r="I168" s="2" t="s">
        <v>75</v>
      </c>
      <c r="J168" s="2" t="s">
        <v>76</v>
      </c>
      <c r="K168" s="2" t="s">
        <v>39</v>
      </c>
      <c r="L168" s="2" t="s">
        <v>59</v>
      </c>
      <c r="M168" s="2">
        <v>6</v>
      </c>
      <c r="N168" s="7">
        <v>1200</v>
      </c>
      <c r="O168" s="2">
        <v>10</v>
      </c>
      <c r="P168" s="7">
        <v>6480</v>
      </c>
      <c r="Q168" s="2">
        <v>5</v>
      </c>
      <c r="R168" s="2" t="s">
        <v>41</v>
      </c>
      <c r="S168" s="2" t="s">
        <v>81</v>
      </c>
      <c r="T168" s="2" t="s">
        <v>51</v>
      </c>
      <c r="U168" s="2">
        <v>9402569141</v>
      </c>
      <c r="V168" s="2" t="s">
        <v>53</v>
      </c>
    </row>
    <row r="169" spans="1:22" x14ac:dyDescent="0.3">
      <c r="A169" s="2" t="s">
        <v>299</v>
      </c>
      <c r="B169" s="2" t="s">
        <v>137</v>
      </c>
      <c r="C169" s="2" t="s">
        <v>106</v>
      </c>
      <c r="D169" s="38">
        <v>45919</v>
      </c>
      <c r="E169" s="38">
        <v>45920</v>
      </c>
      <c r="F169" s="2" t="s">
        <v>138</v>
      </c>
      <c r="G169" s="2" t="s">
        <v>26</v>
      </c>
      <c r="H169" s="38">
        <v>35570</v>
      </c>
      <c r="I169" s="2" t="s">
        <v>27</v>
      </c>
      <c r="J169" s="2" t="s">
        <v>28</v>
      </c>
      <c r="K169" s="2" t="s">
        <v>29</v>
      </c>
      <c r="L169" s="2" t="s">
        <v>108</v>
      </c>
      <c r="M169" s="2">
        <v>1</v>
      </c>
      <c r="N169" s="7">
        <v>8500</v>
      </c>
      <c r="O169" s="2">
        <v>0</v>
      </c>
      <c r="P169" s="7">
        <v>8500</v>
      </c>
      <c r="Q169" s="2">
        <v>1</v>
      </c>
      <c r="R169" s="2" t="s">
        <v>65</v>
      </c>
      <c r="S169" s="2" t="s">
        <v>97</v>
      </c>
      <c r="T169" s="2" t="s">
        <v>139</v>
      </c>
      <c r="U169" s="2">
        <v>9138184056</v>
      </c>
      <c r="V169" s="2" t="s">
        <v>53</v>
      </c>
    </row>
    <row r="170" spans="1:22" x14ac:dyDescent="0.3">
      <c r="A170" s="2" t="s">
        <v>300</v>
      </c>
      <c r="B170" s="2" t="s">
        <v>88</v>
      </c>
      <c r="C170" s="2" t="s">
        <v>46</v>
      </c>
      <c r="D170" s="38">
        <v>46113</v>
      </c>
      <c r="E170" s="38">
        <v>46119</v>
      </c>
      <c r="F170" s="2" t="s">
        <v>119</v>
      </c>
      <c r="G170" s="2" t="s">
        <v>58</v>
      </c>
      <c r="H170" s="38">
        <v>31900</v>
      </c>
      <c r="I170" s="2" t="s">
        <v>92</v>
      </c>
      <c r="J170" s="2" t="s">
        <v>76</v>
      </c>
      <c r="K170" s="2" t="s">
        <v>39</v>
      </c>
      <c r="L170" s="2" t="s">
        <v>49</v>
      </c>
      <c r="M170" s="2">
        <v>20</v>
      </c>
      <c r="N170" s="7">
        <v>55000</v>
      </c>
      <c r="O170" s="2">
        <v>10</v>
      </c>
      <c r="P170" s="7">
        <v>990000</v>
      </c>
      <c r="Q170" s="2">
        <v>5</v>
      </c>
      <c r="R170" s="2" t="s">
        <v>41</v>
      </c>
      <c r="S170" s="2" t="s">
        <v>97</v>
      </c>
      <c r="T170" s="2" t="s">
        <v>90</v>
      </c>
      <c r="U170" s="2">
        <v>9609598700</v>
      </c>
      <c r="V170" s="2" t="s">
        <v>34</v>
      </c>
    </row>
    <row r="171" spans="1:22" x14ac:dyDescent="0.3">
      <c r="A171" s="2" t="s">
        <v>301</v>
      </c>
      <c r="B171" s="2" t="s">
        <v>127</v>
      </c>
      <c r="C171" s="2" t="s">
        <v>56</v>
      </c>
      <c r="D171" s="38">
        <v>45958</v>
      </c>
      <c r="E171" s="38">
        <v>45959</v>
      </c>
      <c r="F171" s="2" t="s">
        <v>129</v>
      </c>
      <c r="G171" s="2" t="s">
        <v>58</v>
      </c>
      <c r="H171" s="38">
        <v>37592</v>
      </c>
      <c r="I171" s="2" t="s">
        <v>92</v>
      </c>
      <c r="J171" s="2" t="s">
        <v>76</v>
      </c>
      <c r="K171" s="2" t="s">
        <v>39</v>
      </c>
      <c r="L171" s="2" t="s">
        <v>59</v>
      </c>
      <c r="M171" s="2">
        <v>8</v>
      </c>
      <c r="N171" s="7">
        <v>1200</v>
      </c>
      <c r="O171" s="2">
        <v>15</v>
      </c>
      <c r="P171" s="7">
        <v>8160</v>
      </c>
      <c r="Q171" s="2">
        <v>2</v>
      </c>
      <c r="R171" s="2" t="s">
        <v>65</v>
      </c>
      <c r="S171" s="2" t="s">
        <v>81</v>
      </c>
      <c r="T171" s="2" t="s">
        <v>131</v>
      </c>
      <c r="U171" s="2">
        <v>9385894399</v>
      </c>
      <c r="V171" s="2" t="s">
        <v>53</v>
      </c>
    </row>
    <row r="172" spans="1:22" x14ac:dyDescent="0.3">
      <c r="A172" s="2" t="s">
        <v>302</v>
      </c>
      <c r="B172" s="2" t="s">
        <v>23</v>
      </c>
      <c r="C172" s="2" t="s">
        <v>68</v>
      </c>
      <c r="D172" s="38">
        <v>45694</v>
      </c>
      <c r="E172" s="38">
        <v>45705</v>
      </c>
      <c r="F172" s="2" t="s">
        <v>25</v>
      </c>
      <c r="G172" s="2" t="s">
        <v>26</v>
      </c>
      <c r="H172" s="38">
        <v>31557</v>
      </c>
      <c r="I172" s="2" t="s">
        <v>123</v>
      </c>
      <c r="J172" s="2" t="s">
        <v>38</v>
      </c>
      <c r="K172" s="2" t="s">
        <v>29</v>
      </c>
      <c r="L172" s="2" t="s">
        <v>71</v>
      </c>
      <c r="M172" s="2">
        <v>19</v>
      </c>
      <c r="N172" s="7">
        <v>3500</v>
      </c>
      <c r="O172" s="2">
        <v>5</v>
      </c>
      <c r="P172" s="7">
        <v>63175</v>
      </c>
      <c r="Q172" s="2">
        <v>4</v>
      </c>
      <c r="R172" s="2" t="s">
        <v>65</v>
      </c>
      <c r="S172" s="2" t="s">
        <v>42</v>
      </c>
      <c r="T172" s="2" t="s">
        <v>43</v>
      </c>
      <c r="U172" s="2">
        <v>9329448011</v>
      </c>
      <c r="V172" s="2" t="s">
        <v>52</v>
      </c>
    </row>
    <row r="173" spans="1:22" x14ac:dyDescent="0.3">
      <c r="A173" s="2" t="s">
        <v>303</v>
      </c>
      <c r="B173" s="2" t="s">
        <v>127</v>
      </c>
      <c r="C173" s="2" t="s">
        <v>141</v>
      </c>
      <c r="D173" s="38">
        <v>45774</v>
      </c>
      <c r="E173" s="38">
        <v>45776</v>
      </c>
      <c r="F173" s="2" t="s">
        <v>129</v>
      </c>
      <c r="G173" s="2" t="s">
        <v>58</v>
      </c>
      <c r="H173" s="38">
        <v>31465</v>
      </c>
      <c r="I173" s="2" t="s">
        <v>123</v>
      </c>
      <c r="J173" s="2" t="s">
        <v>38</v>
      </c>
      <c r="K173" s="2" t="s">
        <v>84</v>
      </c>
      <c r="L173" s="2" t="s">
        <v>142</v>
      </c>
      <c r="M173" s="2">
        <v>6</v>
      </c>
      <c r="N173" s="7">
        <v>45</v>
      </c>
      <c r="O173" s="2">
        <v>20</v>
      </c>
      <c r="P173" s="7">
        <v>216</v>
      </c>
      <c r="Q173" s="2">
        <v>1</v>
      </c>
      <c r="R173" s="2" t="s">
        <v>60</v>
      </c>
      <c r="S173" s="2" t="s">
        <v>42</v>
      </c>
      <c r="T173" s="2" t="s">
        <v>305</v>
      </c>
      <c r="U173" s="2">
        <v>9889544104</v>
      </c>
      <c r="V173" s="2" t="s">
        <v>52</v>
      </c>
    </row>
    <row r="174" spans="1:22" x14ac:dyDescent="0.3">
      <c r="A174" s="2" t="s">
        <v>306</v>
      </c>
      <c r="B174" s="2" t="s">
        <v>137</v>
      </c>
      <c r="C174" s="2" t="s">
        <v>141</v>
      </c>
      <c r="D174" s="38">
        <v>45730</v>
      </c>
      <c r="E174" s="38">
        <v>45741</v>
      </c>
      <c r="F174" s="2" t="s">
        <v>138</v>
      </c>
      <c r="G174" s="2" t="s">
        <v>26</v>
      </c>
      <c r="H174" s="38">
        <v>32240</v>
      </c>
      <c r="I174" s="2" t="s">
        <v>80</v>
      </c>
      <c r="J174" s="2" t="s">
        <v>76</v>
      </c>
      <c r="K174" s="2" t="s">
        <v>84</v>
      </c>
      <c r="L174" s="2" t="s">
        <v>142</v>
      </c>
      <c r="M174" s="2">
        <v>17</v>
      </c>
      <c r="N174" s="7">
        <v>45</v>
      </c>
      <c r="O174" s="2">
        <v>15</v>
      </c>
      <c r="P174" s="7">
        <v>650.25</v>
      </c>
      <c r="Q174" s="2">
        <v>5</v>
      </c>
      <c r="R174" s="2" t="s">
        <v>31</v>
      </c>
      <c r="S174" s="2" t="s">
        <v>81</v>
      </c>
      <c r="T174" s="2" t="s">
        <v>139</v>
      </c>
      <c r="U174" s="2">
        <v>9101861045</v>
      </c>
      <c r="V174" s="2" t="s">
        <v>52</v>
      </c>
    </row>
    <row r="175" spans="1:22" x14ac:dyDescent="0.3">
      <c r="A175" s="2" t="s">
        <v>307</v>
      </c>
      <c r="B175" s="2" t="s">
        <v>23</v>
      </c>
      <c r="C175" s="2" t="s">
        <v>128</v>
      </c>
      <c r="D175" s="38">
        <v>45842</v>
      </c>
      <c r="E175" s="38">
        <v>45854</v>
      </c>
      <c r="F175" s="2" t="s">
        <v>25</v>
      </c>
      <c r="G175" s="2" t="s">
        <v>26</v>
      </c>
      <c r="H175" s="38">
        <v>34147</v>
      </c>
      <c r="I175" s="2" t="s">
        <v>80</v>
      </c>
      <c r="J175" s="2" t="s">
        <v>76</v>
      </c>
      <c r="K175" s="2" t="s">
        <v>84</v>
      </c>
      <c r="L175" s="2" t="s">
        <v>130</v>
      </c>
      <c r="M175" s="2">
        <v>19</v>
      </c>
      <c r="N175" s="7">
        <v>20</v>
      </c>
      <c r="O175" s="2">
        <v>5</v>
      </c>
      <c r="P175" s="7">
        <v>361</v>
      </c>
      <c r="Q175" s="2">
        <v>4</v>
      </c>
      <c r="R175" s="2" t="s">
        <v>31</v>
      </c>
      <c r="S175" s="2" t="s">
        <v>32</v>
      </c>
      <c r="T175" s="2" t="s">
        <v>43</v>
      </c>
      <c r="U175" s="2">
        <v>9364712105</v>
      </c>
      <c r="V175" s="2" t="s">
        <v>52</v>
      </c>
    </row>
    <row r="176" spans="1:22" x14ac:dyDescent="0.3">
      <c r="A176" s="2" t="s">
        <v>308</v>
      </c>
      <c r="B176" s="2" t="s">
        <v>137</v>
      </c>
      <c r="C176" s="2" t="s">
        <v>128</v>
      </c>
      <c r="D176" s="38">
        <v>45993</v>
      </c>
      <c r="E176" s="38">
        <v>45994</v>
      </c>
      <c r="F176" s="2" t="s">
        <v>138</v>
      </c>
      <c r="G176" s="2" t="s">
        <v>26</v>
      </c>
      <c r="H176" s="38">
        <v>38156</v>
      </c>
      <c r="I176" s="2" t="s">
        <v>92</v>
      </c>
      <c r="J176" s="2" t="s">
        <v>76</v>
      </c>
      <c r="K176" s="2" t="s">
        <v>84</v>
      </c>
      <c r="L176" s="2" t="s">
        <v>130</v>
      </c>
      <c r="M176" s="2">
        <v>11</v>
      </c>
      <c r="N176" s="7">
        <v>20</v>
      </c>
      <c r="O176" s="2">
        <v>0</v>
      </c>
      <c r="P176" s="7">
        <v>220</v>
      </c>
      <c r="Q176" s="2">
        <v>3</v>
      </c>
      <c r="R176" s="2" t="s">
        <v>41</v>
      </c>
      <c r="S176" s="2" t="s">
        <v>42</v>
      </c>
      <c r="T176" s="2" t="s">
        <v>139</v>
      </c>
      <c r="U176" s="2">
        <v>9950206376</v>
      </c>
      <c r="V176" s="2" t="s">
        <v>34</v>
      </c>
    </row>
    <row r="177" spans="1:22" x14ac:dyDescent="0.3">
      <c r="A177" s="2" t="s">
        <v>310</v>
      </c>
      <c r="B177" s="2" t="s">
        <v>105</v>
      </c>
      <c r="C177" s="2" t="s">
        <v>83</v>
      </c>
      <c r="D177" s="38">
        <v>46067</v>
      </c>
      <c r="E177" s="38">
        <v>46074</v>
      </c>
      <c r="F177" s="2" t="s">
        <v>170</v>
      </c>
      <c r="G177" s="2" t="s">
        <v>26</v>
      </c>
      <c r="H177" s="38">
        <v>34221</v>
      </c>
      <c r="I177" s="2" t="s">
        <v>37</v>
      </c>
      <c r="J177" s="2" t="s">
        <v>38</v>
      </c>
      <c r="K177" s="2" t="s">
        <v>84</v>
      </c>
      <c r="L177" s="2" t="s">
        <v>85</v>
      </c>
      <c r="M177" s="2">
        <v>12</v>
      </c>
      <c r="N177" s="7">
        <v>60</v>
      </c>
      <c r="O177" s="2">
        <v>0</v>
      </c>
      <c r="P177" s="7">
        <v>720</v>
      </c>
      <c r="Q177" s="2">
        <v>2</v>
      </c>
      <c r="R177" s="2" t="s">
        <v>41</v>
      </c>
      <c r="S177" s="2" t="s">
        <v>42</v>
      </c>
      <c r="T177" s="2" t="s">
        <v>109</v>
      </c>
      <c r="U177" s="2">
        <v>9235822094</v>
      </c>
      <c r="V177" s="2" t="s">
        <v>34</v>
      </c>
    </row>
    <row r="178" spans="1:22" x14ac:dyDescent="0.3">
      <c r="A178" s="2" t="s">
        <v>311</v>
      </c>
      <c r="B178" s="2" t="s">
        <v>127</v>
      </c>
      <c r="C178" s="2" t="s">
        <v>141</v>
      </c>
      <c r="D178" s="38">
        <v>45970</v>
      </c>
      <c r="E178" s="38">
        <v>45974</v>
      </c>
      <c r="F178" s="2" t="s">
        <v>74</v>
      </c>
      <c r="G178" s="2" t="s">
        <v>58</v>
      </c>
      <c r="H178" s="38">
        <v>37147</v>
      </c>
      <c r="I178" s="2" t="s">
        <v>151</v>
      </c>
      <c r="J178" s="2" t="s">
        <v>152</v>
      </c>
      <c r="K178" s="2" t="s">
        <v>84</v>
      </c>
      <c r="L178" s="2" t="s">
        <v>142</v>
      </c>
      <c r="M178" s="2">
        <v>14</v>
      </c>
      <c r="N178" s="7">
        <v>45</v>
      </c>
      <c r="O178" s="2">
        <v>15</v>
      </c>
      <c r="P178" s="7">
        <v>535.5</v>
      </c>
      <c r="Q178" s="2">
        <v>5</v>
      </c>
      <c r="R178" s="2" t="s">
        <v>65</v>
      </c>
      <c r="S178" s="2" t="s">
        <v>81</v>
      </c>
      <c r="T178" s="2" t="s">
        <v>131</v>
      </c>
      <c r="U178" s="2">
        <v>9311021344</v>
      </c>
      <c r="V178" s="2" t="s">
        <v>52</v>
      </c>
    </row>
    <row r="179" spans="1:22" x14ac:dyDescent="0.3">
      <c r="A179" s="2" t="s">
        <v>313</v>
      </c>
      <c r="B179" s="2" t="s">
        <v>23</v>
      </c>
      <c r="C179" s="2" t="s">
        <v>113</v>
      </c>
      <c r="D179" s="38">
        <v>45695</v>
      </c>
      <c r="E179" s="38">
        <v>45707</v>
      </c>
      <c r="F179" s="2" t="s">
        <v>25</v>
      </c>
      <c r="G179" s="2" t="s">
        <v>26</v>
      </c>
      <c r="H179" s="38">
        <v>29905</v>
      </c>
      <c r="I179" s="2" t="s">
        <v>27</v>
      </c>
      <c r="J179" s="2" t="s">
        <v>28</v>
      </c>
      <c r="K179" s="2" t="s">
        <v>39</v>
      </c>
      <c r="L179" s="2" t="s">
        <v>115</v>
      </c>
      <c r="M179" s="2">
        <v>15</v>
      </c>
      <c r="N179" s="7">
        <v>700</v>
      </c>
      <c r="O179" s="2">
        <v>10</v>
      </c>
      <c r="P179" s="7">
        <v>9450</v>
      </c>
      <c r="Q179" s="2">
        <v>3</v>
      </c>
      <c r="R179" s="2" t="s">
        <v>41</v>
      </c>
      <c r="S179" s="2" t="s">
        <v>42</v>
      </c>
      <c r="T179" s="2" t="s">
        <v>43</v>
      </c>
      <c r="U179" s="2">
        <v>9891358505</v>
      </c>
      <c r="V179" s="2" t="s">
        <v>52</v>
      </c>
    </row>
    <row r="180" spans="1:22" x14ac:dyDescent="0.3">
      <c r="A180" s="2" t="s">
        <v>314</v>
      </c>
      <c r="B180" s="2" t="s">
        <v>73</v>
      </c>
      <c r="C180" s="2" t="s">
        <v>106</v>
      </c>
      <c r="D180" s="38">
        <v>45803</v>
      </c>
      <c r="E180" s="38">
        <v>45807</v>
      </c>
      <c r="F180" s="2" t="s">
        <v>74</v>
      </c>
      <c r="G180" s="2" t="s">
        <v>26</v>
      </c>
      <c r="H180" s="38">
        <v>29476</v>
      </c>
      <c r="I180" s="2" t="s">
        <v>92</v>
      </c>
      <c r="J180" s="2" t="s">
        <v>76</v>
      </c>
      <c r="K180" s="2" t="s">
        <v>29</v>
      </c>
      <c r="L180" s="2" t="s">
        <v>108</v>
      </c>
      <c r="M180" s="2">
        <v>19</v>
      </c>
      <c r="N180" s="7">
        <v>8500</v>
      </c>
      <c r="O180" s="2">
        <v>15</v>
      </c>
      <c r="P180" s="7">
        <v>137275</v>
      </c>
      <c r="Q180" s="2">
        <v>2</v>
      </c>
      <c r="R180" s="2" t="s">
        <v>31</v>
      </c>
      <c r="S180" s="2" t="s">
        <v>32</v>
      </c>
      <c r="T180" s="2" t="s">
        <v>94</v>
      </c>
      <c r="U180" s="2">
        <v>9910085332</v>
      </c>
      <c r="V180" s="2" t="s">
        <v>53</v>
      </c>
    </row>
    <row r="181" spans="1:22" x14ac:dyDescent="0.3">
      <c r="A181" s="2" t="s">
        <v>315</v>
      </c>
      <c r="B181" s="2" t="s">
        <v>137</v>
      </c>
      <c r="C181" s="2" t="s">
        <v>83</v>
      </c>
      <c r="D181" s="38">
        <v>45934</v>
      </c>
      <c r="E181" s="38">
        <v>45936</v>
      </c>
      <c r="F181" s="2" t="s">
        <v>138</v>
      </c>
      <c r="G181" s="2" t="s">
        <v>26</v>
      </c>
      <c r="H181" s="38">
        <v>32240</v>
      </c>
      <c r="I181" s="2" t="s">
        <v>123</v>
      </c>
      <c r="J181" s="2" t="s">
        <v>38</v>
      </c>
      <c r="K181" s="2" t="s">
        <v>84</v>
      </c>
      <c r="L181" s="2" t="s">
        <v>85</v>
      </c>
      <c r="M181" s="2">
        <v>19</v>
      </c>
      <c r="N181" s="7">
        <v>60</v>
      </c>
      <c r="O181" s="2">
        <v>20</v>
      </c>
      <c r="P181" s="7">
        <v>912</v>
      </c>
      <c r="Q181" s="2">
        <v>4</v>
      </c>
      <c r="R181" s="2" t="s">
        <v>60</v>
      </c>
      <c r="S181" s="2" t="s">
        <v>42</v>
      </c>
      <c r="T181" s="2" t="s">
        <v>139</v>
      </c>
      <c r="U181" s="2">
        <v>9756908023</v>
      </c>
      <c r="V181" s="2" t="s">
        <v>52</v>
      </c>
    </row>
    <row r="182" spans="1:22" x14ac:dyDescent="0.3">
      <c r="A182" s="2" t="s">
        <v>316</v>
      </c>
      <c r="B182" s="2" t="s">
        <v>73</v>
      </c>
      <c r="C182" s="2" t="s">
        <v>141</v>
      </c>
      <c r="D182" s="38">
        <v>45792</v>
      </c>
      <c r="E182" s="38">
        <v>45803</v>
      </c>
      <c r="F182" s="2" t="s">
        <v>74</v>
      </c>
      <c r="G182" s="2" t="s">
        <v>26</v>
      </c>
      <c r="H182" s="38">
        <v>32192</v>
      </c>
      <c r="I182" s="2" t="s">
        <v>48</v>
      </c>
      <c r="J182" s="2" t="s">
        <v>28</v>
      </c>
      <c r="K182" s="2" t="s">
        <v>84</v>
      </c>
      <c r="L182" s="2" t="s">
        <v>142</v>
      </c>
      <c r="M182" s="2">
        <v>10</v>
      </c>
      <c r="N182" s="7">
        <v>45</v>
      </c>
      <c r="O182" s="2">
        <v>15</v>
      </c>
      <c r="P182" s="7">
        <v>382.5</v>
      </c>
      <c r="Q182" s="2">
        <v>4</v>
      </c>
      <c r="R182" s="2" t="s">
        <v>31</v>
      </c>
      <c r="S182" s="2" t="s">
        <v>97</v>
      </c>
      <c r="T182" s="2" t="s">
        <v>94</v>
      </c>
      <c r="U182" s="2">
        <v>9645913247</v>
      </c>
      <c r="V182" s="2" t="s">
        <v>34</v>
      </c>
    </row>
    <row r="183" spans="1:22" x14ac:dyDescent="0.3">
      <c r="A183" s="2" t="s">
        <v>317</v>
      </c>
      <c r="B183" s="2" t="s">
        <v>55</v>
      </c>
      <c r="C183" s="2" t="s">
        <v>24</v>
      </c>
      <c r="D183" s="38">
        <v>45822</v>
      </c>
      <c r="E183" s="38">
        <v>45831</v>
      </c>
      <c r="F183" s="2" t="s">
        <v>125</v>
      </c>
      <c r="G183" s="2" t="s">
        <v>58</v>
      </c>
      <c r="H183" s="38">
        <v>29923</v>
      </c>
      <c r="I183" s="2" t="s">
        <v>37</v>
      </c>
      <c r="J183" s="2" t="s">
        <v>38</v>
      </c>
      <c r="K183" s="2" t="s">
        <v>29</v>
      </c>
      <c r="L183" s="2" t="s">
        <v>30</v>
      </c>
      <c r="M183" s="2">
        <v>7</v>
      </c>
      <c r="N183" s="7">
        <v>2200</v>
      </c>
      <c r="O183" s="2">
        <v>20</v>
      </c>
      <c r="P183" s="7">
        <v>12320</v>
      </c>
      <c r="Q183" s="2">
        <v>5</v>
      </c>
      <c r="R183" s="2" t="s">
        <v>65</v>
      </c>
      <c r="S183" s="2" t="s">
        <v>42</v>
      </c>
      <c r="T183" s="2" t="s">
        <v>61</v>
      </c>
      <c r="U183" s="2">
        <v>9806914795</v>
      </c>
      <c r="V183" s="2" t="s">
        <v>52</v>
      </c>
    </row>
    <row r="184" spans="1:22" x14ac:dyDescent="0.3">
      <c r="A184" s="2" t="s">
        <v>318</v>
      </c>
      <c r="B184" s="2" t="s">
        <v>73</v>
      </c>
      <c r="C184" s="2" t="s">
        <v>106</v>
      </c>
      <c r="D184" s="38">
        <v>45769</v>
      </c>
      <c r="E184" s="38">
        <v>45781</v>
      </c>
      <c r="F184" s="2" t="s">
        <v>74</v>
      </c>
      <c r="G184" s="2" t="s">
        <v>26</v>
      </c>
      <c r="H184" s="38">
        <v>30723</v>
      </c>
      <c r="I184" s="2" t="s">
        <v>151</v>
      </c>
      <c r="J184" s="2" t="s">
        <v>152</v>
      </c>
      <c r="K184" s="2" t="s">
        <v>29</v>
      </c>
      <c r="L184" s="2" t="s">
        <v>108</v>
      </c>
      <c r="M184" s="2">
        <v>20</v>
      </c>
      <c r="N184" s="7">
        <v>8500</v>
      </c>
      <c r="O184" s="2">
        <v>20</v>
      </c>
      <c r="P184" s="7">
        <v>136000</v>
      </c>
      <c r="Q184" s="2">
        <v>4</v>
      </c>
      <c r="R184" s="2" t="s">
        <v>41</v>
      </c>
      <c r="S184" s="2" t="s">
        <v>32</v>
      </c>
      <c r="T184" s="2" t="s">
        <v>94</v>
      </c>
      <c r="U184" s="2">
        <v>9276222829</v>
      </c>
      <c r="V184" s="2" t="s">
        <v>34</v>
      </c>
    </row>
    <row r="185" spans="1:22" x14ac:dyDescent="0.3">
      <c r="A185" s="2" t="s">
        <v>319</v>
      </c>
      <c r="B185" s="2" t="s">
        <v>137</v>
      </c>
      <c r="C185" s="2" t="s">
        <v>24</v>
      </c>
      <c r="D185" s="38">
        <v>45679</v>
      </c>
      <c r="E185" s="38">
        <v>45681</v>
      </c>
      <c r="F185" s="2" t="s">
        <v>138</v>
      </c>
      <c r="G185" s="2" t="s">
        <v>26</v>
      </c>
      <c r="H185" s="38">
        <v>33579</v>
      </c>
      <c r="I185" s="2" t="s">
        <v>27</v>
      </c>
      <c r="J185" s="2" t="s">
        <v>28</v>
      </c>
      <c r="K185" s="2" t="s">
        <v>29</v>
      </c>
      <c r="L185" s="2" t="s">
        <v>30</v>
      </c>
      <c r="M185" s="2">
        <v>10</v>
      </c>
      <c r="N185" s="7">
        <v>2200</v>
      </c>
      <c r="O185" s="2">
        <v>5</v>
      </c>
      <c r="P185" s="7">
        <v>20900</v>
      </c>
      <c r="Q185" s="2">
        <v>2</v>
      </c>
      <c r="R185" s="2" t="s">
        <v>41</v>
      </c>
      <c r="S185" s="2" t="s">
        <v>42</v>
      </c>
      <c r="T185" s="2" t="s">
        <v>139</v>
      </c>
      <c r="U185" s="2">
        <v>9533835528</v>
      </c>
      <c r="V185" s="2" t="s">
        <v>34</v>
      </c>
    </row>
    <row r="186" spans="1:22" x14ac:dyDescent="0.3">
      <c r="A186" s="2" t="s">
        <v>320</v>
      </c>
      <c r="B186" s="2" t="s">
        <v>88</v>
      </c>
      <c r="C186" s="2" t="s">
        <v>83</v>
      </c>
      <c r="D186" s="38">
        <v>46007</v>
      </c>
      <c r="E186" s="38">
        <v>46017</v>
      </c>
      <c r="F186" s="2" t="s">
        <v>119</v>
      </c>
      <c r="G186" s="2" t="s">
        <v>58</v>
      </c>
      <c r="H186" s="38">
        <v>27811</v>
      </c>
      <c r="I186" s="2" t="s">
        <v>80</v>
      </c>
      <c r="J186" s="2" t="s">
        <v>76</v>
      </c>
      <c r="K186" s="2" t="s">
        <v>84</v>
      </c>
      <c r="L186" s="2" t="s">
        <v>85</v>
      </c>
      <c r="M186" s="2">
        <v>15</v>
      </c>
      <c r="N186" s="7">
        <v>60</v>
      </c>
      <c r="O186" s="2">
        <v>20</v>
      </c>
      <c r="P186" s="7">
        <v>720</v>
      </c>
      <c r="Q186" s="2">
        <v>1</v>
      </c>
      <c r="R186" s="2" t="s">
        <v>60</v>
      </c>
      <c r="S186" s="2" t="s">
        <v>32</v>
      </c>
      <c r="T186" s="2" t="s">
        <v>90</v>
      </c>
      <c r="U186" s="2">
        <v>9654885820</v>
      </c>
      <c r="V186" s="2" t="s">
        <v>34</v>
      </c>
    </row>
    <row r="187" spans="1:22" x14ac:dyDescent="0.3">
      <c r="A187" s="2" t="s">
        <v>321</v>
      </c>
      <c r="B187" s="2" t="s">
        <v>127</v>
      </c>
      <c r="C187" s="2" t="s">
        <v>68</v>
      </c>
      <c r="D187" s="38">
        <v>45832</v>
      </c>
      <c r="E187" s="38">
        <v>45836</v>
      </c>
      <c r="F187" s="2" t="s">
        <v>129</v>
      </c>
      <c r="G187" s="2" t="s">
        <v>58</v>
      </c>
      <c r="H187" s="38">
        <v>27634</v>
      </c>
      <c r="I187" s="2" t="s">
        <v>27</v>
      </c>
      <c r="J187" s="2" t="s">
        <v>28</v>
      </c>
      <c r="K187" s="2" t="s">
        <v>29</v>
      </c>
      <c r="L187" s="2" t="s">
        <v>71</v>
      </c>
      <c r="M187" s="2">
        <v>18</v>
      </c>
      <c r="N187" s="7">
        <v>3500</v>
      </c>
      <c r="O187" s="2">
        <v>5</v>
      </c>
      <c r="P187" s="7">
        <v>59850</v>
      </c>
      <c r="Q187" s="2">
        <v>1</v>
      </c>
      <c r="R187" s="2" t="s">
        <v>60</v>
      </c>
      <c r="S187" s="2" t="s">
        <v>42</v>
      </c>
      <c r="T187" s="2" t="s">
        <v>131</v>
      </c>
      <c r="U187" s="2">
        <v>9456029544</v>
      </c>
      <c r="V187" s="2" t="s">
        <v>53</v>
      </c>
    </row>
    <row r="188" spans="1:22" x14ac:dyDescent="0.3">
      <c r="A188" s="2" t="s">
        <v>322</v>
      </c>
      <c r="B188" s="2" t="s">
        <v>160</v>
      </c>
      <c r="C188" s="2" t="s">
        <v>36</v>
      </c>
      <c r="D188" s="38">
        <v>46154</v>
      </c>
      <c r="E188" s="38">
        <v>46164</v>
      </c>
      <c r="F188" s="2" t="s">
        <v>179</v>
      </c>
      <c r="G188" s="2" t="s">
        <v>58</v>
      </c>
      <c r="H188" s="38">
        <v>32116</v>
      </c>
      <c r="I188" s="2" t="s">
        <v>80</v>
      </c>
      <c r="J188" s="2" t="s">
        <v>76</v>
      </c>
      <c r="K188" s="2" t="s">
        <v>39</v>
      </c>
      <c r="L188" s="2" t="s">
        <v>40</v>
      </c>
      <c r="M188" s="2">
        <v>6</v>
      </c>
      <c r="N188" s="7">
        <v>12000</v>
      </c>
      <c r="O188" s="2">
        <v>5</v>
      </c>
      <c r="P188" s="7">
        <v>68400</v>
      </c>
      <c r="Q188" s="2">
        <v>1</v>
      </c>
      <c r="R188" s="2" t="s">
        <v>41</v>
      </c>
      <c r="S188" s="2" t="s">
        <v>42</v>
      </c>
      <c r="T188" s="2" t="s">
        <v>162</v>
      </c>
      <c r="U188" s="2">
        <v>9914571493</v>
      </c>
      <c r="V188" s="2" t="s">
        <v>53</v>
      </c>
    </row>
    <row r="189" spans="1:22" x14ac:dyDescent="0.3">
      <c r="A189" s="2" t="s">
        <v>323</v>
      </c>
      <c r="B189" s="2" t="s">
        <v>160</v>
      </c>
      <c r="C189" s="2" t="s">
        <v>128</v>
      </c>
      <c r="D189" s="38">
        <v>46067</v>
      </c>
      <c r="E189" s="38">
        <v>46069</v>
      </c>
      <c r="F189" s="2" t="s">
        <v>179</v>
      </c>
      <c r="G189" s="2" t="s">
        <v>58</v>
      </c>
      <c r="H189" s="38">
        <v>38225</v>
      </c>
      <c r="I189" s="2" t="s">
        <v>48</v>
      </c>
      <c r="J189" s="2" t="s">
        <v>28</v>
      </c>
      <c r="K189" s="2" t="s">
        <v>84</v>
      </c>
      <c r="L189" s="2" t="s">
        <v>130</v>
      </c>
      <c r="M189" s="2">
        <v>19</v>
      </c>
      <c r="N189" s="7">
        <v>20</v>
      </c>
      <c r="O189" s="2">
        <v>10</v>
      </c>
      <c r="P189" s="7">
        <v>342</v>
      </c>
      <c r="Q189" s="2">
        <v>2</v>
      </c>
      <c r="R189" s="2" t="s">
        <v>41</v>
      </c>
      <c r="S189" s="2" t="s">
        <v>32</v>
      </c>
      <c r="T189" s="2" t="s">
        <v>162</v>
      </c>
      <c r="U189" s="2">
        <v>9270726986</v>
      </c>
      <c r="V189" s="2" t="s">
        <v>52</v>
      </c>
    </row>
    <row r="190" spans="1:22" x14ac:dyDescent="0.3">
      <c r="A190" s="2" t="s">
        <v>324</v>
      </c>
      <c r="B190" s="2" t="s">
        <v>127</v>
      </c>
      <c r="C190" s="2" t="s">
        <v>24</v>
      </c>
      <c r="D190" s="38">
        <v>46155</v>
      </c>
      <c r="E190" s="38">
        <v>46162</v>
      </c>
      <c r="F190" s="2" t="s">
        <v>129</v>
      </c>
      <c r="G190" s="2" t="s">
        <v>58</v>
      </c>
      <c r="H190" s="38">
        <v>34350</v>
      </c>
      <c r="I190" s="2" t="s">
        <v>80</v>
      </c>
      <c r="J190" s="2" t="s">
        <v>76</v>
      </c>
      <c r="K190" s="2" t="s">
        <v>29</v>
      </c>
      <c r="L190" s="2" t="s">
        <v>30</v>
      </c>
      <c r="M190" s="2">
        <v>7</v>
      </c>
      <c r="N190" s="7">
        <v>2200</v>
      </c>
      <c r="O190" s="2">
        <v>0</v>
      </c>
      <c r="P190" s="7">
        <v>15400</v>
      </c>
      <c r="Q190" s="2">
        <v>1</v>
      </c>
      <c r="R190" s="2" t="s">
        <v>60</v>
      </c>
      <c r="S190" s="2" t="s">
        <v>81</v>
      </c>
      <c r="T190" s="2" t="s">
        <v>131</v>
      </c>
      <c r="U190" s="2">
        <v>9570080664</v>
      </c>
      <c r="V190" s="2" t="s">
        <v>53</v>
      </c>
    </row>
    <row r="191" spans="1:22" x14ac:dyDescent="0.3">
      <c r="A191" s="2" t="s">
        <v>325</v>
      </c>
      <c r="B191" s="2" t="s">
        <v>160</v>
      </c>
      <c r="C191" s="2" t="s">
        <v>36</v>
      </c>
      <c r="D191" s="38">
        <v>45977</v>
      </c>
      <c r="E191" s="38">
        <v>45981</v>
      </c>
      <c r="F191" s="2" t="s">
        <v>179</v>
      </c>
      <c r="G191" s="2" t="s">
        <v>58</v>
      </c>
      <c r="H191" s="38">
        <v>37922</v>
      </c>
      <c r="I191" s="2" t="s">
        <v>123</v>
      </c>
      <c r="J191" s="2" t="s">
        <v>38</v>
      </c>
      <c r="K191" s="2" t="s">
        <v>39</v>
      </c>
      <c r="L191" s="2" t="s">
        <v>40</v>
      </c>
      <c r="M191" s="2">
        <v>3</v>
      </c>
      <c r="N191" s="7">
        <v>12000</v>
      </c>
      <c r="O191" s="2">
        <v>5</v>
      </c>
      <c r="P191" s="7">
        <v>34200</v>
      </c>
      <c r="Q191" s="2">
        <v>3</v>
      </c>
      <c r="R191" s="2" t="s">
        <v>60</v>
      </c>
      <c r="S191" s="2" t="s">
        <v>50</v>
      </c>
      <c r="T191" s="2" t="s">
        <v>162</v>
      </c>
      <c r="U191" s="2">
        <v>9109009524</v>
      </c>
      <c r="V191" s="2" t="s">
        <v>53</v>
      </c>
    </row>
    <row r="192" spans="1:22" x14ac:dyDescent="0.3">
      <c r="A192" s="2" t="s">
        <v>326</v>
      </c>
      <c r="B192" s="2" t="s">
        <v>105</v>
      </c>
      <c r="C192" s="2" t="s">
        <v>24</v>
      </c>
      <c r="D192" s="38">
        <v>45953</v>
      </c>
      <c r="E192" s="38">
        <v>45965</v>
      </c>
      <c r="F192" s="2" t="s">
        <v>170</v>
      </c>
      <c r="G192" s="2" t="s">
        <v>26</v>
      </c>
      <c r="H192" s="38">
        <v>36662</v>
      </c>
      <c r="I192" s="2" t="s">
        <v>123</v>
      </c>
      <c r="J192" s="2" t="s">
        <v>38</v>
      </c>
      <c r="K192" s="2" t="s">
        <v>29</v>
      </c>
      <c r="L192" s="2" t="s">
        <v>30</v>
      </c>
      <c r="M192" s="2">
        <v>16</v>
      </c>
      <c r="N192" s="7">
        <v>2200</v>
      </c>
      <c r="O192" s="2">
        <v>0</v>
      </c>
      <c r="P192" s="7">
        <v>35200</v>
      </c>
      <c r="Q192" s="2">
        <v>5</v>
      </c>
      <c r="R192" s="2" t="s">
        <v>60</v>
      </c>
      <c r="S192" s="2" t="s">
        <v>32</v>
      </c>
      <c r="T192" s="2" t="s">
        <v>109</v>
      </c>
      <c r="U192" s="2">
        <v>9701276770</v>
      </c>
      <c r="V192" s="2" t="s">
        <v>52</v>
      </c>
    </row>
    <row r="193" spans="1:22" x14ac:dyDescent="0.3">
      <c r="A193" s="2" t="s">
        <v>327</v>
      </c>
      <c r="B193" s="2" t="s">
        <v>137</v>
      </c>
      <c r="C193" s="2" t="s">
        <v>24</v>
      </c>
      <c r="D193" s="38">
        <v>45704</v>
      </c>
      <c r="E193" s="38">
        <v>45706</v>
      </c>
      <c r="F193" s="2" t="s">
        <v>138</v>
      </c>
      <c r="G193" s="2" t="s">
        <v>26</v>
      </c>
      <c r="H193" s="38">
        <v>32693</v>
      </c>
      <c r="I193" s="2" t="s">
        <v>37</v>
      </c>
      <c r="J193" s="2" t="s">
        <v>38</v>
      </c>
      <c r="K193" s="2" t="s">
        <v>29</v>
      </c>
      <c r="L193" s="2" t="s">
        <v>30</v>
      </c>
      <c r="M193" s="2">
        <v>8</v>
      </c>
      <c r="N193" s="7">
        <v>2200</v>
      </c>
      <c r="O193" s="2">
        <v>5</v>
      </c>
      <c r="P193" s="7">
        <v>16720</v>
      </c>
      <c r="Q193" s="2">
        <v>2</v>
      </c>
      <c r="R193" s="2" t="s">
        <v>65</v>
      </c>
      <c r="S193" s="2" t="s">
        <v>97</v>
      </c>
      <c r="T193" s="2" t="s">
        <v>139</v>
      </c>
      <c r="U193" s="2">
        <v>9298278507</v>
      </c>
      <c r="V193" s="2" t="s">
        <v>34</v>
      </c>
    </row>
    <row r="194" spans="1:22" x14ac:dyDescent="0.3">
      <c r="A194" s="2" t="s">
        <v>328</v>
      </c>
      <c r="B194" s="2" t="s">
        <v>137</v>
      </c>
      <c r="C194" s="2" t="s">
        <v>24</v>
      </c>
      <c r="D194" s="38">
        <v>46002</v>
      </c>
      <c r="E194" s="38">
        <v>46005</v>
      </c>
      <c r="F194" s="2" t="s">
        <v>138</v>
      </c>
      <c r="G194" s="2" t="s">
        <v>26</v>
      </c>
      <c r="H194" s="38">
        <v>35863</v>
      </c>
      <c r="I194" s="2" t="s">
        <v>92</v>
      </c>
      <c r="J194" s="2" t="s">
        <v>76</v>
      </c>
      <c r="K194" s="2" t="s">
        <v>29</v>
      </c>
      <c r="L194" s="2" t="s">
        <v>30</v>
      </c>
      <c r="M194" s="2">
        <v>10</v>
      </c>
      <c r="N194" s="7">
        <v>2200</v>
      </c>
      <c r="O194" s="2">
        <v>10</v>
      </c>
      <c r="P194" s="7">
        <v>19800</v>
      </c>
      <c r="Q194" s="2">
        <v>5</v>
      </c>
      <c r="R194" s="2" t="s">
        <v>41</v>
      </c>
      <c r="S194" s="2" t="s">
        <v>81</v>
      </c>
      <c r="T194" s="2" t="s">
        <v>139</v>
      </c>
      <c r="U194" s="2">
        <v>9895908093</v>
      </c>
      <c r="V194" s="2" t="s">
        <v>52</v>
      </c>
    </row>
    <row r="195" spans="1:22" x14ac:dyDescent="0.3">
      <c r="A195" s="2" t="s">
        <v>329</v>
      </c>
      <c r="B195" s="2" t="s">
        <v>63</v>
      </c>
      <c r="C195" s="2" t="s">
        <v>128</v>
      </c>
      <c r="D195" s="38">
        <v>45775</v>
      </c>
      <c r="E195" s="38">
        <v>45786</v>
      </c>
      <c r="F195" s="2" t="s">
        <v>111</v>
      </c>
      <c r="G195" s="2" t="s">
        <v>58</v>
      </c>
      <c r="H195" s="38">
        <v>32284</v>
      </c>
      <c r="I195" s="2" t="s">
        <v>37</v>
      </c>
      <c r="J195" s="2" t="s">
        <v>38</v>
      </c>
      <c r="K195" s="2" t="s">
        <v>84</v>
      </c>
      <c r="L195" s="2" t="s">
        <v>130</v>
      </c>
      <c r="M195" s="2">
        <v>7</v>
      </c>
      <c r="N195" s="7">
        <v>20</v>
      </c>
      <c r="O195" s="2">
        <v>10</v>
      </c>
      <c r="P195" s="7">
        <v>126</v>
      </c>
      <c r="Q195" s="2">
        <v>4</v>
      </c>
      <c r="R195" s="2" t="s">
        <v>60</v>
      </c>
      <c r="S195" s="2" t="s">
        <v>50</v>
      </c>
      <c r="T195" s="2" t="s">
        <v>66</v>
      </c>
      <c r="U195" s="2">
        <v>9734108795</v>
      </c>
      <c r="V195" s="2" t="s">
        <v>34</v>
      </c>
    </row>
    <row r="196" spans="1:22" x14ac:dyDescent="0.3">
      <c r="A196" s="2" t="s">
        <v>330</v>
      </c>
      <c r="B196" s="2" t="s">
        <v>127</v>
      </c>
      <c r="C196" s="2" t="s">
        <v>106</v>
      </c>
      <c r="D196" s="38">
        <v>46033</v>
      </c>
      <c r="E196" s="38">
        <v>46036</v>
      </c>
      <c r="F196" s="2" t="s">
        <v>129</v>
      </c>
      <c r="G196" s="2" t="s">
        <v>58</v>
      </c>
      <c r="H196" s="38">
        <v>34533</v>
      </c>
      <c r="I196" s="2" t="s">
        <v>27</v>
      </c>
      <c r="J196" s="2" t="s">
        <v>28</v>
      </c>
      <c r="K196" s="2" t="s">
        <v>29</v>
      </c>
      <c r="L196" s="2" t="s">
        <v>108</v>
      </c>
      <c r="M196" s="2">
        <v>19</v>
      </c>
      <c r="N196" s="7">
        <v>8500</v>
      </c>
      <c r="O196" s="2">
        <v>20</v>
      </c>
      <c r="P196" s="7">
        <v>129200</v>
      </c>
      <c r="Q196" s="2">
        <v>3</v>
      </c>
      <c r="R196" s="2" t="s">
        <v>41</v>
      </c>
      <c r="S196" s="2" t="s">
        <v>50</v>
      </c>
      <c r="T196" s="2" t="s">
        <v>131</v>
      </c>
      <c r="U196" s="2">
        <v>9799597413</v>
      </c>
      <c r="V196" s="2" t="s">
        <v>52</v>
      </c>
    </row>
    <row r="197" spans="1:22" x14ac:dyDescent="0.3">
      <c r="A197" s="2" t="s">
        <v>331</v>
      </c>
      <c r="B197" s="2" t="s">
        <v>73</v>
      </c>
      <c r="C197" s="2" t="s">
        <v>83</v>
      </c>
      <c r="D197" s="38">
        <v>45717</v>
      </c>
      <c r="E197" s="38">
        <v>45722</v>
      </c>
      <c r="F197" s="2" t="s">
        <v>74</v>
      </c>
      <c r="G197" s="2" t="s">
        <v>26</v>
      </c>
      <c r="H197" s="38">
        <v>28444</v>
      </c>
      <c r="I197" s="2" t="s">
        <v>80</v>
      </c>
      <c r="J197" s="2" t="s">
        <v>76</v>
      </c>
      <c r="K197" s="2" t="s">
        <v>84</v>
      </c>
      <c r="L197" s="2" t="s">
        <v>85</v>
      </c>
      <c r="M197" s="2">
        <v>16</v>
      </c>
      <c r="N197" s="7">
        <v>60</v>
      </c>
      <c r="O197" s="2">
        <v>0</v>
      </c>
      <c r="P197" s="7">
        <v>960</v>
      </c>
      <c r="Q197" s="2">
        <v>2</v>
      </c>
      <c r="R197" s="2" t="s">
        <v>41</v>
      </c>
      <c r="S197" s="2" t="s">
        <v>81</v>
      </c>
      <c r="T197" s="2" t="s">
        <v>94</v>
      </c>
      <c r="U197" s="2">
        <v>9688987266</v>
      </c>
      <c r="V197" s="2" t="s">
        <v>34</v>
      </c>
    </row>
    <row r="198" spans="1:22" x14ac:dyDescent="0.3">
      <c r="A198" s="2" t="s">
        <v>332</v>
      </c>
      <c r="B198" s="2" t="s">
        <v>127</v>
      </c>
      <c r="C198" s="2" t="s">
        <v>68</v>
      </c>
      <c r="D198" s="38">
        <v>46127</v>
      </c>
      <c r="E198" s="38">
        <v>46139</v>
      </c>
      <c r="F198" s="2" t="s">
        <v>129</v>
      </c>
      <c r="G198" s="2" t="s">
        <v>58</v>
      </c>
      <c r="H198" s="38">
        <v>30216</v>
      </c>
      <c r="I198" s="2" t="s">
        <v>48</v>
      </c>
      <c r="J198" s="2" t="s">
        <v>28</v>
      </c>
      <c r="K198" s="2" t="s">
        <v>84</v>
      </c>
      <c r="L198" s="2" t="s">
        <v>71</v>
      </c>
      <c r="M198" s="2">
        <v>18</v>
      </c>
      <c r="N198" s="7">
        <v>3500</v>
      </c>
      <c r="O198" s="2">
        <v>5</v>
      </c>
      <c r="P198" s="7">
        <v>59850</v>
      </c>
      <c r="Q198" s="2">
        <v>1</v>
      </c>
      <c r="R198" s="2" t="s">
        <v>65</v>
      </c>
      <c r="S198" s="2" t="s">
        <v>81</v>
      </c>
      <c r="T198" s="2" t="s">
        <v>131</v>
      </c>
      <c r="U198" s="2">
        <v>9867169037</v>
      </c>
      <c r="V198" s="2" t="s">
        <v>52</v>
      </c>
    </row>
    <row r="199" spans="1:22" x14ac:dyDescent="0.3">
      <c r="A199" s="2" t="s">
        <v>334</v>
      </c>
      <c r="B199" s="2" t="s">
        <v>73</v>
      </c>
      <c r="C199" s="2" t="s">
        <v>46</v>
      </c>
      <c r="D199" s="38">
        <v>45708</v>
      </c>
      <c r="E199" s="38">
        <v>45717</v>
      </c>
      <c r="F199" s="2" t="s">
        <v>74</v>
      </c>
      <c r="G199" s="2" t="s">
        <v>26</v>
      </c>
      <c r="H199" s="38">
        <v>34591</v>
      </c>
      <c r="I199" s="2" t="s">
        <v>123</v>
      </c>
      <c r="J199" s="2" t="s">
        <v>38</v>
      </c>
      <c r="K199" s="2" t="s">
        <v>39</v>
      </c>
      <c r="L199" s="2" t="s">
        <v>49</v>
      </c>
      <c r="M199" s="2">
        <v>16</v>
      </c>
      <c r="N199" s="7">
        <v>55000</v>
      </c>
      <c r="O199" s="2">
        <v>0</v>
      </c>
      <c r="P199" s="7">
        <v>880000</v>
      </c>
      <c r="Q199" s="2">
        <v>1</v>
      </c>
      <c r="R199" s="2" t="s">
        <v>60</v>
      </c>
      <c r="S199" s="2" t="s">
        <v>50</v>
      </c>
      <c r="T199" s="2" t="s">
        <v>94</v>
      </c>
      <c r="U199" s="2">
        <v>9485547425</v>
      </c>
      <c r="V199" s="2" t="s">
        <v>53</v>
      </c>
    </row>
    <row r="200" spans="1:22" x14ac:dyDescent="0.3">
      <c r="A200" s="2" t="s">
        <v>335</v>
      </c>
      <c r="B200" s="2" t="s">
        <v>127</v>
      </c>
      <c r="C200" s="2" t="s">
        <v>56</v>
      </c>
      <c r="D200" s="38">
        <v>45694</v>
      </c>
      <c r="E200" s="38">
        <v>45697</v>
      </c>
      <c r="F200" s="2" t="s">
        <v>129</v>
      </c>
      <c r="G200" s="2" t="s">
        <v>58</v>
      </c>
      <c r="H200" s="38">
        <v>35035</v>
      </c>
      <c r="I200" s="2" t="s">
        <v>92</v>
      </c>
      <c r="J200" s="2" t="s">
        <v>76</v>
      </c>
      <c r="K200" s="2" t="s">
        <v>39</v>
      </c>
      <c r="L200" s="2" t="s">
        <v>59</v>
      </c>
      <c r="M200" s="2">
        <v>18</v>
      </c>
      <c r="N200" s="7">
        <v>1200</v>
      </c>
      <c r="O200" s="2">
        <v>15</v>
      </c>
      <c r="P200" s="7">
        <v>18360</v>
      </c>
      <c r="Q200" s="2">
        <v>2</v>
      </c>
      <c r="R200" s="2" t="s">
        <v>41</v>
      </c>
      <c r="S200" s="2" t="s">
        <v>32</v>
      </c>
      <c r="T200" s="2" t="s">
        <v>131</v>
      </c>
      <c r="U200" s="2">
        <v>9889733076</v>
      </c>
      <c r="V200" s="2" t="s">
        <v>53</v>
      </c>
    </row>
    <row r="201" spans="1:22" x14ac:dyDescent="0.3">
      <c r="A201" s="2" t="s">
        <v>336</v>
      </c>
      <c r="B201" s="2" t="s">
        <v>55</v>
      </c>
      <c r="C201" s="2" t="s">
        <v>141</v>
      </c>
      <c r="D201" s="38">
        <v>45801</v>
      </c>
      <c r="E201" s="38">
        <v>45804</v>
      </c>
      <c r="F201" s="2" t="s">
        <v>125</v>
      </c>
      <c r="G201" s="2" t="s">
        <v>58</v>
      </c>
      <c r="H201" s="38">
        <v>31238</v>
      </c>
      <c r="I201" s="2" t="s">
        <v>27</v>
      </c>
      <c r="J201" s="2" t="s">
        <v>28</v>
      </c>
      <c r="K201" s="2" t="s">
        <v>84</v>
      </c>
      <c r="L201" s="2" t="s">
        <v>142</v>
      </c>
      <c r="M201" s="2">
        <v>2</v>
      </c>
      <c r="N201" s="7">
        <v>45</v>
      </c>
      <c r="O201" s="2">
        <v>15</v>
      </c>
      <c r="P201" s="7">
        <v>76.5</v>
      </c>
      <c r="Q201" s="2">
        <v>5</v>
      </c>
      <c r="R201" s="2" t="s">
        <v>31</v>
      </c>
      <c r="S201" s="2" t="s">
        <v>50</v>
      </c>
      <c r="T201" s="2" t="s">
        <v>61</v>
      </c>
      <c r="U201" s="2">
        <v>9145434449</v>
      </c>
      <c r="V201" s="2" t="s">
        <v>53</v>
      </c>
    </row>
    <row r="202" spans="1:22" x14ac:dyDescent="0.3">
      <c r="A202" s="2" t="s">
        <v>337</v>
      </c>
      <c r="B202" s="2" t="s">
        <v>45</v>
      </c>
      <c r="C202" s="2" t="s">
        <v>106</v>
      </c>
      <c r="D202" s="38">
        <v>46028</v>
      </c>
      <c r="E202" s="38">
        <v>46034</v>
      </c>
      <c r="F202" s="2" t="s">
        <v>102</v>
      </c>
      <c r="G202" s="2" t="s">
        <v>26</v>
      </c>
      <c r="H202" s="38">
        <v>36975</v>
      </c>
      <c r="I202" s="2" t="s">
        <v>48</v>
      </c>
      <c r="J202" s="2" t="s">
        <v>28</v>
      </c>
      <c r="K202" s="2" t="s">
        <v>29</v>
      </c>
      <c r="L202" s="2" t="s">
        <v>108</v>
      </c>
      <c r="M202" s="2">
        <v>20</v>
      </c>
      <c r="N202" s="7">
        <v>8500</v>
      </c>
      <c r="O202" s="2">
        <v>0</v>
      </c>
      <c r="P202" s="7">
        <v>170000</v>
      </c>
      <c r="Q202" s="2">
        <v>4</v>
      </c>
      <c r="R202" s="2" t="s">
        <v>41</v>
      </c>
      <c r="S202" s="2" t="s">
        <v>50</v>
      </c>
      <c r="T202" s="2" t="s">
        <v>51</v>
      </c>
      <c r="U202" s="2">
        <v>9598942148</v>
      </c>
      <c r="V202" s="2" t="s">
        <v>53</v>
      </c>
    </row>
    <row r="203" spans="1:22" x14ac:dyDescent="0.3">
      <c r="A203" s="2" t="s">
        <v>338</v>
      </c>
      <c r="B203" s="2" t="s">
        <v>88</v>
      </c>
      <c r="C203" s="2" t="s">
        <v>68</v>
      </c>
      <c r="D203" s="38">
        <v>46089</v>
      </c>
      <c r="E203" s="38">
        <v>46090</v>
      </c>
      <c r="F203" s="2" t="s">
        <v>119</v>
      </c>
      <c r="G203" s="2" t="s">
        <v>58</v>
      </c>
      <c r="H203" s="38">
        <v>29703</v>
      </c>
      <c r="I203" s="2" t="s">
        <v>123</v>
      </c>
      <c r="J203" s="2" t="s">
        <v>38</v>
      </c>
      <c r="K203" s="2" t="s">
        <v>29</v>
      </c>
      <c r="L203" s="2" t="s">
        <v>71</v>
      </c>
      <c r="M203" s="2">
        <v>6</v>
      </c>
      <c r="N203" s="7">
        <v>3500</v>
      </c>
      <c r="O203" s="2">
        <v>5</v>
      </c>
      <c r="P203" s="7">
        <v>19950</v>
      </c>
      <c r="Q203" s="2">
        <v>1</v>
      </c>
      <c r="R203" s="2" t="s">
        <v>31</v>
      </c>
      <c r="S203" s="2" t="s">
        <v>97</v>
      </c>
      <c r="T203" s="2" t="s">
        <v>90</v>
      </c>
      <c r="U203" s="2">
        <v>9599252705</v>
      </c>
      <c r="V203" s="2" t="s">
        <v>34</v>
      </c>
    </row>
    <row r="204" spans="1:22" x14ac:dyDescent="0.3">
      <c r="A204" s="2" t="s">
        <v>339</v>
      </c>
      <c r="B204" s="2" t="s">
        <v>105</v>
      </c>
      <c r="C204" s="2" t="s">
        <v>141</v>
      </c>
      <c r="D204" s="38">
        <v>45935</v>
      </c>
      <c r="E204" s="38">
        <v>45939</v>
      </c>
      <c r="F204" s="2" t="s">
        <v>170</v>
      </c>
      <c r="G204" s="2" t="s">
        <v>26</v>
      </c>
      <c r="H204" s="38">
        <v>37635</v>
      </c>
      <c r="I204" s="2" t="s">
        <v>80</v>
      </c>
      <c r="J204" s="2" t="s">
        <v>76</v>
      </c>
      <c r="K204" s="2" t="s">
        <v>84</v>
      </c>
      <c r="L204" s="2" t="s">
        <v>142</v>
      </c>
      <c r="M204" s="2">
        <v>8</v>
      </c>
      <c r="N204" s="7">
        <v>45</v>
      </c>
      <c r="O204" s="2">
        <v>5</v>
      </c>
      <c r="P204" s="7">
        <v>342</v>
      </c>
      <c r="Q204" s="2">
        <v>2</v>
      </c>
      <c r="R204" s="2" t="s">
        <v>31</v>
      </c>
      <c r="S204" s="2" t="s">
        <v>42</v>
      </c>
      <c r="T204" s="2" t="s">
        <v>109</v>
      </c>
      <c r="U204" s="2">
        <v>9626843681</v>
      </c>
      <c r="V204" s="2" t="s">
        <v>52</v>
      </c>
    </row>
    <row r="205" spans="1:22" x14ac:dyDescent="0.3">
      <c r="A205" s="2" t="s">
        <v>340</v>
      </c>
      <c r="B205" s="2" t="s">
        <v>160</v>
      </c>
      <c r="C205" s="2" t="s">
        <v>24</v>
      </c>
      <c r="D205" s="38">
        <v>45722</v>
      </c>
      <c r="E205" s="38">
        <v>45728</v>
      </c>
      <c r="F205" s="2" t="s">
        <v>179</v>
      </c>
      <c r="G205" s="2" t="s">
        <v>58</v>
      </c>
      <c r="H205" s="38">
        <v>29496</v>
      </c>
      <c r="I205" s="2" t="s">
        <v>75</v>
      </c>
      <c r="J205" s="2" t="s">
        <v>76</v>
      </c>
      <c r="K205" s="2" t="s">
        <v>29</v>
      </c>
      <c r="L205" s="2" t="s">
        <v>30</v>
      </c>
      <c r="M205" s="2">
        <v>18</v>
      </c>
      <c r="N205" s="7">
        <v>2200</v>
      </c>
      <c r="O205" s="2">
        <v>15</v>
      </c>
      <c r="P205" s="7">
        <v>33660</v>
      </c>
      <c r="Q205" s="2">
        <v>4</v>
      </c>
      <c r="R205" s="2" t="s">
        <v>60</v>
      </c>
      <c r="S205" s="2" t="s">
        <v>50</v>
      </c>
      <c r="T205" s="2" t="s">
        <v>162</v>
      </c>
      <c r="U205" s="2">
        <v>9934933215</v>
      </c>
      <c r="V205" s="2" t="s">
        <v>52</v>
      </c>
    </row>
    <row r="206" spans="1:22" x14ac:dyDescent="0.3">
      <c r="A206" s="2" t="s">
        <v>341</v>
      </c>
      <c r="B206" s="2" t="s">
        <v>127</v>
      </c>
      <c r="C206" s="2" t="s">
        <v>113</v>
      </c>
      <c r="D206" s="38">
        <v>46118</v>
      </c>
      <c r="E206" s="38">
        <v>46127</v>
      </c>
      <c r="F206" s="2" t="s">
        <v>129</v>
      </c>
      <c r="G206" s="2" t="s">
        <v>58</v>
      </c>
      <c r="H206" s="38">
        <v>33170</v>
      </c>
      <c r="I206" s="2" t="s">
        <v>27</v>
      </c>
      <c r="J206" s="2" t="s">
        <v>28</v>
      </c>
      <c r="K206" s="2" t="s">
        <v>39</v>
      </c>
      <c r="L206" s="2" t="s">
        <v>115</v>
      </c>
      <c r="M206" s="2">
        <v>18</v>
      </c>
      <c r="N206" s="7">
        <v>700</v>
      </c>
      <c r="O206" s="2">
        <v>15</v>
      </c>
      <c r="P206" s="7">
        <v>10710</v>
      </c>
      <c r="Q206" s="2">
        <v>3</v>
      </c>
      <c r="R206" s="2" t="s">
        <v>60</v>
      </c>
      <c r="S206" s="2" t="s">
        <v>97</v>
      </c>
      <c r="T206" s="2" t="s">
        <v>131</v>
      </c>
      <c r="U206" s="2">
        <v>9508025585</v>
      </c>
      <c r="V206" s="2" t="s">
        <v>53</v>
      </c>
    </row>
    <row r="207" spans="1:22" x14ac:dyDescent="0.3">
      <c r="A207" s="2" t="s">
        <v>342</v>
      </c>
      <c r="B207" s="2" t="s">
        <v>160</v>
      </c>
      <c r="C207" s="2" t="s">
        <v>46</v>
      </c>
      <c r="D207" s="38">
        <v>46039</v>
      </c>
      <c r="E207" s="38">
        <v>46042</v>
      </c>
      <c r="F207" s="2" t="s">
        <v>179</v>
      </c>
      <c r="G207" s="2" t="s">
        <v>58</v>
      </c>
      <c r="H207" s="38">
        <v>28392</v>
      </c>
      <c r="I207" s="2" t="s">
        <v>80</v>
      </c>
      <c r="J207" s="2" t="s">
        <v>76</v>
      </c>
      <c r="K207" s="2" t="s">
        <v>39</v>
      </c>
      <c r="L207" s="2" t="s">
        <v>49</v>
      </c>
      <c r="M207" s="2">
        <v>12</v>
      </c>
      <c r="N207" s="7">
        <v>55000</v>
      </c>
      <c r="O207" s="2">
        <v>0</v>
      </c>
      <c r="P207" s="7">
        <v>660000</v>
      </c>
      <c r="Q207" s="2">
        <v>2</v>
      </c>
      <c r="R207" s="2" t="s">
        <v>65</v>
      </c>
      <c r="S207" s="2" t="s">
        <v>42</v>
      </c>
      <c r="T207" s="2" t="s">
        <v>162</v>
      </c>
      <c r="U207" s="2">
        <v>9364681052</v>
      </c>
      <c r="V207" s="2" t="s">
        <v>53</v>
      </c>
    </row>
    <row r="208" spans="1:22" x14ac:dyDescent="0.3">
      <c r="A208" s="2" t="s">
        <v>343</v>
      </c>
      <c r="B208" s="2" t="s">
        <v>23</v>
      </c>
      <c r="C208" s="2" t="s">
        <v>36</v>
      </c>
      <c r="D208" s="38">
        <v>45976</v>
      </c>
      <c r="E208" s="38">
        <v>45985</v>
      </c>
      <c r="F208" s="2" t="s">
        <v>25</v>
      </c>
      <c r="G208" s="2" t="s">
        <v>26</v>
      </c>
      <c r="H208" s="38">
        <v>35340</v>
      </c>
      <c r="I208" s="2" t="s">
        <v>75</v>
      </c>
      <c r="J208" s="2" t="s">
        <v>76</v>
      </c>
      <c r="K208" s="2" t="s">
        <v>39</v>
      </c>
      <c r="L208" s="2" t="s">
        <v>40</v>
      </c>
      <c r="M208" s="2">
        <v>7</v>
      </c>
      <c r="N208" s="7">
        <v>12000</v>
      </c>
      <c r="O208" s="2">
        <v>5</v>
      </c>
      <c r="P208" s="7">
        <v>79800</v>
      </c>
      <c r="Q208" s="2">
        <v>3</v>
      </c>
      <c r="R208" s="2" t="s">
        <v>60</v>
      </c>
      <c r="S208" s="2" t="s">
        <v>97</v>
      </c>
      <c r="T208" s="2" t="s">
        <v>43</v>
      </c>
      <c r="U208" s="2">
        <v>9117102884</v>
      </c>
      <c r="V208" s="2" t="s">
        <v>52</v>
      </c>
    </row>
    <row r="209" spans="1:22" x14ac:dyDescent="0.3">
      <c r="A209" s="2" t="s">
        <v>344</v>
      </c>
      <c r="B209" s="2" t="s">
        <v>137</v>
      </c>
      <c r="C209" s="2" t="s">
        <v>36</v>
      </c>
      <c r="D209" s="38">
        <v>45921</v>
      </c>
      <c r="E209" s="38">
        <v>45923</v>
      </c>
      <c r="F209" s="2" t="s">
        <v>138</v>
      </c>
      <c r="G209" s="2" t="s">
        <v>26</v>
      </c>
      <c r="H209" s="38">
        <v>27897</v>
      </c>
      <c r="I209" s="2" t="s">
        <v>75</v>
      </c>
      <c r="J209" s="2" t="s">
        <v>76</v>
      </c>
      <c r="K209" s="2" t="s">
        <v>39</v>
      </c>
      <c r="L209" s="2" t="s">
        <v>40</v>
      </c>
      <c r="M209" s="2">
        <v>8</v>
      </c>
      <c r="N209" s="7">
        <v>12000</v>
      </c>
      <c r="O209" s="2">
        <v>15</v>
      </c>
      <c r="P209" s="7">
        <v>81600</v>
      </c>
      <c r="Q209" s="2">
        <v>4</v>
      </c>
      <c r="R209" s="2" t="s">
        <v>60</v>
      </c>
      <c r="S209" s="2" t="s">
        <v>42</v>
      </c>
      <c r="T209" s="2" t="s">
        <v>139</v>
      </c>
      <c r="U209" s="2">
        <v>9819453185</v>
      </c>
      <c r="V209" s="2" t="s">
        <v>34</v>
      </c>
    </row>
    <row r="210" spans="1:22" x14ac:dyDescent="0.3">
      <c r="A210" s="2" t="s">
        <v>345</v>
      </c>
      <c r="B210" s="2" t="s">
        <v>160</v>
      </c>
      <c r="C210" s="2" t="s">
        <v>68</v>
      </c>
      <c r="D210" s="38">
        <v>46009</v>
      </c>
      <c r="E210" s="38">
        <v>46018</v>
      </c>
      <c r="F210" s="2" t="s">
        <v>179</v>
      </c>
      <c r="G210" s="2" t="s">
        <v>58</v>
      </c>
      <c r="H210" s="38">
        <v>32120</v>
      </c>
      <c r="I210" s="2" t="s">
        <v>75</v>
      </c>
      <c r="J210" s="2" t="s">
        <v>76</v>
      </c>
      <c r="K210" s="2" t="s">
        <v>29</v>
      </c>
      <c r="L210" s="2" t="s">
        <v>71</v>
      </c>
      <c r="M210" s="2">
        <v>19</v>
      </c>
      <c r="N210" s="7">
        <v>3500</v>
      </c>
      <c r="O210" s="2">
        <v>5</v>
      </c>
      <c r="P210" s="7">
        <v>63175</v>
      </c>
      <c r="Q210" s="2">
        <v>3</v>
      </c>
      <c r="R210" s="2" t="s">
        <v>60</v>
      </c>
      <c r="S210" s="2" t="s">
        <v>50</v>
      </c>
      <c r="T210" s="2" t="s">
        <v>162</v>
      </c>
      <c r="U210" s="2">
        <v>9511806701</v>
      </c>
      <c r="V210" s="2" t="s">
        <v>52</v>
      </c>
    </row>
    <row r="211" spans="1:22" x14ac:dyDescent="0.3">
      <c r="A211" s="2" t="s">
        <v>346</v>
      </c>
      <c r="B211" s="2" t="s">
        <v>137</v>
      </c>
      <c r="C211" s="2" t="s">
        <v>141</v>
      </c>
      <c r="D211" s="38">
        <v>45694</v>
      </c>
      <c r="E211" s="38">
        <v>45704</v>
      </c>
      <c r="F211" s="2" t="s">
        <v>138</v>
      </c>
      <c r="G211" s="2" t="s">
        <v>26</v>
      </c>
      <c r="H211" s="38">
        <v>33070</v>
      </c>
      <c r="I211" s="2" t="s">
        <v>92</v>
      </c>
      <c r="J211" s="2" t="s">
        <v>76</v>
      </c>
      <c r="K211" s="2" t="s">
        <v>84</v>
      </c>
      <c r="L211" s="2" t="s">
        <v>142</v>
      </c>
      <c r="M211" s="2">
        <v>7</v>
      </c>
      <c r="N211" s="7">
        <v>45</v>
      </c>
      <c r="O211" s="2">
        <v>5</v>
      </c>
      <c r="P211" s="7">
        <v>299.25</v>
      </c>
      <c r="Q211" s="2">
        <v>3</v>
      </c>
      <c r="R211" s="2" t="s">
        <v>60</v>
      </c>
      <c r="S211" s="2" t="s">
        <v>32</v>
      </c>
      <c r="T211" s="2" t="s">
        <v>139</v>
      </c>
      <c r="U211" s="2">
        <v>9875249891</v>
      </c>
      <c r="V211" s="2" t="s">
        <v>53</v>
      </c>
    </row>
    <row r="212" spans="1:22" x14ac:dyDescent="0.3">
      <c r="A212" s="2" t="s">
        <v>347</v>
      </c>
      <c r="B212" s="2" t="s">
        <v>23</v>
      </c>
      <c r="C212" s="2" t="s">
        <v>83</v>
      </c>
      <c r="D212" s="38">
        <v>45810</v>
      </c>
      <c r="E212" s="38">
        <v>45816</v>
      </c>
      <c r="F212" s="2" t="s">
        <v>25</v>
      </c>
      <c r="G212" s="2" t="s">
        <v>26</v>
      </c>
      <c r="H212" s="38">
        <v>33459</v>
      </c>
      <c r="I212" s="2" t="s">
        <v>27</v>
      </c>
      <c r="J212" s="2" t="s">
        <v>28</v>
      </c>
      <c r="K212" s="2" t="s">
        <v>84</v>
      </c>
      <c r="L212" s="2" t="s">
        <v>85</v>
      </c>
      <c r="M212" s="2">
        <v>3</v>
      </c>
      <c r="N212" s="7">
        <v>60</v>
      </c>
      <c r="O212" s="2">
        <v>15</v>
      </c>
      <c r="P212" s="7">
        <v>153</v>
      </c>
      <c r="Q212" s="2">
        <v>3</v>
      </c>
      <c r="R212" s="2" t="s">
        <v>41</v>
      </c>
      <c r="S212" s="2" t="s">
        <v>42</v>
      </c>
      <c r="T212" s="2" t="s">
        <v>43</v>
      </c>
      <c r="U212" s="2">
        <v>9438232503</v>
      </c>
      <c r="V212" s="2" t="s">
        <v>53</v>
      </c>
    </row>
    <row r="213" spans="1:22" x14ac:dyDescent="0.3">
      <c r="A213" s="2" t="s">
        <v>348</v>
      </c>
      <c r="B213" s="2" t="s">
        <v>45</v>
      </c>
      <c r="C213" s="2" t="s">
        <v>141</v>
      </c>
      <c r="D213" s="38">
        <v>46134</v>
      </c>
      <c r="E213" s="38">
        <v>46146</v>
      </c>
      <c r="F213" s="2" t="s">
        <v>102</v>
      </c>
      <c r="G213" s="2" t="s">
        <v>26</v>
      </c>
      <c r="H213" s="38">
        <v>28485</v>
      </c>
      <c r="I213" s="2" t="s">
        <v>80</v>
      </c>
      <c r="J213" s="2" t="s">
        <v>76</v>
      </c>
      <c r="K213" s="2" t="s">
        <v>84</v>
      </c>
      <c r="L213" s="2" t="s">
        <v>142</v>
      </c>
      <c r="M213" s="2">
        <v>19</v>
      </c>
      <c r="N213" s="7">
        <v>45</v>
      </c>
      <c r="O213" s="2">
        <v>0</v>
      </c>
      <c r="P213" s="7">
        <v>855</v>
      </c>
      <c r="Q213" s="2">
        <v>2</v>
      </c>
      <c r="R213" s="2" t="s">
        <v>31</v>
      </c>
      <c r="S213" s="2" t="s">
        <v>50</v>
      </c>
      <c r="T213" s="2" t="s">
        <v>51</v>
      </c>
      <c r="U213" s="2">
        <v>9449953754</v>
      </c>
      <c r="V213" s="2" t="s">
        <v>34</v>
      </c>
    </row>
    <row r="214" spans="1:22" x14ac:dyDescent="0.3">
      <c r="A214" s="2" t="s">
        <v>349</v>
      </c>
      <c r="B214" s="2" t="s">
        <v>73</v>
      </c>
      <c r="C214" s="2" t="s">
        <v>36</v>
      </c>
      <c r="D214" s="38">
        <v>46087</v>
      </c>
      <c r="E214" s="38">
        <v>46097</v>
      </c>
      <c r="F214" s="2" t="s">
        <v>74</v>
      </c>
      <c r="G214" s="2" t="s">
        <v>26</v>
      </c>
      <c r="H214" s="38">
        <v>34854</v>
      </c>
      <c r="I214" s="2" t="s">
        <v>48</v>
      </c>
      <c r="J214" s="2" t="s">
        <v>28</v>
      </c>
      <c r="K214" s="2" t="s">
        <v>39</v>
      </c>
      <c r="L214" s="2" t="s">
        <v>40</v>
      </c>
      <c r="M214" s="2">
        <v>10</v>
      </c>
      <c r="N214" s="7">
        <v>12000</v>
      </c>
      <c r="O214" s="2">
        <v>5</v>
      </c>
      <c r="P214" s="7">
        <v>114000</v>
      </c>
      <c r="Q214" s="2">
        <v>1</v>
      </c>
      <c r="R214" s="2" t="s">
        <v>60</v>
      </c>
      <c r="S214" s="2" t="s">
        <v>81</v>
      </c>
      <c r="T214" s="2" t="s">
        <v>94</v>
      </c>
      <c r="U214" s="2">
        <v>9833801891</v>
      </c>
      <c r="V214" s="2" t="s">
        <v>53</v>
      </c>
    </row>
    <row r="215" spans="1:22" x14ac:dyDescent="0.3">
      <c r="A215" s="2" t="s">
        <v>350</v>
      </c>
      <c r="B215" s="2" t="s">
        <v>23</v>
      </c>
      <c r="C215" s="2" t="s">
        <v>56</v>
      </c>
      <c r="D215" s="38">
        <v>45716</v>
      </c>
      <c r="E215" s="38">
        <v>45728</v>
      </c>
      <c r="F215" s="2" t="s">
        <v>25</v>
      </c>
      <c r="G215" s="2" t="s">
        <v>26</v>
      </c>
      <c r="H215" s="38">
        <v>30636</v>
      </c>
      <c r="I215" s="2" t="s">
        <v>151</v>
      </c>
      <c r="J215" s="2" t="s">
        <v>152</v>
      </c>
      <c r="K215" s="2" t="s">
        <v>39</v>
      </c>
      <c r="L215" s="2" t="s">
        <v>59</v>
      </c>
      <c r="M215" s="2">
        <v>4</v>
      </c>
      <c r="N215" s="7">
        <v>1200</v>
      </c>
      <c r="O215" s="2">
        <v>0</v>
      </c>
      <c r="P215" s="7">
        <v>4800</v>
      </c>
      <c r="Q215" s="2">
        <v>4</v>
      </c>
      <c r="R215" s="2" t="s">
        <v>31</v>
      </c>
      <c r="S215" s="2" t="s">
        <v>50</v>
      </c>
      <c r="T215" s="2" t="s">
        <v>43</v>
      </c>
      <c r="U215" s="2">
        <v>9183949273</v>
      </c>
      <c r="V215" s="2" t="s">
        <v>34</v>
      </c>
    </row>
    <row r="216" spans="1:22" x14ac:dyDescent="0.3">
      <c r="A216" s="2" t="s">
        <v>351</v>
      </c>
      <c r="B216" s="2" t="s">
        <v>127</v>
      </c>
      <c r="C216" s="2" t="s">
        <v>106</v>
      </c>
      <c r="D216" s="38">
        <v>45961</v>
      </c>
      <c r="E216" s="38">
        <v>45968</v>
      </c>
      <c r="F216" s="2" t="s">
        <v>129</v>
      </c>
      <c r="G216" s="2" t="s">
        <v>58</v>
      </c>
      <c r="H216" s="38">
        <v>31330</v>
      </c>
      <c r="I216" s="2" t="s">
        <v>48</v>
      </c>
      <c r="J216" s="2" t="s">
        <v>28</v>
      </c>
      <c r="K216" s="2" t="s">
        <v>29</v>
      </c>
      <c r="L216" s="2" t="s">
        <v>108</v>
      </c>
      <c r="M216" s="2">
        <v>2</v>
      </c>
      <c r="N216" s="7">
        <v>8500</v>
      </c>
      <c r="O216" s="2">
        <v>20</v>
      </c>
      <c r="P216" s="7">
        <v>13600</v>
      </c>
      <c r="Q216" s="2">
        <v>3</v>
      </c>
      <c r="R216" s="2" t="s">
        <v>60</v>
      </c>
      <c r="S216" s="2" t="s">
        <v>97</v>
      </c>
      <c r="T216" s="2" t="s">
        <v>131</v>
      </c>
      <c r="U216" s="2">
        <v>9168257367</v>
      </c>
      <c r="V216" s="2" t="s">
        <v>34</v>
      </c>
    </row>
    <row r="217" spans="1:22" x14ac:dyDescent="0.3">
      <c r="A217" s="2" t="s">
        <v>352</v>
      </c>
      <c r="B217" s="2" t="s">
        <v>63</v>
      </c>
      <c r="C217" s="2" t="s">
        <v>113</v>
      </c>
      <c r="D217" s="38">
        <v>46052</v>
      </c>
      <c r="E217" s="38">
        <v>46061</v>
      </c>
      <c r="F217" s="2" t="s">
        <v>111</v>
      </c>
      <c r="G217" s="2" t="s">
        <v>58</v>
      </c>
      <c r="H217" s="38">
        <v>37263</v>
      </c>
      <c r="I217" s="2" t="s">
        <v>151</v>
      </c>
      <c r="J217" s="2" t="s">
        <v>152</v>
      </c>
      <c r="K217" s="2" t="s">
        <v>39</v>
      </c>
      <c r="L217" s="2" t="s">
        <v>115</v>
      </c>
      <c r="M217" s="2">
        <v>7</v>
      </c>
      <c r="N217" s="7">
        <v>700</v>
      </c>
      <c r="O217" s="2">
        <v>20</v>
      </c>
      <c r="P217" s="7">
        <v>3920</v>
      </c>
      <c r="Q217" s="2">
        <v>2</v>
      </c>
      <c r="R217" s="2" t="s">
        <v>60</v>
      </c>
      <c r="S217" s="2" t="s">
        <v>97</v>
      </c>
      <c r="T217" s="2" t="s">
        <v>66</v>
      </c>
      <c r="U217" s="2">
        <v>9580903210</v>
      </c>
      <c r="V217" s="2" t="s">
        <v>52</v>
      </c>
    </row>
    <row r="218" spans="1:22" x14ac:dyDescent="0.3">
      <c r="A218" s="2" t="s">
        <v>353</v>
      </c>
      <c r="B218" s="2" t="s">
        <v>45</v>
      </c>
      <c r="C218" s="2" t="s">
        <v>128</v>
      </c>
      <c r="D218" s="38">
        <v>46141</v>
      </c>
      <c r="E218" s="38">
        <v>46145</v>
      </c>
      <c r="F218" s="2" t="s">
        <v>102</v>
      </c>
      <c r="G218" s="2" t="s">
        <v>26</v>
      </c>
      <c r="H218" s="38">
        <v>36359</v>
      </c>
      <c r="I218" s="2" t="s">
        <v>80</v>
      </c>
      <c r="J218" s="2" t="s">
        <v>76</v>
      </c>
      <c r="K218" s="2" t="s">
        <v>84</v>
      </c>
      <c r="L218" s="2" t="s">
        <v>130</v>
      </c>
      <c r="M218" s="2">
        <v>9</v>
      </c>
      <c r="N218" s="7">
        <v>20</v>
      </c>
      <c r="O218" s="2">
        <v>15</v>
      </c>
      <c r="P218" s="7">
        <v>153</v>
      </c>
      <c r="Q218" s="2">
        <v>3</v>
      </c>
      <c r="R218" s="2" t="s">
        <v>41</v>
      </c>
      <c r="S218" s="2" t="s">
        <v>81</v>
      </c>
      <c r="T218" s="2" t="s">
        <v>51</v>
      </c>
      <c r="U218" s="2">
        <v>9602152945</v>
      </c>
      <c r="V218" s="2" t="s">
        <v>34</v>
      </c>
    </row>
    <row r="219" spans="1:22" x14ac:dyDescent="0.3">
      <c r="A219" s="2" t="s">
        <v>354</v>
      </c>
      <c r="B219" s="2" t="s">
        <v>73</v>
      </c>
      <c r="C219" s="2" t="s">
        <v>106</v>
      </c>
      <c r="D219" s="38">
        <v>45795</v>
      </c>
      <c r="E219" s="38">
        <v>45797</v>
      </c>
      <c r="F219" s="2" t="s">
        <v>74</v>
      </c>
      <c r="G219" s="2" t="s">
        <v>26</v>
      </c>
      <c r="H219" s="38">
        <v>33118</v>
      </c>
      <c r="I219" s="2" t="s">
        <v>151</v>
      </c>
      <c r="J219" s="2" t="s">
        <v>152</v>
      </c>
      <c r="K219" s="2" t="s">
        <v>29</v>
      </c>
      <c r="L219" s="2" t="s">
        <v>108</v>
      </c>
      <c r="M219" s="2">
        <v>16</v>
      </c>
      <c r="N219" s="7">
        <v>8500</v>
      </c>
      <c r="O219" s="2">
        <v>0</v>
      </c>
      <c r="P219" s="7">
        <v>136000</v>
      </c>
      <c r="Q219" s="2">
        <v>4</v>
      </c>
      <c r="R219" s="2" t="s">
        <v>41</v>
      </c>
      <c r="S219" s="2" t="s">
        <v>32</v>
      </c>
      <c r="T219" s="2" t="s">
        <v>94</v>
      </c>
      <c r="U219" s="2">
        <v>9646917552</v>
      </c>
      <c r="V219" s="2" t="s">
        <v>34</v>
      </c>
    </row>
    <row r="220" spans="1:22" x14ac:dyDescent="0.3">
      <c r="A220" s="2" t="s">
        <v>355</v>
      </c>
      <c r="B220" s="2" t="s">
        <v>137</v>
      </c>
      <c r="C220" s="2" t="s">
        <v>68</v>
      </c>
      <c r="D220" s="38">
        <v>46107</v>
      </c>
      <c r="E220" s="38">
        <v>46109</v>
      </c>
      <c r="F220" s="2" t="s">
        <v>138</v>
      </c>
      <c r="G220" s="2" t="s">
        <v>26</v>
      </c>
      <c r="H220" s="38">
        <v>33818</v>
      </c>
      <c r="I220" s="2" t="s">
        <v>37</v>
      </c>
      <c r="J220" s="2" t="s">
        <v>38</v>
      </c>
      <c r="K220" s="2" t="s">
        <v>29</v>
      </c>
      <c r="L220" s="2" t="s">
        <v>71</v>
      </c>
      <c r="M220" s="2">
        <v>10</v>
      </c>
      <c r="N220" s="7">
        <v>3500</v>
      </c>
      <c r="O220" s="2">
        <v>5</v>
      </c>
      <c r="P220" s="7">
        <v>33250</v>
      </c>
      <c r="Q220" s="2">
        <v>3</v>
      </c>
      <c r="R220" s="2" t="s">
        <v>41</v>
      </c>
      <c r="S220" s="2" t="s">
        <v>81</v>
      </c>
      <c r="T220" s="2" t="s">
        <v>139</v>
      </c>
      <c r="U220" s="2">
        <v>9127548552</v>
      </c>
      <c r="V220" s="2" t="s">
        <v>34</v>
      </c>
    </row>
    <row r="221" spans="1:22" x14ac:dyDescent="0.3">
      <c r="A221" s="2" t="s">
        <v>356</v>
      </c>
      <c r="B221" s="2" t="s">
        <v>45</v>
      </c>
      <c r="C221" s="2" t="s">
        <v>36</v>
      </c>
      <c r="D221" s="38">
        <v>46041</v>
      </c>
      <c r="E221" s="38">
        <v>46049</v>
      </c>
      <c r="F221" s="2" t="s">
        <v>102</v>
      </c>
      <c r="G221" s="2" t="s">
        <v>26</v>
      </c>
      <c r="H221" s="38">
        <v>29260</v>
      </c>
      <c r="I221" s="2" t="s">
        <v>151</v>
      </c>
      <c r="J221" s="2" t="s">
        <v>152</v>
      </c>
      <c r="K221" s="2" t="s">
        <v>39</v>
      </c>
      <c r="L221" s="2" t="s">
        <v>40</v>
      </c>
      <c r="M221" s="2">
        <v>1</v>
      </c>
      <c r="N221" s="7">
        <v>12000</v>
      </c>
      <c r="O221" s="2">
        <v>0</v>
      </c>
      <c r="P221" s="7">
        <v>12000</v>
      </c>
      <c r="Q221" s="2">
        <v>5</v>
      </c>
      <c r="R221" s="2" t="s">
        <v>65</v>
      </c>
      <c r="S221" s="2" t="s">
        <v>81</v>
      </c>
      <c r="T221" s="2" t="s">
        <v>51</v>
      </c>
      <c r="U221" s="2">
        <v>9712805603</v>
      </c>
      <c r="V221" s="2" t="s">
        <v>52</v>
      </c>
    </row>
    <row r="222" spans="1:22" x14ac:dyDescent="0.3">
      <c r="A222" s="2" t="s">
        <v>357</v>
      </c>
      <c r="B222" s="2" t="s">
        <v>160</v>
      </c>
      <c r="C222" s="2" t="s">
        <v>141</v>
      </c>
      <c r="D222" s="38">
        <v>46144</v>
      </c>
      <c r="E222" s="38">
        <v>46152</v>
      </c>
      <c r="F222" s="2" t="s">
        <v>179</v>
      </c>
      <c r="G222" s="2" t="s">
        <v>58</v>
      </c>
      <c r="H222" s="38">
        <v>32557</v>
      </c>
      <c r="I222" s="2" t="s">
        <v>151</v>
      </c>
      <c r="J222" s="2" t="s">
        <v>152</v>
      </c>
      <c r="K222" s="2" t="s">
        <v>84</v>
      </c>
      <c r="L222" s="2" t="s">
        <v>142</v>
      </c>
      <c r="M222" s="2">
        <v>19</v>
      </c>
      <c r="N222" s="7">
        <v>45</v>
      </c>
      <c r="O222" s="2">
        <v>15</v>
      </c>
      <c r="P222" s="7">
        <v>726.75</v>
      </c>
      <c r="Q222" s="2">
        <v>2</v>
      </c>
      <c r="R222" s="2" t="s">
        <v>65</v>
      </c>
      <c r="S222" s="2" t="s">
        <v>97</v>
      </c>
      <c r="T222" s="2" t="s">
        <v>162</v>
      </c>
      <c r="U222" s="2">
        <v>9798313682</v>
      </c>
      <c r="V222" s="2" t="s">
        <v>52</v>
      </c>
    </row>
    <row r="223" spans="1:22" x14ac:dyDescent="0.3">
      <c r="A223" s="2" t="s">
        <v>358</v>
      </c>
      <c r="B223" s="2" t="s">
        <v>23</v>
      </c>
      <c r="C223" s="2" t="s">
        <v>46</v>
      </c>
      <c r="D223" s="38">
        <v>45961</v>
      </c>
      <c r="E223" s="38">
        <v>45963</v>
      </c>
      <c r="F223" s="2" t="s">
        <v>25</v>
      </c>
      <c r="G223" s="2" t="s">
        <v>26</v>
      </c>
      <c r="H223" s="38">
        <v>34222</v>
      </c>
      <c r="I223" s="2" t="s">
        <v>37</v>
      </c>
      <c r="J223" s="2" t="s">
        <v>38</v>
      </c>
      <c r="K223" s="2" t="s">
        <v>39</v>
      </c>
      <c r="L223" s="2" t="s">
        <v>49</v>
      </c>
      <c r="M223" s="2">
        <v>13</v>
      </c>
      <c r="N223" s="7">
        <v>55000</v>
      </c>
      <c r="O223" s="2">
        <v>5</v>
      </c>
      <c r="P223" s="7">
        <v>679250</v>
      </c>
      <c r="Q223" s="2">
        <v>4</v>
      </c>
      <c r="R223" s="2" t="s">
        <v>60</v>
      </c>
      <c r="S223" s="2" t="s">
        <v>42</v>
      </c>
      <c r="T223" s="2" t="s">
        <v>43</v>
      </c>
      <c r="U223" s="2">
        <v>9642822397</v>
      </c>
      <c r="V223" s="2" t="s">
        <v>53</v>
      </c>
    </row>
    <row r="224" spans="1:22" x14ac:dyDescent="0.3">
      <c r="A224" s="2" t="s">
        <v>359</v>
      </c>
      <c r="B224" s="2" t="s">
        <v>63</v>
      </c>
      <c r="C224" s="2" t="s">
        <v>141</v>
      </c>
      <c r="D224" s="38">
        <v>45858</v>
      </c>
      <c r="E224" s="38">
        <v>45864</v>
      </c>
      <c r="F224" s="2" t="s">
        <v>111</v>
      </c>
      <c r="G224" s="2" t="s">
        <v>58</v>
      </c>
      <c r="H224" s="38">
        <v>29907</v>
      </c>
      <c r="I224" s="2" t="s">
        <v>75</v>
      </c>
      <c r="J224" s="2" t="s">
        <v>76</v>
      </c>
      <c r="K224" s="2" t="s">
        <v>84</v>
      </c>
      <c r="L224" s="2" t="s">
        <v>142</v>
      </c>
      <c r="M224" s="2">
        <v>2</v>
      </c>
      <c r="N224" s="7">
        <v>45</v>
      </c>
      <c r="O224" s="2">
        <v>15</v>
      </c>
      <c r="P224" s="7">
        <v>76.5</v>
      </c>
      <c r="Q224" s="2">
        <v>1</v>
      </c>
      <c r="R224" s="2" t="s">
        <v>41</v>
      </c>
      <c r="S224" s="2" t="s">
        <v>81</v>
      </c>
      <c r="T224" s="2" t="s">
        <v>66</v>
      </c>
      <c r="U224" s="2">
        <v>9490067655</v>
      </c>
      <c r="V224" s="2" t="s">
        <v>34</v>
      </c>
    </row>
    <row r="225" spans="1:22" x14ac:dyDescent="0.3">
      <c r="A225" s="2" t="s">
        <v>360</v>
      </c>
      <c r="B225" s="2" t="s">
        <v>73</v>
      </c>
      <c r="C225" s="2" t="s">
        <v>128</v>
      </c>
      <c r="D225" s="38">
        <v>45707</v>
      </c>
      <c r="E225" s="38">
        <v>45712</v>
      </c>
      <c r="F225" s="2" t="s">
        <v>74</v>
      </c>
      <c r="G225" s="2" t="s">
        <v>26</v>
      </c>
      <c r="H225" s="38">
        <v>37857</v>
      </c>
      <c r="I225" s="2" t="s">
        <v>27</v>
      </c>
      <c r="J225" s="2" t="s">
        <v>28</v>
      </c>
      <c r="K225" s="2" t="s">
        <v>84</v>
      </c>
      <c r="L225" s="2" t="s">
        <v>130</v>
      </c>
      <c r="M225" s="2">
        <v>8</v>
      </c>
      <c r="N225" s="7">
        <v>20</v>
      </c>
      <c r="O225" s="2">
        <v>15</v>
      </c>
      <c r="P225" s="7">
        <v>136</v>
      </c>
      <c r="Q225" s="2">
        <v>1</v>
      </c>
      <c r="R225" s="2" t="s">
        <v>60</v>
      </c>
      <c r="S225" s="2" t="s">
        <v>32</v>
      </c>
      <c r="T225" s="2" t="s">
        <v>94</v>
      </c>
      <c r="U225" s="2">
        <v>9389792144</v>
      </c>
      <c r="V225" s="2" t="s">
        <v>52</v>
      </c>
    </row>
    <row r="226" spans="1:22" x14ac:dyDescent="0.3">
      <c r="A226" s="2" t="s">
        <v>361</v>
      </c>
      <c r="B226" s="2" t="s">
        <v>105</v>
      </c>
      <c r="C226" s="2" t="s">
        <v>36</v>
      </c>
      <c r="D226" s="38">
        <v>45767</v>
      </c>
      <c r="E226" s="38">
        <v>45778</v>
      </c>
      <c r="F226" s="2" t="s">
        <v>170</v>
      </c>
      <c r="G226" s="2" t="s">
        <v>26</v>
      </c>
      <c r="H226" s="38">
        <v>31247</v>
      </c>
      <c r="I226" s="2" t="s">
        <v>27</v>
      </c>
      <c r="J226" s="2" t="s">
        <v>28</v>
      </c>
      <c r="K226" s="2" t="s">
        <v>39</v>
      </c>
      <c r="L226" s="2" t="s">
        <v>40</v>
      </c>
      <c r="M226" s="2">
        <v>9</v>
      </c>
      <c r="N226" s="7">
        <v>12000</v>
      </c>
      <c r="O226" s="2">
        <v>5</v>
      </c>
      <c r="P226" s="7">
        <v>102600</v>
      </c>
      <c r="Q226" s="2">
        <v>2</v>
      </c>
      <c r="R226" s="2" t="s">
        <v>60</v>
      </c>
      <c r="S226" s="2" t="s">
        <v>32</v>
      </c>
      <c r="T226" s="2" t="s">
        <v>109</v>
      </c>
      <c r="U226" s="2">
        <v>9736113863</v>
      </c>
      <c r="V226" s="2" t="s">
        <v>53</v>
      </c>
    </row>
    <row r="227" spans="1:22" x14ac:dyDescent="0.3">
      <c r="A227" s="2" t="s">
        <v>362</v>
      </c>
      <c r="B227" s="2" t="s">
        <v>55</v>
      </c>
      <c r="C227" s="2" t="s">
        <v>68</v>
      </c>
      <c r="D227" s="38">
        <v>45813</v>
      </c>
      <c r="E227" s="38">
        <v>45821</v>
      </c>
      <c r="F227" s="2" t="s">
        <v>125</v>
      </c>
      <c r="G227" s="2" t="s">
        <v>58</v>
      </c>
      <c r="H227" s="38">
        <v>34464</v>
      </c>
      <c r="I227" s="2" t="s">
        <v>151</v>
      </c>
      <c r="J227" s="2" t="s">
        <v>152</v>
      </c>
      <c r="K227" s="2" t="s">
        <v>29</v>
      </c>
      <c r="L227" s="2" t="s">
        <v>71</v>
      </c>
      <c r="M227" s="2">
        <v>3</v>
      </c>
      <c r="N227" s="7">
        <v>3500</v>
      </c>
      <c r="O227" s="2">
        <v>15</v>
      </c>
      <c r="P227" s="7">
        <v>8925</v>
      </c>
      <c r="Q227" s="2">
        <v>1</v>
      </c>
      <c r="R227" s="2" t="s">
        <v>31</v>
      </c>
      <c r="S227" s="2" t="s">
        <v>42</v>
      </c>
      <c r="T227" s="2" t="s">
        <v>61</v>
      </c>
      <c r="U227" s="2">
        <v>9324634732</v>
      </c>
      <c r="V227" s="2" t="s">
        <v>53</v>
      </c>
    </row>
    <row r="228" spans="1:22" x14ac:dyDescent="0.3">
      <c r="A228" s="2" t="s">
        <v>363</v>
      </c>
      <c r="B228" s="2" t="s">
        <v>73</v>
      </c>
      <c r="C228" s="2" t="s">
        <v>113</v>
      </c>
      <c r="D228" s="38">
        <v>45797</v>
      </c>
      <c r="E228" s="38">
        <v>45800</v>
      </c>
      <c r="F228" s="2" t="s">
        <v>74</v>
      </c>
      <c r="G228" s="2" t="s">
        <v>26</v>
      </c>
      <c r="H228" s="38">
        <v>34051</v>
      </c>
      <c r="I228" s="2" t="s">
        <v>27</v>
      </c>
      <c r="J228" s="2" t="s">
        <v>28</v>
      </c>
      <c r="K228" s="2" t="s">
        <v>39</v>
      </c>
      <c r="L228" s="2" t="s">
        <v>115</v>
      </c>
      <c r="M228" s="2">
        <v>18</v>
      </c>
      <c r="N228" s="7">
        <v>700</v>
      </c>
      <c r="O228" s="2">
        <v>20</v>
      </c>
      <c r="P228" s="7">
        <v>10080</v>
      </c>
      <c r="Q228" s="2">
        <v>1</v>
      </c>
      <c r="R228" s="2" t="s">
        <v>60</v>
      </c>
      <c r="S228" s="2" t="s">
        <v>97</v>
      </c>
      <c r="T228" s="2" t="s">
        <v>94</v>
      </c>
      <c r="U228" s="2">
        <v>9529968110</v>
      </c>
      <c r="V228" s="2" t="s">
        <v>34</v>
      </c>
    </row>
    <row r="229" spans="1:22" x14ac:dyDescent="0.3">
      <c r="A229" s="2" t="s">
        <v>364</v>
      </c>
      <c r="B229" s="2" t="s">
        <v>55</v>
      </c>
      <c r="C229" s="2" t="s">
        <v>68</v>
      </c>
      <c r="D229" s="38">
        <v>46046</v>
      </c>
      <c r="E229" s="38">
        <v>46053</v>
      </c>
      <c r="F229" s="2" t="s">
        <v>125</v>
      </c>
      <c r="G229" s="2" t="s">
        <v>58</v>
      </c>
      <c r="H229" s="38">
        <v>29019</v>
      </c>
      <c r="I229" s="2" t="s">
        <v>80</v>
      </c>
      <c r="J229" s="2" t="s">
        <v>76</v>
      </c>
      <c r="K229" s="2" t="s">
        <v>29</v>
      </c>
      <c r="L229" s="2" t="s">
        <v>71</v>
      </c>
      <c r="M229" s="2">
        <v>14</v>
      </c>
      <c r="N229" s="7">
        <v>3500</v>
      </c>
      <c r="O229" s="2">
        <v>5</v>
      </c>
      <c r="P229" s="7">
        <v>46550</v>
      </c>
      <c r="Q229" s="2">
        <v>1</v>
      </c>
      <c r="R229" s="2" t="s">
        <v>31</v>
      </c>
      <c r="S229" s="2" t="s">
        <v>50</v>
      </c>
      <c r="T229" s="2" t="s">
        <v>61</v>
      </c>
      <c r="U229" s="2">
        <v>9102417647</v>
      </c>
      <c r="V229" s="2" t="s">
        <v>34</v>
      </c>
    </row>
    <row r="230" spans="1:22" x14ac:dyDescent="0.3">
      <c r="A230" s="2" t="s">
        <v>365</v>
      </c>
      <c r="B230" s="2" t="s">
        <v>73</v>
      </c>
      <c r="C230" s="2" t="s">
        <v>113</v>
      </c>
      <c r="D230" s="38">
        <v>45810</v>
      </c>
      <c r="E230" s="38">
        <v>45812</v>
      </c>
      <c r="F230" s="2" t="s">
        <v>74</v>
      </c>
      <c r="G230" s="2" t="s">
        <v>26</v>
      </c>
      <c r="H230" s="38">
        <v>33262</v>
      </c>
      <c r="I230" s="2" t="s">
        <v>151</v>
      </c>
      <c r="J230" s="2" t="s">
        <v>152</v>
      </c>
      <c r="K230" s="2" t="s">
        <v>39</v>
      </c>
      <c r="L230" s="2" t="s">
        <v>115</v>
      </c>
      <c r="M230" s="2">
        <v>6</v>
      </c>
      <c r="N230" s="7">
        <v>700</v>
      </c>
      <c r="O230" s="2">
        <v>5</v>
      </c>
      <c r="P230" s="7">
        <v>3990</v>
      </c>
      <c r="Q230" s="2">
        <v>5</v>
      </c>
      <c r="R230" s="2" t="s">
        <v>31</v>
      </c>
      <c r="S230" s="2" t="s">
        <v>32</v>
      </c>
      <c r="T230" s="2" t="s">
        <v>94</v>
      </c>
      <c r="U230" s="2">
        <v>9630302865</v>
      </c>
      <c r="V230" s="2" t="s">
        <v>34</v>
      </c>
    </row>
    <row r="231" spans="1:22" x14ac:dyDescent="0.3">
      <c r="A231" s="2" t="s">
        <v>366</v>
      </c>
      <c r="B231" s="2" t="s">
        <v>73</v>
      </c>
      <c r="C231" s="2" t="s">
        <v>68</v>
      </c>
      <c r="D231" s="38">
        <v>45819</v>
      </c>
      <c r="E231" s="38">
        <v>45827</v>
      </c>
      <c r="F231" s="2" t="s">
        <v>74</v>
      </c>
      <c r="G231" s="2" t="s">
        <v>26</v>
      </c>
      <c r="H231" s="38">
        <v>38039</v>
      </c>
      <c r="I231" s="2" t="s">
        <v>75</v>
      </c>
      <c r="J231" s="2" t="s">
        <v>76</v>
      </c>
      <c r="K231" s="2" t="s">
        <v>29</v>
      </c>
      <c r="L231" s="2" t="s">
        <v>71</v>
      </c>
      <c r="M231" s="2">
        <v>17</v>
      </c>
      <c r="N231" s="7">
        <v>3500</v>
      </c>
      <c r="O231" s="2">
        <v>15</v>
      </c>
      <c r="P231" s="7">
        <v>50575</v>
      </c>
      <c r="Q231" s="2">
        <v>3</v>
      </c>
      <c r="R231" s="2" t="s">
        <v>41</v>
      </c>
      <c r="S231" s="2" t="s">
        <v>42</v>
      </c>
      <c r="T231" s="2" t="s">
        <v>94</v>
      </c>
      <c r="U231" s="2">
        <v>9465353780</v>
      </c>
      <c r="V231" s="2" t="s">
        <v>52</v>
      </c>
    </row>
    <row r="232" spans="1:22" x14ac:dyDescent="0.3">
      <c r="A232" s="2" t="s">
        <v>367</v>
      </c>
      <c r="B232" s="2" t="s">
        <v>137</v>
      </c>
      <c r="C232" s="2" t="s">
        <v>128</v>
      </c>
      <c r="D232" s="38">
        <v>46038</v>
      </c>
      <c r="E232" s="38">
        <v>46046</v>
      </c>
      <c r="F232" s="2" t="s">
        <v>138</v>
      </c>
      <c r="G232" s="2" t="s">
        <v>26</v>
      </c>
      <c r="H232" s="38">
        <v>28240</v>
      </c>
      <c r="I232" s="2" t="s">
        <v>151</v>
      </c>
      <c r="J232" s="2" t="s">
        <v>152</v>
      </c>
      <c r="K232" s="2" t="s">
        <v>84</v>
      </c>
      <c r="L232" s="2" t="s">
        <v>130</v>
      </c>
      <c r="M232" s="2">
        <v>7</v>
      </c>
      <c r="N232" s="7">
        <v>20</v>
      </c>
      <c r="O232" s="2">
        <v>5</v>
      </c>
      <c r="P232" s="7">
        <v>133</v>
      </c>
      <c r="Q232" s="2">
        <v>2</v>
      </c>
      <c r="R232" s="2" t="s">
        <v>65</v>
      </c>
      <c r="S232" s="2" t="s">
        <v>97</v>
      </c>
      <c r="T232" s="2" t="s">
        <v>139</v>
      </c>
      <c r="U232" s="2">
        <v>9837426414</v>
      </c>
      <c r="V232" s="2" t="s">
        <v>34</v>
      </c>
    </row>
    <row r="233" spans="1:22" x14ac:dyDescent="0.3">
      <c r="A233" s="2" t="s">
        <v>368</v>
      </c>
      <c r="B233" s="2" t="s">
        <v>23</v>
      </c>
      <c r="C233" s="2" t="s">
        <v>24</v>
      </c>
      <c r="D233" s="38">
        <v>46073</v>
      </c>
      <c r="E233" s="38">
        <v>46085</v>
      </c>
      <c r="F233" s="2" t="s">
        <v>25</v>
      </c>
      <c r="G233" s="2" t="s">
        <v>26</v>
      </c>
      <c r="H233" s="38">
        <v>34537</v>
      </c>
      <c r="I233" s="2" t="s">
        <v>48</v>
      </c>
      <c r="J233" s="2" t="s">
        <v>28</v>
      </c>
      <c r="K233" s="2" t="s">
        <v>29</v>
      </c>
      <c r="L233" s="2" t="s">
        <v>30</v>
      </c>
      <c r="M233" s="2">
        <v>15</v>
      </c>
      <c r="N233" s="7">
        <v>2200</v>
      </c>
      <c r="O233" s="2">
        <v>20</v>
      </c>
      <c r="P233" s="7">
        <v>26400</v>
      </c>
      <c r="Q233" s="2">
        <v>2</v>
      </c>
      <c r="R233" s="2" t="s">
        <v>31</v>
      </c>
      <c r="S233" s="2" t="s">
        <v>50</v>
      </c>
      <c r="T233" s="2" t="s">
        <v>43</v>
      </c>
      <c r="U233" s="2">
        <v>9249918272</v>
      </c>
      <c r="V233" s="2" t="s">
        <v>34</v>
      </c>
    </row>
    <row r="234" spans="1:22" x14ac:dyDescent="0.3">
      <c r="A234" s="2" t="s">
        <v>369</v>
      </c>
      <c r="B234" s="2" t="s">
        <v>55</v>
      </c>
      <c r="C234" s="2" t="s">
        <v>128</v>
      </c>
      <c r="D234" s="38">
        <v>46070</v>
      </c>
      <c r="E234" s="38">
        <v>46078</v>
      </c>
      <c r="F234" s="2" t="s">
        <v>125</v>
      </c>
      <c r="G234" s="2" t="s">
        <v>58</v>
      </c>
      <c r="H234" s="38">
        <v>29170</v>
      </c>
      <c r="I234" s="2" t="s">
        <v>75</v>
      </c>
      <c r="J234" s="2" t="s">
        <v>76</v>
      </c>
      <c r="K234" s="2" t="s">
        <v>84</v>
      </c>
      <c r="L234" s="2" t="s">
        <v>130</v>
      </c>
      <c r="M234" s="2">
        <v>5</v>
      </c>
      <c r="N234" s="7">
        <v>20</v>
      </c>
      <c r="O234" s="2">
        <v>0</v>
      </c>
      <c r="P234" s="7">
        <v>100</v>
      </c>
      <c r="Q234" s="2">
        <v>3</v>
      </c>
      <c r="R234" s="2" t="s">
        <v>31</v>
      </c>
      <c r="S234" s="2" t="s">
        <v>97</v>
      </c>
      <c r="T234" s="2" t="s">
        <v>61</v>
      </c>
      <c r="U234" s="2">
        <v>9265580582</v>
      </c>
      <c r="V234" s="2" t="s">
        <v>34</v>
      </c>
    </row>
    <row r="235" spans="1:22" x14ac:dyDescent="0.3">
      <c r="A235" s="2" t="s">
        <v>370</v>
      </c>
      <c r="B235" s="2" t="s">
        <v>88</v>
      </c>
      <c r="C235" s="2" t="s">
        <v>36</v>
      </c>
      <c r="D235" s="38">
        <v>45847</v>
      </c>
      <c r="E235" s="38">
        <v>45852</v>
      </c>
      <c r="F235" s="2" t="s">
        <v>119</v>
      </c>
      <c r="G235" s="2" t="s">
        <v>58</v>
      </c>
      <c r="H235" s="38">
        <v>34846</v>
      </c>
      <c r="I235" s="2" t="s">
        <v>37</v>
      </c>
      <c r="J235" s="2" t="s">
        <v>38</v>
      </c>
      <c r="K235" s="2" t="s">
        <v>39</v>
      </c>
      <c r="L235" s="2" t="s">
        <v>40</v>
      </c>
      <c r="M235" s="2">
        <v>8</v>
      </c>
      <c r="N235" s="7">
        <v>12000</v>
      </c>
      <c r="O235" s="2">
        <v>20</v>
      </c>
      <c r="P235" s="7">
        <v>76800</v>
      </c>
      <c r="Q235" s="2">
        <v>3</v>
      </c>
      <c r="R235" s="2" t="s">
        <v>60</v>
      </c>
      <c r="S235" s="2" t="s">
        <v>50</v>
      </c>
      <c r="T235" s="2" t="s">
        <v>90</v>
      </c>
      <c r="U235" s="2">
        <v>9751049833</v>
      </c>
      <c r="V235" s="2" t="s">
        <v>52</v>
      </c>
    </row>
    <row r="236" spans="1:22" x14ac:dyDescent="0.3">
      <c r="A236" s="2" t="s">
        <v>371</v>
      </c>
      <c r="B236" s="2" t="s">
        <v>88</v>
      </c>
      <c r="C236" s="2" t="s">
        <v>68</v>
      </c>
      <c r="D236" s="38">
        <v>45696</v>
      </c>
      <c r="E236" s="38">
        <v>45704</v>
      </c>
      <c r="F236" s="2" t="s">
        <v>119</v>
      </c>
      <c r="G236" s="2" t="s">
        <v>58</v>
      </c>
      <c r="H236" s="38">
        <v>35964</v>
      </c>
      <c r="I236" s="2" t="s">
        <v>75</v>
      </c>
      <c r="J236" s="2" t="s">
        <v>76</v>
      </c>
      <c r="K236" s="2" t="s">
        <v>29</v>
      </c>
      <c r="L236" s="2" t="s">
        <v>71</v>
      </c>
      <c r="M236" s="2">
        <v>4</v>
      </c>
      <c r="N236" s="7">
        <v>3500</v>
      </c>
      <c r="O236" s="2">
        <v>20</v>
      </c>
      <c r="P236" s="7">
        <v>11200</v>
      </c>
      <c r="Q236" s="2">
        <v>1</v>
      </c>
      <c r="R236" s="2" t="s">
        <v>60</v>
      </c>
      <c r="S236" s="2" t="s">
        <v>81</v>
      </c>
      <c r="T236" s="2" t="s">
        <v>90</v>
      </c>
      <c r="U236" s="2">
        <v>9741671507</v>
      </c>
      <c r="V236" s="2" t="s">
        <v>34</v>
      </c>
    </row>
    <row r="237" spans="1:22" x14ac:dyDescent="0.3">
      <c r="A237" s="2" t="s">
        <v>372</v>
      </c>
      <c r="B237" s="2" t="s">
        <v>127</v>
      </c>
      <c r="C237" s="2" t="s">
        <v>141</v>
      </c>
      <c r="D237" s="38">
        <v>45713</v>
      </c>
      <c r="E237" s="38">
        <v>45720</v>
      </c>
      <c r="F237" s="2" t="s">
        <v>129</v>
      </c>
      <c r="G237" s="2" t="s">
        <v>58</v>
      </c>
      <c r="H237" s="38">
        <v>30337</v>
      </c>
      <c r="I237" s="2" t="s">
        <v>27</v>
      </c>
      <c r="J237" s="2" t="s">
        <v>28</v>
      </c>
      <c r="K237" s="2" t="s">
        <v>84</v>
      </c>
      <c r="L237" s="2" t="s">
        <v>142</v>
      </c>
      <c r="M237" s="2">
        <v>19</v>
      </c>
      <c r="N237" s="7">
        <v>45</v>
      </c>
      <c r="O237" s="2">
        <v>10</v>
      </c>
      <c r="P237" s="7">
        <v>769.5</v>
      </c>
      <c r="Q237" s="2">
        <v>1</v>
      </c>
      <c r="R237" s="2" t="s">
        <v>31</v>
      </c>
      <c r="S237" s="2" t="s">
        <v>81</v>
      </c>
      <c r="T237" s="2" t="s">
        <v>131</v>
      </c>
      <c r="U237" s="2">
        <v>9367541035</v>
      </c>
      <c r="V237" s="2" t="s">
        <v>34</v>
      </c>
    </row>
    <row r="238" spans="1:22" x14ac:dyDescent="0.3">
      <c r="A238" s="2" t="s">
        <v>373</v>
      </c>
      <c r="B238" s="2" t="s">
        <v>45</v>
      </c>
      <c r="C238" s="2" t="s">
        <v>141</v>
      </c>
      <c r="D238" s="38">
        <v>46049</v>
      </c>
      <c r="E238" s="38">
        <v>46059</v>
      </c>
      <c r="F238" s="2" t="s">
        <v>102</v>
      </c>
      <c r="G238" s="2" t="s">
        <v>26</v>
      </c>
      <c r="H238" s="38">
        <v>28552</v>
      </c>
      <c r="I238" s="2" t="s">
        <v>80</v>
      </c>
      <c r="J238" s="2" t="s">
        <v>76</v>
      </c>
      <c r="K238" s="2" t="s">
        <v>84</v>
      </c>
      <c r="L238" s="2" t="s">
        <v>142</v>
      </c>
      <c r="M238" s="2">
        <v>10</v>
      </c>
      <c r="N238" s="7">
        <v>45</v>
      </c>
      <c r="O238" s="2">
        <v>0</v>
      </c>
      <c r="P238" s="7">
        <v>450</v>
      </c>
      <c r="Q238" s="2">
        <v>4</v>
      </c>
      <c r="R238" s="2" t="s">
        <v>65</v>
      </c>
      <c r="S238" s="2" t="s">
        <v>50</v>
      </c>
      <c r="T238" s="2" t="s">
        <v>51</v>
      </c>
      <c r="U238" s="2">
        <v>9323696971</v>
      </c>
      <c r="V238" s="2" t="s">
        <v>34</v>
      </c>
    </row>
    <row r="239" spans="1:22" x14ac:dyDescent="0.3">
      <c r="A239" s="2" t="s">
        <v>374</v>
      </c>
      <c r="B239" s="2" t="s">
        <v>45</v>
      </c>
      <c r="C239" s="2" t="s">
        <v>141</v>
      </c>
      <c r="D239" s="38">
        <v>46030</v>
      </c>
      <c r="E239" s="38">
        <v>46039</v>
      </c>
      <c r="F239" s="2" t="s">
        <v>102</v>
      </c>
      <c r="G239" s="2" t="s">
        <v>26</v>
      </c>
      <c r="H239" s="38">
        <v>35605</v>
      </c>
      <c r="I239" s="2" t="s">
        <v>27</v>
      </c>
      <c r="J239" s="2" t="s">
        <v>28</v>
      </c>
      <c r="K239" s="2" t="s">
        <v>84</v>
      </c>
      <c r="L239" s="2" t="s">
        <v>142</v>
      </c>
      <c r="M239" s="2">
        <v>16</v>
      </c>
      <c r="N239" s="7">
        <v>45</v>
      </c>
      <c r="O239" s="2">
        <v>15</v>
      </c>
      <c r="P239" s="7">
        <v>612</v>
      </c>
      <c r="Q239" s="2">
        <v>3</v>
      </c>
      <c r="R239" s="2" t="s">
        <v>31</v>
      </c>
      <c r="S239" s="2" t="s">
        <v>81</v>
      </c>
      <c r="T239" s="2" t="s">
        <v>51</v>
      </c>
      <c r="U239" s="2">
        <v>9786384529</v>
      </c>
      <c r="V239" s="2" t="s">
        <v>53</v>
      </c>
    </row>
    <row r="240" spans="1:22" x14ac:dyDescent="0.3">
      <c r="A240" s="2" t="s">
        <v>375</v>
      </c>
      <c r="B240" s="2" t="s">
        <v>105</v>
      </c>
      <c r="C240" s="2" t="s">
        <v>106</v>
      </c>
      <c r="D240" s="38">
        <v>45741</v>
      </c>
      <c r="E240" s="38">
        <v>45743</v>
      </c>
      <c r="F240" s="2" t="s">
        <v>170</v>
      </c>
      <c r="G240" s="2" t="s">
        <v>26</v>
      </c>
      <c r="H240" s="38">
        <v>27997</v>
      </c>
      <c r="I240" s="2" t="s">
        <v>80</v>
      </c>
      <c r="J240" s="2" t="s">
        <v>76</v>
      </c>
      <c r="K240" s="2" t="s">
        <v>29</v>
      </c>
      <c r="L240" s="2" t="s">
        <v>108</v>
      </c>
      <c r="M240" s="2">
        <v>16</v>
      </c>
      <c r="N240" s="7">
        <v>8500</v>
      </c>
      <c r="O240" s="2">
        <v>15</v>
      </c>
      <c r="P240" s="7">
        <v>115600</v>
      </c>
      <c r="Q240" s="2">
        <v>4</v>
      </c>
      <c r="R240" s="2" t="s">
        <v>41</v>
      </c>
      <c r="S240" s="2" t="s">
        <v>32</v>
      </c>
      <c r="T240" s="2" t="s">
        <v>109</v>
      </c>
      <c r="U240" s="2">
        <v>9444900541</v>
      </c>
      <c r="V240" s="2" t="s">
        <v>53</v>
      </c>
    </row>
    <row r="241" spans="1:22" x14ac:dyDescent="0.3">
      <c r="A241" s="2" t="s">
        <v>376</v>
      </c>
      <c r="B241" s="2" t="s">
        <v>105</v>
      </c>
      <c r="C241" s="2" t="s">
        <v>128</v>
      </c>
      <c r="D241" s="38">
        <v>45901</v>
      </c>
      <c r="E241" s="38">
        <v>45912</v>
      </c>
      <c r="F241" s="2" t="s">
        <v>170</v>
      </c>
      <c r="G241" s="2" t="s">
        <v>26</v>
      </c>
      <c r="H241" s="38">
        <v>35159</v>
      </c>
      <c r="I241" s="2" t="s">
        <v>151</v>
      </c>
      <c r="J241" s="2" t="s">
        <v>152</v>
      </c>
      <c r="K241" s="2" t="s">
        <v>84</v>
      </c>
      <c r="L241" s="2" t="s">
        <v>130</v>
      </c>
      <c r="M241" s="2">
        <v>15</v>
      </c>
      <c r="N241" s="7">
        <v>20</v>
      </c>
      <c r="O241" s="2">
        <v>20</v>
      </c>
      <c r="P241" s="7">
        <v>240</v>
      </c>
      <c r="Q241" s="2">
        <v>3</v>
      </c>
      <c r="R241" s="2" t="s">
        <v>41</v>
      </c>
      <c r="S241" s="2" t="s">
        <v>42</v>
      </c>
      <c r="T241" s="2" t="s">
        <v>109</v>
      </c>
      <c r="U241" s="2">
        <v>9108024911</v>
      </c>
      <c r="V241" s="2" t="s">
        <v>53</v>
      </c>
    </row>
    <row r="242" spans="1:22" x14ac:dyDescent="0.3">
      <c r="A242" s="2" t="s">
        <v>377</v>
      </c>
      <c r="B242" s="2" t="s">
        <v>63</v>
      </c>
      <c r="C242" s="2" t="s">
        <v>83</v>
      </c>
      <c r="D242" s="38">
        <v>46031</v>
      </c>
      <c r="E242" s="38">
        <v>46035</v>
      </c>
      <c r="F242" s="2" t="s">
        <v>111</v>
      </c>
      <c r="G242" s="2" t="s">
        <v>58</v>
      </c>
      <c r="H242" s="38">
        <v>37173</v>
      </c>
      <c r="I242" s="2" t="s">
        <v>48</v>
      </c>
      <c r="J242" s="2" t="s">
        <v>28</v>
      </c>
      <c r="K242" s="2" t="s">
        <v>84</v>
      </c>
      <c r="L242" s="2" t="s">
        <v>85</v>
      </c>
      <c r="M242" s="2">
        <v>14</v>
      </c>
      <c r="N242" s="7">
        <v>60</v>
      </c>
      <c r="O242" s="2">
        <v>5</v>
      </c>
      <c r="P242" s="7">
        <v>798</v>
      </c>
      <c r="Q242" s="2">
        <v>4</v>
      </c>
      <c r="R242" s="2" t="s">
        <v>31</v>
      </c>
      <c r="S242" s="2" t="s">
        <v>42</v>
      </c>
      <c r="T242" s="2" t="s">
        <v>66</v>
      </c>
      <c r="U242" s="2">
        <v>9897181325</v>
      </c>
      <c r="V242" s="2" t="s">
        <v>34</v>
      </c>
    </row>
    <row r="243" spans="1:22" x14ac:dyDescent="0.3">
      <c r="A243" s="2" t="s">
        <v>378</v>
      </c>
      <c r="B243" s="2" t="s">
        <v>45</v>
      </c>
      <c r="C243" s="2" t="s">
        <v>56</v>
      </c>
      <c r="D243" s="38">
        <v>46158</v>
      </c>
      <c r="E243" s="38">
        <v>46161</v>
      </c>
      <c r="F243" s="2" t="s">
        <v>102</v>
      </c>
      <c r="G243" s="2" t="s">
        <v>26</v>
      </c>
      <c r="H243" s="38">
        <v>34800</v>
      </c>
      <c r="I243" s="2" t="s">
        <v>75</v>
      </c>
      <c r="J243" s="2" t="s">
        <v>76</v>
      </c>
      <c r="K243" s="2" t="s">
        <v>39</v>
      </c>
      <c r="L243" s="2" t="s">
        <v>59</v>
      </c>
      <c r="M243" s="2">
        <v>19</v>
      </c>
      <c r="N243" s="7">
        <v>1200</v>
      </c>
      <c r="O243" s="2">
        <v>20</v>
      </c>
      <c r="P243" s="7">
        <v>18240</v>
      </c>
      <c r="Q243" s="2">
        <v>2</v>
      </c>
      <c r="R243" s="2" t="s">
        <v>31</v>
      </c>
      <c r="S243" s="2" t="s">
        <v>81</v>
      </c>
      <c r="T243" s="2" t="s">
        <v>51</v>
      </c>
      <c r="U243" s="2">
        <v>9554719621</v>
      </c>
      <c r="V243" s="2" t="s">
        <v>53</v>
      </c>
    </row>
    <row r="244" spans="1:22" x14ac:dyDescent="0.3">
      <c r="A244" s="2" t="s">
        <v>379</v>
      </c>
      <c r="B244" s="2" t="s">
        <v>23</v>
      </c>
      <c r="C244" s="2" t="s">
        <v>141</v>
      </c>
      <c r="D244" s="38">
        <v>45943</v>
      </c>
      <c r="E244" s="38">
        <v>45944</v>
      </c>
      <c r="F244" s="2" t="s">
        <v>25</v>
      </c>
      <c r="G244" s="2" t="s">
        <v>26</v>
      </c>
      <c r="H244" s="38">
        <v>36650</v>
      </c>
      <c r="I244" s="2" t="s">
        <v>48</v>
      </c>
      <c r="J244" s="2" t="s">
        <v>28</v>
      </c>
      <c r="K244" s="2" t="s">
        <v>84</v>
      </c>
      <c r="L244" s="2" t="s">
        <v>142</v>
      </c>
      <c r="M244" s="2">
        <v>5</v>
      </c>
      <c r="N244" s="7">
        <v>45</v>
      </c>
      <c r="O244" s="2">
        <v>15</v>
      </c>
      <c r="P244" s="7">
        <v>191.25</v>
      </c>
      <c r="Q244" s="2">
        <v>2</v>
      </c>
      <c r="R244" s="2" t="s">
        <v>31</v>
      </c>
      <c r="S244" s="2" t="s">
        <v>50</v>
      </c>
      <c r="T244" s="2" t="s">
        <v>43</v>
      </c>
      <c r="U244" s="2">
        <v>9815899217</v>
      </c>
      <c r="V244" s="2" t="s">
        <v>53</v>
      </c>
    </row>
    <row r="245" spans="1:22" x14ac:dyDescent="0.3">
      <c r="A245" s="2" t="s">
        <v>380</v>
      </c>
      <c r="B245" s="2" t="s">
        <v>160</v>
      </c>
      <c r="C245" s="2" t="s">
        <v>113</v>
      </c>
      <c r="D245" s="38">
        <v>45802</v>
      </c>
      <c r="E245" s="38">
        <v>45809</v>
      </c>
      <c r="F245" s="2" t="s">
        <v>179</v>
      </c>
      <c r="G245" s="2" t="s">
        <v>58</v>
      </c>
      <c r="H245" s="38">
        <v>37316</v>
      </c>
      <c r="I245" s="2" t="s">
        <v>27</v>
      </c>
      <c r="J245" s="2" t="s">
        <v>28</v>
      </c>
      <c r="K245" s="2" t="s">
        <v>39</v>
      </c>
      <c r="L245" s="2" t="s">
        <v>115</v>
      </c>
      <c r="M245" s="2">
        <v>19</v>
      </c>
      <c r="N245" s="7">
        <v>700</v>
      </c>
      <c r="O245" s="2">
        <v>5</v>
      </c>
      <c r="P245" s="7">
        <v>12635</v>
      </c>
      <c r="Q245" s="2">
        <v>5</v>
      </c>
      <c r="R245" s="2" t="s">
        <v>65</v>
      </c>
      <c r="S245" s="2" t="s">
        <v>97</v>
      </c>
      <c r="T245" s="2" t="s">
        <v>162</v>
      </c>
      <c r="U245" s="2">
        <v>9308497039</v>
      </c>
      <c r="V245" s="2" t="s">
        <v>34</v>
      </c>
    </row>
    <row r="246" spans="1:22" x14ac:dyDescent="0.3">
      <c r="A246" s="2" t="s">
        <v>381</v>
      </c>
      <c r="B246" s="2" t="s">
        <v>88</v>
      </c>
      <c r="C246" s="2" t="s">
        <v>83</v>
      </c>
      <c r="D246" s="38">
        <v>46025</v>
      </c>
      <c r="E246" s="38">
        <v>46026</v>
      </c>
      <c r="F246" s="2" t="s">
        <v>119</v>
      </c>
      <c r="G246" s="2" t="s">
        <v>58</v>
      </c>
      <c r="H246" s="38">
        <v>27541</v>
      </c>
      <c r="I246" s="2" t="s">
        <v>151</v>
      </c>
      <c r="J246" s="2" t="s">
        <v>152</v>
      </c>
      <c r="K246" s="2" t="s">
        <v>84</v>
      </c>
      <c r="L246" s="2" t="s">
        <v>85</v>
      </c>
      <c r="M246" s="2">
        <v>7</v>
      </c>
      <c r="N246" s="7">
        <v>60</v>
      </c>
      <c r="O246" s="2">
        <v>0</v>
      </c>
      <c r="P246" s="7">
        <v>420</v>
      </c>
      <c r="Q246" s="2">
        <v>4</v>
      </c>
      <c r="R246" s="2" t="s">
        <v>31</v>
      </c>
      <c r="S246" s="2" t="s">
        <v>81</v>
      </c>
      <c r="T246" s="2" t="s">
        <v>90</v>
      </c>
      <c r="U246" s="2">
        <v>9882054354</v>
      </c>
      <c r="V246" s="2" t="s">
        <v>52</v>
      </c>
    </row>
    <row r="247" spans="1:22" x14ac:dyDescent="0.3">
      <c r="A247" s="2" t="s">
        <v>382</v>
      </c>
      <c r="B247" s="2" t="s">
        <v>55</v>
      </c>
      <c r="C247" s="2" t="s">
        <v>24</v>
      </c>
      <c r="D247" s="38">
        <v>46013</v>
      </c>
      <c r="E247" s="38">
        <v>46024</v>
      </c>
      <c r="F247" s="2" t="s">
        <v>125</v>
      </c>
      <c r="G247" s="2" t="s">
        <v>58</v>
      </c>
      <c r="H247" s="38">
        <v>32479</v>
      </c>
      <c r="I247" s="2" t="s">
        <v>75</v>
      </c>
      <c r="J247" s="2" t="s">
        <v>76</v>
      </c>
      <c r="K247" s="2" t="s">
        <v>29</v>
      </c>
      <c r="L247" s="2" t="s">
        <v>30</v>
      </c>
      <c r="M247" s="2">
        <v>13</v>
      </c>
      <c r="N247" s="7">
        <v>2200</v>
      </c>
      <c r="O247" s="2">
        <v>10</v>
      </c>
      <c r="P247" s="7">
        <v>25740</v>
      </c>
      <c r="Q247" s="2">
        <v>1</v>
      </c>
      <c r="R247" s="2" t="s">
        <v>60</v>
      </c>
      <c r="S247" s="2" t="s">
        <v>97</v>
      </c>
      <c r="T247" s="2" t="s">
        <v>61</v>
      </c>
      <c r="U247" s="2">
        <v>9193016830</v>
      </c>
      <c r="V247" s="2" t="s">
        <v>34</v>
      </c>
    </row>
    <row r="248" spans="1:22" x14ac:dyDescent="0.3">
      <c r="A248" s="2" t="s">
        <v>383</v>
      </c>
      <c r="B248" s="2" t="s">
        <v>55</v>
      </c>
      <c r="C248" s="2" t="s">
        <v>24</v>
      </c>
      <c r="D248" s="38">
        <v>46019</v>
      </c>
      <c r="E248" s="38">
        <v>46027</v>
      </c>
      <c r="F248" s="2" t="s">
        <v>125</v>
      </c>
      <c r="G248" s="2" t="s">
        <v>58</v>
      </c>
      <c r="H248" s="38">
        <v>31022</v>
      </c>
      <c r="I248" s="2" t="s">
        <v>48</v>
      </c>
      <c r="J248" s="2" t="s">
        <v>28</v>
      </c>
      <c r="K248" s="2" t="s">
        <v>29</v>
      </c>
      <c r="L248" s="2" t="s">
        <v>30</v>
      </c>
      <c r="M248" s="2">
        <v>9</v>
      </c>
      <c r="N248" s="7">
        <v>2200</v>
      </c>
      <c r="O248" s="2">
        <v>10</v>
      </c>
      <c r="P248" s="7">
        <v>17820</v>
      </c>
      <c r="Q248" s="2">
        <v>2</v>
      </c>
      <c r="R248" s="2" t="s">
        <v>384</v>
      </c>
      <c r="S248" s="2" t="s">
        <v>50</v>
      </c>
      <c r="T248" s="2" t="s">
        <v>61</v>
      </c>
      <c r="U248" s="2">
        <v>9921470418</v>
      </c>
      <c r="V248" s="2" t="s">
        <v>53</v>
      </c>
    </row>
    <row r="249" spans="1:22" x14ac:dyDescent="0.3">
      <c r="A249" s="2" t="s">
        <v>385</v>
      </c>
      <c r="B249" s="2" t="s">
        <v>160</v>
      </c>
      <c r="C249" s="2" t="s">
        <v>106</v>
      </c>
      <c r="D249" s="38">
        <v>45792</v>
      </c>
      <c r="E249" s="38">
        <v>45794</v>
      </c>
      <c r="F249" s="2" t="s">
        <v>179</v>
      </c>
      <c r="G249" s="2" t="s">
        <v>58</v>
      </c>
      <c r="H249" s="38">
        <v>32994</v>
      </c>
      <c r="I249" s="2" t="s">
        <v>48</v>
      </c>
      <c r="J249" s="2" t="s">
        <v>28</v>
      </c>
      <c r="K249" s="2" t="s">
        <v>29</v>
      </c>
      <c r="L249" s="2" t="s">
        <v>108</v>
      </c>
      <c r="M249" s="2">
        <v>6</v>
      </c>
      <c r="N249" s="7">
        <v>8500</v>
      </c>
      <c r="O249" s="2">
        <v>15</v>
      </c>
      <c r="P249" s="7">
        <v>43350</v>
      </c>
      <c r="Q249" s="2">
        <v>2</v>
      </c>
      <c r="R249" s="2" t="s">
        <v>31</v>
      </c>
      <c r="S249" s="2" t="s">
        <v>97</v>
      </c>
      <c r="T249" s="2" t="s">
        <v>162</v>
      </c>
      <c r="U249" s="2">
        <v>9686979026</v>
      </c>
      <c r="V249" s="2" t="s">
        <v>53</v>
      </c>
    </row>
    <row r="250" spans="1:22" x14ac:dyDescent="0.3">
      <c r="A250" s="2" t="s">
        <v>386</v>
      </c>
      <c r="B250" s="2" t="s">
        <v>127</v>
      </c>
      <c r="C250" s="2" t="s">
        <v>24</v>
      </c>
      <c r="D250" s="38">
        <v>46070</v>
      </c>
      <c r="E250" s="38">
        <v>46078</v>
      </c>
      <c r="F250" s="2" t="s">
        <v>129</v>
      </c>
      <c r="G250" s="2" t="s">
        <v>58</v>
      </c>
      <c r="H250" s="38">
        <v>32182</v>
      </c>
      <c r="I250" s="2" t="s">
        <v>37</v>
      </c>
      <c r="J250" s="2" t="s">
        <v>38</v>
      </c>
      <c r="K250" s="2" t="s">
        <v>29</v>
      </c>
      <c r="L250" s="2" t="s">
        <v>30</v>
      </c>
      <c r="M250" s="2">
        <v>9</v>
      </c>
      <c r="N250" s="7">
        <v>2200</v>
      </c>
      <c r="O250" s="2">
        <v>10</v>
      </c>
      <c r="P250" s="7">
        <v>17820</v>
      </c>
      <c r="Q250" s="2">
        <v>3</v>
      </c>
      <c r="R250" s="2" t="s">
        <v>60</v>
      </c>
      <c r="S250" s="2" t="s">
        <v>32</v>
      </c>
      <c r="T250" s="2" t="s">
        <v>131</v>
      </c>
      <c r="U250" s="2">
        <v>9569007422</v>
      </c>
      <c r="V250" s="2" t="s">
        <v>52</v>
      </c>
    </row>
    <row r="251" spans="1:22" x14ac:dyDescent="0.3">
      <c r="A251" s="2" t="s">
        <v>387</v>
      </c>
      <c r="B251" s="2" t="s">
        <v>23</v>
      </c>
      <c r="C251" s="2" t="s">
        <v>106</v>
      </c>
      <c r="D251" s="38">
        <v>45739</v>
      </c>
      <c r="E251" s="38">
        <v>45742</v>
      </c>
      <c r="F251" s="2" t="s">
        <v>25</v>
      </c>
      <c r="G251" s="2" t="s">
        <v>26</v>
      </c>
      <c r="H251" s="38">
        <v>30038</v>
      </c>
      <c r="I251" s="2" t="s">
        <v>151</v>
      </c>
      <c r="J251" s="2" t="s">
        <v>152</v>
      </c>
      <c r="K251" s="2" t="s">
        <v>29</v>
      </c>
      <c r="L251" s="2" t="s">
        <v>108</v>
      </c>
      <c r="M251" s="2">
        <v>16</v>
      </c>
      <c r="N251" s="7">
        <v>8500</v>
      </c>
      <c r="O251" s="2">
        <v>0</v>
      </c>
      <c r="P251" s="7">
        <v>136000</v>
      </c>
      <c r="Q251" s="2">
        <v>5</v>
      </c>
      <c r="R251" s="2" t="s">
        <v>65</v>
      </c>
      <c r="S251" s="2" t="s">
        <v>81</v>
      </c>
      <c r="T251" s="2" t="s">
        <v>43</v>
      </c>
      <c r="U251" s="2">
        <v>9180820441</v>
      </c>
      <c r="V251" s="2" t="s">
        <v>53</v>
      </c>
    </row>
    <row r="252" spans="1:22" x14ac:dyDescent="0.3">
      <c r="A252" s="2" t="s">
        <v>388</v>
      </c>
      <c r="B252" s="2" t="s">
        <v>160</v>
      </c>
      <c r="C252" s="2" t="s">
        <v>56</v>
      </c>
      <c r="D252" s="38">
        <v>46006</v>
      </c>
      <c r="E252" s="38">
        <v>46007</v>
      </c>
      <c r="F252" s="2" t="s">
        <v>179</v>
      </c>
      <c r="G252" s="2" t="s">
        <v>58</v>
      </c>
      <c r="H252" s="38">
        <v>28122</v>
      </c>
      <c r="I252" s="2" t="s">
        <v>37</v>
      </c>
      <c r="J252" s="2" t="s">
        <v>38</v>
      </c>
      <c r="K252" s="2" t="s">
        <v>39</v>
      </c>
      <c r="L252" s="2" t="s">
        <v>59</v>
      </c>
      <c r="M252" s="2">
        <v>10</v>
      </c>
      <c r="N252" s="7">
        <v>1200</v>
      </c>
      <c r="O252" s="2">
        <v>15</v>
      </c>
      <c r="P252" s="7">
        <v>10200</v>
      </c>
      <c r="Q252" s="2">
        <v>5</v>
      </c>
      <c r="R252" s="2" t="s">
        <v>31</v>
      </c>
      <c r="S252" s="2" t="s">
        <v>42</v>
      </c>
      <c r="T252" s="2" t="s">
        <v>162</v>
      </c>
      <c r="U252" s="2">
        <v>9769075826</v>
      </c>
      <c r="V252" s="2" t="s">
        <v>34</v>
      </c>
    </row>
    <row r="253" spans="1:22" x14ac:dyDescent="0.3">
      <c r="A253" s="2" t="s">
        <v>389</v>
      </c>
      <c r="B253" s="2" t="s">
        <v>88</v>
      </c>
      <c r="C253" s="2" t="s">
        <v>36</v>
      </c>
      <c r="D253" s="38">
        <v>45721</v>
      </c>
      <c r="E253" s="38">
        <v>45731</v>
      </c>
      <c r="F253" s="2" t="s">
        <v>119</v>
      </c>
      <c r="G253" s="2" t="s">
        <v>58</v>
      </c>
      <c r="H253" s="38">
        <v>37836</v>
      </c>
      <c r="I253" s="2" t="s">
        <v>151</v>
      </c>
      <c r="J253" s="2" t="s">
        <v>152</v>
      </c>
      <c r="K253" s="2" t="s">
        <v>39</v>
      </c>
      <c r="L253" s="2" t="s">
        <v>40</v>
      </c>
      <c r="M253" s="2">
        <v>7</v>
      </c>
      <c r="N253" s="7">
        <v>12000</v>
      </c>
      <c r="O253" s="2">
        <v>0</v>
      </c>
      <c r="P253" s="7">
        <v>84000</v>
      </c>
      <c r="Q253" s="2">
        <v>1</v>
      </c>
      <c r="R253" s="2" t="s">
        <v>65</v>
      </c>
      <c r="S253" s="2" t="s">
        <v>97</v>
      </c>
      <c r="T253" s="2" t="s">
        <v>90</v>
      </c>
      <c r="U253" s="2">
        <v>9467916296</v>
      </c>
      <c r="V253" s="2" t="s">
        <v>52</v>
      </c>
    </row>
    <row r="254" spans="1:22" x14ac:dyDescent="0.3">
      <c r="A254" s="2" t="s">
        <v>390</v>
      </c>
      <c r="B254" s="2" t="s">
        <v>127</v>
      </c>
      <c r="C254" s="2" t="s">
        <v>36</v>
      </c>
      <c r="D254" s="38">
        <v>45919</v>
      </c>
      <c r="E254" s="38">
        <v>45931</v>
      </c>
      <c r="F254" s="2" t="s">
        <v>129</v>
      </c>
      <c r="G254" s="2" t="s">
        <v>58</v>
      </c>
      <c r="H254" s="38">
        <v>31538</v>
      </c>
      <c r="I254" s="2" t="s">
        <v>80</v>
      </c>
      <c r="J254" s="2" t="s">
        <v>76</v>
      </c>
      <c r="K254" s="2" t="s">
        <v>39</v>
      </c>
      <c r="L254" s="2" t="s">
        <v>40</v>
      </c>
      <c r="M254" s="2">
        <v>3</v>
      </c>
      <c r="N254" s="7">
        <v>12000</v>
      </c>
      <c r="O254" s="2">
        <v>10</v>
      </c>
      <c r="P254" s="7">
        <v>32400</v>
      </c>
      <c r="Q254" s="2">
        <v>4</v>
      </c>
      <c r="R254" s="2" t="s">
        <v>60</v>
      </c>
      <c r="S254" s="2" t="s">
        <v>97</v>
      </c>
      <c r="T254" s="2" t="s">
        <v>131</v>
      </c>
      <c r="U254" s="2">
        <v>9477052923</v>
      </c>
      <c r="V254" s="2" t="s">
        <v>34</v>
      </c>
    </row>
    <row r="255" spans="1:22" x14ac:dyDescent="0.3">
      <c r="A255" s="2" t="s">
        <v>391</v>
      </c>
      <c r="B255" s="2" t="s">
        <v>127</v>
      </c>
      <c r="C255" s="2" t="s">
        <v>36</v>
      </c>
      <c r="D255" s="38">
        <v>45964</v>
      </c>
      <c r="E255" s="38">
        <v>45970</v>
      </c>
      <c r="F255" s="2" t="s">
        <v>129</v>
      </c>
      <c r="G255" s="2" t="s">
        <v>58</v>
      </c>
      <c r="H255" s="38">
        <v>32543</v>
      </c>
      <c r="I255" s="2" t="s">
        <v>27</v>
      </c>
      <c r="J255" s="2" t="s">
        <v>28</v>
      </c>
      <c r="K255" s="2" t="s">
        <v>39</v>
      </c>
      <c r="L255" s="2" t="s">
        <v>40</v>
      </c>
      <c r="M255" s="2">
        <v>4</v>
      </c>
      <c r="N255" s="7">
        <v>12000</v>
      </c>
      <c r="O255" s="2">
        <v>15</v>
      </c>
      <c r="P255" s="7">
        <v>40800</v>
      </c>
      <c r="Q255" s="2">
        <v>3</v>
      </c>
      <c r="R255" s="2" t="s">
        <v>60</v>
      </c>
      <c r="S255" s="2" t="s">
        <v>32</v>
      </c>
      <c r="T255" s="2" t="s">
        <v>131</v>
      </c>
      <c r="U255" s="2">
        <v>9184311420</v>
      </c>
      <c r="V255" s="2" t="s">
        <v>52</v>
      </c>
    </row>
    <row r="256" spans="1:22" x14ac:dyDescent="0.3">
      <c r="A256" s="2" t="s">
        <v>392</v>
      </c>
      <c r="B256" s="2" t="s">
        <v>88</v>
      </c>
      <c r="C256" s="2" t="s">
        <v>36</v>
      </c>
      <c r="D256" s="38">
        <v>45824</v>
      </c>
      <c r="E256" s="38">
        <v>45826</v>
      </c>
      <c r="F256" s="2" t="s">
        <v>119</v>
      </c>
      <c r="G256" s="2" t="s">
        <v>58</v>
      </c>
      <c r="H256" s="38">
        <v>29259</v>
      </c>
      <c r="I256" s="2" t="s">
        <v>27</v>
      </c>
      <c r="J256" s="2" t="s">
        <v>28</v>
      </c>
      <c r="K256" s="2" t="s">
        <v>39</v>
      </c>
      <c r="L256" s="2" t="s">
        <v>40</v>
      </c>
      <c r="M256" s="2">
        <v>13</v>
      </c>
      <c r="N256" s="7">
        <v>12000</v>
      </c>
      <c r="O256" s="2">
        <v>10</v>
      </c>
      <c r="P256" s="7">
        <v>140400</v>
      </c>
      <c r="Q256" s="2">
        <v>2</v>
      </c>
      <c r="R256" s="2" t="s">
        <v>31</v>
      </c>
      <c r="S256" s="2" t="s">
        <v>97</v>
      </c>
      <c r="T256" s="2" t="s">
        <v>90</v>
      </c>
      <c r="U256" s="2">
        <v>9630913127</v>
      </c>
      <c r="V256" s="2" t="s">
        <v>53</v>
      </c>
    </row>
    <row r="257" spans="1:22" x14ac:dyDescent="0.3">
      <c r="A257" s="2" t="s">
        <v>393</v>
      </c>
      <c r="B257" s="2" t="s">
        <v>23</v>
      </c>
      <c r="C257" s="2" t="s">
        <v>68</v>
      </c>
      <c r="D257" s="38">
        <v>45812</v>
      </c>
      <c r="E257" s="38">
        <v>45819</v>
      </c>
      <c r="F257" s="2" t="s">
        <v>25</v>
      </c>
      <c r="G257" s="2" t="s">
        <v>26</v>
      </c>
      <c r="H257" s="38">
        <v>31060</v>
      </c>
      <c r="I257" s="2" t="s">
        <v>48</v>
      </c>
      <c r="J257" s="2" t="s">
        <v>28</v>
      </c>
      <c r="K257" s="2" t="s">
        <v>29</v>
      </c>
      <c r="L257" s="2" t="s">
        <v>71</v>
      </c>
      <c r="M257" s="2">
        <v>19</v>
      </c>
      <c r="N257" s="7">
        <v>3500</v>
      </c>
      <c r="O257" s="2">
        <v>20</v>
      </c>
      <c r="P257" s="7">
        <v>53200</v>
      </c>
      <c r="Q257" s="2">
        <v>1</v>
      </c>
      <c r="R257" s="2" t="s">
        <v>31</v>
      </c>
      <c r="S257" s="2" t="s">
        <v>50</v>
      </c>
      <c r="T257" s="2" t="s">
        <v>43</v>
      </c>
      <c r="U257" s="2">
        <v>9997515828</v>
      </c>
      <c r="V257" s="2" t="s">
        <v>53</v>
      </c>
    </row>
    <row r="258" spans="1:22" x14ac:dyDescent="0.3">
      <c r="A258" s="2" t="s">
        <v>394</v>
      </c>
      <c r="B258" s="2" t="s">
        <v>23</v>
      </c>
      <c r="C258" s="2" t="s">
        <v>24</v>
      </c>
      <c r="D258" s="38">
        <v>45695</v>
      </c>
      <c r="E258" s="38">
        <v>45700</v>
      </c>
      <c r="F258" s="2" t="s">
        <v>25</v>
      </c>
      <c r="G258" s="2" t="s">
        <v>26</v>
      </c>
      <c r="H258" s="38">
        <v>29060</v>
      </c>
      <c r="I258" s="2" t="s">
        <v>75</v>
      </c>
      <c r="J258" s="2" t="s">
        <v>76</v>
      </c>
      <c r="K258" s="2" t="s">
        <v>29</v>
      </c>
      <c r="L258" s="2" t="s">
        <v>30</v>
      </c>
      <c r="M258" s="2">
        <v>7</v>
      </c>
      <c r="N258" s="7">
        <v>2200</v>
      </c>
      <c r="O258" s="2">
        <v>5</v>
      </c>
      <c r="P258" s="7">
        <v>14630</v>
      </c>
      <c r="Q258" s="2">
        <v>3</v>
      </c>
      <c r="R258" s="2" t="s">
        <v>65</v>
      </c>
      <c r="S258" s="2" t="s">
        <v>50</v>
      </c>
      <c r="T258" s="2" t="s">
        <v>43</v>
      </c>
      <c r="U258" s="2">
        <v>9394291182</v>
      </c>
      <c r="V258" s="2" t="s">
        <v>53</v>
      </c>
    </row>
    <row r="259" spans="1:22" x14ac:dyDescent="0.3">
      <c r="A259" s="2" t="s">
        <v>395</v>
      </c>
      <c r="B259" s="2" t="s">
        <v>63</v>
      </c>
      <c r="C259" s="2" t="s">
        <v>113</v>
      </c>
      <c r="D259" s="38">
        <v>46151</v>
      </c>
      <c r="E259" s="38">
        <v>46155</v>
      </c>
      <c r="F259" s="2" t="s">
        <v>111</v>
      </c>
      <c r="G259" s="2" t="s">
        <v>58</v>
      </c>
      <c r="H259" s="38">
        <v>34184</v>
      </c>
      <c r="I259" s="2" t="s">
        <v>123</v>
      </c>
      <c r="J259" s="2" t="s">
        <v>38</v>
      </c>
      <c r="K259" s="2" t="s">
        <v>39</v>
      </c>
      <c r="L259" s="2" t="s">
        <v>115</v>
      </c>
      <c r="M259" s="2">
        <v>18</v>
      </c>
      <c r="N259" s="7">
        <v>700</v>
      </c>
      <c r="O259" s="2">
        <v>5</v>
      </c>
      <c r="P259" s="7">
        <v>11970</v>
      </c>
      <c r="Q259" s="2">
        <v>2</v>
      </c>
      <c r="R259" s="2" t="s">
        <v>65</v>
      </c>
      <c r="S259" s="2" t="s">
        <v>50</v>
      </c>
      <c r="T259" s="2" t="s">
        <v>66</v>
      </c>
      <c r="U259" s="2">
        <v>9616853220</v>
      </c>
      <c r="V259" s="2" t="s">
        <v>53</v>
      </c>
    </row>
    <row r="260" spans="1:22" x14ac:dyDescent="0.3">
      <c r="A260" s="2" t="s">
        <v>396</v>
      </c>
      <c r="B260" s="2" t="s">
        <v>23</v>
      </c>
      <c r="C260" s="2" t="s">
        <v>128</v>
      </c>
      <c r="D260" s="38">
        <v>45858</v>
      </c>
      <c r="E260" s="38">
        <v>45868</v>
      </c>
      <c r="F260" s="2" t="s">
        <v>25</v>
      </c>
      <c r="G260" s="2" t="s">
        <v>26</v>
      </c>
      <c r="H260" s="38">
        <v>27629</v>
      </c>
      <c r="I260" s="2" t="s">
        <v>151</v>
      </c>
      <c r="J260" s="2" t="s">
        <v>152</v>
      </c>
      <c r="K260" s="2" t="s">
        <v>84</v>
      </c>
      <c r="L260" s="2" t="s">
        <v>130</v>
      </c>
      <c r="M260" s="2">
        <v>11</v>
      </c>
      <c r="N260" s="7">
        <v>20</v>
      </c>
      <c r="O260" s="2">
        <v>0</v>
      </c>
      <c r="P260" s="7">
        <v>220</v>
      </c>
      <c r="Q260" s="2">
        <v>2</v>
      </c>
      <c r="R260" s="2" t="s">
        <v>41</v>
      </c>
      <c r="S260" s="2" t="s">
        <v>81</v>
      </c>
      <c r="T260" s="2" t="s">
        <v>43</v>
      </c>
      <c r="U260" s="2">
        <v>9147552626</v>
      </c>
      <c r="V260" s="2" t="s">
        <v>53</v>
      </c>
    </row>
    <row r="261" spans="1:22" x14ac:dyDescent="0.3">
      <c r="A261" s="2" t="s">
        <v>397</v>
      </c>
      <c r="B261" s="2" t="s">
        <v>160</v>
      </c>
      <c r="C261" s="2" t="s">
        <v>36</v>
      </c>
      <c r="D261" s="38">
        <v>45716</v>
      </c>
      <c r="E261" s="38">
        <v>45723</v>
      </c>
      <c r="F261" s="2" t="s">
        <v>179</v>
      </c>
      <c r="G261" s="2" t="s">
        <v>58</v>
      </c>
      <c r="H261" s="38">
        <v>28603</v>
      </c>
      <c r="I261" s="2" t="s">
        <v>80</v>
      </c>
      <c r="J261" s="2" t="s">
        <v>76</v>
      </c>
      <c r="K261" s="2" t="s">
        <v>39</v>
      </c>
      <c r="L261" s="2" t="s">
        <v>40</v>
      </c>
      <c r="M261" s="2">
        <v>17</v>
      </c>
      <c r="N261" s="7">
        <v>12000</v>
      </c>
      <c r="O261" s="2">
        <v>20</v>
      </c>
      <c r="P261" s="7">
        <v>163200</v>
      </c>
      <c r="Q261" s="2">
        <v>4</v>
      </c>
      <c r="R261" s="2" t="s">
        <v>65</v>
      </c>
      <c r="S261" s="2" t="s">
        <v>97</v>
      </c>
      <c r="T261" s="2" t="s">
        <v>162</v>
      </c>
      <c r="U261" s="2">
        <v>9724197033</v>
      </c>
      <c r="V261" s="2" t="s">
        <v>34</v>
      </c>
    </row>
    <row r="262" spans="1:22" x14ac:dyDescent="0.3">
      <c r="A262" s="2" t="s">
        <v>398</v>
      </c>
      <c r="B262" s="2" t="s">
        <v>137</v>
      </c>
      <c r="C262" s="2" t="s">
        <v>24</v>
      </c>
      <c r="D262" s="38">
        <v>45846</v>
      </c>
      <c r="E262" s="38">
        <v>45851</v>
      </c>
      <c r="F262" s="2" t="s">
        <v>138</v>
      </c>
      <c r="G262" s="2" t="s">
        <v>26</v>
      </c>
      <c r="H262" s="38">
        <v>37889</v>
      </c>
      <c r="I262" s="2" t="s">
        <v>151</v>
      </c>
      <c r="J262" s="2" t="s">
        <v>152</v>
      </c>
      <c r="K262" s="2" t="s">
        <v>29</v>
      </c>
      <c r="L262" s="2" t="s">
        <v>30</v>
      </c>
      <c r="M262" s="2">
        <v>4</v>
      </c>
      <c r="N262" s="7">
        <v>2200</v>
      </c>
      <c r="O262" s="2">
        <v>5</v>
      </c>
      <c r="P262" s="7">
        <v>8360</v>
      </c>
      <c r="Q262" s="2">
        <v>2</v>
      </c>
      <c r="R262" s="2" t="s">
        <v>31</v>
      </c>
      <c r="S262" s="2" t="s">
        <v>32</v>
      </c>
      <c r="T262" s="2" t="s">
        <v>139</v>
      </c>
      <c r="U262" s="2">
        <v>9130666128</v>
      </c>
      <c r="V262" s="2" t="s">
        <v>34</v>
      </c>
    </row>
    <row r="263" spans="1:22" x14ac:dyDescent="0.3">
      <c r="A263" s="2" t="s">
        <v>399</v>
      </c>
      <c r="B263" s="2" t="s">
        <v>23</v>
      </c>
      <c r="C263" s="2" t="s">
        <v>46</v>
      </c>
      <c r="D263" s="38">
        <v>46003</v>
      </c>
      <c r="E263" s="38">
        <v>46010</v>
      </c>
      <c r="F263" s="2" t="s">
        <v>25</v>
      </c>
      <c r="G263" s="2" t="s">
        <v>26</v>
      </c>
      <c r="H263" s="38">
        <v>37355</v>
      </c>
      <c r="I263" s="2" t="s">
        <v>92</v>
      </c>
      <c r="J263" s="2" t="s">
        <v>76</v>
      </c>
      <c r="K263" s="2" t="s">
        <v>39</v>
      </c>
      <c r="L263" s="2" t="s">
        <v>49</v>
      </c>
      <c r="M263" s="2">
        <v>6</v>
      </c>
      <c r="N263" s="7">
        <v>55000</v>
      </c>
      <c r="O263" s="2">
        <v>20</v>
      </c>
      <c r="P263" s="7">
        <v>264000</v>
      </c>
      <c r="Q263" s="2">
        <v>2</v>
      </c>
      <c r="R263" s="2" t="s">
        <v>65</v>
      </c>
      <c r="S263" s="2" t="s">
        <v>97</v>
      </c>
      <c r="T263" s="2" t="s">
        <v>43</v>
      </c>
      <c r="U263" s="2">
        <v>9866567601</v>
      </c>
      <c r="V263" s="2" t="s">
        <v>53</v>
      </c>
    </row>
    <row r="264" spans="1:22" x14ac:dyDescent="0.3">
      <c r="A264" s="2" t="s">
        <v>400</v>
      </c>
      <c r="B264" s="2" t="s">
        <v>55</v>
      </c>
      <c r="C264" s="2" t="s">
        <v>106</v>
      </c>
      <c r="D264" s="38">
        <v>46026</v>
      </c>
      <c r="E264" s="38">
        <v>46036</v>
      </c>
      <c r="F264" s="2" t="s">
        <v>125</v>
      </c>
      <c r="G264" s="2" t="s">
        <v>58</v>
      </c>
      <c r="H264" s="38">
        <v>31314</v>
      </c>
      <c r="I264" s="2" t="s">
        <v>37</v>
      </c>
      <c r="J264" s="2" t="s">
        <v>38</v>
      </c>
      <c r="K264" s="2" t="s">
        <v>29</v>
      </c>
      <c r="L264" s="2" t="s">
        <v>108</v>
      </c>
      <c r="M264" s="2">
        <v>6</v>
      </c>
      <c r="N264" s="7">
        <v>8500</v>
      </c>
      <c r="O264" s="2">
        <v>10</v>
      </c>
      <c r="P264" s="7">
        <v>45900</v>
      </c>
      <c r="Q264" s="2">
        <v>5</v>
      </c>
      <c r="R264" s="2" t="s">
        <v>65</v>
      </c>
      <c r="S264" s="2" t="s">
        <v>50</v>
      </c>
      <c r="T264" s="2" t="s">
        <v>61</v>
      </c>
      <c r="U264" s="2">
        <v>9477282450</v>
      </c>
      <c r="V264" s="2" t="s">
        <v>34</v>
      </c>
    </row>
    <row r="265" spans="1:22" x14ac:dyDescent="0.3">
      <c r="A265" s="2" t="s">
        <v>401</v>
      </c>
      <c r="B265" s="2" t="s">
        <v>23</v>
      </c>
      <c r="C265" s="2" t="s">
        <v>128</v>
      </c>
      <c r="D265" s="38">
        <v>45889</v>
      </c>
      <c r="E265" s="38">
        <v>45894</v>
      </c>
      <c r="F265" s="2" t="s">
        <v>25</v>
      </c>
      <c r="G265" s="2" t="s">
        <v>26</v>
      </c>
      <c r="H265" s="38">
        <v>31028</v>
      </c>
      <c r="I265" s="2" t="s">
        <v>123</v>
      </c>
      <c r="J265" s="2" t="s">
        <v>38</v>
      </c>
      <c r="K265" s="2" t="s">
        <v>84</v>
      </c>
      <c r="L265" s="2" t="s">
        <v>130</v>
      </c>
      <c r="M265" s="2">
        <v>6</v>
      </c>
      <c r="N265" s="7">
        <v>20</v>
      </c>
      <c r="O265" s="2">
        <v>15</v>
      </c>
      <c r="P265" s="7">
        <v>102</v>
      </c>
      <c r="Q265" s="2">
        <v>2</v>
      </c>
      <c r="R265" s="2" t="s">
        <v>65</v>
      </c>
      <c r="S265" s="2" t="s">
        <v>42</v>
      </c>
      <c r="T265" s="2" t="s">
        <v>43</v>
      </c>
      <c r="U265" s="2">
        <v>9857621478</v>
      </c>
      <c r="V265" s="2" t="s">
        <v>53</v>
      </c>
    </row>
    <row r="266" spans="1:22" x14ac:dyDescent="0.3">
      <c r="A266" s="2" t="s">
        <v>402</v>
      </c>
      <c r="B266" s="2" t="s">
        <v>45</v>
      </c>
      <c r="C266" s="2" t="s">
        <v>83</v>
      </c>
      <c r="D266" s="38">
        <v>45780</v>
      </c>
      <c r="E266" s="38">
        <v>45788</v>
      </c>
      <c r="F266" s="2" t="s">
        <v>102</v>
      </c>
      <c r="G266" s="2" t="s">
        <v>26</v>
      </c>
      <c r="H266" s="38">
        <v>30883</v>
      </c>
      <c r="I266" s="2" t="s">
        <v>75</v>
      </c>
      <c r="J266" s="2" t="s">
        <v>76</v>
      </c>
      <c r="K266" s="2" t="s">
        <v>84</v>
      </c>
      <c r="L266" s="2" t="s">
        <v>85</v>
      </c>
      <c r="M266" s="2">
        <v>6</v>
      </c>
      <c r="N266" s="7">
        <v>60</v>
      </c>
      <c r="O266" s="2">
        <v>5</v>
      </c>
      <c r="P266" s="7">
        <v>342</v>
      </c>
      <c r="Q266" s="2">
        <v>1</v>
      </c>
      <c r="R266" s="2" t="s">
        <v>41</v>
      </c>
      <c r="S266" s="2" t="s">
        <v>50</v>
      </c>
      <c r="T266" s="2" t="s">
        <v>51</v>
      </c>
      <c r="U266" s="2">
        <v>9753869055</v>
      </c>
      <c r="V266" s="2" t="s">
        <v>34</v>
      </c>
    </row>
    <row r="267" spans="1:22" x14ac:dyDescent="0.3">
      <c r="A267" s="2" t="s">
        <v>403</v>
      </c>
      <c r="B267" s="2" t="s">
        <v>88</v>
      </c>
      <c r="C267" s="2" t="s">
        <v>106</v>
      </c>
      <c r="D267" s="38">
        <v>45666</v>
      </c>
      <c r="E267" s="38">
        <v>45669</v>
      </c>
      <c r="F267" s="2" t="s">
        <v>119</v>
      </c>
      <c r="G267" s="2" t="s">
        <v>58</v>
      </c>
      <c r="H267" s="38">
        <v>32217</v>
      </c>
      <c r="I267" s="2" t="s">
        <v>27</v>
      </c>
      <c r="J267" s="2" t="s">
        <v>28</v>
      </c>
      <c r="K267" s="2" t="s">
        <v>29</v>
      </c>
      <c r="L267" s="2" t="s">
        <v>108</v>
      </c>
      <c r="M267" s="2">
        <v>19</v>
      </c>
      <c r="N267" s="7">
        <v>8500</v>
      </c>
      <c r="O267" s="2">
        <v>0</v>
      </c>
      <c r="P267" s="7">
        <v>161500</v>
      </c>
      <c r="Q267" s="2">
        <v>5</v>
      </c>
      <c r="R267" s="2" t="s">
        <v>65</v>
      </c>
      <c r="S267" s="2" t="s">
        <v>97</v>
      </c>
      <c r="T267" s="2" t="s">
        <v>90</v>
      </c>
      <c r="U267" s="2">
        <v>9663266204</v>
      </c>
      <c r="V267" s="2" t="s">
        <v>34</v>
      </c>
    </row>
    <row r="268" spans="1:22" x14ac:dyDescent="0.3">
      <c r="A268" s="2" t="s">
        <v>404</v>
      </c>
      <c r="B268" s="2" t="s">
        <v>137</v>
      </c>
      <c r="C268" s="2" t="s">
        <v>46</v>
      </c>
      <c r="D268" s="38">
        <v>45901</v>
      </c>
      <c r="E268" s="38">
        <v>45910</v>
      </c>
      <c r="F268" s="2" t="s">
        <v>138</v>
      </c>
      <c r="G268" s="2" t="s">
        <v>26</v>
      </c>
      <c r="H268" s="38">
        <v>31924</v>
      </c>
      <c r="I268" s="2" t="s">
        <v>123</v>
      </c>
      <c r="J268" s="2" t="s">
        <v>38</v>
      </c>
      <c r="K268" s="2" t="s">
        <v>39</v>
      </c>
      <c r="L268" s="2" t="s">
        <v>49</v>
      </c>
      <c r="M268" s="2">
        <v>8</v>
      </c>
      <c r="N268" s="7">
        <v>55000</v>
      </c>
      <c r="O268" s="2">
        <v>0</v>
      </c>
      <c r="P268" s="7">
        <v>440000</v>
      </c>
      <c r="Q268" s="2">
        <v>3</v>
      </c>
      <c r="R268" s="2" t="s">
        <v>60</v>
      </c>
      <c r="S268" s="2" t="s">
        <v>81</v>
      </c>
      <c r="T268" s="2" t="s">
        <v>139</v>
      </c>
      <c r="U268" s="2">
        <v>9675208616</v>
      </c>
      <c r="V268" s="2" t="s">
        <v>52</v>
      </c>
    </row>
    <row r="269" spans="1:22" x14ac:dyDescent="0.3">
      <c r="A269" s="2" t="s">
        <v>405</v>
      </c>
      <c r="B269" s="2" t="s">
        <v>55</v>
      </c>
      <c r="C269" s="2" t="s">
        <v>36</v>
      </c>
      <c r="D269" s="38">
        <v>46144</v>
      </c>
      <c r="E269" s="38">
        <v>46149</v>
      </c>
      <c r="F269" s="2" t="s">
        <v>125</v>
      </c>
      <c r="G269" s="2" t="s">
        <v>58</v>
      </c>
      <c r="H269" s="38">
        <v>32441</v>
      </c>
      <c r="I269" s="2" t="s">
        <v>151</v>
      </c>
      <c r="J269" s="2" t="s">
        <v>152</v>
      </c>
      <c r="K269" s="2" t="s">
        <v>39</v>
      </c>
      <c r="L269" s="2" t="s">
        <v>40</v>
      </c>
      <c r="M269" s="2">
        <v>18</v>
      </c>
      <c r="N269" s="7">
        <v>12000</v>
      </c>
      <c r="O269" s="2">
        <v>20</v>
      </c>
      <c r="P269" s="7">
        <v>172800</v>
      </c>
      <c r="Q269" s="2">
        <v>5</v>
      </c>
      <c r="R269" s="2" t="s">
        <v>65</v>
      </c>
      <c r="S269" s="2" t="s">
        <v>50</v>
      </c>
      <c r="T269" s="2" t="s">
        <v>61</v>
      </c>
      <c r="U269" s="2">
        <v>9618393586</v>
      </c>
      <c r="V269" s="2" t="s">
        <v>53</v>
      </c>
    </row>
    <row r="270" spans="1:22" x14ac:dyDescent="0.3">
      <c r="A270" s="2" t="s">
        <v>406</v>
      </c>
      <c r="B270" s="2" t="s">
        <v>88</v>
      </c>
      <c r="C270" s="2" t="s">
        <v>106</v>
      </c>
      <c r="D270" s="38">
        <v>45764</v>
      </c>
      <c r="E270" s="38">
        <v>45773</v>
      </c>
      <c r="F270" s="2" t="s">
        <v>119</v>
      </c>
      <c r="G270" s="2" t="s">
        <v>58</v>
      </c>
      <c r="H270" s="38">
        <v>33219</v>
      </c>
      <c r="I270" s="2" t="s">
        <v>92</v>
      </c>
      <c r="J270" s="2" t="s">
        <v>76</v>
      </c>
      <c r="K270" s="2" t="s">
        <v>29</v>
      </c>
      <c r="L270" s="2" t="s">
        <v>108</v>
      </c>
      <c r="M270" s="2">
        <v>8</v>
      </c>
      <c r="N270" s="7">
        <v>8500</v>
      </c>
      <c r="O270" s="2">
        <v>5</v>
      </c>
      <c r="P270" s="7">
        <v>64600</v>
      </c>
      <c r="Q270" s="2">
        <v>2</v>
      </c>
      <c r="R270" s="2" t="s">
        <v>60</v>
      </c>
      <c r="S270" s="2" t="s">
        <v>50</v>
      </c>
      <c r="T270" s="2" t="s">
        <v>90</v>
      </c>
      <c r="U270" s="2">
        <v>9137027840</v>
      </c>
      <c r="V270" s="2" t="s">
        <v>53</v>
      </c>
    </row>
    <row r="271" spans="1:22" x14ac:dyDescent="0.3">
      <c r="A271" s="2" t="s">
        <v>407</v>
      </c>
      <c r="B271" s="2" t="s">
        <v>23</v>
      </c>
      <c r="C271" s="2" t="s">
        <v>128</v>
      </c>
      <c r="D271" s="38">
        <v>45878</v>
      </c>
      <c r="E271" s="38">
        <v>45887</v>
      </c>
      <c r="F271" s="2" t="s">
        <v>25</v>
      </c>
      <c r="G271" s="2" t="s">
        <v>26</v>
      </c>
      <c r="H271" s="38">
        <v>29640</v>
      </c>
      <c r="I271" s="2" t="s">
        <v>75</v>
      </c>
      <c r="J271" s="2" t="s">
        <v>76</v>
      </c>
      <c r="K271" s="2" t="s">
        <v>84</v>
      </c>
      <c r="L271" s="2" t="s">
        <v>130</v>
      </c>
      <c r="M271" s="2">
        <v>13</v>
      </c>
      <c r="N271" s="7">
        <v>20</v>
      </c>
      <c r="O271" s="2">
        <v>5</v>
      </c>
      <c r="P271" s="7">
        <v>247</v>
      </c>
      <c r="Q271" s="2">
        <v>3</v>
      </c>
      <c r="R271" s="2" t="s">
        <v>41</v>
      </c>
      <c r="S271" s="2" t="s">
        <v>81</v>
      </c>
      <c r="T271" s="2" t="s">
        <v>43</v>
      </c>
      <c r="U271" s="2">
        <v>9362758134</v>
      </c>
      <c r="V271" s="2" t="s">
        <v>52</v>
      </c>
    </row>
    <row r="272" spans="1:22" x14ac:dyDescent="0.3">
      <c r="A272" s="2" t="s">
        <v>408</v>
      </c>
      <c r="B272" s="2" t="s">
        <v>63</v>
      </c>
      <c r="C272" s="2" t="s">
        <v>83</v>
      </c>
      <c r="D272" s="38">
        <v>46116</v>
      </c>
      <c r="E272" s="38">
        <v>46128</v>
      </c>
      <c r="F272" s="2" t="s">
        <v>111</v>
      </c>
      <c r="G272" s="2" t="s">
        <v>58</v>
      </c>
      <c r="H272" s="38">
        <v>31140</v>
      </c>
      <c r="I272" s="2" t="s">
        <v>123</v>
      </c>
      <c r="J272" s="2" t="s">
        <v>38</v>
      </c>
      <c r="K272" s="2" t="s">
        <v>84</v>
      </c>
      <c r="L272" s="2" t="s">
        <v>85</v>
      </c>
      <c r="M272" s="2">
        <v>1</v>
      </c>
      <c r="N272" s="7">
        <v>60</v>
      </c>
      <c r="O272" s="2">
        <v>15</v>
      </c>
      <c r="P272" s="7">
        <v>51</v>
      </c>
      <c r="Q272" s="2">
        <v>2</v>
      </c>
      <c r="R272" s="2" t="s">
        <v>60</v>
      </c>
      <c r="S272" s="2" t="s">
        <v>50</v>
      </c>
      <c r="T272" s="2" t="s">
        <v>66</v>
      </c>
      <c r="U272" s="2">
        <v>9648541985</v>
      </c>
      <c r="V272" s="2" t="s">
        <v>53</v>
      </c>
    </row>
    <row r="273" spans="1:22" x14ac:dyDescent="0.3">
      <c r="A273" s="2" t="s">
        <v>409</v>
      </c>
      <c r="B273" s="2" t="s">
        <v>45</v>
      </c>
      <c r="C273" s="2" t="s">
        <v>128</v>
      </c>
      <c r="D273" s="38">
        <v>45830</v>
      </c>
      <c r="E273" s="38">
        <v>45836</v>
      </c>
      <c r="F273" s="2" t="s">
        <v>102</v>
      </c>
      <c r="G273" s="2" t="s">
        <v>26</v>
      </c>
      <c r="H273" s="38">
        <v>27978</v>
      </c>
      <c r="I273" s="2" t="s">
        <v>80</v>
      </c>
      <c r="J273" s="2" t="s">
        <v>76</v>
      </c>
      <c r="K273" s="2" t="s">
        <v>84</v>
      </c>
      <c r="L273" s="2" t="s">
        <v>130</v>
      </c>
      <c r="M273" s="2">
        <v>5</v>
      </c>
      <c r="N273" s="7">
        <v>20</v>
      </c>
      <c r="O273" s="2">
        <v>5</v>
      </c>
      <c r="P273" s="7">
        <v>95</v>
      </c>
      <c r="Q273" s="2">
        <v>2</v>
      </c>
      <c r="R273" s="2" t="s">
        <v>41</v>
      </c>
      <c r="S273" s="2" t="s">
        <v>42</v>
      </c>
      <c r="T273" s="2" t="s">
        <v>51</v>
      </c>
      <c r="U273" s="2">
        <v>9175002781</v>
      </c>
      <c r="V273" s="2" t="s">
        <v>52</v>
      </c>
    </row>
    <row r="274" spans="1:22" x14ac:dyDescent="0.3">
      <c r="A274" s="2" t="s">
        <v>410</v>
      </c>
      <c r="B274" s="2" t="s">
        <v>127</v>
      </c>
      <c r="C274" s="2" t="s">
        <v>128</v>
      </c>
      <c r="D274" s="38">
        <v>45796</v>
      </c>
      <c r="E274" s="38">
        <v>45801</v>
      </c>
      <c r="F274" s="2" t="s">
        <v>129</v>
      </c>
      <c r="G274" s="2" t="s">
        <v>58</v>
      </c>
      <c r="H274" s="38">
        <v>28623</v>
      </c>
      <c r="I274" s="2" t="s">
        <v>151</v>
      </c>
      <c r="J274" s="2" t="s">
        <v>152</v>
      </c>
      <c r="K274" s="2" t="s">
        <v>84</v>
      </c>
      <c r="L274" s="2" t="s">
        <v>130</v>
      </c>
      <c r="M274" s="2">
        <v>19</v>
      </c>
      <c r="N274" s="7">
        <v>20</v>
      </c>
      <c r="O274" s="2">
        <v>20</v>
      </c>
      <c r="P274" s="7">
        <v>304</v>
      </c>
      <c r="Q274" s="2">
        <v>3</v>
      </c>
      <c r="R274" s="2" t="s">
        <v>31</v>
      </c>
      <c r="S274" s="2" t="s">
        <v>32</v>
      </c>
      <c r="T274" s="2" t="s">
        <v>131</v>
      </c>
      <c r="U274" s="2">
        <v>9786241263</v>
      </c>
      <c r="V274" s="2" t="s">
        <v>53</v>
      </c>
    </row>
    <row r="275" spans="1:22" x14ac:dyDescent="0.3">
      <c r="A275" s="2" t="s">
        <v>411</v>
      </c>
      <c r="B275" s="2" t="s">
        <v>73</v>
      </c>
      <c r="C275" s="2" t="s">
        <v>141</v>
      </c>
      <c r="D275" s="38">
        <v>45745</v>
      </c>
      <c r="E275" s="38">
        <v>45754</v>
      </c>
      <c r="F275" s="2" t="s">
        <v>74</v>
      </c>
      <c r="G275" s="2" t="s">
        <v>26</v>
      </c>
      <c r="H275" s="38">
        <v>36026</v>
      </c>
      <c r="I275" s="2" t="s">
        <v>92</v>
      </c>
      <c r="J275" s="2" t="s">
        <v>76</v>
      </c>
      <c r="K275" s="2" t="s">
        <v>84</v>
      </c>
      <c r="L275" s="2" t="s">
        <v>142</v>
      </c>
      <c r="M275" s="2">
        <v>17</v>
      </c>
      <c r="N275" s="7">
        <v>45</v>
      </c>
      <c r="O275" s="2">
        <v>5</v>
      </c>
      <c r="P275" s="7">
        <v>726.75</v>
      </c>
      <c r="Q275" s="2">
        <v>4</v>
      </c>
      <c r="R275" s="2" t="s">
        <v>31</v>
      </c>
      <c r="S275" s="2" t="s">
        <v>81</v>
      </c>
      <c r="T275" s="2" t="s">
        <v>94</v>
      </c>
      <c r="U275" s="2">
        <v>9691078176</v>
      </c>
      <c r="V275" s="2" t="s">
        <v>52</v>
      </c>
    </row>
    <row r="276" spans="1:22" x14ac:dyDescent="0.3">
      <c r="A276" s="2" t="s">
        <v>412</v>
      </c>
      <c r="B276" s="2" t="s">
        <v>63</v>
      </c>
      <c r="C276" s="2" t="s">
        <v>113</v>
      </c>
      <c r="D276" s="38">
        <v>46071</v>
      </c>
      <c r="E276" s="38">
        <v>46075</v>
      </c>
      <c r="F276" s="2" t="s">
        <v>111</v>
      </c>
      <c r="G276" s="2" t="s">
        <v>58</v>
      </c>
      <c r="H276" s="38">
        <v>27687</v>
      </c>
      <c r="I276" s="2" t="s">
        <v>48</v>
      </c>
      <c r="J276" s="2" t="s">
        <v>28</v>
      </c>
      <c r="K276" s="2" t="s">
        <v>39</v>
      </c>
      <c r="L276" s="2" t="s">
        <v>115</v>
      </c>
      <c r="M276" s="2">
        <v>8</v>
      </c>
      <c r="N276" s="7">
        <v>700</v>
      </c>
      <c r="O276" s="2">
        <v>15</v>
      </c>
      <c r="P276" s="7">
        <v>4760</v>
      </c>
      <c r="Q276" s="2">
        <v>4</v>
      </c>
      <c r="R276" s="2" t="s">
        <v>41</v>
      </c>
      <c r="S276" s="2" t="s">
        <v>32</v>
      </c>
      <c r="T276" s="2" t="s">
        <v>66</v>
      </c>
      <c r="U276" s="2">
        <v>9336679085</v>
      </c>
      <c r="V276" s="2" t="s">
        <v>52</v>
      </c>
    </row>
    <row r="277" spans="1:22" x14ac:dyDescent="0.3">
      <c r="A277" s="2" t="s">
        <v>413</v>
      </c>
      <c r="B277" s="2" t="s">
        <v>105</v>
      </c>
      <c r="C277" s="2" t="s">
        <v>24</v>
      </c>
      <c r="D277" s="38">
        <v>46043</v>
      </c>
      <c r="E277" s="38">
        <v>46051</v>
      </c>
      <c r="F277" s="2" t="s">
        <v>170</v>
      </c>
      <c r="G277" s="2" t="s">
        <v>26</v>
      </c>
      <c r="H277" s="38">
        <v>27665</v>
      </c>
      <c r="I277" s="2" t="s">
        <v>75</v>
      </c>
      <c r="J277" s="2" t="s">
        <v>76</v>
      </c>
      <c r="K277" s="2" t="s">
        <v>29</v>
      </c>
      <c r="L277" s="2" t="s">
        <v>30</v>
      </c>
      <c r="M277" s="2">
        <v>15</v>
      </c>
      <c r="N277" s="7">
        <v>2200</v>
      </c>
      <c r="O277" s="2">
        <v>10</v>
      </c>
      <c r="P277" s="7">
        <v>29700</v>
      </c>
      <c r="Q277" s="2">
        <v>5</v>
      </c>
      <c r="R277" s="2" t="s">
        <v>65</v>
      </c>
      <c r="S277" s="2" t="s">
        <v>97</v>
      </c>
      <c r="T277" s="2" t="s">
        <v>109</v>
      </c>
      <c r="U277" s="2">
        <v>9497351043</v>
      </c>
      <c r="V277" s="2" t="s">
        <v>34</v>
      </c>
    </row>
    <row r="278" spans="1:22" x14ac:dyDescent="0.3">
      <c r="A278" s="2" t="s">
        <v>414</v>
      </c>
      <c r="B278" s="2" t="s">
        <v>73</v>
      </c>
      <c r="C278" s="2" t="s">
        <v>24</v>
      </c>
      <c r="D278" s="38">
        <v>45917</v>
      </c>
      <c r="E278" s="38">
        <v>45929</v>
      </c>
      <c r="F278" s="2" t="s">
        <v>74</v>
      </c>
      <c r="G278" s="2" t="s">
        <v>26</v>
      </c>
      <c r="H278" s="38">
        <v>37522</v>
      </c>
      <c r="I278" s="2" t="s">
        <v>75</v>
      </c>
      <c r="J278" s="2" t="s">
        <v>76</v>
      </c>
      <c r="K278" s="2" t="s">
        <v>29</v>
      </c>
      <c r="L278" s="2" t="s">
        <v>30</v>
      </c>
      <c r="M278" s="2">
        <v>1</v>
      </c>
      <c r="N278" s="7">
        <v>2200</v>
      </c>
      <c r="O278" s="2">
        <v>0</v>
      </c>
      <c r="P278" s="7">
        <v>2200</v>
      </c>
      <c r="Q278" s="2">
        <v>4</v>
      </c>
      <c r="R278" s="2" t="s">
        <v>31</v>
      </c>
      <c r="S278" s="2" t="s">
        <v>42</v>
      </c>
      <c r="T278" s="2" t="s">
        <v>94</v>
      </c>
      <c r="U278" s="2">
        <v>9357038998</v>
      </c>
      <c r="V278" s="2" t="s">
        <v>53</v>
      </c>
    </row>
    <row r="279" spans="1:22" x14ac:dyDescent="0.3">
      <c r="A279" s="2" t="s">
        <v>415</v>
      </c>
      <c r="B279" s="2" t="s">
        <v>137</v>
      </c>
      <c r="C279" s="2" t="s">
        <v>68</v>
      </c>
      <c r="D279" s="38">
        <v>45827</v>
      </c>
      <c r="E279" s="38">
        <v>45838</v>
      </c>
      <c r="F279" s="2" t="s">
        <v>138</v>
      </c>
      <c r="G279" s="2" t="s">
        <v>26</v>
      </c>
      <c r="H279" s="38">
        <v>32311</v>
      </c>
      <c r="I279" s="2" t="s">
        <v>92</v>
      </c>
      <c r="J279" s="2" t="s">
        <v>76</v>
      </c>
      <c r="K279" s="2" t="s">
        <v>29</v>
      </c>
      <c r="L279" s="2" t="s">
        <v>71</v>
      </c>
      <c r="M279" s="2">
        <v>10</v>
      </c>
      <c r="N279" s="7">
        <v>3500</v>
      </c>
      <c r="O279" s="2">
        <v>10</v>
      </c>
      <c r="P279" s="7">
        <v>31500</v>
      </c>
      <c r="Q279" s="2">
        <v>4</v>
      </c>
      <c r="R279" s="2" t="s">
        <v>41</v>
      </c>
      <c r="S279" s="2" t="s">
        <v>32</v>
      </c>
      <c r="T279" s="2" t="s">
        <v>139</v>
      </c>
      <c r="U279" s="2">
        <v>9986371291</v>
      </c>
      <c r="V279" s="2" t="s">
        <v>53</v>
      </c>
    </row>
    <row r="280" spans="1:22" x14ac:dyDescent="0.3">
      <c r="A280" s="2" t="s">
        <v>416</v>
      </c>
      <c r="B280" s="2" t="s">
        <v>55</v>
      </c>
      <c r="C280" s="2" t="s">
        <v>68</v>
      </c>
      <c r="D280" s="38">
        <v>45789</v>
      </c>
      <c r="E280" s="38">
        <v>45793</v>
      </c>
      <c r="F280" s="2" t="s">
        <v>125</v>
      </c>
      <c r="G280" s="2" t="s">
        <v>58</v>
      </c>
      <c r="H280" s="38">
        <v>33271</v>
      </c>
      <c r="I280" s="2" t="s">
        <v>123</v>
      </c>
      <c r="J280" s="2" t="s">
        <v>38</v>
      </c>
      <c r="K280" s="2" t="s">
        <v>29</v>
      </c>
      <c r="L280" s="2" t="s">
        <v>71</v>
      </c>
      <c r="M280" s="2">
        <v>16</v>
      </c>
      <c r="N280" s="7">
        <v>3500</v>
      </c>
      <c r="O280" s="2">
        <v>15</v>
      </c>
      <c r="P280" s="7">
        <v>47600</v>
      </c>
      <c r="Q280" s="2">
        <v>1</v>
      </c>
      <c r="R280" s="2" t="s">
        <v>60</v>
      </c>
      <c r="S280" s="2" t="s">
        <v>81</v>
      </c>
      <c r="T280" s="2" t="s">
        <v>61</v>
      </c>
      <c r="U280" s="2">
        <v>9397839191</v>
      </c>
      <c r="V280" s="2" t="s">
        <v>52</v>
      </c>
    </row>
    <row r="281" spans="1:22" x14ac:dyDescent="0.3">
      <c r="A281" s="2" t="s">
        <v>417</v>
      </c>
      <c r="B281" s="2" t="s">
        <v>137</v>
      </c>
      <c r="C281" s="2" t="s">
        <v>36</v>
      </c>
      <c r="D281" s="38">
        <v>45906</v>
      </c>
      <c r="E281" s="38">
        <v>45918</v>
      </c>
      <c r="F281" s="2" t="s">
        <v>138</v>
      </c>
      <c r="G281" s="2" t="s">
        <v>26</v>
      </c>
      <c r="H281" s="38">
        <v>28711</v>
      </c>
      <c r="I281" s="2" t="s">
        <v>123</v>
      </c>
      <c r="J281" s="2" t="s">
        <v>38</v>
      </c>
      <c r="K281" s="2" t="s">
        <v>39</v>
      </c>
      <c r="L281" s="2" t="s">
        <v>40</v>
      </c>
      <c r="M281" s="2">
        <v>1</v>
      </c>
      <c r="N281" s="7">
        <v>12000</v>
      </c>
      <c r="O281" s="2">
        <v>0</v>
      </c>
      <c r="P281" s="7">
        <v>12000</v>
      </c>
      <c r="Q281" s="2">
        <v>4</v>
      </c>
      <c r="R281" s="2" t="s">
        <v>41</v>
      </c>
      <c r="S281" s="2" t="s">
        <v>81</v>
      </c>
      <c r="T281" s="2" t="s">
        <v>139</v>
      </c>
      <c r="U281" s="2">
        <v>9162975843</v>
      </c>
      <c r="V281" s="2" t="s">
        <v>53</v>
      </c>
    </row>
    <row r="282" spans="1:22" x14ac:dyDescent="0.3">
      <c r="A282" s="2" t="s">
        <v>418</v>
      </c>
      <c r="B282" s="2" t="s">
        <v>63</v>
      </c>
      <c r="C282" s="2" t="s">
        <v>113</v>
      </c>
      <c r="D282" s="38">
        <v>45770</v>
      </c>
      <c r="E282" s="38">
        <v>45776</v>
      </c>
      <c r="F282" s="2" t="s">
        <v>111</v>
      </c>
      <c r="G282" s="2" t="s">
        <v>58</v>
      </c>
      <c r="H282" s="38">
        <v>34367</v>
      </c>
      <c r="I282" s="2" t="s">
        <v>75</v>
      </c>
      <c r="J282" s="2" t="s">
        <v>76</v>
      </c>
      <c r="K282" s="2" t="s">
        <v>39</v>
      </c>
      <c r="L282" s="2" t="s">
        <v>115</v>
      </c>
      <c r="M282" s="2">
        <v>6</v>
      </c>
      <c r="N282" s="7">
        <v>700</v>
      </c>
      <c r="O282" s="2">
        <v>20</v>
      </c>
      <c r="P282" s="7">
        <v>3360</v>
      </c>
      <c r="Q282" s="2">
        <v>2</v>
      </c>
      <c r="R282" s="2" t="s">
        <v>41</v>
      </c>
      <c r="S282" s="2" t="s">
        <v>81</v>
      </c>
      <c r="T282" s="2" t="s">
        <v>66</v>
      </c>
      <c r="U282" s="2">
        <v>9237616558</v>
      </c>
      <c r="V282" s="2" t="s">
        <v>52</v>
      </c>
    </row>
    <row r="283" spans="1:22" x14ac:dyDescent="0.3">
      <c r="A283" s="2" t="s">
        <v>419</v>
      </c>
      <c r="B283" s="2" t="s">
        <v>55</v>
      </c>
      <c r="C283" s="2" t="s">
        <v>24</v>
      </c>
      <c r="D283" s="38">
        <v>46074</v>
      </c>
      <c r="E283" s="38">
        <v>46080</v>
      </c>
      <c r="F283" s="2" t="s">
        <v>125</v>
      </c>
      <c r="G283" s="2" t="s">
        <v>58</v>
      </c>
      <c r="H283" s="38">
        <v>34786</v>
      </c>
      <c r="I283" s="2" t="s">
        <v>92</v>
      </c>
      <c r="J283" s="2" t="s">
        <v>76</v>
      </c>
      <c r="K283" s="2" t="s">
        <v>29</v>
      </c>
      <c r="L283" s="2" t="s">
        <v>30</v>
      </c>
      <c r="M283" s="2">
        <v>3</v>
      </c>
      <c r="N283" s="7">
        <v>2200</v>
      </c>
      <c r="O283" s="2">
        <v>0</v>
      </c>
      <c r="P283" s="7">
        <v>6600</v>
      </c>
      <c r="Q283" s="2">
        <v>4</v>
      </c>
      <c r="R283" s="2" t="s">
        <v>60</v>
      </c>
      <c r="S283" s="2" t="s">
        <v>32</v>
      </c>
      <c r="T283" s="2" t="s">
        <v>61</v>
      </c>
      <c r="U283" s="2">
        <v>9935063989</v>
      </c>
      <c r="V283" s="2" t="s">
        <v>34</v>
      </c>
    </row>
    <row r="284" spans="1:22" x14ac:dyDescent="0.3">
      <c r="A284" s="2" t="s">
        <v>420</v>
      </c>
      <c r="B284" s="2" t="s">
        <v>137</v>
      </c>
      <c r="C284" s="2" t="s">
        <v>141</v>
      </c>
      <c r="D284" s="38">
        <v>46019</v>
      </c>
      <c r="E284" s="38">
        <v>46023</v>
      </c>
      <c r="F284" s="2" t="s">
        <v>138</v>
      </c>
      <c r="G284" s="2" t="s">
        <v>26</v>
      </c>
      <c r="H284" s="38">
        <v>33675</v>
      </c>
      <c r="I284" s="2" t="s">
        <v>27</v>
      </c>
      <c r="J284" s="2" t="s">
        <v>28</v>
      </c>
      <c r="K284" s="2" t="s">
        <v>84</v>
      </c>
      <c r="L284" s="2" t="s">
        <v>142</v>
      </c>
      <c r="M284" s="2">
        <v>6</v>
      </c>
      <c r="N284" s="7">
        <v>45</v>
      </c>
      <c r="O284" s="2">
        <v>15</v>
      </c>
      <c r="P284" s="7">
        <v>229.5</v>
      </c>
      <c r="Q284" s="2">
        <v>1</v>
      </c>
      <c r="R284" s="2" t="s">
        <v>65</v>
      </c>
      <c r="S284" s="2" t="s">
        <v>42</v>
      </c>
      <c r="T284" s="2" t="s">
        <v>139</v>
      </c>
      <c r="U284" s="2">
        <v>9167376169</v>
      </c>
      <c r="V284" s="2" t="s">
        <v>34</v>
      </c>
    </row>
    <row r="285" spans="1:22" x14ac:dyDescent="0.3">
      <c r="A285" s="2" t="s">
        <v>421</v>
      </c>
      <c r="B285" s="2" t="s">
        <v>137</v>
      </c>
      <c r="C285" s="2" t="s">
        <v>56</v>
      </c>
      <c r="D285" s="38">
        <v>45922</v>
      </c>
      <c r="E285" s="38">
        <v>45930</v>
      </c>
      <c r="F285" s="2" t="s">
        <v>138</v>
      </c>
      <c r="G285" s="2" t="s">
        <v>26</v>
      </c>
      <c r="H285" s="38">
        <v>29609</v>
      </c>
      <c r="I285" s="2" t="s">
        <v>48</v>
      </c>
      <c r="J285" s="2" t="s">
        <v>28</v>
      </c>
      <c r="K285" s="2" t="s">
        <v>39</v>
      </c>
      <c r="L285" s="2" t="s">
        <v>59</v>
      </c>
      <c r="M285" s="2">
        <v>2</v>
      </c>
      <c r="N285" s="7">
        <v>1200</v>
      </c>
      <c r="O285" s="2">
        <v>0</v>
      </c>
      <c r="P285" s="7">
        <v>2400</v>
      </c>
      <c r="Q285" s="2">
        <v>1</v>
      </c>
      <c r="R285" s="2" t="s">
        <v>31</v>
      </c>
      <c r="S285" s="2" t="s">
        <v>97</v>
      </c>
      <c r="T285" s="2" t="s">
        <v>139</v>
      </c>
      <c r="U285" s="2">
        <v>9231845497</v>
      </c>
      <c r="V285" s="2" t="s">
        <v>53</v>
      </c>
    </row>
    <row r="286" spans="1:22" x14ac:dyDescent="0.3">
      <c r="A286" s="2" t="s">
        <v>422</v>
      </c>
      <c r="B286" s="2" t="s">
        <v>105</v>
      </c>
      <c r="C286" s="2" t="s">
        <v>113</v>
      </c>
      <c r="D286" s="38">
        <v>46150</v>
      </c>
      <c r="E286" s="38">
        <v>46153</v>
      </c>
      <c r="F286" s="2" t="s">
        <v>170</v>
      </c>
      <c r="G286" s="2" t="s">
        <v>26</v>
      </c>
      <c r="H286" s="38">
        <v>30953</v>
      </c>
      <c r="I286" s="2" t="s">
        <v>27</v>
      </c>
      <c r="J286" s="2" t="s">
        <v>28</v>
      </c>
      <c r="K286" s="2" t="s">
        <v>39</v>
      </c>
      <c r="L286" s="2" t="s">
        <v>115</v>
      </c>
      <c r="M286" s="2">
        <v>14</v>
      </c>
      <c r="N286" s="7">
        <v>700</v>
      </c>
      <c r="O286" s="2">
        <v>15</v>
      </c>
      <c r="P286" s="7">
        <v>8330</v>
      </c>
      <c r="Q286" s="2">
        <v>5</v>
      </c>
      <c r="R286" s="2" t="s">
        <v>31</v>
      </c>
      <c r="S286" s="2" t="s">
        <v>81</v>
      </c>
      <c r="T286" s="2" t="s">
        <v>109</v>
      </c>
      <c r="U286" s="2">
        <v>9409415805</v>
      </c>
      <c r="V286" s="2" t="s">
        <v>52</v>
      </c>
    </row>
    <row r="287" spans="1:22" x14ac:dyDescent="0.3">
      <c r="A287" s="2" t="s">
        <v>423</v>
      </c>
      <c r="B287" s="2" t="s">
        <v>73</v>
      </c>
      <c r="C287" s="2" t="s">
        <v>128</v>
      </c>
      <c r="D287" s="38">
        <v>45966</v>
      </c>
      <c r="E287" s="38">
        <v>45967</v>
      </c>
      <c r="F287" s="2" t="s">
        <v>74</v>
      </c>
      <c r="G287" s="2" t="s">
        <v>26</v>
      </c>
      <c r="H287" s="38">
        <v>27704</v>
      </c>
      <c r="I287" s="2" t="s">
        <v>75</v>
      </c>
      <c r="J287" s="2" t="s">
        <v>76</v>
      </c>
      <c r="K287" s="2" t="s">
        <v>84</v>
      </c>
      <c r="L287" s="2" t="s">
        <v>130</v>
      </c>
      <c r="M287" s="2">
        <v>13</v>
      </c>
      <c r="N287" s="7">
        <v>20</v>
      </c>
      <c r="O287" s="2">
        <v>5</v>
      </c>
      <c r="P287" s="7">
        <v>247</v>
      </c>
      <c r="Q287" s="2">
        <v>1</v>
      </c>
      <c r="R287" s="2" t="s">
        <v>60</v>
      </c>
      <c r="S287" s="2" t="s">
        <v>32</v>
      </c>
      <c r="T287" s="2" t="s">
        <v>424</v>
      </c>
      <c r="U287" s="2">
        <v>9240800508</v>
      </c>
      <c r="V287" s="2" t="s">
        <v>52</v>
      </c>
    </row>
    <row r="288" spans="1:22" x14ac:dyDescent="0.3">
      <c r="A288" s="2" t="s">
        <v>425</v>
      </c>
      <c r="B288" s="2" t="s">
        <v>55</v>
      </c>
      <c r="C288" s="2" t="s">
        <v>24</v>
      </c>
      <c r="D288" s="38">
        <v>45724</v>
      </c>
      <c r="E288" s="38">
        <v>45731</v>
      </c>
      <c r="F288" s="2" t="s">
        <v>125</v>
      </c>
      <c r="G288" s="2" t="s">
        <v>58</v>
      </c>
      <c r="H288" s="38">
        <v>34876</v>
      </c>
      <c r="I288" s="2" t="s">
        <v>80</v>
      </c>
      <c r="J288" s="2" t="s">
        <v>76</v>
      </c>
      <c r="K288" s="2" t="s">
        <v>29</v>
      </c>
      <c r="L288" s="2" t="s">
        <v>30</v>
      </c>
      <c r="M288" s="2">
        <v>3</v>
      </c>
      <c r="N288" s="7">
        <v>2200</v>
      </c>
      <c r="O288" s="2">
        <v>0</v>
      </c>
      <c r="P288" s="7">
        <v>6600</v>
      </c>
      <c r="Q288" s="2">
        <v>4</v>
      </c>
      <c r="R288" s="2" t="s">
        <v>41</v>
      </c>
      <c r="S288" s="2" t="s">
        <v>50</v>
      </c>
      <c r="T288" s="2" t="s">
        <v>61</v>
      </c>
      <c r="U288" s="2">
        <v>9764609936</v>
      </c>
      <c r="V288" s="2" t="s">
        <v>53</v>
      </c>
    </row>
    <row r="289" spans="1:22" x14ac:dyDescent="0.3">
      <c r="A289" s="2" t="s">
        <v>426</v>
      </c>
      <c r="B289" s="2" t="s">
        <v>55</v>
      </c>
      <c r="C289" s="2" t="s">
        <v>83</v>
      </c>
      <c r="D289" s="38">
        <v>46062</v>
      </c>
      <c r="E289" s="38">
        <v>46074</v>
      </c>
      <c r="F289" s="2" t="s">
        <v>125</v>
      </c>
      <c r="G289" s="2" t="s">
        <v>58</v>
      </c>
      <c r="H289" s="38">
        <v>29180</v>
      </c>
      <c r="I289" s="2" t="s">
        <v>80</v>
      </c>
      <c r="J289" s="2" t="s">
        <v>76</v>
      </c>
      <c r="K289" s="2" t="s">
        <v>84</v>
      </c>
      <c r="L289" s="2" t="s">
        <v>85</v>
      </c>
      <c r="M289" s="2">
        <v>3</v>
      </c>
      <c r="N289" s="7">
        <v>60</v>
      </c>
      <c r="O289" s="2">
        <v>15</v>
      </c>
      <c r="P289" s="7">
        <v>153</v>
      </c>
      <c r="Q289" s="2">
        <v>4</v>
      </c>
      <c r="R289" s="2" t="s">
        <v>65</v>
      </c>
      <c r="S289" s="2" t="s">
        <v>81</v>
      </c>
      <c r="T289" s="2" t="s">
        <v>61</v>
      </c>
      <c r="U289" s="2">
        <v>9362733217</v>
      </c>
      <c r="V289" s="2" t="s">
        <v>34</v>
      </c>
    </row>
    <row r="290" spans="1:22" x14ac:dyDescent="0.3">
      <c r="A290" s="2" t="s">
        <v>427</v>
      </c>
      <c r="B290" s="2" t="s">
        <v>88</v>
      </c>
      <c r="C290" s="2" t="s">
        <v>68</v>
      </c>
      <c r="D290" s="38">
        <v>45733</v>
      </c>
      <c r="E290" s="38">
        <v>45739</v>
      </c>
      <c r="F290" s="2" t="s">
        <v>119</v>
      </c>
      <c r="G290" s="2" t="s">
        <v>58</v>
      </c>
      <c r="H290" s="38">
        <v>31805</v>
      </c>
      <c r="I290" s="2" t="s">
        <v>75</v>
      </c>
      <c r="J290" s="2" t="s">
        <v>76</v>
      </c>
      <c r="K290" s="2" t="s">
        <v>29</v>
      </c>
      <c r="L290" s="2" t="s">
        <v>71</v>
      </c>
      <c r="M290" s="2">
        <v>9</v>
      </c>
      <c r="N290" s="7">
        <v>3500</v>
      </c>
      <c r="O290" s="2">
        <v>5</v>
      </c>
      <c r="P290" s="7">
        <v>29925</v>
      </c>
      <c r="Q290" s="2">
        <v>1</v>
      </c>
      <c r="R290" s="2" t="s">
        <v>31</v>
      </c>
      <c r="S290" s="2" t="s">
        <v>50</v>
      </c>
      <c r="T290" s="2" t="s">
        <v>90</v>
      </c>
      <c r="U290" s="2">
        <v>9270466205</v>
      </c>
      <c r="V290" s="2" t="s">
        <v>52</v>
      </c>
    </row>
    <row r="291" spans="1:22" x14ac:dyDescent="0.3">
      <c r="A291" s="2" t="s">
        <v>428</v>
      </c>
      <c r="B291" s="2" t="s">
        <v>160</v>
      </c>
      <c r="C291" s="2" t="s">
        <v>56</v>
      </c>
      <c r="D291" s="38">
        <v>45743</v>
      </c>
      <c r="E291" s="38">
        <v>45748</v>
      </c>
      <c r="F291" s="2" t="s">
        <v>179</v>
      </c>
      <c r="G291" s="2" t="s">
        <v>58</v>
      </c>
      <c r="H291" s="38">
        <v>36930</v>
      </c>
      <c r="I291" s="2" t="s">
        <v>123</v>
      </c>
      <c r="J291" s="2" t="s">
        <v>38</v>
      </c>
      <c r="K291" s="2" t="s">
        <v>39</v>
      </c>
      <c r="L291" s="2" t="s">
        <v>59</v>
      </c>
      <c r="M291" s="2">
        <v>5</v>
      </c>
      <c r="N291" s="7">
        <v>1200</v>
      </c>
      <c r="O291" s="2">
        <v>20</v>
      </c>
      <c r="P291" s="7">
        <v>4800</v>
      </c>
      <c r="Q291" s="2">
        <v>2</v>
      </c>
      <c r="R291" s="2" t="s">
        <v>65</v>
      </c>
      <c r="S291" s="2" t="s">
        <v>81</v>
      </c>
      <c r="T291" s="2" t="s">
        <v>162</v>
      </c>
      <c r="U291" s="2">
        <v>9571436865</v>
      </c>
      <c r="V291" s="2" t="s">
        <v>52</v>
      </c>
    </row>
    <row r="292" spans="1:22" x14ac:dyDescent="0.3">
      <c r="A292" s="2" t="s">
        <v>429</v>
      </c>
      <c r="B292" s="2" t="s">
        <v>45</v>
      </c>
      <c r="C292" s="2" t="s">
        <v>56</v>
      </c>
      <c r="D292" s="38">
        <v>45728</v>
      </c>
      <c r="E292" s="38">
        <v>45730</v>
      </c>
      <c r="F292" s="2" t="s">
        <v>102</v>
      </c>
      <c r="G292" s="2" t="s">
        <v>26</v>
      </c>
      <c r="H292" s="38">
        <v>32856</v>
      </c>
      <c r="I292" s="2" t="s">
        <v>123</v>
      </c>
      <c r="J292" s="2" t="s">
        <v>38</v>
      </c>
      <c r="K292" s="2" t="s">
        <v>39</v>
      </c>
      <c r="L292" s="2" t="s">
        <v>59</v>
      </c>
      <c r="M292" s="2">
        <v>10</v>
      </c>
      <c r="N292" s="7">
        <v>1200</v>
      </c>
      <c r="O292" s="2">
        <v>20</v>
      </c>
      <c r="P292" s="7">
        <v>9600</v>
      </c>
      <c r="Q292" s="2">
        <v>4</v>
      </c>
      <c r="R292" s="2" t="s">
        <v>31</v>
      </c>
      <c r="S292" s="2" t="s">
        <v>42</v>
      </c>
      <c r="T292" s="2" t="s">
        <v>430</v>
      </c>
      <c r="U292" s="2">
        <v>9307011171</v>
      </c>
      <c r="V292" s="2" t="s">
        <v>34</v>
      </c>
    </row>
    <row r="293" spans="1:22" x14ac:dyDescent="0.3">
      <c r="A293" s="2" t="s">
        <v>431</v>
      </c>
      <c r="B293" s="2" t="s">
        <v>23</v>
      </c>
      <c r="C293" s="2" t="s">
        <v>56</v>
      </c>
      <c r="D293" s="38">
        <v>46066</v>
      </c>
      <c r="E293" s="38">
        <v>46077</v>
      </c>
      <c r="F293" s="2" t="s">
        <v>25</v>
      </c>
      <c r="G293" s="2" t="s">
        <v>26</v>
      </c>
      <c r="H293" s="38">
        <v>32492</v>
      </c>
      <c r="I293" s="2" t="s">
        <v>92</v>
      </c>
      <c r="J293" s="2" t="s">
        <v>76</v>
      </c>
      <c r="K293" s="2" t="s">
        <v>39</v>
      </c>
      <c r="L293" s="2" t="s">
        <v>59</v>
      </c>
      <c r="M293" s="2">
        <v>5</v>
      </c>
      <c r="N293" s="7">
        <v>1200</v>
      </c>
      <c r="O293" s="2">
        <v>20</v>
      </c>
      <c r="P293" s="7">
        <v>4800</v>
      </c>
      <c r="Q293" s="2">
        <v>3</v>
      </c>
      <c r="R293" s="2" t="s">
        <v>41</v>
      </c>
      <c r="S293" s="2" t="s">
        <v>97</v>
      </c>
      <c r="T293" s="2" t="s">
        <v>43</v>
      </c>
      <c r="U293" s="2">
        <v>9922380435</v>
      </c>
      <c r="V293" s="2" t="s">
        <v>34</v>
      </c>
    </row>
    <row r="294" spans="1:22" x14ac:dyDescent="0.3">
      <c r="A294" s="2" t="s">
        <v>432</v>
      </c>
      <c r="B294" s="2" t="s">
        <v>105</v>
      </c>
      <c r="C294" s="2" t="s">
        <v>128</v>
      </c>
      <c r="D294" s="38">
        <v>45699</v>
      </c>
      <c r="E294" s="38">
        <v>45702</v>
      </c>
      <c r="F294" s="2" t="s">
        <v>170</v>
      </c>
      <c r="G294" s="2" t="s">
        <v>26</v>
      </c>
      <c r="H294" s="38">
        <v>33166</v>
      </c>
      <c r="I294" s="2" t="s">
        <v>75</v>
      </c>
      <c r="J294" s="2" t="s">
        <v>76</v>
      </c>
      <c r="K294" s="2" t="s">
        <v>84</v>
      </c>
      <c r="L294" s="2" t="s">
        <v>130</v>
      </c>
      <c r="M294" s="2">
        <v>10</v>
      </c>
      <c r="N294" s="7">
        <v>20</v>
      </c>
      <c r="O294" s="2">
        <v>5</v>
      </c>
      <c r="P294" s="7">
        <v>190</v>
      </c>
      <c r="Q294" s="2">
        <v>4</v>
      </c>
      <c r="R294" s="2" t="s">
        <v>31</v>
      </c>
      <c r="S294" s="2" t="s">
        <v>97</v>
      </c>
      <c r="T294" s="2" t="s">
        <v>109</v>
      </c>
      <c r="U294" s="2">
        <v>9463618792</v>
      </c>
      <c r="V294" s="2" t="s">
        <v>52</v>
      </c>
    </row>
    <row r="295" spans="1:22" x14ac:dyDescent="0.3">
      <c r="A295" s="2" t="s">
        <v>433</v>
      </c>
      <c r="B295" s="2" t="s">
        <v>73</v>
      </c>
      <c r="C295" s="2" t="s">
        <v>83</v>
      </c>
      <c r="D295" s="38">
        <v>45674</v>
      </c>
      <c r="E295" s="38">
        <v>45684</v>
      </c>
      <c r="F295" s="2" t="s">
        <v>74</v>
      </c>
      <c r="G295" s="2" t="s">
        <v>26</v>
      </c>
      <c r="H295" s="38">
        <v>28741</v>
      </c>
      <c r="I295" s="2" t="s">
        <v>37</v>
      </c>
      <c r="J295" s="2" t="s">
        <v>38</v>
      </c>
      <c r="K295" s="2" t="s">
        <v>84</v>
      </c>
      <c r="L295" s="2" t="s">
        <v>85</v>
      </c>
      <c r="M295" s="2">
        <v>20</v>
      </c>
      <c r="N295" s="7">
        <v>60</v>
      </c>
      <c r="O295" s="2">
        <v>15</v>
      </c>
      <c r="P295" s="7">
        <v>1020</v>
      </c>
      <c r="Q295" s="2">
        <v>5</v>
      </c>
      <c r="R295" s="2" t="s">
        <v>60</v>
      </c>
      <c r="S295" s="2" t="s">
        <v>32</v>
      </c>
      <c r="T295" s="2" t="s">
        <v>94</v>
      </c>
      <c r="U295" s="2">
        <v>9954973200</v>
      </c>
      <c r="V295" s="2" t="s">
        <v>52</v>
      </c>
    </row>
    <row r="296" spans="1:22" x14ac:dyDescent="0.3">
      <c r="A296" s="2" t="s">
        <v>434</v>
      </c>
      <c r="B296" s="2" t="s">
        <v>160</v>
      </c>
      <c r="C296" s="2" t="s">
        <v>24</v>
      </c>
      <c r="D296" s="38">
        <v>45748</v>
      </c>
      <c r="E296" s="38">
        <v>45759</v>
      </c>
      <c r="F296" s="2" t="s">
        <v>179</v>
      </c>
      <c r="G296" s="2" t="s">
        <v>58</v>
      </c>
      <c r="H296" s="38">
        <v>28530</v>
      </c>
      <c r="I296" s="2" t="s">
        <v>92</v>
      </c>
      <c r="J296" s="2" t="s">
        <v>76</v>
      </c>
      <c r="K296" s="2" t="s">
        <v>29</v>
      </c>
      <c r="L296" s="2" t="s">
        <v>30</v>
      </c>
      <c r="M296" s="2">
        <v>7</v>
      </c>
      <c r="N296" s="7">
        <v>2200</v>
      </c>
      <c r="O296" s="2">
        <v>15</v>
      </c>
      <c r="P296" s="7">
        <v>13090</v>
      </c>
      <c r="Q296" s="2">
        <v>4</v>
      </c>
      <c r="R296" s="2" t="s">
        <v>31</v>
      </c>
      <c r="S296" s="2" t="s">
        <v>50</v>
      </c>
      <c r="T296" s="2" t="s">
        <v>162</v>
      </c>
      <c r="U296" s="2">
        <v>9383199236</v>
      </c>
      <c r="V296" s="2" t="s">
        <v>53</v>
      </c>
    </row>
    <row r="297" spans="1:22" x14ac:dyDescent="0.3">
      <c r="A297" s="2" t="s">
        <v>435</v>
      </c>
      <c r="B297" s="2" t="s">
        <v>88</v>
      </c>
      <c r="C297" s="2" t="s">
        <v>46</v>
      </c>
      <c r="D297" s="38">
        <v>45670</v>
      </c>
      <c r="E297" s="38">
        <v>45673</v>
      </c>
      <c r="F297" s="2" t="s">
        <v>119</v>
      </c>
      <c r="G297" s="2" t="s">
        <v>58</v>
      </c>
      <c r="H297" s="38">
        <v>37989</v>
      </c>
      <c r="I297" s="2" t="s">
        <v>27</v>
      </c>
      <c r="J297" s="2" t="s">
        <v>28</v>
      </c>
      <c r="K297" s="2" t="s">
        <v>39</v>
      </c>
      <c r="L297" s="2" t="s">
        <v>49</v>
      </c>
      <c r="M297" s="2">
        <v>11</v>
      </c>
      <c r="N297" s="7">
        <v>55000</v>
      </c>
      <c r="O297" s="2">
        <v>5</v>
      </c>
      <c r="P297" s="7">
        <v>574750</v>
      </c>
      <c r="Q297" s="2">
        <v>1</v>
      </c>
      <c r="R297" s="2" t="s">
        <v>65</v>
      </c>
      <c r="S297" s="2" t="s">
        <v>32</v>
      </c>
      <c r="T297" s="2" t="s">
        <v>90</v>
      </c>
      <c r="U297" s="2">
        <v>9482699727</v>
      </c>
      <c r="V297" s="2" t="s">
        <v>53</v>
      </c>
    </row>
    <row r="298" spans="1:22" x14ac:dyDescent="0.3">
      <c r="A298" s="2" t="s">
        <v>436</v>
      </c>
      <c r="B298" s="2" t="s">
        <v>63</v>
      </c>
      <c r="C298" s="2" t="s">
        <v>68</v>
      </c>
      <c r="D298" s="38">
        <v>45935</v>
      </c>
      <c r="E298" s="38">
        <v>45947</v>
      </c>
      <c r="F298" s="2" t="s">
        <v>111</v>
      </c>
      <c r="G298" s="2" t="s">
        <v>58</v>
      </c>
      <c r="H298" s="38">
        <v>33726</v>
      </c>
      <c r="I298" s="2" t="s">
        <v>123</v>
      </c>
      <c r="J298" s="2" t="s">
        <v>38</v>
      </c>
      <c r="K298" s="2" t="s">
        <v>29</v>
      </c>
      <c r="L298" s="2" t="s">
        <v>71</v>
      </c>
      <c r="M298" s="2">
        <v>12</v>
      </c>
      <c r="N298" s="7">
        <v>3500</v>
      </c>
      <c r="O298" s="2">
        <v>0</v>
      </c>
      <c r="P298" s="7">
        <v>42000</v>
      </c>
      <c r="Q298" s="2">
        <v>2</v>
      </c>
      <c r="R298" s="2" t="s">
        <v>41</v>
      </c>
      <c r="S298" s="2" t="s">
        <v>696</v>
      </c>
      <c r="T298" s="2" t="s">
        <v>66</v>
      </c>
      <c r="U298" s="2">
        <v>9332473934</v>
      </c>
      <c r="V298" s="2" t="s">
        <v>52</v>
      </c>
    </row>
    <row r="299" spans="1:22" x14ac:dyDescent="0.3">
      <c r="A299" s="2" t="s">
        <v>437</v>
      </c>
      <c r="B299" s="2" t="s">
        <v>55</v>
      </c>
      <c r="C299" s="2" t="s">
        <v>141</v>
      </c>
      <c r="D299" s="38">
        <v>46078</v>
      </c>
      <c r="E299" s="38">
        <v>46089</v>
      </c>
      <c r="F299" s="2" t="s">
        <v>125</v>
      </c>
      <c r="G299" s="2" t="s">
        <v>58</v>
      </c>
      <c r="H299" s="38">
        <v>37647</v>
      </c>
      <c r="I299" s="2" t="s">
        <v>27</v>
      </c>
      <c r="J299" s="2" t="s">
        <v>28</v>
      </c>
      <c r="K299" s="2" t="s">
        <v>84</v>
      </c>
      <c r="L299" s="2" t="s">
        <v>142</v>
      </c>
      <c r="M299" s="2">
        <v>15</v>
      </c>
      <c r="N299" s="7">
        <v>45</v>
      </c>
      <c r="O299" s="2">
        <v>10</v>
      </c>
      <c r="P299" s="7">
        <v>607.5</v>
      </c>
      <c r="Q299" s="2">
        <v>2</v>
      </c>
      <c r="R299" s="2" t="s">
        <v>31</v>
      </c>
      <c r="S299" s="2" t="s">
        <v>97</v>
      </c>
      <c r="T299" s="2" t="s">
        <v>61</v>
      </c>
      <c r="U299" s="2">
        <v>9647657382</v>
      </c>
      <c r="V299" s="2" t="s">
        <v>52</v>
      </c>
    </row>
    <row r="300" spans="1:22" x14ac:dyDescent="0.3">
      <c r="A300" s="2" t="s">
        <v>438</v>
      </c>
      <c r="B300" s="2" t="s">
        <v>160</v>
      </c>
      <c r="C300" s="2" t="s">
        <v>141</v>
      </c>
      <c r="D300" s="38">
        <v>45793</v>
      </c>
      <c r="E300" s="38">
        <v>45803</v>
      </c>
      <c r="F300" s="2" t="s">
        <v>179</v>
      </c>
      <c r="G300" s="2" t="s">
        <v>58</v>
      </c>
      <c r="H300" s="38">
        <v>31917</v>
      </c>
      <c r="I300" s="2" t="s">
        <v>48</v>
      </c>
      <c r="J300" s="2" t="s">
        <v>28</v>
      </c>
      <c r="K300" s="2" t="s">
        <v>84</v>
      </c>
      <c r="L300" s="2" t="s">
        <v>142</v>
      </c>
      <c r="M300" s="2">
        <v>13</v>
      </c>
      <c r="N300" s="7">
        <v>45</v>
      </c>
      <c r="O300" s="2">
        <v>0</v>
      </c>
      <c r="P300" s="7">
        <v>585</v>
      </c>
      <c r="Q300" s="2">
        <v>5</v>
      </c>
      <c r="R300" s="2" t="s">
        <v>41</v>
      </c>
      <c r="S300" s="2" t="s">
        <v>42</v>
      </c>
      <c r="T300" s="2" t="s">
        <v>162</v>
      </c>
      <c r="U300" s="2">
        <v>9736797776</v>
      </c>
      <c r="V300" s="2" t="s">
        <v>52</v>
      </c>
    </row>
    <row r="301" spans="1:22" x14ac:dyDescent="0.3">
      <c r="A301" s="2" t="s">
        <v>439</v>
      </c>
      <c r="B301" s="2" t="s">
        <v>88</v>
      </c>
      <c r="C301" s="2" t="s">
        <v>46</v>
      </c>
      <c r="D301" s="38">
        <v>46024</v>
      </c>
      <c r="E301" s="38">
        <v>46027</v>
      </c>
      <c r="F301" s="2" t="s">
        <v>119</v>
      </c>
      <c r="G301" s="2" t="s">
        <v>58</v>
      </c>
      <c r="H301" s="38">
        <v>27644</v>
      </c>
      <c r="I301" s="2" t="s">
        <v>48</v>
      </c>
      <c r="J301" s="2" t="s">
        <v>28</v>
      </c>
      <c r="K301" s="2" t="s">
        <v>39</v>
      </c>
      <c r="L301" s="2" t="s">
        <v>49</v>
      </c>
      <c r="M301" s="2">
        <v>8</v>
      </c>
      <c r="N301" s="7">
        <v>55000</v>
      </c>
      <c r="O301" s="2">
        <v>0</v>
      </c>
      <c r="P301" s="7">
        <v>440000</v>
      </c>
      <c r="Q301" s="2">
        <v>2</v>
      </c>
      <c r="R301" s="2" t="s">
        <v>65</v>
      </c>
      <c r="S301" s="2" t="s">
        <v>97</v>
      </c>
      <c r="T301" s="2" t="s">
        <v>90</v>
      </c>
      <c r="U301" s="2">
        <v>9745773533</v>
      </c>
      <c r="V301" s="2" t="s">
        <v>53</v>
      </c>
    </row>
    <row r="302" spans="1:22" x14ac:dyDescent="0.3">
      <c r="A302" s="2" t="s">
        <v>440</v>
      </c>
      <c r="B302" s="2" t="s">
        <v>137</v>
      </c>
      <c r="C302" s="2" t="s">
        <v>46</v>
      </c>
      <c r="D302" s="38">
        <v>45861</v>
      </c>
      <c r="E302" s="38">
        <v>45865</v>
      </c>
      <c r="F302" s="2" t="s">
        <v>138</v>
      </c>
      <c r="G302" s="2" t="s">
        <v>26</v>
      </c>
      <c r="H302" s="38">
        <v>29443</v>
      </c>
      <c r="I302" s="2" t="s">
        <v>37</v>
      </c>
      <c r="J302" s="2" t="s">
        <v>38</v>
      </c>
      <c r="K302" s="2" t="s">
        <v>39</v>
      </c>
      <c r="L302" s="2" t="s">
        <v>49</v>
      </c>
      <c r="M302" s="2">
        <v>4</v>
      </c>
      <c r="N302" s="7">
        <v>55000</v>
      </c>
      <c r="O302" s="2">
        <v>20</v>
      </c>
      <c r="P302" s="7">
        <v>176000</v>
      </c>
      <c r="Q302" s="2">
        <v>5</v>
      </c>
      <c r="R302" s="2" t="s">
        <v>31</v>
      </c>
      <c r="S302" s="2" t="s">
        <v>42</v>
      </c>
      <c r="T302" s="2" t="s">
        <v>139</v>
      </c>
      <c r="U302" s="2">
        <v>9246715757</v>
      </c>
      <c r="V302" s="2" t="s">
        <v>52</v>
      </c>
    </row>
    <row r="303" spans="1:22" x14ac:dyDescent="0.3">
      <c r="A303" s="2" t="s">
        <v>441</v>
      </c>
      <c r="B303" s="2" t="s">
        <v>23</v>
      </c>
      <c r="C303" s="2" t="s">
        <v>68</v>
      </c>
      <c r="D303" s="38">
        <v>46135</v>
      </c>
      <c r="E303" s="38">
        <v>46138</v>
      </c>
      <c r="F303" s="2" t="s">
        <v>25</v>
      </c>
      <c r="G303" s="2" t="s">
        <v>26</v>
      </c>
      <c r="H303" s="38">
        <v>32605</v>
      </c>
      <c r="I303" s="2" t="s">
        <v>92</v>
      </c>
      <c r="J303" s="2" t="s">
        <v>76</v>
      </c>
      <c r="K303" s="2" t="s">
        <v>29</v>
      </c>
      <c r="L303" s="2" t="s">
        <v>71</v>
      </c>
      <c r="M303" s="2">
        <v>19</v>
      </c>
      <c r="N303" s="7">
        <v>3500</v>
      </c>
      <c r="O303" s="2">
        <v>5</v>
      </c>
      <c r="P303" s="7">
        <v>63175</v>
      </c>
      <c r="Q303" s="2">
        <v>1</v>
      </c>
      <c r="R303" s="2" t="s">
        <v>60</v>
      </c>
      <c r="S303" s="2" t="s">
        <v>81</v>
      </c>
      <c r="T303" s="2" t="s">
        <v>43</v>
      </c>
      <c r="U303" s="2">
        <v>9904065774</v>
      </c>
      <c r="V303" s="2" t="s">
        <v>34</v>
      </c>
    </row>
    <row r="304" spans="1:22" x14ac:dyDescent="0.3">
      <c r="A304" s="2" t="s">
        <v>442</v>
      </c>
      <c r="B304" s="2" t="s">
        <v>127</v>
      </c>
      <c r="C304" s="2" t="s">
        <v>56</v>
      </c>
      <c r="D304" s="38">
        <v>45718</v>
      </c>
      <c r="E304" s="38">
        <v>45722</v>
      </c>
      <c r="F304" s="2" t="s">
        <v>129</v>
      </c>
      <c r="G304" s="2" t="s">
        <v>58</v>
      </c>
      <c r="H304" s="38">
        <v>36027</v>
      </c>
      <c r="I304" s="2" t="s">
        <v>123</v>
      </c>
      <c r="J304" s="2" t="s">
        <v>38</v>
      </c>
      <c r="K304" s="2" t="s">
        <v>39</v>
      </c>
      <c r="L304" s="2" t="s">
        <v>59</v>
      </c>
      <c r="M304" s="2">
        <v>17</v>
      </c>
      <c r="N304" s="7">
        <v>1200</v>
      </c>
      <c r="O304" s="2">
        <v>15</v>
      </c>
      <c r="P304" s="7">
        <v>17340</v>
      </c>
      <c r="Q304" s="2">
        <v>2</v>
      </c>
      <c r="R304" s="2" t="s">
        <v>41</v>
      </c>
      <c r="S304" s="2" t="s">
        <v>42</v>
      </c>
      <c r="T304" s="2" t="s">
        <v>131</v>
      </c>
      <c r="U304" s="2">
        <v>9652985385</v>
      </c>
      <c r="V304" s="2" t="s">
        <v>34</v>
      </c>
    </row>
    <row r="305" spans="1:22" x14ac:dyDescent="0.3">
      <c r="A305" s="2" t="s">
        <v>443</v>
      </c>
      <c r="B305" s="2" t="s">
        <v>23</v>
      </c>
      <c r="C305" s="2" t="s">
        <v>24</v>
      </c>
      <c r="D305" s="38">
        <v>46062</v>
      </c>
      <c r="E305" s="38">
        <v>46070</v>
      </c>
      <c r="F305" s="2" t="s">
        <v>25</v>
      </c>
      <c r="G305" s="2" t="s">
        <v>26</v>
      </c>
      <c r="H305" s="38">
        <v>36984</v>
      </c>
      <c r="I305" s="2" t="s">
        <v>27</v>
      </c>
      <c r="J305" s="2" t="s">
        <v>28</v>
      </c>
      <c r="K305" s="2" t="s">
        <v>29</v>
      </c>
      <c r="L305" s="2" t="s">
        <v>30</v>
      </c>
      <c r="M305" s="2">
        <v>8</v>
      </c>
      <c r="N305" s="7">
        <v>2200</v>
      </c>
      <c r="O305" s="2">
        <v>5</v>
      </c>
      <c r="P305" s="7">
        <v>16720</v>
      </c>
      <c r="Q305" s="2">
        <v>3</v>
      </c>
      <c r="R305" s="2" t="s">
        <v>60</v>
      </c>
      <c r="S305" s="2" t="s">
        <v>81</v>
      </c>
      <c r="T305" s="2" t="s">
        <v>43</v>
      </c>
      <c r="U305" s="2">
        <v>9427001508</v>
      </c>
      <c r="V305" s="2" t="s">
        <v>52</v>
      </c>
    </row>
    <row r="306" spans="1:22" x14ac:dyDescent="0.3">
      <c r="A306" s="2" t="s">
        <v>444</v>
      </c>
      <c r="B306" s="2" t="s">
        <v>137</v>
      </c>
      <c r="C306" s="2" t="s">
        <v>113</v>
      </c>
      <c r="D306" s="38">
        <v>45704</v>
      </c>
      <c r="E306" s="38">
        <v>45714</v>
      </c>
      <c r="F306" s="2" t="s">
        <v>138</v>
      </c>
      <c r="G306" s="2" t="s">
        <v>26</v>
      </c>
      <c r="H306" s="38">
        <v>33668</v>
      </c>
      <c r="I306" s="2" t="s">
        <v>75</v>
      </c>
      <c r="J306" s="2" t="s">
        <v>76</v>
      </c>
      <c r="K306" s="2" t="s">
        <v>39</v>
      </c>
      <c r="L306" s="2" t="s">
        <v>115</v>
      </c>
      <c r="M306" s="2">
        <v>17</v>
      </c>
      <c r="N306" s="7">
        <v>700</v>
      </c>
      <c r="O306" s="2">
        <v>20</v>
      </c>
      <c r="P306" s="7">
        <v>9520</v>
      </c>
      <c r="Q306" s="2">
        <v>4</v>
      </c>
      <c r="R306" s="2" t="s">
        <v>41</v>
      </c>
      <c r="S306" s="2" t="s">
        <v>81</v>
      </c>
      <c r="T306" s="2" t="s">
        <v>139</v>
      </c>
      <c r="U306" s="2">
        <v>9666803655</v>
      </c>
      <c r="V306" s="2" t="s">
        <v>34</v>
      </c>
    </row>
    <row r="307" spans="1:22" x14ac:dyDescent="0.3">
      <c r="A307" s="2" t="s">
        <v>445</v>
      </c>
      <c r="B307" s="2" t="s">
        <v>137</v>
      </c>
      <c r="C307" s="2" t="s">
        <v>106</v>
      </c>
      <c r="D307" s="38">
        <v>45897</v>
      </c>
      <c r="E307" s="38">
        <v>45908</v>
      </c>
      <c r="F307" s="2" t="s">
        <v>138</v>
      </c>
      <c r="G307" s="2" t="s">
        <v>26</v>
      </c>
      <c r="H307" s="38">
        <v>28122</v>
      </c>
      <c r="I307" s="2" t="s">
        <v>80</v>
      </c>
      <c r="J307" s="2" t="s">
        <v>76</v>
      </c>
      <c r="K307" s="2" t="s">
        <v>29</v>
      </c>
      <c r="L307" s="2" t="s">
        <v>108</v>
      </c>
      <c r="M307" s="2">
        <v>6</v>
      </c>
      <c r="N307" s="7">
        <v>8500</v>
      </c>
      <c r="O307" s="2">
        <v>15</v>
      </c>
      <c r="P307" s="7">
        <v>43350</v>
      </c>
      <c r="Q307" s="2">
        <v>1</v>
      </c>
      <c r="R307" s="2" t="s">
        <v>31</v>
      </c>
      <c r="S307" s="2" t="s">
        <v>50</v>
      </c>
      <c r="T307" s="2" t="s">
        <v>139</v>
      </c>
      <c r="U307" s="2">
        <v>9134878547</v>
      </c>
      <c r="V307" s="2" t="s">
        <v>34</v>
      </c>
    </row>
    <row r="308" spans="1:22" x14ac:dyDescent="0.3">
      <c r="A308" s="2" t="s">
        <v>446</v>
      </c>
      <c r="B308" s="2" t="s">
        <v>45</v>
      </c>
      <c r="C308" s="2" t="s">
        <v>68</v>
      </c>
      <c r="D308" s="38">
        <v>45936</v>
      </c>
      <c r="E308" s="38">
        <v>45941</v>
      </c>
      <c r="F308" s="2" t="s">
        <v>102</v>
      </c>
      <c r="G308" s="2" t="s">
        <v>26</v>
      </c>
      <c r="H308" s="38">
        <v>31659</v>
      </c>
      <c r="I308" s="2" t="s">
        <v>27</v>
      </c>
      <c r="J308" s="2" t="s">
        <v>28</v>
      </c>
      <c r="K308" s="2" t="s">
        <v>29</v>
      </c>
      <c r="L308" s="2" t="s">
        <v>71</v>
      </c>
      <c r="M308" s="2">
        <v>3</v>
      </c>
      <c r="N308" s="7">
        <v>3500</v>
      </c>
      <c r="O308" s="2">
        <v>10</v>
      </c>
      <c r="P308" s="7">
        <v>9450</v>
      </c>
      <c r="Q308" s="2">
        <v>1</v>
      </c>
      <c r="R308" s="2" t="s">
        <v>41</v>
      </c>
      <c r="S308" s="2" t="s">
        <v>42</v>
      </c>
      <c r="T308" s="2" t="s">
        <v>51</v>
      </c>
      <c r="U308" s="2">
        <v>9253593557</v>
      </c>
      <c r="V308" s="2" t="s">
        <v>34</v>
      </c>
    </row>
    <row r="309" spans="1:22" x14ac:dyDescent="0.3">
      <c r="A309" s="2" t="s">
        <v>447</v>
      </c>
      <c r="B309" s="2" t="s">
        <v>55</v>
      </c>
      <c r="C309" s="2" t="s">
        <v>36</v>
      </c>
      <c r="D309" s="38">
        <v>45674</v>
      </c>
      <c r="E309" s="38">
        <v>45686</v>
      </c>
      <c r="F309" s="2" t="s">
        <v>125</v>
      </c>
      <c r="G309" s="2" t="s">
        <v>58</v>
      </c>
      <c r="H309" s="38">
        <v>32734</v>
      </c>
      <c r="I309" s="2" t="s">
        <v>92</v>
      </c>
      <c r="J309" s="2" t="s">
        <v>76</v>
      </c>
      <c r="K309" s="2" t="s">
        <v>39</v>
      </c>
      <c r="L309" s="2" t="s">
        <v>40</v>
      </c>
      <c r="M309" s="2">
        <v>2</v>
      </c>
      <c r="N309" s="7">
        <v>12000</v>
      </c>
      <c r="O309" s="2">
        <v>20</v>
      </c>
      <c r="P309" s="7">
        <v>19200</v>
      </c>
      <c r="Q309" s="2">
        <v>1</v>
      </c>
      <c r="R309" s="2" t="s">
        <v>60</v>
      </c>
      <c r="S309" s="2" t="s">
        <v>50</v>
      </c>
      <c r="T309" s="2" t="s">
        <v>61</v>
      </c>
      <c r="U309" s="2">
        <v>9183094051</v>
      </c>
      <c r="V309" s="2" t="s">
        <v>34</v>
      </c>
    </row>
    <row r="310" spans="1:22" x14ac:dyDescent="0.3">
      <c r="A310" s="2" t="s">
        <v>448</v>
      </c>
      <c r="B310" s="2" t="s">
        <v>127</v>
      </c>
      <c r="C310" s="2" t="s">
        <v>128</v>
      </c>
      <c r="D310" s="38">
        <v>45943</v>
      </c>
      <c r="E310" s="38">
        <v>45946</v>
      </c>
      <c r="F310" s="2" t="s">
        <v>129</v>
      </c>
      <c r="G310" s="2" t="s">
        <v>58</v>
      </c>
      <c r="H310" s="38">
        <v>33299</v>
      </c>
      <c r="I310" s="2" t="s">
        <v>37</v>
      </c>
      <c r="J310" s="2" t="s">
        <v>38</v>
      </c>
      <c r="K310" s="2" t="s">
        <v>84</v>
      </c>
      <c r="L310" s="2" t="s">
        <v>130</v>
      </c>
      <c r="M310" s="2">
        <v>12</v>
      </c>
      <c r="N310" s="7">
        <v>20</v>
      </c>
      <c r="O310" s="2">
        <v>20</v>
      </c>
      <c r="P310" s="7">
        <v>192</v>
      </c>
      <c r="Q310" s="2">
        <v>2</v>
      </c>
      <c r="R310" s="2" t="s">
        <v>60</v>
      </c>
      <c r="S310" s="2" t="s">
        <v>42</v>
      </c>
      <c r="T310" s="2" t="s">
        <v>131</v>
      </c>
      <c r="U310" s="2">
        <v>9293147620</v>
      </c>
      <c r="V310" s="2" t="s">
        <v>34</v>
      </c>
    </row>
    <row r="311" spans="1:22" x14ac:dyDescent="0.3">
      <c r="A311" s="2" t="s">
        <v>449</v>
      </c>
      <c r="B311" s="2" t="s">
        <v>73</v>
      </c>
      <c r="C311" s="2" t="s">
        <v>36</v>
      </c>
      <c r="D311" s="38">
        <v>46138</v>
      </c>
      <c r="E311" s="38">
        <v>46140</v>
      </c>
      <c r="F311" s="2" t="s">
        <v>74</v>
      </c>
      <c r="G311" s="2" t="s">
        <v>26</v>
      </c>
      <c r="H311" s="38">
        <v>32733</v>
      </c>
      <c r="I311" s="2" t="s">
        <v>151</v>
      </c>
      <c r="J311" s="2" t="s">
        <v>152</v>
      </c>
      <c r="K311" s="2" t="s">
        <v>39</v>
      </c>
      <c r="L311" s="2" t="s">
        <v>40</v>
      </c>
      <c r="M311" s="2">
        <v>20</v>
      </c>
      <c r="N311" s="7">
        <v>12000</v>
      </c>
      <c r="O311" s="2">
        <v>15</v>
      </c>
      <c r="P311" s="7">
        <v>204000</v>
      </c>
      <c r="Q311" s="2">
        <v>3</v>
      </c>
      <c r="R311" s="2" t="s">
        <v>31</v>
      </c>
      <c r="S311" s="2" t="s">
        <v>32</v>
      </c>
      <c r="T311" s="2" t="s">
        <v>94</v>
      </c>
      <c r="U311" s="2">
        <v>9755583734</v>
      </c>
      <c r="V311" s="2" t="s">
        <v>52</v>
      </c>
    </row>
    <row r="312" spans="1:22" x14ac:dyDescent="0.3">
      <c r="A312" s="2" t="s">
        <v>450</v>
      </c>
      <c r="B312" s="2" t="s">
        <v>45</v>
      </c>
      <c r="C312" s="2" t="s">
        <v>83</v>
      </c>
      <c r="D312" s="38">
        <v>46105</v>
      </c>
      <c r="E312" s="38">
        <v>46116</v>
      </c>
      <c r="F312" s="2" t="s">
        <v>102</v>
      </c>
      <c r="G312" s="2" t="s">
        <v>26</v>
      </c>
      <c r="H312" s="38">
        <v>37654</v>
      </c>
      <c r="I312" s="2" t="s">
        <v>123</v>
      </c>
      <c r="J312" s="2" t="s">
        <v>38</v>
      </c>
      <c r="K312" s="2" t="s">
        <v>84</v>
      </c>
      <c r="L312" s="2" t="s">
        <v>85</v>
      </c>
      <c r="M312" s="2">
        <v>13</v>
      </c>
      <c r="N312" s="7">
        <v>60</v>
      </c>
      <c r="O312" s="2">
        <v>10</v>
      </c>
      <c r="P312" s="7">
        <v>702</v>
      </c>
      <c r="Q312" s="2">
        <v>5</v>
      </c>
      <c r="R312" s="2" t="s">
        <v>31</v>
      </c>
      <c r="S312" s="2" t="s">
        <v>32</v>
      </c>
      <c r="T312" s="2" t="s">
        <v>51</v>
      </c>
      <c r="U312" s="2">
        <v>9186592813</v>
      </c>
      <c r="V312" s="2" t="s">
        <v>52</v>
      </c>
    </row>
    <row r="313" spans="1:22" x14ac:dyDescent="0.3">
      <c r="A313" s="2" t="s">
        <v>451</v>
      </c>
      <c r="B313" s="2" t="s">
        <v>55</v>
      </c>
      <c r="C313" s="2" t="s">
        <v>46</v>
      </c>
      <c r="D313" s="38">
        <v>45785</v>
      </c>
      <c r="E313" s="38">
        <v>45796</v>
      </c>
      <c r="F313" s="2" t="s">
        <v>125</v>
      </c>
      <c r="G313" s="2" t="s">
        <v>58</v>
      </c>
      <c r="H313" s="38">
        <v>35019</v>
      </c>
      <c r="I313" s="2" t="s">
        <v>80</v>
      </c>
      <c r="J313" s="2" t="s">
        <v>76</v>
      </c>
      <c r="K313" s="2" t="s">
        <v>39</v>
      </c>
      <c r="L313" s="2" t="s">
        <v>49</v>
      </c>
      <c r="M313" s="2">
        <v>13</v>
      </c>
      <c r="N313" s="7">
        <v>55000</v>
      </c>
      <c r="O313" s="2">
        <v>5</v>
      </c>
      <c r="P313" s="7">
        <v>679250</v>
      </c>
      <c r="Q313" s="2">
        <v>1</v>
      </c>
      <c r="R313" s="2" t="s">
        <v>65</v>
      </c>
      <c r="S313" s="2" t="s">
        <v>97</v>
      </c>
      <c r="T313" s="2" t="s">
        <v>61</v>
      </c>
      <c r="U313" s="2">
        <v>9203482008</v>
      </c>
      <c r="V313" s="2" t="s">
        <v>52</v>
      </c>
    </row>
    <row r="314" spans="1:22" x14ac:dyDescent="0.3">
      <c r="A314" s="2" t="s">
        <v>452</v>
      </c>
      <c r="B314" s="2" t="s">
        <v>73</v>
      </c>
      <c r="C314" s="2" t="s">
        <v>56</v>
      </c>
      <c r="D314" s="38">
        <v>46088</v>
      </c>
      <c r="E314" s="38">
        <v>46091</v>
      </c>
      <c r="F314" s="2" t="s">
        <v>74</v>
      </c>
      <c r="G314" s="2" t="s">
        <v>26</v>
      </c>
      <c r="H314" s="38">
        <v>32836</v>
      </c>
      <c r="I314" s="2" t="s">
        <v>48</v>
      </c>
      <c r="J314" s="2" t="s">
        <v>28</v>
      </c>
      <c r="K314" s="2" t="s">
        <v>39</v>
      </c>
      <c r="L314" s="2" t="s">
        <v>59</v>
      </c>
      <c r="M314" s="2">
        <v>7</v>
      </c>
      <c r="N314" s="7">
        <v>1200</v>
      </c>
      <c r="O314" s="2">
        <v>15</v>
      </c>
      <c r="P314" s="7">
        <v>7140</v>
      </c>
      <c r="Q314" s="2">
        <v>5</v>
      </c>
      <c r="R314" s="2" t="s">
        <v>65</v>
      </c>
      <c r="S314" s="2" t="s">
        <v>42</v>
      </c>
      <c r="T314" s="2" t="s">
        <v>94</v>
      </c>
      <c r="U314" s="2">
        <v>9829888777</v>
      </c>
      <c r="V314" s="2" t="s">
        <v>52</v>
      </c>
    </row>
    <row r="315" spans="1:22" x14ac:dyDescent="0.3">
      <c r="A315" s="2" t="s">
        <v>453</v>
      </c>
      <c r="B315" s="2" t="s">
        <v>63</v>
      </c>
      <c r="C315" s="2" t="s">
        <v>36</v>
      </c>
      <c r="D315" s="38">
        <v>46017</v>
      </c>
      <c r="E315" s="38">
        <v>46021</v>
      </c>
      <c r="F315" s="2" t="s">
        <v>111</v>
      </c>
      <c r="G315" s="2" t="s">
        <v>58</v>
      </c>
      <c r="H315" s="38">
        <v>32253</v>
      </c>
      <c r="I315" s="2" t="s">
        <v>123</v>
      </c>
      <c r="J315" s="2" t="s">
        <v>38</v>
      </c>
      <c r="K315" s="2" t="s">
        <v>39</v>
      </c>
      <c r="L315" s="2" t="s">
        <v>40</v>
      </c>
      <c r="M315" s="2">
        <v>17</v>
      </c>
      <c r="N315" s="7">
        <v>12000</v>
      </c>
      <c r="O315" s="2">
        <v>5</v>
      </c>
      <c r="P315" s="7">
        <v>193800</v>
      </c>
      <c r="Q315" s="2">
        <v>1</v>
      </c>
      <c r="R315" s="2" t="s">
        <v>31</v>
      </c>
      <c r="S315" s="2" t="s">
        <v>50</v>
      </c>
      <c r="T315" s="2" t="s">
        <v>66</v>
      </c>
      <c r="U315" s="2">
        <v>9566101317</v>
      </c>
      <c r="V315" s="2" t="s">
        <v>53</v>
      </c>
    </row>
    <row r="316" spans="1:22" x14ac:dyDescent="0.3">
      <c r="A316" s="2" t="s">
        <v>454</v>
      </c>
      <c r="B316" s="2" t="s">
        <v>63</v>
      </c>
      <c r="C316" s="2" t="s">
        <v>128</v>
      </c>
      <c r="D316" s="38">
        <v>46131</v>
      </c>
      <c r="E316" s="38">
        <v>46137</v>
      </c>
      <c r="F316" s="2" t="s">
        <v>111</v>
      </c>
      <c r="G316" s="2" t="s">
        <v>58</v>
      </c>
      <c r="H316" s="38">
        <v>28796</v>
      </c>
      <c r="I316" s="2" t="s">
        <v>48</v>
      </c>
      <c r="J316" s="2" t="s">
        <v>28</v>
      </c>
      <c r="K316" s="2" t="s">
        <v>84</v>
      </c>
      <c r="L316" s="2" t="s">
        <v>130</v>
      </c>
      <c r="M316" s="2">
        <v>10</v>
      </c>
      <c r="N316" s="7">
        <v>20</v>
      </c>
      <c r="O316" s="2">
        <v>5</v>
      </c>
      <c r="P316" s="7">
        <v>190</v>
      </c>
      <c r="Q316" s="2">
        <v>2</v>
      </c>
      <c r="R316" s="2" t="s">
        <v>31</v>
      </c>
      <c r="S316" s="2" t="s">
        <v>50</v>
      </c>
      <c r="T316" s="2" t="s">
        <v>66</v>
      </c>
      <c r="U316" s="2">
        <v>9706240823</v>
      </c>
      <c r="V316" s="2" t="s">
        <v>53</v>
      </c>
    </row>
    <row r="317" spans="1:22" x14ac:dyDescent="0.3">
      <c r="A317" s="2" t="s">
        <v>455</v>
      </c>
      <c r="B317" s="2" t="s">
        <v>105</v>
      </c>
      <c r="C317" s="2" t="s">
        <v>24</v>
      </c>
      <c r="D317" s="38">
        <v>45966</v>
      </c>
      <c r="E317" s="38">
        <v>45969</v>
      </c>
      <c r="F317" s="2" t="s">
        <v>170</v>
      </c>
      <c r="G317" s="2" t="s">
        <v>26</v>
      </c>
      <c r="H317" s="38">
        <v>32855</v>
      </c>
      <c r="I317" s="2" t="s">
        <v>37</v>
      </c>
      <c r="J317" s="2" t="s">
        <v>38</v>
      </c>
      <c r="K317" s="2" t="s">
        <v>29</v>
      </c>
      <c r="L317" s="2" t="s">
        <v>30</v>
      </c>
      <c r="M317" s="2">
        <v>11</v>
      </c>
      <c r="N317" s="7">
        <v>2200</v>
      </c>
      <c r="O317" s="2">
        <v>5</v>
      </c>
      <c r="P317" s="7">
        <v>22990</v>
      </c>
      <c r="Q317" s="2">
        <v>5</v>
      </c>
      <c r="R317" s="2" t="s">
        <v>60</v>
      </c>
      <c r="S317" s="2" t="s">
        <v>42</v>
      </c>
      <c r="T317" s="2" t="s">
        <v>109</v>
      </c>
      <c r="U317" s="2">
        <v>9259943760</v>
      </c>
      <c r="V317" s="2" t="s">
        <v>52</v>
      </c>
    </row>
    <row r="318" spans="1:22" x14ac:dyDescent="0.3">
      <c r="A318" s="2" t="s">
        <v>456</v>
      </c>
      <c r="B318" s="2" t="s">
        <v>73</v>
      </c>
      <c r="C318" s="2" t="s">
        <v>83</v>
      </c>
      <c r="D318" s="38">
        <v>46077</v>
      </c>
      <c r="E318" s="38">
        <v>46081</v>
      </c>
      <c r="F318" s="2" t="s">
        <v>74</v>
      </c>
      <c r="G318" s="2" t="s">
        <v>26</v>
      </c>
      <c r="H318" s="38">
        <v>34707</v>
      </c>
      <c r="I318" s="2" t="s">
        <v>123</v>
      </c>
      <c r="J318" s="2" t="s">
        <v>38</v>
      </c>
      <c r="K318" s="2" t="s">
        <v>84</v>
      </c>
      <c r="L318" s="2" t="s">
        <v>85</v>
      </c>
      <c r="M318" s="2">
        <v>8</v>
      </c>
      <c r="N318" s="7">
        <v>60</v>
      </c>
      <c r="O318" s="2">
        <v>15</v>
      </c>
      <c r="P318" s="7">
        <v>408</v>
      </c>
      <c r="Q318" s="2">
        <v>4</v>
      </c>
      <c r="R318" s="2" t="s">
        <v>31</v>
      </c>
      <c r="S318" s="2" t="s">
        <v>42</v>
      </c>
      <c r="T318" s="2" t="s">
        <v>94</v>
      </c>
      <c r="U318" s="2">
        <v>9527326977</v>
      </c>
      <c r="V318" s="2" t="s">
        <v>52</v>
      </c>
    </row>
    <row r="319" spans="1:22" x14ac:dyDescent="0.3">
      <c r="A319" s="2" t="s">
        <v>457</v>
      </c>
      <c r="B319" s="2" t="s">
        <v>127</v>
      </c>
      <c r="C319" s="2" t="s">
        <v>141</v>
      </c>
      <c r="D319" s="38">
        <v>45739</v>
      </c>
      <c r="E319" s="38">
        <v>45741</v>
      </c>
      <c r="F319" s="2" t="s">
        <v>129</v>
      </c>
      <c r="G319" s="2" t="s">
        <v>58</v>
      </c>
      <c r="H319" s="38">
        <v>34630</v>
      </c>
      <c r="I319" s="2" t="s">
        <v>37</v>
      </c>
      <c r="J319" s="2" t="s">
        <v>38</v>
      </c>
      <c r="K319" s="2" t="s">
        <v>84</v>
      </c>
      <c r="L319" s="2" t="s">
        <v>142</v>
      </c>
      <c r="M319" s="2">
        <v>17</v>
      </c>
      <c r="N319" s="7">
        <v>45</v>
      </c>
      <c r="O319" s="2">
        <v>15</v>
      </c>
      <c r="P319" s="7">
        <v>650.25</v>
      </c>
      <c r="Q319" s="2">
        <v>2</v>
      </c>
      <c r="R319" s="2" t="s">
        <v>65</v>
      </c>
      <c r="S319" s="2" t="s">
        <v>97</v>
      </c>
      <c r="T319" s="2" t="s">
        <v>131</v>
      </c>
      <c r="U319" s="2">
        <v>9886970990</v>
      </c>
      <c r="V319" s="2" t="s">
        <v>34</v>
      </c>
    </row>
    <row r="320" spans="1:22" x14ac:dyDescent="0.3">
      <c r="A320" s="2" t="s">
        <v>458</v>
      </c>
      <c r="B320" s="2" t="s">
        <v>160</v>
      </c>
      <c r="C320" s="2" t="s">
        <v>113</v>
      </c>
      <c r="D320" s="38">
        <v>45715</v>
      </c>
      <c r="E320" s="38">
        <v>45726</v>
      </c>
      <c r="F320" s="2" t="s">
        <v>179</v>
      </c>
      <c r="G320" s="2" t="s">
        <v>58</v>
      </c>
      <c r="H320" s="38">
        <v>35206</v>
      </c>
      <c r="I320" s="2" t="s">
        <v>123</v>
      </c>
      <c r="J320" s="2" t="s">
        <v>38</v>
      </c>
      <c r="K320" s="2" t="s">
        <v>39</v>
      </c>
      <c r="L320" s="2" t="s">
        <v>115</v>
      </c>
      <c r="M320" s="2">
        <v>14</v>
      </c>
      <c r="N320" s="7">
        <v>700</v>
      </c>
      <c r="O320" s="2">
        <v>15</v>
      </c>
      <c r="P320" s="7">
        <v>8330</v>
      </c>
      <c r="Q320" s="2">
        <v>1</v>
      </c>
      <c r="R320" s="2" t="s">
        <v>60</v>
      </c>
      <c r="S320" s="2" t="s">
        <v>81</v>
      </c>
      <c r="T320" s="2" t="s">
        <v>162</v>
      </c>
      <c r="U320" s="2">
        <v>9106930369</v>
      </c>
      <c r="V320" s="2" t="s">
        <v>34</v>
      </c>
    </row>
    <row r="321" spans="1:22" x14ac:dyDescent="0.3">
      <c r="A321" s="2" t="s">
        <v>459</v>
      </c>
      <c r="B321" s="2" t="s">
        <v>63</v>
      </c>
      <c r="C321" s="2" t="s">
        <v>56</v>
      </c>
      <c r="D321" s="38">
        <v>45811</v>
      </c>
      <c r="E321" s="38">
        <v>45822</v>
      </c>
      <c r="F321" s="2" t="s">
        <v>111</v>
      </c>
      <c r="G321" s="2" t="s">
        <v>58</v>
      </c>
      <c r="H321" s="38">
        <v>30097</v>
      </c>
      <c r="I321" s="2" t="s">
        <v>80</v>
      </c>
      <c r="J321" s="2" t="s">
        <v>76</v>
      </c>
      <c r="K321" s="2" t="s">
        <v>39</v>
      </c>
      <c r="L321" s="2" t="s">
        <v>59</v>
      </c>
      <c r="M321" s="2">
        <v>3</v>
      </c>
      <c r="N321" s="7">
        <v>1200</v>
      </c>
      <c r="O321" s="2">
        <v>5</v>
      </c>
      <c r="P321" s="7">
        <v>3420</v>
      </c>
      <c r="Q321" s="2">
        <v>3</v>
      </c>
      <c r="R321" s="2" t="s">
        <v>41</v>
      </c>
      <c r="S321" s="2" t="s">
        <v>97</v>
      </c>
      <c r="T321" s="2" t="s">
        <v>66</v>
      </c>
      <c r="U321" s="2">
        <v>9342009114</v>
      </c>
      <c r="V321" s="2" t="s">
        <v>34</v>
      </c>
    </row>
    <row r="322" spans="1:22" x14ac:dyDescent="0.3">
      <c r="A322" s="2" t="s">
        <v>460</v>
      </c>
      <c r="B322" s="2" t="s">
        <v>23</v>
      </c>
      <c r="C322" s="2" t="s">
        <v>56</v>
      </c>
      <c r="D322" s="38">
        <v>45845</v>
      </c>
      <c r="E322" s="38">
        <v>45854</v>
      </c>
      <c r="F322" s="2" t="s">
        <v>25</v>
      </c>
      <c r="G322" s="2" t="s">
        <v>26</v>
      </c>
      <c r="H322" s="38">
        <v>37217</v>
      </c>
      <c r="I322" s="2" t="s">
        <v>92</v>
      </c>
      <c r="J322" s="2" t="s">
        <v>76</v>
      </c>
      <c r="K322" s="2" t="s">
        <v>39</v>
      </c>
      <c r="L322" s="2" t="s">
        <v>59</v>
      </c>
      <c r="M322" s="2">
        <v>9</v>
      </c>
      <c r="N322" s="7">
        <v>1200</v>
      </c>
      <c r="O322" s="2">
        <v>15</v>
      </c>
      <c r="P322" s="7">
        <v>9180</v>
      </c>
      <c r="Q322" s="2">
        <v>3</v>
      </c>
      <c r="R322" s="2" t="s">
        <v>31</v>
      </c>
      <c r="S322" s="2" t="s">
        <v>42</v>
      </c>
      <c r="T322" s="2" t="s">
        <v>43</v>
      </c>
      <c r="U322" s="2">
        <v>9992739960</v>
      </c>
      <c r="V322" s="2" t="s">
        <v>34</v>
      </c>
    </row>
    <row r="323" spans="1:22" x14ac:dyDescent="0.3">
      <c r="A323" s="2" t="s">
        <v>461</v>
      </c>
      <c r="B323" s="2" t="s">
        <v>137</v>
      </c>
      <c r="C323" s="2" t="s">
        <v>128</v>
      </c>
      <c r="D323" s="38">
        <v>46132</v>
      </c>
      <c r="E323" s="38">
        <v>46133</v>
      </c>
      <c r="F323" s="2" t="s">
        <v>138</v>
      </c>
      <c r="G323" s="2" t="s">
        <v>26</v>
      </c>
      <c r="H323" s="38">
        <v>32565</v>
      </c>
      <c r="I323" s="2" t="s">
        <v>75</v>
      </c>
      <c r="J323" s="2" t="s">
        <v>76</v>
      </c>
      <c r="K323" s="2" t="s">
        <v>84</v>
      </c>
      <c r="L323" s="2" t="s">
        <v>130</v>
      </c>
      <c r="M323" s="2">
        <v>5</v>
      </c>
      <c r="N323" s="7">
        <v>20</v>
      </c>
      <c r="O323" s="2">
        <v>5</v>
      </c>
      <c r="P323" s="7">
        <v>95</v>
      </c>
      <c r="Q323" s="2">
        <v>4</v>
      </c>
      <c r="R323" s="2" t="s">
        <v>31</v>
      </c>
      <c r="S323" s="2" t="s">
        <v>97</v>
      </c>
      <c r="T323" s="2" t="s">
        <v>139</v>
      </c>
      <c r="U323" s="2">
        <v>9241987748</v>
      </c>
      <c r="V323" s="2" t="s">
        <v>34</v>
      </c>
    </row>
    <row r="324" spans="1:22" x14ac:dyDescent="0.3">
      <c r="A324" s="2" t="s">
        <v>462</v>
      </c>
      <c r="B324" s="2" t="s">
        <v>137</v>
      </c>
      <c r="C324" s="2" t="s">
        <v>24</v>
      </c>
      <c r="D324" s="38">
        <v>46001</v>
      </c>
      <c r="E324" s="38">
        <v>46012</v>
      </c>
      <c r="F324" s="2" t="s">
        <v>138</v>
      </c>
      <c r="G324" s="2" t="s">
        <v>26</v>
      </c>
      <c r="H324" s="38">
        <v>31277</v>
      </c>
      <c r="I324" s="2" t="s">
        <v>92</v>
      </c>
      <c r="J324" s="2" t="s">
        <v>76</v>
      </c>
      <c r="K324" s="2" t="s">
        <v>29</v>
      </c>
      <c r="L324" s="2" t="s">
        <v>30</v>
      </c>
      <c r="M324" s="2">
        <v>8</v>
      </c>
      <c r="N324" s="7">
        <v>2200</v>
      </c>
      <c r="O324" s="2">
        <v>10</v>
      </c>
      <c r="P324" s="7">
        <v>15840</v>
      </c>
      <c r="Q324" s="2">
        <v>4</v>
      </c>
      <c r="R324" s="2" t="s">
        <v>65</v>
      </c>
      <c r="S324" s="2" t="s">
        <v>50</v>
      </c>
      <c r="T324" s="2" t="s">
        <v>139</v>
      </c>
      <c r="U324" s="2">
        <v>9571990711</v>
      </c>
      <c r="V324" s="2" t="s">
        <v>53</v>
      </c>
    </row>
    <row r="325" spans="1:22" x14ac:dyDescent="0.3">
      <c r="A325" s="2" t="s">
        <v>463</v>
      </c>
      <c r="B325" s="2" t="s">
        <v>137</v>
      </c>
      <c r="C325" s="2" t="s">
        <v>113</v>
      </c>
      <c r="D325" s="38">
        <v>46089</v>
      </c>
      <c r="E325" s="38">
        <v>46093</v>
      </c>
      <c r="F325" s="2" t="s">
        <v>138</v>
      </c>
      <c r="G325" s="2" t="s">
        <v>26</v>
      </c>
      <c r="H325" s="38">
        <v>29223</v>
      </c>
      <c r="I325" s="2" t="s">
        <v>75</v>
      </c>
      <c r="J325" s="2" t="s">
        <v>76</v>
      </c>
      <c r="K325" s="2" t="s">
        <v>39</v>
      </c>
      <c r="L325" s="2" t="s">
        <v>115</v>
      </c>
      <c r="M325" s="2">
        <v>10</v>
      </c>
      <c r="N325" s="7">
        <v>700</v>
      </c>
      <c r="O325" s="2">
        <v>20</v>
      </c>
      <c r="P325" s="7">
        <v>5600</v>
      </c>
      <c r="Q325" s="2">
        <v>1</v>
      </c>
      <c r="R325" s="2" t="s">
        <v>65</v>
      </c>
      <c r="S325" s="2" t="s">
        <v>81</v>
      </c>
      <c r="T325" s="2" t="s">
        <v>139</v>
      </c>
      <c r="U325" s="2">
        <v>9219231183</v>
      </c>
      <c r="V325" s="2" t="s">
        <v>34</v>
      </c>
    </row>
    <row r="326" spans="1:22" x14ac:dyDescent="0.3">
      <c r="A326" s="2" t="s">
        <v>464</v>
      </c>
      <c r="B326" s="2" t="s">
        <v>63</v>
      </c>
      <c r="C326" s="2" t="s">
        <v>113</v>
      </c>
      <c r="D326" s="38">
        <v>45986</v>
      </c>
      <c r="E326" s="38">
        <v>45989</v>
      </c>
      <c r="F326" s="2" t="s">
        <v>111</v>
      </c>
      <c r="G326" s="2" t="s">
        <v>58</v>
      </c>
      <c r="H326" s="38">
        <v>28498</v>
      </c>
      <c r="I326" s="2" t="s">
        <v>48</v>
      </c>
      <c r="J326" s="2" t="s">
        <v>28</v>
      </c>
      <c r="K326" s="2" t="s">
        <v>39</v>
      </c>
      <c r="L326" s="2" t="s">
        <v>115</v>
      </c>
      <c r="M326" s="2">
        <v>2</v>
      </c>
      <c r="N326" s="7">
        <v>700</v>
      </c>
      <c r="O326" s="2">
        <v>20</v>
      </c>
      <c r="P326" s="7">
        <v>1120</v>
      </c>
      <c r="Q326" s="2">
        <v>2</v>
      </c>
      <c r="R326" s="2" t="s">
        <v>31</v>
      </c>
      <c r="S326" s="2" t="s">
        <v>81</v>
      </c>
      <c r="T326" s="2" t="s">
        <v>66</v>
      </c>
      <c r="U326" s="2">
        <v>9847386174</v>
      </c>
      <c r="V326" s="2" t="s">
        <v>52</v>
      </c>
    </row>
    <row r="327" spans="1:22" x14ac:dyDescent="0.3">
      <c r="A327" s="2" t="s">
        <v>465</v>
      </c>
      <c r="B327" s="2" t="s">
        <v>127</v>
      </c>
      <c r="C327" s="2" t="s">
        <v>68</v>
      </c>
      <c r="D327" s="38">
        <v>45827</v>
      </c>
      <c r="E327" s="38">
        <v>45836</v>
      </c>
      <c r="F327" s="2" t="s">
        <v>129</v>
      </c>
      <c r="G327" s="2" t="s">
        <v>58</v>
      </c>
      <c r="H327" s="38">
        <v>33821</v>
      </c>
      <c r="I327" s="2" t="s">
        <v>80</v>
      </c>
      <c r="J327" s="2" t="s">
        <v>76</v>
      </c>
      <c r="K327" s="2" t="s">
        <v>29</v>
      </c>
      <c r="L327" s="2" t="s">
        <v>71</v>
      </c>
      <c r="M327" s="2">
        <v>16</v>
      </c>
      <c r="N327" s="7">
        <v>3500</v>
      </c>
      <c r="O327" s="2">
        <v>20</v>
      </c>
      <c r="P327" s="7">
        <v>44800</v>
      </c>
      <c r="Q327" s="2">
        <v>2</v>
      </c>
      <c r="R327" s="2" t="s">
        <v>65</v>
      </c>
      <c r="S327" s="2" t="s">
        <v>32</v>
      </c>
      <c r="T327" s="2" t="s">
        <v>131</v>
      </c>
      <c r="U327" s="2">
        <v>9941274924</v>
      </c>
      <c r="V327" s="2" t="s">
        <v>52</v>
      </c>
    </row>
    <row r="328" spans="1:22" x14ac:dyDescent="0.3">
      <c r="A328" s="2" t="s">
        <v>466</v>
      </c>
      <c r="B328" s="2" t="s">
        <v>105</v>
      </c>
      <c r="C328" s="2" t="s">
        <v>68</v>
      </c>
      <c r="D328" s="38">
        <v>45860</v>
      </c>
      <c r="E328" s="38">
        <v>45870</v>
      </c>
      <c r="F328" s="2" t="s">
        <v>170</v>
      </c>
      <c r="G328" s="2" t="s">
        <v>26</v>
      </c>
      <c r="H328" s="38">
        <v>38349</v>
      </c>
      <c r="I328" s="2" t="s">
        <v>37</v>
      </c>
      <c r="J328" s="2" t="s">
        <v>38</v>
      </c>
      <c r="K328" s="2" t="s">
        <v>29</v>
      </c>
      <c r="L328" s="2" t="s">
        <v>71</v>
      </c>
      <c r="M328" s="2">
        <v>9</v>
      </c>
      <c r="N328" s="7">
        <v>3500</v>
      </c>
      <c r="O328" s="2">
        <v>20</v>
      </c>
      <c r="P328" s="7">
        <v>25200</v>
      </c>
      <c r="Q328" s="2">
        <v>1</v>
      </c>
      <c r="R328" s="2" t="s">
        <v>60</v>
      </c>
      <c r="S328" s="2" t="s">
        <v>42</v>
      </c>
      <c r="T328" s="2" t="s">
        <v>109</v>
      </c>
      <c r="U328" s="2">
        <v>9950650508</v>
      </c>
      <c r="V328" s="2" t="s">
        <v>53</v>
      </c>
    </row>
    <row r="329" spans="1:22" x14ac:dyDescent="0.3">
      <c r="A329" s="2" t="s">
        <v>467</v>
      </c>
      <c r="B329" s="2" t="s">
        <v>88</v>
      </c>
      <c r="C329" s="2" t="s">
        <v>113</v>
      </c>
      <c r="D329" s="38">
        <v>45959</v>
      </c>
      <c r="E329" s="38">
        <v>45960</v>
      </c>
      <c r="F329" s="2" t="s">
        <v>119</v>
      </c>
      <c r="G329" s="2" t="s">
        <v>58</v>
      </c>
      <c r="H329" s="38">
        <v>37628</v>
      </c>
      <c r="I329" s="2" t="s">
        <v>27</v>
      </c>
      <c r="J329" s="2" t="s">
        <v>28</v>
      </c>
      <c r="K329" s="2" t="s">
        <v>39</v>
      </c>
      <c r="L329" s="2" t="s">
        <v>115</v>
      </c>
      <c r="M329" s="2">
        <v>15</v>
      </c>
      <c r="N329" s="7">
        <v>700</v>
      </c>
      <c r="O329" s="2">
        <v>5</v>
      </c>
      <c r="P329" s="7">
        <v>9975</v>
      </c>
      <c r="Q329" s="2">
        <v>1</v>
      </c>
      <c r="R329" s="2" t="s">
        <v>31</v>
      </c>
      <c r="S329" s="2" t="s">
        <v>42</v>
      </c>
      <c r="T329" s="2" t="s">
        <v>90</v>
      </c>
      <c r="U329" s="2">
        <v>9464035549</v>
      </c>
      <c r="V329" s="2" t="s">
        <v>53</v>
      </c>
    </row>
    <row r="330" spans="1:22" x14ac:dyDescent="0.3">
      <c r="A330" s="2" t="s">
        <v>468</v>
      </c>
      <c r="B330" s="2" t="s">
        <v>45</v>
      </c>
      <c r="C330" s="2" t="s">
        <v>56</v>
      </c>
      <c r="D330" s="38">
        <v>46086</v>
      </c>
      <c r="E330" s="38">
        <v>46091</v>
      </c>
      <c r="F330" s="2" t="s">
        <v>102</v>
      </c>
      <c r="G330" s="2" t="s">
        <v>26</v>
      </c>
      <c r="H330" s="38">
        <v>34037</v>
      </c>
      <c r="I330" s="2" t="s">
        <v>92</v>
      </c>
      <c r="J330" s="2" t="s">
        <v>76</v>
      </c>
      <c r="K330" s="2" t="s">
        <v>39</v>
      </c>
      <c r="L330" s="2" t="s">
        <v>59</v>
      </c>
      <c r="M330" s="2">
        <v>13</v>
      </c>
      <c r="N330" s="7">
        <v>1200</v>
      </c>
      <c r="O330" s="2">
        <v>0</v>
      </c>
      <c r="P330" s="7">
        <v>15600</v>
      </c>
      <c r="Q330" s="2">
        <v>3</v>
      </c>
      <c r="R330" s="2" t="s">
        <v>41</v>
      </c>
      <c r="S330" s="2" t="s">
        <v>81</v>
      </c>
      <c r="T330" s="2" t="s">
        <v>51</v>
      </c>
      <c r="U330" s="2">
        <v>9142334315</v>
      </c>
      <c r="V330" s="2" t="s">
        <v>53</v>
      </c>
    </row>
    <row r="331" spans="1:22" x14ac:dyDescent="0.3">
      <c r="A331" s="2" t="s">
        <v>469</v>
      </c>
      <c r="B331" s="2" t="s">
        <v>160</v>
      </c>
      <c r="C331" s="2" t="s">
        <v>36</v>
      </c>
      <c r="D331" s="38">
        <v>45895</v>
      </c>
      <c r="E331" s="38">
        <v>45907</v>
      </c>
      <c r="F331" s="2" t="s">
        <v>179</v>
      </c>
      <c r="G331" s="2" t="s">
        <v>58</v>
      </c>
      <c r="H331" s="38">
        <v>34123</v>
      </c>
      <c r="I331" s="2" t="s">
        <v>37</v>
      </c>
      <c r="J331" s="2" t="s">
        <v>38</v>
      </c>
      <c r="K331" s="2" t="s">
        <v>39</v>
      </c>
      <c r="L331" s="2" t="s">
        <v>40</v>
      </c>
      <c r="M331" s="2">
        <v>5</v>
      </c>
      <c r="N331" s="7">
        <v>12000</v>
      </c>
      <c r="O331" s="2">
        <v>10</v>
      </c>
      <c r="P331" s="7">
        <v>54000</v>
      </c>
      <c r="Q331" s="2">
        <v>3</v>
      </c>
      <c r="R331" s="2" t="s">
        <v>65</v>
      </c>
      <c r="S331" s="2" t="s">
        <v>42</v>
      </c>
      <c r="T331" s="2" t="s">
        <v>162</v>
      </c>
      <c r="U331" s="2">
        <v>9123961962</v>
      </c>
      <c r="V331" s="2" t="s">
        <v>34</v>
      </c>
    </row>
    <row r="332" spans="1:22" x14ac:dyDescent="0.3">
      <c r="A332" s="2" t="s">
        <v>470</v>
      </c>
      <c r="B332" s="2" t="s">
        <v>45</v>
      </c>
      <c r="C332" s="2" t="s">
        <v>141</v>
      </c>
      <c r="D332" s="38">
        <v>45752</v>
      </c>
      <c r="E332" s="38">
        <v>45755</v>
      </c>
      <c r="F332" s="2" t="s">
        <v>102</v>
      </c>
      <c r="G332" s="2" t="s">
        <v>26</v>
      </c>
      <c r="H332" s="38">
        <v>36504</v>
      </c>
      <c r="I332" s="2" t="s">
        <v>48</v>
      </c>
      <c r="J332" s="2" t="s">
        <v>28</v>
      </c>
      <c r="K332" s="2" t="s">
        <v>84</v>
      </c>
      <c r="L332" s="2" t="s">
        <v>142</v>
      </c>
      <c r="M332" s="2">
        <v>12</v>
      </c>
      <c r="N332" s="7">
        <v>45</v>
      </c>
      <c r="O332" s="2">
        <v>20</v>
      </c>
      <c r="P332" s="7">
        <v>432</v>
      </c>
      <c r="Q332" s="2">
        <v>3</v>
      </c>
      <c r="R332" s="2" t="s">
        <v>41</v>
      </c>
      <c r="S332" s="2" t="s">
        <v>50</v>
      </c>
      <c r="T332" s="2" t="s">
        <v>51</v>
      </c>
      <c r="U332" s="2">
        <v>9741953402</v>
      </c>
      <c r="V332" s="2" t="s">
        <v>34</v>
      </c>
    </row>
    <row r="333" spans="1:22" x14ac:dyDescent="0.3">
      <c r="A333" s="2" t="s">
        <v>471</v>
      </c>
      <c r="B333" s="2" t="s">
        <v>23</v>
      </c>
      <c r="C333" s="2" t="s">
        <v>68</v>
      </c>
      <c r="D333" s="38">
        <v>45756</v>
      </c>
      <c r="E333" s="38">
        <v>45761</v>
      </c>
      <c r="F333" s="2" t="s">
        <v>25</v>
      </c>
      <c r="G333" s="2" t="s">
        <v>26</v>
      </c>
      <c r="H333" s="38">
        <v>27917</v>
      </c>
      <c r="I333" s="2" t="s">
        <v>48</v>
      </c>
      <c r="J333" s="2" t="s">
        <v>28</v>
      </c>
      <c r="K333" s="2" t="s">
        <v>29</v>
      </c>
      <c r="L333" s="2" t="s">
        <v>71</v>
      </c>
      <c r="M333" s="2">
        <v>2</v>
      </c>
      <c r="N333" s="7">
        <v>3500</v>
      </c>
      <c r="O333" s="2">
        <v>0</v>
      </c>
      <c r="P333" s="7">
        <v>7000</v>
      </c>
      <c r="Q333" s="2">
        <v>1</v>
      </c>
      <c r="R333" s="2" t="s">
        <v>41</v>
      </c>
      <c r="S333" s="2" t="s">
        <v>81</v>
      </c>
      <c r="T333" s="2" t="s">
        <v>43</v>
      </c>
      <c r="U333" s="2">
        <v>9404733633</v>
      </c>
      <c r="V333" s="2" t="s">
        <v>52</v>
      </c>
    </row>
    <row r="334" spans="1:22" x14ac:dyDescent="0.3">
      <c r="A334" s="2" t="s">
        <v>472</v>
      </c>
      <c r="B334" s="2" t="s">
        <v>23</v>
      </c>
      <c r="C334" s="2" t="s">
        <v>24</v>
      </c>
      <c r="D334" s="38">
        <v>46155</v>
      </c>
      <c r="E334" s="38">
        <v>46158</v>
      </c>
      <c r="F334" s="2" t="s">
        <v>25</v>
      </c>
      <c r="G334" s="2" t="s">
        <v>26</v>
      </c>
      <c r="H334" s="38">
        <v>30982</v>
      </c>
      <c r="I334" s="2" t="s">
        <v>80</v>
      </c>
      <c r="J334" s="2" t="s">
        <v>76</v>
      </c>
      <c r="K334" s="2" t="s">
        <v>29</v>
      </c>
      <c r="L334" s="2" t="s">
        <v>30</v>
      </c>
      <c r="M334" s="2">
        <v>15</v>
      </c>
      <c r="N334" s="7">
        <v>2200</v>
      </c>
      <c r="O334" s="2">
        <v>15</v>
      </c>
      <c r="P334" s="7">
        <v>28050</v>
      </c>
      <c r="Q334" s="2">
        <v>2</v>
      </c>
      <c r="R334" s="2" t="s">
        <v>41</v>
      </c>
      <c r="S334" s="2" t="s">
        <v>42</v>
      </c>
      <c r="T334" s="2" t="s">
        <v>43</v>
      </c>
      <c r="U334" s="2">
        <v>9297492337</v>
      </c>
      <c r="V334" s="2" t="s">
        <v>52</v>
      </c>
    </row>
    <row r="335" spans="1:22" x14ac:dyDescent="0.3">
      <c r="A335" s="2" t="s">
        <v>473</v>
      </c>
      <c r="B335" s="2" t="s">
        <v>73</v>
      </c>
      <c r="C335" s="2" t="s">
        <v>128</v>
      </c>
      <c r="D335" s="38">
        <v>45995</v>
      </c>
      <c r="E335" s="38">
        <v>46003</v>
      </c>
      <c r="F335" s="2" t="s">
        <v>74</v>
      </c>
      <c r="G335" s="2" t="s">
        <v>26</v>
      </c>
      <c r="H335" s="38">
        <v>27453</v>
      </c>
      <c r="I335" s="2" t="s">
        <v>92</v>
      </c>
      <c r="J335" s="2" t="s">
        <v>76</v>
      </c>
      <c r="K335" s="2" t="s">
        <v>84</v>
      </c>
      <c r="L335" s="2" t="s">
        <v>130</v>
      </c>
      <c r="M335" s="2">
        <v>8</v>
      </c>
      <c r="N335" s="7">
        <v>20</v>
      </c>
      <c r="O335" s="2">
        <v>20</v>
      </c>
      <c r="P335" s="7">
        <v>128</v>
      </c>
      <c r="Q335" s="2">
        <v>5</v>
      </c>
      <c r="R335" s="2" t="s">
        <v>65</v>
      </c>
      <c r="S335" s="2" t="s">
        <v>42</v>
      </c>
      <c r="T335" s="2" t="s">
        <v>94</v>
      </c>
      <c r="U335" s="2">
        <v>9350338928</v>
      </c>
      <c r="V335" s="2" t="s">
        <v>34</v>
      </c>
    </row>
    <row r="336" spans="1:22" x14ac:dyDescent="0.3">
      <c r="A336" s="2" t="s">
        <v>474</v>
      </c>
      <c r="B336" s="2" t="s">
        <v>88</v>
      </c>
      <c r="C336" s="2" t="s">
        <v>128</v>
      </c>
      <c r="D336" s="38">
        <v>46089</v>
      </c>
      <c r="E336" s="38">
        <v>46091</v>
      </c>
      <c r="F336" s="2" t="s">
        <v>119</v>
      </c>
      <c r="G336" s="2" t="s">
        <v>58</v>
      </c>
      <c r="H336" s="38">
        <v>34261</v>
      </c>
      <c r="I336" s="2" t="s">
        <v>27</v>
      </c>
      <c r="J336" s="2" t="s">
        <v>28</v>
      </c>
      <c r="K336" s="2" t="s">
        <v>84</v>
      </c>
      <c r="L336" s="2" t="s">
        <v>130</v>
      </c>
      <c r="M336" s="2">
        <v>1</v>
      </c>
      <c r="N336" s="7">
        <v>20</v>
      </c>
      <c r="O336" s="2">
        <v>0</v>
      </c>
      <c r="P336" s="7">
        <v>20</v>
      </c>
      <c r="Q336" s="2">
        <v>3</v>
      </c>
      <c r="R336" s="2" t="s">
        <v>65</v>
      </c>
      <c r="S336" s="2" t="s">
        <v>32</v>
      </c>
      <c r="T336" s="2" t="s">
        <v>90</v>
      </c>
      <c r="U336" s="2">
        <v>9933894798</v>
      </c>
      <c r="V336" s="2" t="s">
        <v>34</v>
      </c>
    </row>
    <row r="337" spans="1:22" x14ac:dyDescent="0.3">
      <c r="A337" s="2" t="s">
        <v>475</v>
      </c>
      <c r="B337" s="2" t="s">
        <v>23</v>
      </c>
      <c r="C337" s="2" t="s">
        <v>113</v>
      </c>
      <c r="D337" s="38">
        <v>46027</v>
      </c>
      <c r="E337" s="38">
        <v>46038</v>
      </c>
      <c r="F337" s="2" t="s">
        <v>25</v>
      </c>
      <c r="G337" s="2" t="s">
        <v>26</v>
      </c>
      <c r="H337" s="38">
        <v>30614</v>
      </c>
      <c r="I337" s="2" t="s">
        <v>123</v>
      </c>
      <c r="J337" s="2" t="s">
        <v>38</v>
      </c>
      <c r="K337" s="2" t="s">
        <v>39</v>
      </c>
      <c r="L337" s="2" t="s">
        <v>115</v>
      </c>
      <c r="M337" s="2">
        <v>15</v>
      </c>
      <c r="N337" s="7">
        <v>700</v>
      </c>
      <c r="O337" s="2">
        <v>0</v>
      </c>
      <c r="P337" s="7">
        <v>10500</v>
      </c>
      <c r="Q337" s="2">
        <v>2</v>
      </c>
      <c r="R337" s="2" t="s">
        <v>65</v>
      </c>
      <c r="S337" s="2" t="s">
        <v>42</v>
      </c>
      <c r="T337" s="2" t="s">
        <v>43</v>
      </c>
      <c r="U337" s="2">
        <v>9705218824</v>
      </c>
      <c r="V337" s="2" t="s">
        <v>34</v>
      </c>
    </row>
    <row r="338" spans="1:22" x14ac:dyDescent="0.3">
      <c r="A338" s="2" t="s">
        <v>476</v>
      </c>
      <c r="B338" s="2" t="s">
        <v>160</v>
      </c>
      <c r="C338" s="2" t="s">
        <v>68</v>
      </c>
      <c r="D338" s="38">
        <v>45695</v>
      </c>
      <c r="E338" s="38">
        <v>45698</v>
      </c>
      <c r="F338" s="2" t="s">
        <v>179</v>
      </c>
      <c r="G338" s="2" t="s">
        <v>58</v>
      </c>
      <c r="H338" s="38">
        <v>30324</v>
      </c>
      <c r="I338" s="2" t="s">
        <v>27</v>
      </c>
      <c r="J338" s="2" t="s">
        <v>28</v>
      </c>
      <c r="K338" s="2" t="s">
        <v>29</v>
      </c>
      <c r="L338" s="2" t="s">
        <v>71</v>
      </c>
      <c r="M338" s="2">
        <v>15</v>
      </c>
      <c r="N338" s="7">
        <v>3500</v>
      </c>
      <c r="O338" s="2">
        <v>10</v>
      </c>
      <c r="P338" s="7">
        <v>47250</v>
      </c>
      <c r="Q338" s="2">
        <v>3</v>
      </c>
      <c r="R338" s="2" t="s">
        <v>31</v>
      </c>
      <c r="S338" s="2" t="s">
        <v>97</v>
      </c>
      <c r="T338" s="2" t="s">
        <v>162</v>
      </c>
      <c r="U338" s="2">
        <v>9229164453</v>
      </c>
      <c r="V338" s="2" t="s">
        <v>52</v>
      </c>
    </row>
    <row r="339" spans="1:22" x14ac:dyDescent="0.3">
      <c r="A339" s="2" t="s">
        <v>477</v>
      </c>
      <c r="B339" s="2" t="s">
        <v>23</v>
      </c>
      <c r="C339" s="2" t="s">
        <v>83</v>
      </c>
      <c r="D339" s="38">
        <v>45866</v>
      </c>
      <c r="E339" s="38">
        <v>45876</v>
      </c>
      <c r="F339" s="2" t="s">
        <v>25</v>
      </c>
      <c r="G339" s="2" t="s">
        <v>26</v>
      </c>
      <c r="H339" s="38">
        <v>30664</v>
      </c>
      <c r="I339" s="2" t="s">
        <v>151</v>
      </c>
      <c r="J339" s="2" t="s">
        <v>152</v>
      </c>
      <c r="K339" s="2" t="s">
        <v>84</v>
      </c>
      <c r="L339" s="2" t="s">
        <v>85</v>
      </c>
      <c r="M339" s="2">
        <v>16</v>
      </c>
      <c r="N339" s="7">
        <v>60</v>
      </c>
      <c r="O339" s="2">
        <v>10</v>
      </c>
      <c r="P339" s="7">
        <v>864</v>
      </c>
      <c r="Q339" s="2">
        <v>4</v>
      </c>
      <c r="R339" s="2" t="s">
        <v>60</v>
      </c>
      <c r="S339" s="2" t="s">
        <v>50</v>
      </c>
      <c r="T339" s="2" t="s">
        <v>43</v>
      </c>
      <c r="U339" s="2">
        <v>9219806176</v>
      </c>
      <c r="V339" s="2" t="s">
        <v>34</v>
      </c>
    </row>
    <row r="340" spans="1:22" x14ac:dyDescent="0.3">
      <c r="A340" s="2" t="s">
        <v>478</v>
      </c>
      <c r="B340" s="2" t="s">
        <v>88</v>
      </c>
      <c r="C340" s="2" t="s">
        <v>141</v>
      </c>
      <c r="D340" s="38">
        <v>45945</v>
      </c>
      <c r="E340" s="38">
        <v>45951</v>
      </c>
      <c r="F340" s="2" t="s">
        <v>119</v>
      </c>
      <c r="G340" s="2" t="s">
        <v>58</v>
      </c>
      <c r="H340" s="38">
        <v>30585</v>
      </c>
      <c r="I340" s="2" t="s">
        <v>37</v>
      </c>
      <c r="J340" s="2" t="s">
        <v>38</v>
      </c>
      <c r="K340" s="2" t="s">
        <v>84</v>
      </c>
      <c r="L340" s="2" t="s">
        <v>142</v>
      </c>
      <c r="M340" s="2">
        <v>2</v>
      </c>
      <c r="N340" s="7">
        <v>45</v>
      </c>
      <c r="O340" s="2">
        <v>15</v>
      </c>
      <c r="P340" s="7">
        <v>76.5</v>
      </c>
      <c r="Q340" s="2">
        <v>1</v>
      </c>
      <c r="R340" s="2" t="s">
        <v>65</v>
      </c>
      <c r="S340" s="2" t="s">
        <v>97</v>
      </c>
      <c r="T340" s="2" t="s">
        <v>90</v>
      </c>
      <c r="U340" s="2">
        <v>9630210250</v>
      </c>
      <c r="V340" s="2" t="s">
        <v>53</v>
      </c>
    </row>
    <row r="341" spans="1:22" x14ac:dyDescent="0.3">
      <c r="A341" s="2" t="s">
        <v>479</v>
      </c>
      <c r="B341" s="2" t="s">
        <v>105</v>
      </c>
      <c r="C341" s="2" t="s">
        <v>83</v>
      </c>
      <c r="D341" s="38">
        <v>45997</v>
      </c>
      <c r="E341" s="38">
        <v>46006</v>
      </c>
      <c r="F341" s="2" t="s">
        <v>170</v>
      </c>
      <c r="G341" s="2" t="s">
        <v>26</v>
      </c>
      <c r="H341" s="38">
        <v>27537</v>
      </c>
      <c r="I341" s="2" t="s">
        <v>37</v>
      </c>
      <c r="J341" s="2" t="s">
        <v>38</v>
      </c>
      <c r="K341" s="2" t="s">
        <v>84</v>
      </c>
      <c r="L341" s="2" t="s">
        <v>85</v>
      </c>
      <c r="M341" s="2">
        <v>13</v>
      </c>
      <c r="N341" s="7">
        <v>60</v>
      </c>
      <c r="O341" s="2">
        <v>15</v>
      </c>
      <c r="P341" s="7">
        <v>663</v>
      </c>
      <c r="Q341" s="2">
        <v>2</v>
      </c>
      <c r="R341" s="2" t="s">
        <v>41</v>
      </c>
      <c r="S341" s="2" t="s">
        <v>50</v>
      </c>
      <c r="T341" s="2" t="s">
        <v>109</v>
      </c>
      <c r="U341" s="2">
        <v>9583354052</v>
      </c>
      <c r="V341" s="2" t="s">
        <v>53</v>
      </c>
    </row>
    <row r="342" spans="1:22" x14ac:dyDescent="0.3">
      <c r="A342" s="2" t="s">
        <v>480</v>
      </c>
      <c r="B342" s="2" t="s">
        <v>63</v>
      </c>
      <c r="C342" s="2" t="s">
        <v>36</v>
      </c>
      <c r="D342" s="38">
        <v>45797</v>
      </c>
      <c r="E342" s="38">
        <v>45799</v>
      </c>
      <c r="F342" s="2" t="s">
        <v>111</v>
      </c>
      <c r="G342" s="2" t="s">
        <v>58</v>
      </c>
      <c r="H342" s="38">
        <v>34647</v>
      </c>
      <c r="I342" s="2" t="s">
        <v>37</v>
      </c>
      <c r="J342" s="2" t="s">
        <v>38</v>
      </c>
      <c r="K342" s="2" t="s">
        <v>39</v>
      </c>
      <c r="L342" s="2" t="s">
        <v>40</v>
      </c>
      <c r="M342" s="2">
        <v>15</v>
      </c>
      <c r="N342" s="7">
        <v>12000</v>
      </c>
      <c r="O342" s="2">
        <v>20</v>
      </c>
      <c r="P342" s="7">
        <v>144000</v>
      </c>
      <c r="Q342" s="2">
        <v>3</v>
      </c>
      <c r="R342" s="2" t="s">
        <v>60</v>
      </c>
      <c r="S342" s="2" t="s">
        <v>32</v>
      </c>
      <c r="T342" s="2" t="s">
        <v>66</v>
      </c>
      <c r="U342" s="2">
        <v>9242534507</v>
      </c>
      <c r="V342" s="2" t="s">
        <v>53</v>
      </c>
    </row>
    <row r="343" spans="1:22" x14ac:dyDescent="0.3">
      <c r="A343" s="2" t="s">
        <v>481</v>
      </c>
      <c r="B343" s="2" t="s">
        <v>160</v>
      </c>
      <c r="C343" s="2" t="s">
        <v>128</v>
      </c>
      <c r="D343" s="38">
        <v>45863</v>
      </c>
      <c r="E343" s="38">
        <v>45871</v>
      </c>
      <c r="F343" s="2" t="s">
        <v>179</v>
      </c>
      <c r="G343" s="2" t="s">
        <v>58</v>
      </c>
      <c r="H343" s="38">
        <v>32128</v>
      </c>
      <c r="I343" s="2" t="s">
        <v>37</v>
      </c>
      <c r="J343" s="2" t="s">
        <v>38</v>
      </c>
      <c r="K343" s="2" t="s">
        <v>84</v>
      </c>
      <c r="L343" s="2" t="s">
        <v>130</v>
      </c>
      <c r="M343" s="2">
        <v>2</v>
      </c>
      <c r="N343" s="7">
        <v>20</v>
      </c>
      <c r="O343" s="2">
        <v>20</v>
      </c>
      <c r="P343" s="7">
        <v>32</v>
      </c>
      <c r="Q343" s="2">
        <v>4</v>
      </c>
      <c r="R343" s="2" t="s">
        <v>31</v>
      </c>
      <c r="S343" s="2" t="s">
        <v>32</v>
      </c>
      <c r="T343" s="2" t="s">
        <v>162</v>
      </c>
      <c r="U343" s="2">
        <v>9291239150</v>
      </c>
      <c r="V343" s="2" t="s">
        <v>52</v>
      </c>
    </row>
    <row r="344" spans="1:22" x14ac:dyDescent="0.3">
      <c r="A344" s="2" t="s">
        <v>482</v>
      </c>
      <c r="B344" s="2" t="s">
        <v>88</v>
      </c>
      <c r="C344" s="2" t="s">
        <v>68</v>
      </c>
      <c r="D344" s="38">
        <v>45874</v>
      </c>
      <c r="E344" s="38">
        <v>45886</v>
      </c>
      <c r="F344" s="2" t="s">
        <v>119</v>
      </c>
      <c r="G344" s="2" t="s">
        <v>58</v>
      </c>
      <c r="H344" s="38">
        <v>27564</v>
      </c>
      <c r="I344" s="2" t="s">
        <v>48</v>
      </c>
      <c r="J344" s="2" t="s">
        <v>28</v>
      </c>
      <c r="K344" s="2" t="s">
        <v>29</v>
      </c>
      <c r="L344" s="2" t="s">
        <v>71</v>
      </c>
      <c r="M344" s="2">
        <v>16</v>
      </c>
      <c r="N344" s="7">
        <v>3500</v>
      </c>
      <c r="O344" s="2">
        <v>0</v>
      </c>
      <c r="P344" s="7">
        <v>56000</v>
      </c>
      <c r="Q344" s="2">
        <v>4</v>
      </c>
      <c r="R344" s="2" t="s">
        <v>31</v>
      </c>
      <c r="S344" s="2" t="s">
        <v>81</v>
      </c>
      <c r="T344" s="2" t="s">
        <v>90</v>
      </c>
      <c r="U344" s="2">
        <v>9550820904</v>
      </c>
      <c r="V344" s="2" t="s">
        <v>34</v>
      </c>
    </row>
    <row r="345" spans="1:22" x14ac:dyDescent="0.3">
      <c r="A345" s="2" t="s">
        <v>483</v>
      </c>
      <c r="B345" s="2" t="s">
        <v>45</v>
      </c>
      <c r="C345" s="2" t="s">
        <v>68</v>
      </c>
      <c r="D345" s="38">
        <v>46071</v>
      </c>
      <c r="E345" s="38">
        <v>46078</v>
      </c>
      <c r="F345" s="2" t="s">
        <v>102</v>
      </c>
      <c r="G345" s="2" t="s">
        <v>26</v>
      </c>
      <c r="H345" s="38">
        <v>28134</v>
      </c>
      <c r="I345" s="2" t="s">
        <v>92</v>
      </c>
      <c r="J345" s="2" t="s">
        <v>76</v>
      </c>
      <c r="K345" s="2" t="s">
        <v>29</v>
      </c>
      <c r="L345" s="2" t="s">
        <v>71</v>
      </c>
      <c r="M345" s="2">
        <v>18</v>
      </c>
      <c r="N345" s="7">
        <v>3500</v>
      </c>
      <c r="O345" s="2">
        <v>15</v>
      </c>
      <c r="P345" s="7">
        <v>53550</v>
      </c>
      <c r="Q345" s="2">
        <v>5</v>
      </c>
      <c r="R345" s="2" t="s">
        <v>31</v>
      </c>
      <c r="S345" s="2" t="s">
        <v>97</v>
      </c>
      <c r="T345" s="2" t="s">
        <v>51</v>
      </c>
      <c r="U345" s="2">
        <v>9294486423</v>
      </c>
      <c r="V345" s="2" t="s">
        <v>53</v>
      </c>
    </row>
    <row r="346" spans="1:22" x14ac:dyDescent="0.3">
      <c r="A346" s="2" t="s">
        <v>484</v>
      </c>
      <c r="B346" s="2" t="s">
        <v>23</v>
      </c>
      <c r="C346" s="2" t="s">
        <v>141</v>
      </c>
      <c r="D346" s="38">
        <v>46102</v>
      </c>
      <c r="E346" s="38">
        <v>46107</v>
      </c>
      <c r="F346" s="2" t="s">
        <v>25</v>
      </c>
      <c r="G346" s="2" t="s">
        <v>26</v>
      </c>
      <c r="H346" s="38">
        <v>34232</v>
      </c>
      <c r="I346" s="2" t="s">
        <v>92</v>
      </c>
      <c r="J346" s="2" t="s">
        <v>76</v>
      </c>
      <c r="K346" s="2" t="s">
        <v>84</v>
      </c>
      <c r="L346" s="2" t="s">
        <v>142</v>
      </c>
      <c r="M346" s="2">
        <v>20</v>
      </c>
      <c r="N346" s="7">
        <v>45</v>
      </c>
      <c r="O346" s="2">
        <v>15</v>
      </c>
      <c r="P346" s="7">
        <v>765</v>
      </c>
      <c r="Q346" s="2">
        <v>4</v>
      </c>
      <c r="R346" s="2" t="s">
        <v>31</v>
      </c>
      <c r="S346" s="2" t="s">
        <v>97</v>
      </c>
      <c r="T346" s="2" t="s">
        <v>43</v>
      </c>
      <c r="U346" s="2">
        <v>9260258621</v>
      </c>
      <c r="V346" s="2" t="s">
        <v>53</v>
      </c>
    </row>
    <row r="347" spans="1:22" x14ac:dyDescent="0.3">
      <c r="A347" s="2" t="s">
        <v>485</v>
      </c>
      <c r="B347" s="2" t="s">
        <v>137</v>
      </c>
      <c r="C347" s="2" t="s">
        <v>24</v>
      </c>
      <c r="D347" s="38">
        <v>46128</v>
      </c>
      <c r="E347" s="38">
        <v>46131</v>
      </c>
      <c r="F347" s="2" t="s">
        <v>138</v>
      </c>
      <c r="G347" s="2" t="s">
        <v>26</v>
      </c>
      <c r="H347" s="38">
        <v>35494</v>
      </c>
      <c r="I347" s="2" t="s">
        <v>37</v>
      </c>
      <c r="J347" s="2" t="s">
        <v>38</v>
      </c>
      <c r="K347" s="2" t="s">
        <v>29</v>
      </c>
      <c r="L347" s="2" t="s">
        <v>30</v>
      </c>
      <c r="M347" s="2">
        <v>13</v>
      </c>
      <c r="N347" s="7">
        <v>2200</v>
      </c>
      <c r="O347" s="2">
        <v>15</v>
      </c>
      <c r="P347" s="7">
        <v>24310</v>
      </c>
      <c r="Q347" s="2">
        <v>2</v>
      </c>
      <c r="R347" s="2" t="s">
        <v>41</v>
      </c>
      <c r="S347" s="2" t="s">
        <v>81</v>
      </c>
      <c r="T347" s="2" t="s">
        <v>139</v>
      </c>
      <c r="U347" s="2">
        <v>9697433584</v>
      </c>
      <c r="V347" s="2" t="s">
        <v>52</v>
      </c>
    </row>
    <row r="348" spans="1:22" x14ac:dyDescent="0.3">
      <c r="A348" s="2" t="s">
        <v>486</v>
      </c>
      <c r="B348" s="2" t="s">
        <v>45</v>
      </c>
      <c r="C348" s="2" t="s">
        <v>487</v>
      </c>
      <c r="D348" s="38">
        <v>45943</v>
      </c>
      <c r="E348" s="38">
        <v>45944</v>
      </c>
      <c r="F348" s="2" t="s">
        <v>102</v>
      </c>
      <c r="G348" s="2" t="s">
        <v>26</v>
      </c>
      <c r="H348" s="38">
        <v>37447</v>
      </c>
      <c r="I348" s="2" t="s">
        <v>151</v>
      </c>
      <c r="J348" s="2" t="s">
        <v>152</v>
      </c>
      <c r="K348" s="2" t="s">
        <v>29</v>
      </c>
      <c r="L348" s="2" t="s">
        <v>108</v>
      </c>
      <c r="M348" s="2">
        <v>11</v>
      </c>
      <c r="N348" s="7">
        <v>8500</v>
      </c>
      <c r="O348" s="2">
        <v>5</v>
      </c>
      <c r="P348" s="7">
        <v>88825</v>
      </c>
      <c r="Q348" s="2">
        <v>1</v>
      </c>
      <c r="R348" s="2" t="s">
        <v>65</v>
      </c>
      <c r="S348" s="2" t="s">
        <v>81</v>
      </c>
      <c r="T348" s="2" t="s">
        <v>51</v>
      </c>
      <c r="U348" s="2">
        <v>9837969758</v>
      </c>
      <c r="V348" s="2" t="s">
        <v>53</v>
      </c>
    </row>
    <row r="349" spans="1:22" x14ac:dyDescent="0.3">
      <c r="A349" s="2" t="s">
        <v>488</v>
      </c>
      <c r="B349" s="2" t="s">
        <v>45</v>
      </c>
      <c r="C349" s="2" t="s">
        <v>24</v>
      </c>
      <c r="D349" s="38">
        <v>45996</v>
      </c>
      <c r="E349" s="38">
        <v>46001</v>
      </c>
      <c r="F349" s="2" t="s">
        <v>102</v>
      </c>
      <c r="G349" s="2" t="s">
        <v>26</v>
      </c>
      <c r="H349" s="38">
        <v>30790</v>
      </c>
      <c r="I349" s="2" t="s">
        <v>123</v>
      </c>
      <c r="J349" s="2" t="s">
        <v>38</v>
      </c>
      <c r="K349" s="2" t="s">
        <v>29</v>
      </c>
      <c r="L349" s="2" t="s">
        <v>30</v>
      </c>
      <c r="M349" s="2">
        <v>2</v>
      </c>
      <c r="N349" s="7">
        <v>2200</v>
      </c>
      <c r="O349" s="2">
        <v>0</v>
      </c>
      <c r="P349" s="7">
        <v>4400</v>
      </c>
      <c r="Q349" s="2">
        <v>4</v>
      </c>
      <c r="R349" s="2" t="s">
        <v>65</v>
      </c>
      <c r="S349" s="2" t="s">
        <v>97</v>
      </c>
      <c r="T349" s="2" t="s">
        <v>51</v>
      </c>
      <c r="U349" s="2">
        <v>9209736419</v>
      </c>
      <c r="V349" s="2" t="s">
        <v>52</v>
      </c>
    </row>
    <row r="350" spans="1:22" x14ac:dyDescent="0.3">
      <c r="A350" s="2" t="s">
        <v>489</v>
      </c>
      <c r="B350" s="2" t="s">
        <v>63</v>
      </c>
      <c r="C350" s="2" t="s">
        <v>113</v>
      </c>
      <c r="D350" s="38">
        <v>45868</v>
      </c>
      <c r="E350" s="38">
        <v>45873</v>
      </c>
      <c r="F350" s="2" t="s">
        <v>111</v>
      </c>
      <c r="G350" s="2" t="s">
        <v>58</v>
      </c>
      <c r="H350" s="38">
        <v>37803</v>
      </c>
      <c r="I350" s="2" t="s">
        <v>75</v>
      </c>
      <c r="J350" s="2" t="s">
        <v>76</v>
      </c>
      <c r="K350" s="2" t="s">
        <v>39</v>
      </c>
      <c r="L350" s="2" t="s">
        <v>115</v>
      </c>
      <c r="M350" s="2">
        <v>15</v>
      </c>
      <c r="N350" s="7">
        <v>700</v>
      </c>
      <c r="O350" s="2">
        <v>15</v>
      </c>
      <c r="P350" s="7">
        <v>8925</v>
      </c>
      <c r="Q350" s="2">
        <v>3</v>
      </c>
      <c r="R350" s="2" t="s">
        <v>41</v>
      </c>
      <c r="S350" s="2" t="s">
        <v>81</v>
      </c>
      <c r="T350" s="2" t="s">
        <v>66</v>
      </c>
      <c r="U350" s="2">
        <v>9645907237</v>
      </c>
      <c r="V350" s="2" t="s">
        <v>34</v>
      </c>
    </row>
    <row r="351" spans="1:22" x14ac:dyDescent="0.3">
      <c r="A351" s="2" t="s">
        <v>490</v>
      </c>
      <c r="B351" s="2" t="s">
        <v>88</v>
      </c>
      <c r="C351" s="2" t="s">
        <v>24</v>
      </c>
      <c r="D351" s="38">
        <v>45856</v>
      </c>
      <c r="E351" s="38">
        <v>45862</v>
      </c>
      <c r="F351" s="2" t="s">
        <v>119</v>
      </c>
      <c r="G351" s="2" t="s">
        <v>58</v>
      </c>
      <c r="H351" s="38">
        <v>33902</v>
      </c>
      <c r="I351" s="2" t="s">
        <v>92</v>
      </c>
      <c r="J351" s="2" t="s">
        <v>76</v>
      </c>
      <c r="K351" s="2" t="s">
        <v>29</v>
      </c>
      <c r="L351" s="2" t="s">
        <v>30</v>
      </c>
      <c r="M351" s="2">
        <v>5</v>
      </c>
      <c r="N351" s="7">
        <v>2200</v>
      </c>
      <c r="O351" s="2">
        <v>15</v>
      </c>
      <c r="P351" s="7">
        <v>9350</v>
      </c>
      <c r="Q351" s="2">
        <v>1</v>
      </c>
      <c r="R351" s="2" t="s">
        <v>41</v>
      </c>
      <c r="S351" s="2" t="s">
        <v>81</v>
      </c>
      <c r="T351" s="2" t="s">
        <v>90</v>
      </c>
      <c r="U351" s="2">
        <v>9566149945</v>
      </c>
      <c r="V351" s="2" t="s">
        <v>52</v>
      </c>
    </row>
    <row r="352" spans="1:22" x14ac:dyDescent="0.3">
      <c r="A352" s="2" t="s">
        <v>491</v>
      </c>
      <c r="B352" s="2" t="s">
        <v>63</v>
      </c>
      <c r="C352" s="2" t="s">
        <v>56</v>
      </c>
      <c r="D352" s="38">
        <v>46092</v>
      </c>
      <c r="E352" s="38">
        <v>46093</v>
      </c>
      <c r="F352" s="2" t="s">
        <v>111</v>
      </c>
      <c r="G352" s="2" t="s">
        <v>58</v>
      </c>
      <c r="H352" s="38">
        <v>32360</v>
      </c>
      <c r="I352" s="2" t="s">
        <v>92</v>
      </c>
      <c r="J352" s="2" t="s">
        <v>76</v>
      </c>
      <c r="K352" s="2" t="s">
        <v>39</v>
      </c>
      <c r="L352" s="2" t="s">
        <v>59</v>
      </c>
      <c r="M352" s="2">
        <v>15</v>
      </c>
      <c r="N352" s="7">
        <v>1200</v>
      </c>
      <c r="O352" s="2">
        <v>0</v>
      </c>
      <c r="P352" s="7">
        <v>18000</v>
      </c>
      <c r="Q352" s="2">
        <v>3</v>
      </c>
      <c r="R352" s="2" t="s">
        <v>41</v>
      </c>
      <c r="S352" s="2" t="s">
        <v>50</v>
      </c>
      <c r="T352" s="2" t="s">
        <v>66</v>
      </c>
      <c r="U352" s="2">
        <v>9935018068</v>
      </c>
      <c r="V352" s="2" t="s">
        <v>53</v>
      </c>
    </row>
    <row r="353" spans="1:22" x14ac:dyDescent="0.3">
      <c r="A353" s="2" t="s">
        <v>492</v>
      </c>
      <c r="B353" s="2" t="s">
        <v>137</v>
      </c>
      <c r="C353" s="2" t="s">
        <v>56</v>
      </c>
      <c r="D353" s="38">
        <v>46120</v>
      </c>
      <c r="E353" s="38">
        <v>46122</v>
      </c>
      <c r="F353" s="2" t="s">
        <v>138</v>
      </c>
      <c r="G353" s="2" t="s">
        <v>26</v>
      </c>
      <c r="H353" s="38">
        <v>31952</v>
      </c>
      <c r="I353" s="2" t="s">
        <v>75</v>
      </c>
      <c r="J353" s="2" t="s">
        <v>76</v>
      </c>
      <c r="K353" s="2" t="s">
        <v>39</v>
      </c>
      <c r="L353" s="2" t="s">
        <v>59</v>
      </c>
      <c r="M353" s="2">
        <v>19</v>
      </c>
      <c r="N353" s="7">
        <v>1200</v>
      </c>
      <c r="O353" s="2">
        <v>0</v>
      </c>
      <c r="P353" s="7">
        <v>22800</v>
      </c>
      <c r="Q353" s="2">
        <v>1</v>
      </c>
      <c r="R353" s="2" t="s">
        <v>31</v>
      </c>
      <c r="S353" s="2" t="s">
        <v>42</v>
      </c>
      <c r="T353" s="2" t="s">
        <v>139</v>
      </c>
      <c r="U353" s="2">
        <v>9171794652</v>
      </c>
      <c r="V353" s="2" t="s">
        <v>53</v>
      </c>
    </row>
    <row r="354" spans="1:22" x14ac:dyDescent="0.3">
      <c r="A354" s="2" t="s">
        <v>493</v>
      </c>
      <c r="B354" s="2" t="s">
        <v>105</v>
      </c>
      <c r="C354" s="2" t="s">
        <v>36</v>
      </c>
      <c r="D354" s="38">
        <v>45918</v>
      </c>
      <c r="E354" s="38">
        <v>45925</v>
      </c>
      <c r="F354" s="2" t="s">
        <v>170</v>
      </c>
      <c r="G354" s="2" t="s">
        <v>26</v>
      </c>
      <c r="H354" s="38">
        <v>32800</v>
      </c>
      <c r="I354" s="2" t="s">
        <v>75</v>
      </c>
      <c r="J354" s="2" t="s">
        <v>76</v>
      </c>
      <c r="K354" s="2" t="s">
        <v>39</v>
      </c>
      <c r="L354" s="2" t="s">
        <v>40</v>
      </c>
      <c r="M354" s="2">
        <v>9</v>
      </c>
      <c r="N354" s="7">
        <v>12000</v>
      </c>
      <c r="O354" s="2">
        <v>15</v>
      </c>
      <c r="P354" s="7">
        <v>91800</v>
      </c>
      <c r="Q354" s="2">
        <v>3</v>
      </c>
      <c r="R354" s="2" t="s">
        <v>65</v>
      </c>
      <c r="S354" s="2" t="s">
        <v>42</v>
      </c>
      <c r="T354" s="2" t="s">
        <v>109</v>
      </c>
      <c r="U354" s="2">
        <v>9671497416</v>
      </c>
      <c r="V354" s="2" t="s">
        <v>53</v>
      </c>
    </row>
    <row r="355" spans="1:22" x14ac:dyDescent="0.3">
      <c r="A355" s="2" t="s">
        <v>494</v>
      </c>
      <c r="B355" s="2" t="s">
        <v>23</v>
      </c>
      <c r="C355" s="2" t="s">
        <v>141</v>
      </c>
      <c r="D355" s="38">
        <v>45941</v>
      </c>
      <c r="E355" s="38">
        <v>45951</v>
      </c>
      <c r="F355" s="2" t="s">
        <v>25</v>
      </c>
      <c r="G355" s="2" t="s">
        <v>26</v>
      </c>
      <c r="H355" s="38">
        <v>33746</v>
      </c>
      <c r="I355" s="2" t="s">
        <v>123</v>
      </c>
      <c r="J355" s="2" t="s">
        <v>38</v>
      </c>
      <c r="K355" s="2" t="s">
        <v>84</v>
      </c>
      <c r="L355" s="2" t="s">
        <v>142</v>
      </c>
      <c r="M355" s="2">
        <v>5</v>
      </c>
      <c r="N355" s="7">
        <v>45</v>
      </c>
      <c r="O355" s="2">
        <v>5</v>
      </c>
      <c r="P355" s="7">
        <v>213.75</v>
      </c>
      <c r="Q355" s="2">
        <v>1</v>
      </c>
      <c r="R355" s="2" t="s">
        <v>60</v>
      </c>
      <c r="S355" s="2" t="s">
        <v>81</v>
      </c>
      <c r="T355" s="2" t="s">
        <v>43</v>
      </c>
      <c r="U355" s="2">
        <v>9810433484</v>
      </c>
      <c r="V355" s="2" t="s">
        <v>34</v>
      </c>
    </row>
    <row r="356" spans="1:22" x14ac:dyDescent="0.3">
      <c r="A356" s="2" t="s">
        <v>495</v>
      </c>
      <c r="B356" s="2" t="s">
        <v>137</v>
      </c>
      <c r="C356" s="2" t="s">
        <v>113</v>
      </c>
      <c r="D356" s="38">
        <v>45698</v>
      </c>
      <c r="E356" s="38">
        <v>45699</v>
      </c>
      <c r="F356" s="2" t="s">
        <v>138</v>
      </c>
      <c r="G356" s="2" t="s">
        <v>26</v>
      </c>
      <c r="H356" s="38">
        <v>32822</v>
      </c>
      <c r="I356" s="2" t="s">
        <v>75</v>
      </c>
      <c r="J356" s="2" t="s">
        <v>76</v>
      </c>
      <c r="K356" s="2" t="s">
        <v>39</v>
      </c>
      <c r="L356" s="2" t="s">
        <v>115</v>
      </c>
      <c r="M356" s="2">
        <v>3</v>
      </c>
      <c r="N356" s="7">
        <v>700</v>
      </c>
      <c r="O356" s="2">
        <v>15</v>
      </c>
      <c r="P356" s="7">
        <v>1785</v>
      </c>
      <c r="Q356" s="2">
        <v>4</v>
      </c>
      <c r="R356" s="2" t="s">
        <v>31</v>
      </c>
      <c r="S356" s="2" t="s">
        <v>97</v>
      </c>
      <c r="T356" s="2" t="s">
        <v>139</v>
      </c>
      <c r="U356" s="2">
        <v>9990243436</v>
      </c>
      <c r="V356" s="2" t="s">
        <v>34</v>
      </c>
    </row>
    <row r="357" spans="1:22" x14ac:dyDescent="0.3">
      <c r="A357" s="2" t="s">
        <v>497</v>
      </c>
      <c r="B357" s="2" t="s">
        <v>55</v>
      </c>
      <c r="C357" s="2" t="s">
        <v>106</v>
      </c>
      <c r="D357" s="38">
        <v>46005</v>
      </c>
      <c r="E357" s="38">
        <v>46017</v>
      </c>
      <c r="F357" s="2" t="s">
        <v>125</v>
      </c>
      <c r="G357" s="2" t="s">
        <v>58</v>
      </c>
      <c r="H357" s="38">
        <v>29467</v>
      </c>
      <c r="I357" s="2" t="s">
        <v>123</v>
      </c>
      <c r="J357" s="2" t="s">
        <v>38</v>
      </c>
      <c r="K357" s="2" t="s">
        <v>29</v>
      </c>
      <c r="L357" s="2" t="s">
        <v>108</v>
      </c>
      <c r="M357" s="2">
        <v>12</v>
      </c>
      <c r="N357" s="7">
        <v>8500</v>
      </c>
      <c r="O357" s="2">
        <v>5</v>
      </c>
      <c r="P357" s="7">
        <v>96900</v>
      </c>
      <c r="Q357" s="2">
        <v>3</v>
      </c>
      <c r="R357" s="2" t="s">
        <v>60</v>
      </c>
      <c r="S357" s="2" t="s">
        <v>50</v>
      </c>
      <c r="T357" s="2" t="s">
        <v>61</v>
      </c>
      <c r="U357" s="2">
        <v>9396678031</v>
      </c>
      <c r="V357" s="2" t="s">
        <v>52</v>
      </c>
    </row>
    <row r="358" spans="1:22" x14ac:dyDescent="0.3">
      <c r="A358" s="2" t="s">
        <v>498</v>
      </c>
      <c r="B358" s="2" t="s">
        <v>137</v>
      </c>
      <c r="C358" s="2" t="s">
        <v>106</v>
      </c>
      <c r="D358" s="38">
        <v>46123</v>
      </c>
      <c r="E358" s="38">
        <v>46131</v>
      </c>
      <c r="F358" s="2" t="s">
        <v>138</v>
      </c>
      <c r="G358" s="2" t="s">
        <v>26</v>
      </c>
      <c r="H358" s="38">
        <v>28920</v>
      </c>
      <c r="I358" s="2" t="s">
        <v>80</v>
      </c>
      <c r="J358" s="2" t="s">
        <v>76</v>
      </c>
      <c r="K358" s="2" t="s">
        <v>29</v>
      </c>
      <c r="L358" s="2" t="s">
        <v>108</v>
      </c>
      <c r="M358" s="2">
        <v>4</v>
      </c>
      <c r="N358" s="7">
        <v>8500</v>
      </c>
      <c r="O358" s="2">
        <v>15</v>
      </c>
      <c r="P358" s="7">
        <v>28900</v>
      </c>
      <c r="Q358" s="2">
        <v>4</v>
      </c>
      <c r="R358" s="2" t="s">
        <v>41</v>
      </c>
      <c r="S358" s="2" t="s">
        <v>50</v>
      </c>
      <c r="T358" s="2" t="s">
        <v>139</v>
      </c>
      <c r="U358" s="2">
        <v>9818591245</v>
      </c>
      <c r="V358" s="2" t="s">
        <v>52</v>
      </c>
    </row>
    <row r="359" spans="1:22" x14ac:dyDescent="0.3">
      <c r="A359" s="2" t="s">
        <v>499</v>
      </c>
      <c r="B359" s="2" t="s">
        <v>88</v>
      </c>
      <c r="C359" s="2" t="s">
        <v>128</v>
      </c>
      <c r="D359" s="38">
        <v>45766</v>
      </c>
      <c r="E359" s="38">
        <v>45769</v>
      </c>
      <c r="F359" s="2" t="s">
        <v>119</v>
      </c>
      <c r="G359" s="2" t="s">
        <v>58</v>
      </c>
      <c r="H359" s="38">
        <v>35312</v>
      </c>
      <c r="I359" s="2" t="s">
        <v>123</v>
      </c>
      <c r="J359" s="2" t="s">
        <v>38</v>
      </c>
      <c r="K359" s="2" t="s">
        <v>84</v>
      </c>
      <c r="L359" s="2" t="s">
        <v>130</v>
      </c>
      <c r="M359" s="2">
        <v>16</v>
      </c>
      <c r="N359" s="7">
        <v>20</v>
      </c>
      <c r="O359" s="2">
        <v>10</v>
      </c>
      <c r="P359" s="7">
        <v>288</v>
      </c>
      <c r="Q359" s="2">
        <v>4</v>
      </c>
      <c r="R359" s="2" t="s">
        <v>31</v>
      </c>
      <c r="S359" s="2" t="s">
        <v>81</v>
      </c>
      <c r="T359" s="2" t="s">
        <v>90</v>
      </c>
      <c r="U359" s="2">
        <v>9505550047</v>
      </c>
      <c r="V359" s="2" t="s">
        <v>53</v>
      </c>
    </row>
    <row r="360" spans="1:22" x14ac:dyDescent="0.3">
      <c r="A360" s="2" t="s">
        <v>500</v>
      </c>
      <c r="B360" s="2" t="s">
        <v>88</v>
      </c>
      <c r="C360" s="2" t="s">
        <v>83</v>
      </c>
      <c r="D360" s="38">
        <v>46152</v>
      </c>
      <c r="E360" s="38">
        <v>46160</v>
      </c>
      <c r="F360" s="2" t="s">
        <v>119</v>
      </c>
      <c r="G360" s="2" t="s">
        <v>58</v>
      </c>
      <c r="H360" s="38">
        <v>36233</v>
      </c>
      <c r="I360" s="2" t="s">
        <v>75</v>
      </c>
      <c r="J360" s="2" t="s">
        <v>76</v>
      </c>
      <c r="K360" s="2" t="s">
        <v>84</v>
      </c>
      <c r="L360" s="2" t="s">
        <v>85</v>
      </c>
      <c r="M360" s="2">
        <v>3</v>
      </c>
      <c r="N360" s="7">
        <v>60</v>
      </c>
      <c r="O360" s="2">
        <v>20</v>
      </c>
      <c r="P360" s="7">
        <v>144</v>
      </c>
      <c r="Q360" s="2">
        <v>4</v>
      </c>
      <c r="R360" s="2" t="s">
        <v>65</v>
      </c>
      <c r="S360" s="2" t="s">
        <v>97</v>
      </c>
      <c r="T360" s="2" t="s">
        <v>90</v>
      </c>
      <c r="U360" s="2">
        <v>9469828772</v>
      </c>
      <c r="V360" s="2" t="s">
        <v>52</v>
      </c>
    </row>
    <row r="361" spans="1:22" x14ac:dyDescent="0.3">
      <c r="A361" s="2" t="s">
        <v>501</v>
      </c>
      <c r="B361" s="2" t="s">
        <v>55</v>
      </c>
      <c r="C361" s="2" t="s">
        <v>24</v>
      </c>
      <c r="D361" s="38">
        <v>45858</v>
      </c>
      <c r="E361" s="38">
        <v>45864</v>
      </c>
      <c r="F361" s="2" t="s">
        <v>125</v>
      </c>
      <c r="G361" s="2" t="s">
        <v>58</v>
      </c>
      <c r="H361" s="38">
        <v>30958</v>
      </c>
      <c r="I361" s="2" t="s">
        <v>75</v>
      </c>
      <c r="J361" s="2" t="s">
        <v>76</v>
      </c>
      <c r="K361" s="2" t="s">
        <v>29</v>
      </c>
      <c r="L361" s="2" t="s">
        <v>30</v>
      </c>
      <c r="M361" s="2">
        <v>19</v>
      </c>
      <c r="N361" s="7">
        <v>2200</v>
      </c>
      <c r="O361" s="2">
        <v>10</v>
      </c>
      <c r="P361" s="7">
        <v>37620</v>
      </c>
      <c r="Q361" s="2">
        <v>2</v>
      </c>
      <c r="R361" s="2" t="s">
        <v>31</v>
      </c>
      <c r="S361" s="2" t="s">
        <v>97</v>
      </c>
      <c r="T361" s="2" t="s">
        <v>61</v>
      </c>
      <c r="U361" s="2">
        <v>9885092680</v>
      </c>
      <c r="V361" s="2" t="s">
        <v>52</v>
      </c>
    </row>
    <row r="362" spans="1:22" x14ac:dyDescent="0.3">
      <c r="A362" s="2" t="s">
        <v>502</v>
      </c>
      <c r="B362" s="2" t="s">
        <v>55</v>
      </c>
      <c r="C362" s="2" t="s">
        <v>56</v>
      </c>
      <c r="D362" s="38">
        <v>46045</v>
      </c>
      <c r="E362" s="38">
        <v>46049</v>
      </c>
      <c r="F362" s="2" t="s">
        <v>125</v>
      </c>
      <c r="G362" s="2" t="s">
        <v>58</v>
      </c>
      <c r="H362" s="38">
        <v>30872</v>
      </c>
      <c r="I362" s="2" t="s">
        <v>27</v>
      </c>
      <c r="J362" s="2" t="s">
        <v>28</v>
      </c>
      <c r="K362" s="2" t="s">
        <v>39</v>
      </c>
      <c r="L362" s="2" t="s">
        <v>59</v>
      </c>
      <c r="M362" s="2">
        <v>7</v>
      </c>
      <c r="N362" s="7">
        <v>1200</v>
      </c>
      <c r="O362" s="2">
        <v>20</v>
      </c>
      <c r="P362" s="7">
        <v>6720</v>
      </c>
      <c r="Q362" s="2">
        <v>3</v>
      </c>
      <c r="R362" s="2" t="s">
        <v>60</v>
      </c>
      <c r="S362" s="2" t="s">
        <v>81</v>
      </c>
      <c r="T362" s="2" t="s">
        <v>61</v>
      </c>
      <c r="U362" s="2">
        <v>9362319457</v>
      </c>
      <c r="V362" s="2" t="s">
        <v>53</v>
      </c>
    </row>
    <row r="363" spans="1:22" x14ac:dyDescent="0.3">
      <c r="A363" s="2" t="s">
        <v>503</v>
      </c>
      <c r="B363" s="2" t="s">
        <v>45</v>
      </c>
      <c r="C363" s="2" t="s">
        <v>128</v>
      </c>
      <c r="D363" s="38">
        <v>46097</v>
      </c>
      <c r="E363" s="38">
        <v>46102</v>
      </c>
      <c r="F363" s="2" t="s">
        <v>102</v>
      </c>
      <c r="G363" s="2" t="s">
        <v>26</v>
      </c>
      <c r="H363" s="38">
        <v>32577</v>
      </c>
      <c r="I363" s="2" t="s">
        <v>48</v>
      </c>
      <c r="J363" s="2" t="s">
        <v>28</v>
      </c>
      <c r="K363" s="2" t="s">
        <v>84</v>
      </c>
      <c r="L363" s="2" t="s">
        <v>130</v>
      </c>
      <c r="M363" s="2">
        <v>20</v>
      </c>
      <c r="N363" s="7">
        <v>20</v>
      </c>
      <c r="O363" s="2">
        <v>20</v>
      </c>
      <c r="P363" s="7">
        <v>320</v>
      </c>
      <c r="Q363" s="2">
        <v>5</v>
      </c>
      <c r="R363" s="2" t="s">
        <v>60</v>
      </c>
      <c r="S363" s="2" t="s">
        <v>81</v>
      </c>
      <c r="T363" s="2" t="s">
        <v>51</v>
      </c>
      <c r="U363" s="2">
        <v>9223945130</v>
      </c>
      <c r="V363" s="2" t="s">
        <v>52</v>
      </c>
    </row>
    <row r="364" spans="1:22" x14ac:dyDescent="0.3">
      <c r="A364" s="2" t="s">
        <v>504</v>
      </c>
      <c r="B364" s="2" t="s">
        <v>73</v>
      </c>
      <c r="C364" s="2" t="s">
        <v>56</v>
      </c>
      <c r="D364" s="38">
        <v>45777</v>
      </c>
      <c r="E364" s="38">
        <v>45784</v>
      </c>
      <c r="F364" s="2" t="s">
        <v>74</v>
      </c>
      <c r="G364" s="2" t="s">
        <v>26</v>
      </c>
      <c r="H364" s="38">
        <v>31156</v>
      </c>
      <c r="I364" s="2" t="s">
        <v>27</v>
      </c>
      <c r="J364" s="2" t="s">
        <v>28</v>
      </c>
      <c r="K364" s="2" t="s">
        <v>39</v>
      </c>
      <c r="L364" s="2" t="s">
        <v>59</v>
      </c>
      <c r="M364" s="2">
        <v>19</v>
      </c>
      <c r="N364" s="7">
        <v>1200</v>
      </c>
      <c r="O364" s="2">
        <v>5</v>
      </c>
      <c r="P364" s="7">
        <v>21660</v>
      </c>
      <c r="Q364" s="2">
        <v>3</v>
      </c>
      <c r="R364" s="2" t="s">
        <v>60</v>
      </c>
      <c r="S364" s="2" t="s">
        <v>32</v>
      </c>
      <c r="T364" s="2" t="s">
        <v>94</v>
      </c>
      <c r="U364" s="2">
        <v>9910804926</v>
      </c>
      <c r="V364" s="2" t="s">
        <v>52</v>
      </c>
    </row>
    <row r="365" spans="1:22" x14ac:dyDescent="0.3">
      <c r="A365" s="2" t="s">
        <v>505</v>
      </c>
      <c r="B365" s="2" t="s">
        <v>45</v>
      </c>
      <c r="C365" s="2" t="s">
        <v>128</v>
      </c>
      <c r="D365" s="38">
        <v>45691</v>
      </c>
      <c r="E365" s="38">
        <v>45701</v>
      </c>
      <c r="F365" s="2" t="s">
        <v>102</v>
      </c>
      <c r="G365" s="2" t="s">
        <v>26</v>
      </c>
      <c r="H365" s="38">
        <v>37846</v>
      </c>
      <c r="I365" s="2" t="s">
        <v>27</v>
      </c>
      <c r="J365" s="2" t="s">
        <v>28</v>
      </c>
      <c r="K365" s="2" t="s">
        <v>84</v>
      </c>
      <c r="L365" s="2" t="s">
        <v>130</v>
      </c>
      <c r="M365" s="2">
        <v>5</v>
      </c>
      <c r="N365" s="7">
        <v>20</v>
      </c>
      <c r="O365" s="2">
        <v>0</v>
      </c>
      <c r="P365" s="7">
        <v>100</v>
      </c>
      <c r="Q365" s="2">
        <v>2</v>
      </c>
      <c r="R365" s="2" t="s">
        <v>65</v>
      </c>
      <c r="S365" s="2" t="s">
        <v>42</v>
      </c>
      <c r="T365" s="2" t="s">
        <v>51</v>
      </c>
      <c r="U365" s="2">
        <v>9274269744</v>
      </c>
      <c r="V365" s="2" t="s">
        <v>52</v>
      </c>
    </row>
    <row r="366" spans="1:22" x14ac:dyDescent="0.3">
      <c r="A366" s="2" t="s">
        <v>506</v>
      </c>
      <c r="B366" s="2" t="s">
        <v>73</v>
      </c>
      <c r="C366" s="2" t="s">
        <v>141</v>
      </c>
      <c r="D366" s="38">
        <v>46088</v>
      </c>
      <c r="E366" s="38">
        <v>46097</v>
      </c>
      <c r="F366" s="2" t="s">
        <v>74</v>
      </c>
      <c r="G366" s="2" t="s">
        <v>26</v>
      </c>
      <c r="H366" s="38">
        <v>30570</v>
      </c>
      <c r="I366" s="2" t="s">
        <v>123</v>
      </c>
      <c r="J366" s="2" t="s">
        <v>38</v>
      </c>
      <c r="K366" s="2" t="s">
        <v>84</v>
      </c>
      <c r="L366" s="2" t="s">
        <v>142</v>
      </c>
      <c r="M366" s="2">
        <v>16</v>
      </c>
      <c r="N366" s="7">
        <v>45</v>
      </c>
      <c r="O366" s="2">
        <v>15</v>
      </c>
      <c r="P366" s="7">
        <v>612</v>
      </c>
      <c r="Q366" s="2">
        <v>5</v>
      </c>
      <c r="R366" s="2" t="s">
        <v>31</v>
      </c>
      <c r="S366" s="2" t="s">
        <v>50</v>
      </c>
      <c r="T366" s="2" t="s">
        <v>94</v>
      </c>
      <c r="U366" s="2">
        <v>9223196101</v>
      </c>
      <c r="V366" s="2" t="s">
        <v>53</v>
      </c>
    </row>
    <row r="367" spans="1:22" x14ac:dyDescent="0.3">
      <c r="A367" s="2" t="s">
        <v>507</v>
      </c>
      <c r="B367" s="2" t="s">
        <v>23</v>
      </c>
      <c r="C367" s="2" t="s">
        <v>24</v>
      </c>
      <c r="D367" s="38">
        <v>45780</v>
      </c>
      <c r="E367" s="38">
        <v>45792</v>
      </c>
      <c r="F367" s="2" t="s">
        <v>25</v>
      </c>
      <c r="G367" s="2" t="s">
        <v>26</v>
      </c>
      <c r="H367" s="38">
        <v>27922</v>
      </c>
      <c r="I367" s="2" t="s">
        <v>123</v>
      </c>
      <c r="J367" s="2" t="s">
        <v>38</v>
      </c>
      <c r="K367" s="2" t="s">
        <v>29</v>
      </c>
      <c r="L367" s="2" t="s">
        <v>30</v>
      </c>
      <c r="M367" s="2">
        <v>1</v>
      </c>
      <c r="N367" s="7">
        <v>2200</v>
      </c>
      <c r="O367" s="2">
        <v>10</v>
      </c>
      <c r="P367" s="7">
        <v>1980</v>
      </c>
      <c r="Q367" s="2">
        <v>5</v>
      </c>
      <c r="R367" s="2" t="s">
        <v>60</v>
      </c>
      <c r="S367" s="2" t="s">
        <v>42</v>
      </c>
      <c r="T367" s="2" t="s">
        <v>43</v>
      </c>
      <c r="U367" s="2">
        <v>9888477457</v>
      </c>
      <c r="V367" s="2" t="s">
        <v>34</v>
      </c>
    </row>
    <row r="368" spans="1:22" x14ac:dyDescent="0.3">
      <c r="A368" s="2" t="s">
        <v>508</v>
      </c>
      <c r="B368" s="2" t="s">
        <v>45</v>
      </c>
      <c r="C368" s="2" t="s">
        <v>83</v>
      </c>
      <c r="D368" s="38">
        <v>46113</v>
      </c>
      <c r="E368" s="38">
        <v>46117</v>
      </c>
      <c r="F368" s="2" t="s">
        <v>102</v>
      </c>
      <c r="G368" s="2" t="s">
        <v>26</v>
      </c>
      <c r="H368" s="38">
        <v>31781</v>
      </c>
      <c r="I368" s="2" t="s">
        <v>27</v>
      </c>
      <c r="J368" s="2" t="s">
        <v>28</v>
      </c>
      <c r="K368" s="2" t="s">
        <v>84</v>
      </c>
      <c r="L368" s="2" t="s">
        <v>85</v>
      </c>
      <c r="M368" s="2">
        <v>19</v>
      </c>
      <c r="N368" s="7">
        <v>60</v>
      </c>
      <c r="O368" s="2">
        <v>15</v>
      </c>
      <c r="P368" s="7">
        <v>969</v>
      </c>
      <c r="Q368" s="2">
        <v>4</v>
      </c>
      <c r="R368" s="2" t="s">
        <v>41</v>
      </c>
      <c r="S368" s="2" t="s">
        <v>81</v>
      </c>
      <c r="T368" s="2" t="s">
        <v>51</v>
      </c>
      <c r="U368" s="2">
        <v>9435947486</v>
      </c>
      <c r="V368" s="2" t="s">
        <v>53</v>
      </c>
    </row>
    <row r="369" spans="1:22" x14ac:dyDescent="0.3">
      <c r="A369" s="2" t="s">
        <v>509</v>
      </c>
      <c r="B369" s="2" t="s">
        <v>160</v>
      </c>
      <c r="C369" s="2" t="s">
        <v>46</v>
      </c>
      <c r="D369" s="38">
        <v>45686</v>
      </c>
      <c r="E369" s="38">
        <v>45690</v>
      </c>
      <c r="F369" s="2" t="s">
        <v>179</v>
      </c>
      <c r="G369" s="2" t="s">
        <v>58</v>
      </c>
      <c r="H369" s="38">
        <v>33738</v>
      </c>
      <c r="I369" s="2" t="s">
        <v>37</v>
      </c>
      <c r="J369" s="2" t="s">
        <v>38</v>
      </c>
      <c r="K369" s="2" t="s">
        <v>39</v>
      </c>
      <c r="L369" s="2" t="s">
        <v>49</v>
      </c>
      <c r="M369" s="2">
        <v>15</v>
      </c>
      <c r="N369" s="7">
        <v>55000</v>
      </c>
      <c r="O369" s="2">
        <v>0</v>
      </c>
      <c r="P369" s="7">
        <v>825000</v>
      </c>
      <c r="Q369" s="2">
        <v>5</v>
      </c>
      <c r="R369" s="2" t="s">
        <v>60</v>
      </c>
      <c r="S369" s="2" t="s">
        <v>81</v>
      </c>
      <c r="T369" s="2" t="s">
        <v>162</v>
      </c>
      <c r="U369" s="2">
        <v>9411668831</v>
      </c>
      <c r="V369" s="2" t="s">
        <v>53</v>
      </c>
    </row>
    <row r="370" spans="1:22" x14ac:dyDescent="0.3">
      <c r="A370" s="2" t="s">
        <v>510</v>
      </c>
      <c r="B370" s="2" t="s">
        <v>55</v>
      </c>
      <c r="C370" s="2" t="s">
        <v>141</v>
      </c>
      <c r="D370" s="38">
        <v>45936</v>
      </c>
      <c r="E370" s="38">
        <v>45938</v>
      </c>
      <c r="F370" s="2" t="s">
        <v>125</v>
      </c>
      <c r="G370" s="2" t="s">
        <v>58</v>
      </c>
      <c r="H370" s="38">
        <v>32631</v>
      </c>
      <c r="I370" s="2" t="s">
        <v>48</v>
      </c>
      <c r="J370" s="2" t="s">
        <v>28</v>
      </c>
      <c r="K370" s="2" t="s">
        <v>84</v>
      </c>
      <c r="L370" s="2" t="s">
        <v>142</v>
      </c>
      <c r="M370" s="2">
        <v>11</v>
      </c>
      <c r="N370" s="7">
        <v>45</v>
      </c>
      <c r="O370" s="2">
        <v>5</v>
      </c>
      <c r="P370" s="7">
        <v>470.25</v>
      </c>
      <c r="Q370" s="2">
        <v>5</v>
      </c>
      <c r="R370" s="2" t="s">
        <v>41</v>
      </c>
      <c r="S370" s="2" t="s">
        <v>97</v>
      </c>
      <c r="T370" s="2" t="s">
        <v>61</v>
      </c>
      <c r="U370" s="2">
        <v>9523682403</v>
      </c>
      <c r="V370" s="2" t="s">
        <v>34</v>
      </c>
    </row>
    <row r="371" spans="1:22" x14ac:dyDescent="0.3">
      <c r="A371" s="2" t="s">
        <v>511</v>
      </c>
      <c r="B371" s="2" t="s">
        <v>137</v>
      </c>
      <c r="C371" s="2" t="s">
        <v>128</v>
      </c>
      <c r="D371" s="38">
        <v>45820</v>
      </c>
      <c r="E371" s="38">
        <v>45825</v>
      </c>
      <c r="F371" s="2" t="s">
        <v>138</v>
      </c>
      <c r="G371" s="2" t="s">
        <v>26</v>
      </c>
      <c r="H371" s="38">
        <v>33226</v>
      </c>
      <c r="I371" s="2" t="s">
        <v>123</v>
      </c>
      <c r="J371" s="2" t="s">
        <v>38</v>
      </c>
      <c r="K371" s="2" t="s">
        <v>84</v>
      </c>
      <c r="L371" s="2" t="s">
        <v>130</v>
      </c>
      <c r="M371" s="2">
        <v>9</v>
      </c>
      <c r="N371" s="7">
        <v>20</v>
      </c>
      <c r="O371" s="2">
        <v>10</v>
      </c>
      <c r="P371" s="7">
        <v>162</v>
      </c>
      <c r="Q371" s="2">
        <v>1</v>
      </c>
      <c r="R371" s="2" t="s">
        <v>60</v>
      </c>
      <c r="S371" s="2" t="s">
        <v>42</v>
      </c>
      <c r="T371" s="2" t="s">
        <v>139</v>
      </c>
      <c r="U371" s="2">
        <v>9652936744</v>
      </c>
      <c r="V371" s="2" t="s">
        <v>53</v>
      </c>
    </row>
    <row r="372" spans="1:22" x14ac:dyDescent="0.3">
      <c r="A372" s="2" t="s">
        <v>512</v>
      </c>
      <c r="B372" s="2" t="s">
        <v>105</v>
      </c>
      <c r="C372" s="2" t="s">
        <v>141</v>
      </c>
      <c r="D372" s="38">
        <v>45979</v>
      </c>
      <c r="E372" s="38">
        <v>45981</v>
      </c>
      <c r="F372" s="2" t="s">
        <v>170</v>
      </c>
      <c r="G372" s="2" t="s">
        <v>26</v>
      </c>
      <c r="H372" s="38">
        <v>34889</v>
      </c>
      <c r="I372" s="2" t="s">
        <v>48</v>
      </c>
      <c r="J372" s="2" t="s">
        <v>28</v>
      </c>
      <c r="K372" s="2" t="s">
        <v>84</v>
      </c>
      <c r="L372" s="2" t="s">
        <v>142</v>
      </c>
      <c r="M372" s="2">
        <v>5</v>
      </c>
      <c r="N372" s="7">
        <v>45</v>
      </c>
      <c r="O372" s="2">
        <v>5</v>
      </c>
      <c r="P372" s="7">
        <v>213.75</v>
      </c>
      <c r="Q372" s="2">
        <v>3</v>
      </c>
      <c r="R372" s="2" t="s">
        <v>60</v>
      </c>
      <c r="S372" s="2" t="s">
        <v>81</v>
      </c>
      <c r="T372" s="2" t="s">
        <v>109</v>
      </c>
      <c r="U372" s="2">
        <v>9726464733</v>
      </c>
      <c r="V372" s="2" t="s">
        <v>52</v>
      </c>
    </row>
    <row r="373" spans="1:22" x14ac:dyDescent="0.3">
      <c r="A373" s="2" t="s">
        <v>513</v>
      </c>
      <c r="B373" s="2" t="s">
        <v>63</v>
      </c>
      <c r="C373" s="2" t="s">
        <v>113</v>
      </c>
      <c r="D373" s="38">
        <v>45962</v>
      </c>
      <c r="E373" s="38">
        <v>45963</v>
      </c>
      <c r="F373" s="2" t="s">
        <v>111</v>
      </c>
      <c r="G373" s="2" t="s">
        <v>58</v>
      </c>
      <c r="H373" s="38">
        <v>36152</v>
      </c>
      <c r="I373" s="2" t="s">
        <v>27</v>
      </c>
      <c r="J373" s="2" t="s">
        <v>28</v>
      </c>
      <c r="K373" s="2" t="s">
        <v>39</v>
      </c>
      <c r="L373" s="2" t="s">
        <v>115</v>
      </c>
      <c r="M373" s="2">
        <v>5</v>
      </c>
      <c r="N373" s="7">
        <v>700</v>
      </c>
      <c r="O373" s="2">
        <v>10</v>
      </c>
      <c r="P373" s="7">
        <v>3150</v>
      </c>
      <c r="Q373" s="2">
        <v>2</v>
      </c>
      <c r="R373" s="2" t="s">
        <v>65</v>
      </c>
      <c r="S373" s="2" t="s">
        <v>42</v>
      </c>
      <c r="T373" s="2" t="s">
        <v>66</v>
      </c>
      <c r="U373" s="2">
        <v>9273520544</v>
      </c>
      <c r="V373" s="2" t="s">
        <v>34</v>
      </c>
    </row>
    <row r="374" spans="1:22" x14ac:dyDescent="0.3">
      <c r="A374" s="2" t="s">
        <v>514</v>
      </c>
      <c r="B374" s="2" t="s">
        <v>127</v>
      </c>
      <c r="C374" s="2" t="s">
        <v>113</v>
      </c>
      <c r="D374" s="38">
        <v>45681</v>
      </c>
      <c r="E374" s="38">
        <v>45688</v>
      </c>
      <c r="F374" s="2" t="s">
        <v>129</v>
      </c>
      <c r="G374" s="2" t="s">
        <v>58</v>
      </c>
      <c r="H374" s="38">
        <v>29212</v>
      </c>
      <c r="I374" s="2" t="s">
        <v>151</v>
      </c>
      <c r="J374" s="2" t="s">
        <v>152</v>
      </c>
      <c r="K374" s="2" t="s">
        <v>39</v>
      </c>
      <c r="L374" s="2" t="s">
        <v>115</v>
      </c>
      <c r="M374" s="2">
        <v>1</v>
      </c>
      <c r="N374" s="7">
        <v>700</v>
      </c>
      <c r="O374" s="2">
        <v>0</v>
      </c>
      <c r="P374" s="7">
        <v>700</v>
      </c>
      <c r="Q374" s="2">
        <v>1</v>
      </c>
      <c r="R374" s="2" t="s">
        <v>65</v>
      </c>
      <c r="S374" s="2" t="s">
        <v>97</v>
      </c>
      <c r="T374" s="2" t="s">
        <v>131</v>
      </c>
      <c r="U374" s="2">
        <v>9374259988</v>
      </c>
      <c r="V374" s="2" t="s">
        <v>34</v>
      </c>
    </row>
    <row r="375" spans="1:22" x14ac:dyDescent="0.3">
      <c r="A375" s="2" t="s">
        <v>515</v>
      </c>
      <c r="B375" s="2" t="s">
        <v>23</v>
      </c>
      <c r="C375" s="2" t="s">
        <v>113</v>
      </c>
      <c r="D375" s="38">
        <v>46066</v>
      </c>
      <c r="E375" s="38">
        <v>46074</v>
      </c>
      <c r="F375" s="2" t="s">
        <v>25</v>
      </c>
      <c r="G375" s="2" t="s">
        <v>26</v>
      </c>
      <c r="H375" s="38">
        <v>27743</v>
      </c>
      <c r="I375" s="2" t="s">
        <v>75</v>
      </c>
      <c r="J375" s="2" t="s">
        <v>76</v>
      </c>
      <c r="K375" s="2" t="s">
        <v>39</v>
      </c>
      <c r="L375" s="2" t="s">
        <v>115</v>
      </c>
      <c r="M375" s="2">
        <v>13</v>
      </c>
      <c r="N375" s="7">
        <v>700</v>
      </c>
      <c r="O375" s="2">
        <v>20</v>
      </c>
      <c r="P375" s="7">
        <v>7280</v>
      </c>
      <c r="Q375" s="2">
        <v>2</v>
      </c>
      <c r="R375" s="2" t="s">
        <v>60</v>
      </c>
      <c r="S375" s="2" t="s">
        <v>32</v>
      </c>
      <c r="T375" s="2" t="s">
        <v>43</v>
      </c>
      <c r="U375" s="2">
        <v>9538129419</v>
      </c>
      <c r="V375" s="2" t="s">
        <v>34</v>
      </c>
    </row>
    <row r="376" spans="1:22" x14ac:dyDescent="0.3">
      <c r="A376" s="2" t="s">
        <v>516</v>
      </c>
      <c r="B376" s="2" t="s">
        <v>55</v>
      </c>
      <c r="C376" s="2" t="s">
        <v>36</v>
      </c>
      <c r="D376" s="38">
        <v>45696</v>
      </c>
      <c r="E376" s="38">
        <v>45707</v>
      </c>
      <c r="F376" s="2" t="s">
        <v>125</v>
      </c>
      <c r="G376" s="2" t="s">
        <v>58</v>
      </c>
      <c r="H376" s="38">
        <v>34106</v>
      </c>
      <c r="I376" s="2" t="s">
        <v>80</v>
      </c>
      <c r="J376" s="2" t="s">
        <v>76</v>
      </c>
      <c r="K376" s="2" t="s">
        <v>39</v>
      </c>
      <c r="L376" s="2" t="s">
        <v>40</v>
      </c>
      <c r="M376" s="2">
        <v>20</v>
      </c>
      <c r="N376" s="7">
        <v>12000</v>
      </c>
      <c r="O376" s="2">
        <v>0</v>
      </c>
      <c r="P376" s="7">
        <v>240000</v>
      </c>
      <c r="Q376" s="2">
        <v>2</v>
      </c>
      <c r="R376" s="2" t="s">
        <v>60</v>
      </c>
      <c r="S376" s="2" t="s">
        <v>81</v>
      </c>
      <c r="T376" s="2" t="s">
        <v>61</v>
      </c>
      <c r="U376" s="2">
        <v>9382815686</v>
      </c>
      <c r="V376" s="2" t="s">
        <v>34</v>
      </c>
    </row>
    <row r="377" spans="1:22" x14ac:dyDescent="0.3">
      <c r="A377" s="2" t="s">
        <v>517</v>
      </c>
      <c r="B377" s="2" t="s">
        <v>63</v>
      </c>
      <c r="C377" s="2" t="s">
        <v>56</v>
      </c>
      <c r="D377" s="38">
        <v>46019</v>
      </c>
      <c r="E377" s="38">
        <v>46028</v>
      </c>
      <c r="F377" s="2" t="s">
        <v>111</v>
      </c>
      <c r="G377" s="2" t="s">
        <v>58</v>
      </c>
      <c r="H377" s="38">
        <v>28020</v>
      </c>
      <c r="I377" s="2" t="s">
        <v>151</v>
      </c>
      <c r="J377" s="2" t="s">
        <v>152</v>
      </c>
      <c r="K377" s="2" t="s">
        <v>39</v>
      </c>
      <c r="L377" s="2" t="s">
        <v>59</v>
      </c>
      <c r="M377" s="2">
        <v>9</v>
      </c>
      <c r="N377" s="7">
        <v>1200</v>
      </c>
      <c r="O377" s="2">
        <v>15</v>
      </c>
      <c r="P377" s="7">
        <v>9180</v>
      </c>
      <c r="Q377" s="2">
        <v>1</v>
      </c>
      <c r="R377" s="2" t="s">
        <v>65</v>
      </c>
      <c r="S377" s="2" t="s">
        <v>32</v>
      </c>
      <c r="T377" s="2" t="s">
        <v>66</v>
      </c>
      <c r="U377" s="2">
        <v>9450746157</v>
      </c>
      <c r="V377" s="2" t="s">
        <v>52</v>
      </c>
    </row>
    <row r="378" spans="1:22" x14ac:dyDescent="0.3">
      <c r="A378" s="2" t="s">
        <v>518</v>
      </c>
      <c r="B378" s="2" t="s">
        <v>63</v>
      </c>
      <c r="C378" s="2" t="s">
        <v>128</v>
      </c>
      <c r="D378" s="38">
        <v>45931</v>
      </c>
      <c r="E378" s="38">
        <v>45933</v>
      </c>
      <c r="F378" s="2" t="s">
        <v>111</v>
      </c>
      <c r="G378" s="2" t="s">
        <v>58</v>
      </c>
      <c r="H378" s="38">
        <v>35421</v>
      </c>
      <c r="I378" s="2" t="s">
        <v>123</v>
      </c>
      <c r="J378" s="2" t="s">
        <v>38</v>
      </c>
      <c r="K378" s="2" t="s">
        <v>84</v>
      </c>
      <c r="L378" s="2" t="s">
        <v>130</v>
      </c>
      <c r="M378" s="2">
        <v>3</v>
      </c>
      <c r="N378" s="7">
        <v>20</v>
      </c>
      <c r="O378" s="2">
        <v>15</v>
      </c>
      <c r="P378" s="7">
        <v>51</v>
      </c>
      <c r="Q378" s="2">
        <v>3</v>
      </c>
      <c r="R378" s="2" t="s">
        <v>31</v>
      </c>
      <c r="S378" s="2" t="s">
        <v>81</v>
      </c>
      <c r="T378" s="2" t="s">
        <v>66</v>
      </c>
      <c r="U378" s="2">
        <v>9349012570</v>
      </c>
      <c r="V378" s="2" t="s">
        <v>52</v>
      </c>
    </row>
    <row r="379" spans="1:22" x14ac:dyDescent="0.3">
      <c r="A379" s="2" t="s">
        <v>519</v>
      </c>
      <c r="B379" s="2" t="s">
        <v>137</v>
      </c>
      <c r="C379" s="2" t="s">
        <v>46</v>
      </c>
      <c r="D379" s="38">
        <v>46009</v>
      </c>
      <c r="E379" s="38">
        <v>46010</v>
      </c>
      <c r="F379" s="2" t="s">
        <v>138</v>
      </c>
      <c r="G379" s="2" t="s">
        <v>26</v>
      </c>
      <c r="H379" s="38">
        <v>35058</v>
      </c>
      <c r="I379" s="2" t="s">
        <v>37</v>
      </c>
      <c r="J379" s="2" t="s">
        <v>38</v>
      </c>
      <c r="K379" s="2" t="s">
        <v>39</v>
      </c>
      <c r="L379" s="2" t="s">
        <v>49</v>
      </c>
      <c r="M379" s="2">
        <v>8</v>
      </c>
      <c r="N379" s="7">
        <v>55000</v>
      </c>
      <c r="O379" s="2">
        <v>20</v>
      </c>
      <c r="P379" s="7">
        <v>352000</v>
      </c>
      <c r="Q379" s="2">
        <v>5</v>
      </c>
      <c r="R379" s="2" t="s">
        <v>60</v>
      </c>
      <c r="S379" s="2" t="s">
        <v>97</v>
      </c>
      <c r="T379" s="2" t="s">
        <v>139</v>
      </c>
      <c r="U379" s="2">
        <v>9442163790</v>
      </c>
      <c r="V379" s="2" t="s">
        <v>52</v>
      </c>
    </row>
    <row r="380" spans="1:22" x14ac:dyDescent="0.3">
      <c r="A380" s="2" t="s">
        <v>520</v>
      </c>
      <c r="B380" s="2" t="s">
        <v>137</v>
      </c>
      <c r="C380" s="2" t="s">
        <v>83</v>
      </c>
      <c r="D380" s="38">
        <v>45929</v>
      </c>
      <c r="E380" s="38">
        <v>45937</v>
      </c>
      <c r="F380" s="2" t="s">
        <v>138</v>
      </c>
      <c r="G380" s="2" t="s">
        <v>26</v>
      </c>
      <c r="H380" s="38">
        <v>31221</v>
      </c>
      <c r="I380" s="2" t="s">
        <v>37</v>
      </c>
      <c r="J380" s="2" t="s">
        <v>38</v>
      </c>
      <c r="K380" s="2" t="s">
        <v>84</v>
      </c>
      <c r="L380" s="2" t="s">
        <v>85</v>
      </c>
      <c r="M380" s="2">
        <v>17</v>
      </c>
      <c r="N380" s="7">
        <v>60</v>
      </c>
      <c r="O380" s="2">
        <v>20</v>
      </c>
      <c r="P380" s="7">
        <v>816</v>
      </c>
      <c r="Q380" s="2">
        <v>1</v>
      </c>
      <c r="R380" s="2" t="s">
        <v>65</v>
      </c>
      <c r="S380" s="2" t="s">
        <v>32</v>
      </c>
      <c r="T380" s="2" t="s">
        <v>139</v>
      </c>
      <c r="U380" s="2">
        <v>9953329223</v>
      </c>
      <c r="V380" s="2" t="s">
        <v>52</v>
      </c>
    </row>
    <row r="381" spans="1:22" x14ac:dyDescent="0.3">
      <c r="A381" s="2" t="s">
        <v>521</v>
      </c>
      <c r="B381" s="2" t="s">
        <v>88</v>
      </c>
      <c r="C381" s="2" t="s">
        <v>128</v>
      </c>
      <c r="D381" s="38">
        <v>45791</v>
      </c>
      <c r="E381" s="38">
        <v>45799</v>
      </c>
      <c r="F381" s="2" t="s">
        <v>119</v>
      </c>
      <c r="G381" s="2" t="s">
        <v>58</v>
      </c>
      <c r="H381" s="38">
        <v>30722</v>
      </c>
      <c r="I381" s="2" t="s">
        <v>48</v>
      </c>
      <c r="J381" s="2" t="s">
        <v>28</v>
      </c>
      <c r="K381" s="2" t="s">
        <v>84</v>
      </c>
      <c r="L381" s="2" t="s">
        <v>130</v>
      </c>
      <c r="M381" s="2">
        <v>4</v>
      </c>
      <c r="N381" s="7">
        <v>20</v>
      </c>
      <c r="O381" s="2">
        <v>15</v>
      </c>
      <c r="P381" s="7">
        <v>68</v>
      </c>
      <c r="Q381" s="2">
        <v>3</v>
      </c>
      <c r="R381" s="2" t="s">
        <v>41</v>
      </c>
      <c r="S381" s="2" t="s">
        <v>50</v>
      </c>
      <c r="T381" s="2" t="s">
        <v>90</v>
      </c>
      <c r="U381" s="2">
        <v>9202321359</v>
      </c>
      <c r="V381" s="2" t="s">
        <v>52</v>
      </c>
    </row>
    <row r="382" spans="1:22" x14ac:dyDescent="0.3">
      <c r="A382" s="2" t="s">
        <v>522</v>
      </c>
      <c r="B382" s="2" t="s">
        <v>88</v>
      </c>
      <c r="C382" s="2" t="s">
        <v>24</v>
      </c>
      <c r="D382" s="38">
        <v>45748</v>
      </c>
      <c r="E382" s="38">
        <v>45758</v>
      </c>
      <c r="F382" s="2" t="s">
        <v>119</v>
      </c>
      <c r="G382" s="2" t="s">
        <v>58</v>
      </c>
      <c r="H382" s="38">
        <v>37348</v>
      </c>
      <c r="I382" s="2" t="s">
        <v>151</v>
      </c>
      <c r="J382" s="2" t="s">
        <v>152</v>
      </c>
      <c r="K382" s="2" t="s">
        <v>29</v>
      </c>
      <c r="L382" s="2" t="s">
        <v>30</v>
      </c>
      <c r="M382" s="2">
        <v>2</v>
      </c>
      <c r="N382" s="7">
        <v>2200</v>
      </c>
      <c r="O382" s="2">
        <v>10</v>
      </c>
      <c r="P382" s="7">
        <v>3960</v>
      </c>
      <c r="Q382" s="2">
        <v>2</v>
      </c>
      <c r="R382" s="2" t="s">
        <v>65</v>
      </c>
      <c r="S382" s="2" t="s">
        <v>42</v>
      </c>
      <c r="T382" s="2" t="s">
        <v>90</v>
      </c>
      <c r="U382" s="2">
        <v>9812564160</v>
      </c>
      <c r="V382" s="2" t="s">
        <v>52</v>
      </c>
    </row>
    <row r="383" spans="1:22" x14ac:dyDescent="0.3">
      <c r="A383" s="2" t="s">
        <v>524</v>
      </c>
      <c r="B383" s="2" t="s">
        <v>127</v>
      </c>
      <c r="C383" s="2" t="s">
        <v>83</v>
      </c>
      <c r="D383" s="38">
        <v>45754</v>
      </c>
      <c r="E383" s="38">
        <v>45765</v>
      </c>
      <c r="F383" s="2" t="s">
        <v>129</v>
      </c>
      <c r="G383" s="2" t="s">
        <v>58</v>
      </c>
      <c r="H383" s="38">
        <v>37819</v>
      </c>
      <c r="I383" s="2" t="s">
        <v>48</v>
      </c>
      <c r="J383" s="2" t="s">
        <v>28</v>
      </c>
      <c r="K383" s="2" t="s">
        <v>84</v>
      </c>
      <c r="L383" s="2" t="s">
        <v>85</v>
      </c>
      <c r="M383" s="2">
        <v>5</v>
      </c>
      <c r="N383" s="7">
        <v>60</v>
      </c>
      <c r="O383" s="2">
        <v>5</v>
      </c>
      <c r="P383" s="7">
        <v>285</v>
      </c>
      <c r="Q383" s="2">
        <v>1</v>
      </c>
      <c r="R383" s="2" t="s">
        <v>65</v>
      </c>
      <c r="S383" s="2" t="s">
        <v>32</v>
      </c>
      <c r="T383" s="2" t="s">
        <v>131</v>
      </c>
      <c r="U383" s="2">
        <v>9688458222</v>
      </c>
      <c r="V383" s="2" t="s">
        <v>53</v>
      </c>
    </row>
    <row r="384" spans="1:22" x14ac:dyDescent="0.3">
      <c r="A384" s="2" t="s">
        <v>525</v>
      </c>
      <c r="B384" s="2" t="s">
        <v>88</v>
      </c>
      <c r="C384" s="2" t="s">
        <v>24</v>
      </c>
      <c r="D384" s="38">
        <v>46072</v>
      </c>
      <c r="E384" s="38">
        <v>46076</v>
      </c>
      <c r="F384" s="2" t="s">
        <v>119</v>
      </c>
      <c r="G384" s="2" t="s">
        <v>58</v>
      </c>
      <c r="H384" s="38">
        <v>33517</v>
      </c>
      <c r="I384" s="2" t="s">
        <v>37</v>
      </c>
      <c r="J384" s="2" t="s">
        <v>38</v>
      </c>
      <c r="K384" s="2" t="s">
        <v>29</v>
      </c>
      <c r="L384" s="2" t="s">
        <v>30</v>
      </c>
      <c r="M384" s="2">
        <v>17</v>
      </c>
      <c r="N384" s="7">
        <v>2200</v>
      </c>
      <c r="O384" s="2">
        <v>0</v>
      </c>
      <c r="P384" s="7">
        <v>37400</v>
      </c>
      <c r="Q384" s="2">
        <v>2</v>
      </c>
      <c r="R384" s="2" t="s">
        <v>65</v>
      </c>
      <c r="S384" s="2" t="s">
        <v>97</v>
      </c>
      <c r="T384" s="2" t="s">
        <v>90</v>
      </c>
      <c r="U384" s="2">
        <v>9634473337</v>
      </c>
      <c r="V384" s="2" t="s">
        <v>53</v>
      </c>
    </row>
    <row r="385" spans="1:22" x14ac:dyDescent="0.3">
      <c r="A385" s="2" t="s">
        <v>526</v>
      </c>
      <c r="B385" s="2" t="s">
        <v>105</v>
      </c>
      <c r="C385" s="2" t="s">
        <v>83</v>
      </c>
      <c r="D385" s="38">
        <v>45995</v>
      </c>
      <c r="E385" s="38">
        <v>46002</v>
      </c>
      <c r="F385" s="2" t="s">
        <v>170</v>
      </c>
      <c r="G385" s="2" t="s">
        <v>26</v>
      </c>
      <c r="H385" s="38">
        <v>30686</v>
      </c>
      <c r="I385" s="2" t="s">
        <v>92</v>
      </c>
      <c r="J385" s="2" t="s">
        <v>76</v>
      </c>
      <c r="K385" s="2" t="s">
        <v>84</v>
      </c>
      <c r="L385" s="2" t="s">
        <v>85</v>
      </c>
      <c r="M385" s="2">
        <v>7</v>
      </c>
      <c r="N385" s="7">
        <v>60</v>
      </c>
      <c r="O385" s="2">
        <v>0</v>
      </c>
      <c r="P385" s="7">
        <v>420</v>
      </c>
      <c r="Q385" s="2">
        <v>2</v>
      </c>
      <c r="R385" s="2" t="s">
        <v>65</v>
      </c>
      <c r="S385" s="2" t="s">
        <v>50</v>
      </c>
      <c r="T385" s="2" t="s">
        <v>109</v>
      </c>
      <c r="U385" s="2">
        <v>9608737026</v>
      </c>
      <c r="V385" s="2" t="s">
        <v>52</v>
      </c>
    </row>
    <row r="386" spans="1:22" x14ac:dyDescent="0.3">
      <c r="A386" s="2" t="s">
        <v>527</v>
      </c>
      <c r="B386" s="2" t="s">
        <v>127</v>
      </c>
      <c r="C386" s="2" t="s">
        <v>46</v>
      </c>
      <c r="D386" s="38">
        <v>45950</v>
      </c>
      <c r="E386" s="38">
        <v>45954</v>
      </c>
      <c r="F386" s="2" t="s">
        <v>129</v>
      </c>
      <c r="G386" s="2" t="s">
        <v>58</v>
      </c>
      <c r="H386" s="38">
        <v>27465</v>
      </c>
      <c r="I386" s="2" t="s">
        <v>27</v>
      </c>
      <c r="J386" s="2" t="s">
        <v>28</v>
      </c>
      <c r="K386" s="2" t="s">
        <v>39</v>
      </c>
      <c r="L386" s="2" t="s">
        <v>49</v>
      </c>
      <c r="M386" s="2">
        <v>6</v>
      </c>
      <c r="N386" s="7">
        <v>55000</v>
      </c>
      <c r="O386" s="2">
        <v>5</v>
      </c>
      <c r="P386" s="7">
        <v>313500</v>
      </c>
      <c r="Q386" s="2">
        <v>4</v>
      </c>
      <c r="R386" s="2" t="s">
        <v>60</v>
      </c>
      <c r="S386" s="2" t="s">
        <v>50</v>
      </c>
      <c r="T386" s="2" t="s">
        <v>131</v>
      </c>
      <c r="U386" s="2">
        <v>9804498139</v>
      </c>
      <c r="V386" s="2" t="s">
        <v>34</v>
      </c>
    </row>
    <row r="387" spans="1:22" x14ac:dyDescent="0.3">
      <c r="A387" s="2" t="s">
        <v>528</v>
      </c>
      <c r="B387" s="2" t="s">
        <v>55</v>
      </c>
      <c r="C387" s="2" t="s">
        <v>128</v>
      </c>
      <c r="D387" s="38">
        <v>46043</v>
      </c>
      <c r="E387" s="38">
        <v>46047</v>
      </c>
      <c r="F387" s="2" t="s">
        <v>125</v>
      </c>
      <c r="G387" s="2" t="s">
        <v>58</v>
      </c>
      <c r="H387" s="38">
        <v>30390</v>
      </c>
      <c r="I387" s="2" t="s">
        <v>27</v>
      </c>
      <c r="J387" s="2" t="s">
        <v>28</v>
      </c>
      <c r="K387" s="2" t="s">
        <v>84</v>
      </c>
      <c r="L387" s="2" t="s">
        <v>130</v>
      </c>
      <c r="M387" s="2">
        <v>16</v>
      </c>
      <c r="N387" s="7">
        <v>20</v>
      </c>
      <c r="O387" s="2">
        <v>5</v>
      </c>
      <c r="P387" s="7">
        <v>304</v>
      </c>
      <c r="Q387" s="2">
        <v>1</v>
      </c>
      <c r="R387" s="2" t="s">
        <v>60</v>
      </c>
      <c r="S387" s="2" t="s">
        <v>42</v>
      </c>
      <c r="T387" s="2" t="s">
        <v>61</v>
      </c>
      <c r="U387" s="2">
        <v>9798643580</v>
      </c>
      <c r="V387" s="2" t="s">
        <v>34</v>
      </c>
    </row>
    <row r="388" spans="1:22" x14ac:dyDescent="0.3">
      <c r="A388" s="2" t="s">
        <v>529</v>
      </c>
      <c r="B388" s="2" t="s">
        <v>23</v>
      </c>
      <c r="C388" s="2" t="s">
        <v>24</v>
      </c>
      <c r="D388" s="38">
        <v>45682</v>
      </c>
      <c r="E388" s="38">
        <v>45685</v>
      </c>
      <c r="F388" s="2" t="s">
        <v>25</v>
      </c>
      <c r="G388" s="2" t="s">
        <v>26</v>
      </c>
      <c r="H388" s="38">
        <v>27870</v>
      </c>
      <c r="I388" s="2" t="s">
        <v>151</v>
      </c>
      <c r="J388" s="2" t="s">
        <v>152</v>
      </c>
      <c r="K388" s="2" t="s">
        <v>29</v>
      </c>
      <c r="L388" s="2" t="s">
        <v>30</v>
      </c>
      <c r="M388" s="2">
        <v>11</v>
      </c>
      <c r="N388" s="7">
        <v>2200</v>
      </c>
      <c r="O388" s="2">
        <v>15</v>
      </c>
      <c r="P388" s="7">
        <v>20570</v>
      </c>
      <c r="Q388" s="2">
        <v>1</v>
      </c>
      <c r="R388" s="2" t="s">
        <v>41</v>
      </c>
      <c r="S388" s="2" t="s">
        <v>81</v>
      </c>
      <c r="T388" s="2" t="s">
        <v>43</v>
      </c>
      <c r="U388" s="2">
        <v>9809823278</v>
      </c>
      <c r="V388" s="2" t="s">
        <v>53</v>
      </c>
    </row>
    <row r="389" spans="1:22" x14ac:dyDescent="0.3">
      <c r="A389" s="2" t="s">
        <v>530</v>
      </c>
      <c r="B389" s="2" t="s">
        <v>73</v>
      </c>
      <c r="C389" s="2" t="s">
        <v>128</v>
      </c>
      <c r="D389" s="38">
        <v>45716</v>
      </c>
      <c r="E389" s="38">
        <v>45718</v>
      </c>
      <c r="F389" s="2" t="s">
        <v>74</v>
      </c>
      <c r="G389" s="2" t="s">
        <v>26</v>
      </c>
      <c r="H389" s="38">
        <v>31454</v>
      </c>
      <c r="I389" s="2" t="s">
        <v>80</v>
      </c>
      <c r="J389" s="2" t="s">
        <v>76</v>
      </c>
      <c r="K389" s="2" t="s">
        <v>84</v>
      </c>
      <c r="L389" s="2" t="s">
        <v>130</v>
      </c>
      <c r="M389" s="2">
        <v>19</v>
      </c>
      <c r="N389" s="7">
        <v>20</v>
      </c>
      <c r="O389" s="2">
        <v>5</v>
      </c>
      <c r="P389" s="7">
        <v>361</v>
      </c>
      <c r="Q389" s="2">
        <v>4</v>
      </c>
      <c r="R389" s="2" t="s">
        <v>65</v>
      </c>
      <c r="S389" s="2" t="s">
        <v>32</v>
      </c>
      <c r="T389" s="2" t="s">
        <v>94</v>
      </c>
      <c r="U389" s="2">
        <v>9177767854</v>
      </c>
      <c r="V389" s="2" t="s">
        <v>52</v>
      </c>
    </row>
    <row r="390" spans="1:22" x14ac:dyDescent="0.3">
      <c r="A390" s="2" t="s">
        <v>531</v>
      </c>
      <c r="B390" s="2" t="s">
        <v>73</v>
      </c>
      <c r="C390" s="2" t="s">
        <v>56</v>
      </c>
      <c r="D390" s="38">
        <v>45828</v>
      </c>
      <c r="E390" s="38">
        <v>45829</v>
      </c>
      <c r="F390" s="2" t="s">
        <v>74</v>
      </c>
      <c r="G390" s="2" t="s">
        <v>26</v>
      </c>
      <c r="H390" s="38">
        <v>28570</v>
      </c>
      <c r="I390" s="2" t="s">
        <v>80</v>
      </c>
      <c r="J390" s="2" t="s">
        <v>76</v>
      </c>
      <c r="K390" s="2" t="s">
        <v>39</v>
      </c>
      <c r="L390" s="2" t="s">
        <v>59</v>
      </c>
      <c r="M390" s="2">
        <v>20</v>
      </c>
      <c r="N390" s="7">
        <v>1200</v>
      </c>
      <c r="O390" s="2">
        <v>15</v>
      </c>
      <c r="P390" s="7">
        <v>20400</v>
      </c>
      <c r="Q390" s="2">
        <v>4</v>
      </c>
      <c r="R390" s="2" t="s">
        <v>60</v>
      </c>
      <c r="S390" s="2" t="s">
        <v>32</v>
      </c>
      <c r="T390" s="2" t="s">
        <v>94</v>
      </c>
      <c r="U390" s="2">
        <v>9643440006</v>
      </c>
      <c r="V390" s="2" t="s">
        <v>52</v>
      </c>
    </row>
    <row r="391" spans="1:22" x14ac:dyDescent="0.3">
      <c r="A391" s="2" t="s">
        <v>532</v>
      </c>
      <c r="B391" s="2" t="s">
        <v>45</v>
      </c>
      <c r="C391" s="2" t="s">
        <v>128</v>
      </c>
      <c r="D391" s="38">
        <v>45805</v>
      </c>
      <c r="E391" s="38">
        <v>45814</v>
      </c>
      <c r="F391" s="2" t="s">
        <v>102</v>
      </c>
      <c r="G391" s="2" t="s">
        <v>26</v>
      </c>
      <c r="H391" s="38">
        <v>35258</v>
      </c>
      <c r="I391" s="2" t="s">
        <v>27</v>
      </c>
      <c r="J391" s="2" t="s">
        <v>28</v>
      </c>
      <c r="K391" s="2" t="s">
        <v>84</v>
      </c>
      <c r="L391" s="2" t="s">
        <v>130</v>
      </c>
      <c r="M391" s="2">
        <v>13</v>
      </c>
      <c r="N391" s="7">
        <v>20</v>
      </c>
      <c r="O391" s="2">
        <v>15</v>
      </c>
      <c r="P391" s="7">
        <v>221</v>
      </c>
      <c r="Q391" s="2">
        <v>4</v>
      </c>
      <c r="R391" s="2" t="s">
        <v>31</v>
      </c>
      <c r="S391" s="2" t="s">
        <v>32</v>
      </c>
      <c r="T391" s="2" t="s">
        <v>51</v>
      </c>
      <c r="U391" s="2">
        <v>9673698825</v>
      </c>
      <c r="V391" s="2" t="s">
        <v>52</v>
      </c>
    </row>
    <row r="392" spans="1:22" x14ac:dyDescent="0.3">
      <c r="A392" s="2" t="s">
        <v>533</v>
      </c>
      <c r="B392" s="2" t="s">
        <v>137</v>
      </c>
      <c r="C392" s="2" t="s">
        <v>56</v>
      </c>
      <c r="D392" s="38">
        <v>45660</v>
      </c>
      <c r="E392" s="38">
        <v>45665</v>
      </c>
      <c r="F392" s="2" t="s">
        <v>138</v>
      </c>
      <c r="G392" s="2" t="s">
        <v>26</v>
      </c>
      <c r="H392" s="38">
        <v>33940</v>
      </c>
      <c r="I392" s="2" t="s">
        <v>37</v>
      </c>
      <c r="J392" s="2" t="s">
        <v>38</v>
      </c>
      <c r="K392" s="2" t="s">
        <v>39</v>
      </c>
      <c r="L392" s="2" t="s">
        <v>59</v>
      </c>
      <c r="M392" s="2">
        <v>12</v>
      </c>
      <c r="N392" s="7">
        <v>1200</v>
      </c>
      <c r="O392" s="2">
        <v>10</v>
      </c>
      <c r="P392" s="7">
        <v>12960</v>
      </c>
      <c r="Q392" s="2">
        <v>3</v>
      </c>
      <c r="R392" s="2" t="s">
        <v>41</v>
      </c>
      <c r="S392" s="2" t="s">
        <v>32</v>
      </c>
      <c r="T392" s="2" t="s">
        <v>139</v>
      </c>
      <c r="U392" s="2">
        <v>9706238784</v>
      </c>
      <c r="V392" s="2" t="s">
        <v>52</v>
      </c>
    </row>
    <row r="393" spans="1:22" x14ac:dyDescent="0.3">
      <c r="A393" s="2" t="s">
        <v>534</v>
      </c>
      <c r="B393" s="2" t="s">
        <v>73</v>
      </c>
      <c r="C393" s="2" t="s">
        <v>106</v>
      </c>
      <c r="D393" s="38">
        <v>45685</v>
      </c>
      <c r="E393" s="38">
        <v>45686</v>
      </c>
      <c r="F393" s="2" t="s">
        <v>74</v>
      </c>
      <c r="G393" s="2" t="s">
        <v>26</v>
      </c>
      <c r="H393" s="38">
        <v>35147</v>
      </c>
      <c r="I393" s="2" t="s">
        <v>151</v>
      </c>
      <c r="J393" s="2" t="s">
        <v>152</v>
      </c>
      <c r="K393" s="2" t="s">
        <v>29</v>
      </c>
      <c r="L393" s="2" t="s">
        <v>108</v>
      </c>
      <c r="M393" s="2">
        <v>6</v>
      </c>
      <c r="N393" s="7">
        <v>8500</v>
      </c>
      <c r="O393" s="2">
        <v>5</v>
      </c>
      <c r="P393" s="7">
        <v>48450</v>
      </c>
      <c r="Q393" s="2">
        <v>5</v>
      </c>
      <c r="R393" s="2" t="s">
        <v>31</v>
      </c>
      <c r="S393" s="2" t="s">
        <v>81</v>
      </c>
      <c r="T393" s="2" t="s">
        <v>94</v>
      </c>
      <c r="U393" s="2">
        <v>9132959877</v>
      </c>
      <c r="V393" s="2" t="s">
        <v>53</v>
      </c>
    </row>
    <row r="394" spans="1:22" x14ac:dyDescent="0.3">
      <c r="A394" s="2" t="s">
        <v>535</v>
      </c>
      <c r="B394" s="2" t="s">
        <v>23</v>
      </c>
      <c r="C394" s="2" t="s">
        <v>106</v>
      </c>
      <c r="D394" s="38">
        <v>46071</v>
      </c>
      <c r="E394" s="38">
        <v>46079</v>
      </c>
      <c r="F394" s="2" t="s">
        <v>25</v>
      </c>
      <c r="G394" s="2" t="s">
        <v>26</v>
      </c>
      <c r="H394" s="38">
        <v>34508</v>
      </c>
      <c r="I394" s="2" t="s">
        <v>92</v>
      </c>
      <c r="J394" s="2" t="s">
        <v>76</v>
      </c>
      <c r="K394" s="2" t="s">
        <v>29</v>
      </c>
      <c r="L394" s="2" t="s">
        <v>108</v>
      </c>
      <c r="M394" s="2">
        <v>15</v>
      </c>
      <c r="N394" s="7">
        <v>8500</v>
      </c>
      <c r="O394" s="2">
        <v>10</v>
      </c>
      <c r="P394" s="7">
        <v>114750</v>
      </c>
      <c r="Q394" s="2">
        <v>1</v>
      </c>
      <c r="R394" s="2" t="s">
        <v>31</v>
      </c>
      <c r="S394" s="2" t="s">
        <v>81</v>
      </c>
      <c r="T394" s="2" t="s">
        <v>43</v>
      </c>
      <c r="U394" s="2">
        <v>9295011645</v>
      </c>
      <c r="V394" s="2" t="s">
        <v>34</v>
      </c>
    </row>
    <row r="395" spans="1:22" x14ac:dyDescent="0.3">
      <c r="A395" s="2" t="s">
        <v>536</v>
      </c>
      <c r="B395" s="2" t="s">
        <v>88</v>
      </c>
      <c r="C395" s="2" t="s">
        <v>36</v>
      </c>
      <c r="D395" s="38">
        <v>45872</v>
      </c>
      <c r="E395" s="38">
        <v>45884</v>
      </c>
      <c r="F395" s="2" t="s">
        <v>119</v>
      </c>
      <c r="G395" s="2" t="s">
        <v>58</v>
      </c>
      <c r="H395" s="38">
        <v>29253</v>
      </c>
      <c r="I395" s="2" t="s">
        <v>27</v>
      </c>
      <c r="J395" s="2" t="s">
        <v>28</v>
      </c>
      <c r="K395" s="2" t="s">
        <v>39</v>
      </c>
      <c r="L395" s="2" t="s">
        <v>40</v>
      </c>
      <c r="M395" s="2">
        <v>19</v>
      </c>
      <c r="N395" s="7">
        <v>12000</v>
      </c>
      <c r="O395" s="2">
        <v>20</v>
      </c>
      <c r="P395" s="7">
        <v>182400</v>
      </c>
      <c r="Q395" s="2">
        <v>5</v>
      </c>
      <c r="R395" s="2" t="s">
        <v>31</v>
      </c>
      <c r="S395" s="2" t="s">
        <v>81</v>
      </c>
      <c r="T395" s="2" t="s">
        <v>90</v>
      </c>
      <c r="U395" s="2">
        <v>9677606427</v>
      </c>
      <c r="V395" s="2" t="s">
        <v>34</v>
      </c>
    </row>
    <row r="396" spans="1:22" x14ac:dyDescent="0.3">
      <c r="A396" s="2" t="s">
        <v>537</v>
      </c>
      <c r="B396" s="2" t="s">
        <v>63</v>
      </c>
      <c r="C396" s="2" t="s">
        <v>113</v>
      </c>
      <c r="D396" s="38">
        <v>45672</v>
      </c>
      <c r="E396" s="38">
        <v>45675</v>
      </c>
      <c r="F396" s="2" t="s">
        <v>111</v>
      </c>
      <c r="G396" s="2" t="s">
        <v>58</v>
      </c>
      <c r="H396" s="38">
        <v>33109</v>
      </c>
      <c r="I396" s="2" t="s">
        <v>37</v>
      </c>
      <c r="J396" s="2" t="s">
        <v>38</v>
      </c>
      <c r="K396" s="2" t="s">
        <v>39</v>
      </c>
      <c r="L396" s="2" t="s">
        <v>115</v>
      </c>
      <c r="M396" s="2">
        <v>5</v>
      </c>
      <c r="N396" s="7">
        <v>700</v>
      </c>
      <c r="O396" s="2">
        <v>0</v>
      </c>
      <c r="P396" s="7">
        <v>3500</v>
      </c>
      <c r="Q396" s="2">
        <v>2</v>
      </c>
      <c r="R396" s="2" t="s">
        <v>60</v>
      </c>
      <c r="S396" s="2" t="s">
        <v>50</v>
      </c>
      <c r="T396" s="2" t="s">
        <v>66</v>
      </c>
      <c r="U396" s="2">
        <v>9161631566</v>
      </c>
      <c r="V396" s="2" t="s">
        <v>53</v>
      </c>
    </row>
    <row r="397" spans="1:22" x14ac:dyDescent="0.3">
      <c r="A397" s="2" t="s">
        <v>538</v>
      </c>
      <c r="B397" s="2" t="s">
        <v>63</v>
      </c>
      <c r="C397" s="2" t="s">
        <v>36</v>
      </c>
      <c r="D397" s="38">
        <v>45688</v>
      </c>
      <c r="E397" s="38">
        <v>45692</v>
      </c>
      <c r="F397" s="2" t="s">
        <v>111</v>
      </c>
      <c r="G397" s="2" t="s">
        <v>58</v>
      </c>
      <c r="H397" s="38">
        <v>28834</v>
      </c>
      <c r="I397" s="2" t="s">
        <v>151</v>
      </c>
      <c r="J397" s="2" t="s">
        <v>152</v>
      </c>
      <c r="K397" s="2" t="s">
        <v>39</v>
      </c>
      <c r="L397" s="2" t="s">
        <v>40</v>
      </c>
      <c r="M397" s="2">
        <v>19</v>
      </c>
      <c r="N397" s="7">
        <v>12000</v>
      </c>
      <c r="O397" s="2">
        <v>0</v>
      </c>
      <c r="P397" s="7">
        <v>228000</v>
      </c>
      <c r="Q397" s="2">
        <v>4</v>
      </c>
      <c r="R397" s="2" t="s">
        <v>65</v>
      </c>
      <c r="S397" s="2" t="s">
        <v>50</v>
      </c>
      <c r="T397" s="2" t="s">
        <v>66</v>
      </c>
      <c r="U397" s="2">
        <v>9136906750</v>
      </c>
      <c r="V397" s="2" t="s">
        <v>52</v>
      </c>
    </row>
    <row r="398" spans="1:22" x14ac:dyDescent="0.3">
      <c r="A398" s="2" t="s">
        <v>539</v>
      </c>
      <c r="B398" s="2" t="s">
        <v>160</v>
      </c>
      <c r="C398" s="2" t="s">
        <v>113</v>
      </c>
      <c r="D398" s="38">
        <v>45958</v>
      </c>
      <c r="E398" s="38">
        <v>45964</v>
      </c>
      <c r="F398" s="2" t="s">
        <v>179</v>
      </c>
      <c r="G398" s="2" t="s">
        <v>58</v>
      </c>
      <c r="H398" s="38">
        <v>29099</v>
      </c>
      <c r="I398" s="2" t="s">
        <v>48</v>
      </c>
      <c r="J398" s="2" t="s">
        <v>28</v>
      </c>
      <c r="K398" s="2" t="s">
        <v>39</v>
      </c>
      <c r="L398" s="2" t="s">
        <v>115</v>
      </c>
      <c r="M398" s="2">
        <v>12</v>
      </c>
      <c r="N398" s="7">
        <v>700</v>
      </c>
      <c r="O398" s="2">
        <v>15</v>
      </c>
      <c r="P398" s="7">
        <v>7140</v>
      </c>
      <c r="Q398" s="2">
        <v>3</v>
      </c>
      <c r="R398" s="2" t="s">
        <v>60</v>
      </c>
      <c r="S398" s="2" t="s">
        <v>32</v>
      </c>
      <c r="T398" s="2" t="s">
        <v>162</v>
      </c>
      <c r="U398" s="2">
        <v>9485286324</v>
      </c>
      <c r="V398" s="2" t="s">
        <v>34</v>
      </c>
    </row>
    <row r="399" spans="1:22" x14ac:dyDescent="0.3">
      <c r="A399" s="2" t="s">
        <v>540</v>
      </c>
      <c r="B399" s="2" t="s">
        <v>23</v>
      </c>
      <c r="C399" s="2" t="s">
        <v>56</v>
      </c>
      <c r="D399" s="38">
        <v>45790</v>
      </c>
      <c r="E399" s="38">
        <v>45798</v>
      </c>
      <c r="F399" s="2" t="s">
        <v>25</v>
      </c>
      <c r="G399" s="2" t="s">
        <v>26</v>
      </c>
      <c r="H399" s="38">
        <v>36989</v>
      </c>
      <c r="I399" s="2" t="s">
        <v>37</v>
      </c>
      <c r="J399" s="2" t="s">
        <v>38</v>
      </c>
      <c r="K399" s="2" t="s">
        <v>39</v>
      </c>
      <c r="L399" s="2" t="s">
        <v>59</v>
      </c>
      <c r="M399" s="2">
        <v>16</v>
      </c>
      <c r="N399" s="7">
        <v>1200</v>
      </c>
      <c r="O399" s="2">
        <v>20</v>
      </c>
      <c r="P399" s="7">
        <v>15360</v>
      </c>
      <c r="Q399" s="2">
        <v>1</v>
      </c>
      <c r="R399" s="2" t="s">
        <v>31</v>
      </c>
      <c r="S399" s="2" t="s">
        <v>42</v>
      </c>
      <c r="T399" s="2" t="s">
        <v>43</v>
      </c>
      <c r="U399" s="2">
        <v>9414633966</v>
      </c>
      <c r="V399" s="2" t="s">
        <v>52</v>
      </c>
    </row>
    <row r="400" spans="1:22" x14ac:dyDescent="0.3">
      <c r="A400" s="2" t="s">
        <v>541</v>
      </c>
      <c r="B400" s="2" t="s">
        <v>55</v>
      </c>
      <c r="C400" s="2" t="s">
        <v>106</v>
      </c>
      <c r="D400" s="38">
        <v>46018</v>
      </c>
      <c r="E400" s="38">
        <v>46026</v>
      </c>
      <c r="F400" s="2" t="s">
        <v>125</v>
      </c>
      <c r="G400" s="2" t="s">
        <v>58</v>
      </c>
      <c r="H400" s="38">
        <v>30317</v>
      </c>
      <c r="I400" s="2" t="s">
        <v>27</v>
      </c>
      <c r="J400" s="2" t="s">
        <v>28</v>
      </c>
      <c r="K400" s="2" t="s">
        <v>29</v>
      </c>
      <c r="L400" s="2" t="s">
        <v>108</v>
      </c>
      <c r="M400" s="2">
        <v>10</v>
      </c>
      <c r="N400" s="7">
        <v>8500</v>
      </c>
      <c r="O400" s="2">
        <v>5</v>
      </c>
      <c r="P400" s="7">
        <v>80750</v>
      </c>
      <c r="Q400" s="2">
        <v>5</v>
      </c>
      <c r="R400" s="2" t="s">
        <v>41</v>
      </c>
      <c r="S400" s="2" t="s">
        <v>32</v>
      </c>
      <c r="T400" s="2" t="s">
        <v>61</v>
      </c>
      <c r="U400" s="2">
        <v>9833735234</v>
      </c>
      <c r="V400" s="2" t="s">
        <v>34</v>
      </c>
    </row>
    <row r="401" spans="1:22" x14ac:dyDescent="0.3">
      <c r="A401" s="2" t="s">
        <v>542</v>
      </c>
      <c r="B401" s="2" t="s">
        <v>23</v>
      </c>
      <c r="C401" s="2" t="s">
        <v>128</v>
      </c>
      <c r="D401" s="38">
        <v>45699</v>
      </c>
      <c r="E401" s="38">
        <v>45709</v>
      </c>
      <c r="F401" s="2" t="s">
        <v>25</v>
      </c>
      <c r="G401" s="2" t="s">
        <v>26</v>
      </c>
      <c r="H401" s="38">
        <v>32729</v>
      </c>
      <c r="I401" s="2" t="s">
        <v>92</v>
      </c>
      <c r="J401" s="2" t="s">
        <v>76</v>
      </c>
      <c r="K401" s="2" t="s">
        <v>84</v>
      </c>
      <c r="L401" s="2" t="s">
        <v>130</v>
      </c>
      <c r="M401" s="2">
        <v>18</v>
      </c>
      <c r="N401" s="7">
        <v>20</v>
      </c>
      <c r="O401" s="2">
        <v>20</v>
      </c>
      <c r="P401" s="7">
        <v>288</v>
      </c>
      <c r="Q401" s="2">
        <v>1</v>
      </c>
      <c r="R401" s="2" t="s">
        <v>65</v>
      </c>
      <c r="S401" s="2" t="s">
        <v>32</v>
      </c>
      <c r="T401" s="2" t="s">
        <v>43</v>
      </c>
      <c r="U401" s="2">
        <v>9523689108</v>
      </c>
      <c r="V401" s="2" t="s">
        <v>52</v>
      </c>
    </row>
    <row r="402" spans="1:22" x14ac:dyDescent="0.3">
      <c r="A402" s="2" t="s">
        <v>543</v>
      </c>
      <c r="B402" s="2" t="s">
        <v>55</v>
      </c>
      <c r="C402" s="2" t="s">
        <v>106</v>
      </c>
      <c r="D402" s="38">
        <v>46094</v>
      </c>
      <c r="E402" s="38">
        <v>46100</v>
      </c>
      <c r="F402" s="2" t="s">
        <v>125</v>
      </c>
      <c r="G402" s="2" t="s">
        <v>58</v>
      </c>
      <c r="H402" s="38">
        <v>34264</v>
      </c>
      <c r="I402" s="2" t="s">
        <v>75</v>
      </c>
      <c r="J402" s="2" t="s">
        <v>76</v>
      </c>
      <c r="K402" s="2" t="s">
        <v>29</v>
      </c>
      <c r="L402" s="2" t="s">
        <v>108</v>
      </c>
      <c r="M402" s="2">
        <v>9</v>
      </c>
      <c r="N402" s="7">
        <v>8500</v>
      </c>
      <c r="O402" s="2">
        <v>0</v>
      </c>
      <c r="P402" s="7">
        <v>76500</v>
      </c>
      <c r="Q402" s="2">
        <v>2</v>
      </c>
      <c r="R402" s="2" t="s">
        <v>60</v>
      </c>
      <c r="S402" s="2" t="s">
        <v>32</v>
      </c>
      <c r="T402" s="2" t="s">
        <v>61</v>
      </c>
      <c r="U402" s="2">
        <v>9812909831</v>
      </c>
      <c r="V402" s="2" t="s">
        <v>52</v>
      </c>
    </row>
    <row r="403" spans="1:22" x14ac:dyDescent="0.3">
      <c r="A403" s="2" t="s">
        <v>544</v>
      </c>
      <c r="B403" s="2" t="s">
        <v>23</v>
      </c>
      <c r="C403" s="2" t="s">
        <v>106</v>
      </c>
      <c r="D403" s="38">
        <v>45931</v>
      </c>
      <c r="E403" s="38">
        <v>45942</v>
      </c>
      <c r="F403" s="2" t="s">
        <v>25</v>
      </c>
      <c r="G403" s="2" t="s">
        <v>26</v>
      </c>
      <c r="H403" s="38">
        <v>36651</v>
      </c>
      <c r="I403" s="2" t="s">
        <v>75</v>
      </c>
      <c r="J403" s="2" t="s">
        <v>76</v>
      </c>
      <c r="K403" s="2" t="s">
        <v>29</v>
      </c>
      <c r="L403" s="2" t="s">
        <v>108</v>
      </c>
      <c r="M403" s="2">
        <v>8</v>
      </c>
      <c r="N403" s="7">
        <v>8500</v>
      </c>
      <c r="O403" s="2">
        <v>10</v>
      </c>
      <c r="P403" s="7">
        <v>61200</v>
      </c>
      <c r="Q403" s="2">
        <v>4</v>
      </c>
      <c r="R403" s="2" t="s">
        <v>31</v>
      </c>
      <c r="S403" s="2" t="s">
        <v>81</v>
      </c>
      <c r="T403" s="2" t="s">
        <v>43</v>
      </c>
      <c r="U403" s="2">
        <v>9106290987</v>
      </c>
      <c r="V403" s="2" t="s">
        <v>53</v>
      </c>
    </row>
    <row r="404" spans="1:22" x14ac:dyDescent="0.3">
      <c r="A404" s="2" t="s">
        <v>545</v>
      </c>
      <c r="B404" s="2" t="s">
        <v>45</v>
      </c>
      <c r="C404" s="2" t="s">
        <v>128</v>
      </c>
      <c r="D404" s="38">
        <v>46048</v>
      </c>
      <c r="E404" s="38">
        <v>46054</v>
      </c>
      <c r="F404" s="2" t="s">
        <v>102</v>
      </c>
      <c r="G404" s="2" t="s">
        <v>26</v>
      </c>
      <c r="H404" s="38">
        <v>30730</v>
      </c>
      <c r="I404" s="2" t="s">
        <v>80</v>
      </c>
      <c r="J404" s="2" t="s">
        <v>76</v>
      </c>
      <c r="K404" s="2" t="s">
        <v>84</v>
      </c>
      <c r="L404" s="2" t="s">
        <v>130</v>
      </c>
      <c r="M404" s="2">
        <v>3</v>
      </c>
      <c r="N404" s="7">
        <v>20</v>
      </c>
      <c r="O404" s="2">
        <v>10</v>
      </c>
      <c r="P404" s="7">
        <v>54</v>
      </c>
      <c r="Q404" s="2">
        <v>3</v>
      </c>
      <c r="R404" s="2" t="s">
        <v>60</v>
      </c>
      <c r="S404" s="2" t="s">
        <v>97</v>
      </c>
      <c r="T404" s="2" t="s">
        <v>51</v>
      </c>
      <c r="U404" s="2">
        <v>9767727724</v>
      </c>
      <c r="V404" s="2" t="s">
        <v>52</v>
      </c>
    </row>
    <row r="405" spans="1:22" x14ac:dyDescent="0.3">
      <c r="A405" s="2" t="s">
        <v>546</v>
      </c>
      <c r="B405" s="2" t="s">
        <v>105</v>
      </c>
      <c r="C405" s="2" t="s">
        <v>106</v>
      </c>
      <c r="D405" s="38">
        <v>45840</v>
      </c>
      <c r="E405" s="38">
        <v>45850</v>
      </c>
      <c r="F405" s="2" t="s">
        <v>170</v>
      </c>
      <c r="G405" s="2" t="s">
        <v>26</v>
      </c>
      <c r="H405" s="38">
        <v>33402</v>
      </c>
      <c r="I405" s="2" t="s">
        <v>151</v>
      </c>
      <c r="J405" s="2" t="s">
        <v>152</v>
      </c>
      <c r="K405" s="2" t="s">
        <v>29</v>
      </c>
      <c r="L405" s="2" t="s">
        <v>108</v>
      </c>
      <c r="M405" s="2">
        <v>18</v>
      </c>
      <c r="N405" s="7">
        <v>8500</v>
      </c>
      <c r="O405" s="2">
        <v>10</v>
      </c>
      <c r="P405" s="7">
        <v>137700</v>
      </c>
      <c r="Q405" s="2">
        <v>4</v>
      </c>
      <c r="R405" s="2" t="s">
        <v>31</v>
      </c>
      <c r="S405" s="2" t="s">
        <v>42</v>
      </c>
      <c r="T405" s="2" t="s">
        <v>109</v>
      </c>
      <c r="U405" s="2">
        <v>9865401727</v>
      </c>
      <c r="V405" s="2" t="s">
        <v>53</v>
      </c>
    </row>
    <row r="406" spans="1:22" x14ac:dyDescent="0.3">
      <c r="A406" s="2" t="s">
        <v>547</v>
      </c>
      <c r="B406" s="2" t="s">
        <v>45</v>
      </c>
      <c r="C406" s="2" t="s">
        <v>141</v>
      </c>
      <c r="D406" s="38">
        <v>45935</v>
      </c>
      <c r="E406" s="38">
        <v>45939</v>
      </c>
      <c r="F406" s="2" t="s">
        <v>102</v>
      </c>
      <c r="G406" s="2" t="s">
        <v>26</v>
      </c>
      <c r="H406" s="38">
        <v>35204</v>
      </c>
      <c r="I406" s="2" t="s">
        <v>80</v>
      </c>
      <c r="J406" s="2" t="s">
        <v>76</v>
      </c>
      <c r="K406" s="2" t="s">
        <v>84</v>
      </c>
      <c r="L406" s="2" t="s">
        <v>142</v>
      </c>
      <c r="M406" s="2">
        <v>5</v>
      </c>
      <c r="N406" s="7">
        <v>45</v>
      </c>
      <c r="O406" s="2">
        <v>10</v>
      </c>
      <c r="P406" s="7">
        <v>202.5</v>
      </c>
      <c r="Q406" s="2">
        <v>3</v>
      </c>
      <c r="R406" s="2" t="s">
        <v>31</v>
      </c>
      <c r="S406" s="2" t="s">
        <v>81</v>
      </c>
      <c r="T406" s="2" t="s">
        <v>51</v>
      </c>
      <c r="U406" s="2">
        <v>9603848571</v>
      </c>
      <c r="V406" s="2" t="s">
        <v>52</v>
      </c>
    </row>
    <row r="407" spans="1:22" x14ac:dyDescent="0.3">
      <c r="A407" s="2" t="s">
        <v>548</v>
      </c>
      <c r="B407" s="2" t="s">
        <v>55</v>
      </c>
      <c r="C407" s="2" t="s">
        <v>141</v>
      </c>
      <c r="D407" s="38">
        <v>45807</v>
      </c>
      <c r="E407" s="38">
        <v>45810</v>
      </c>
      <c r="F407" s="2" t="s">
        <v>125</v>
      </c>
      <c r="G407" s="2" t="s">
        <v>58</v>
      </c>
      <c r="H407" s="38">
        <v>33747</v>
      </c>
      <c r="I407" s="2" t="s">
        <v>75</v>
      </c>
      <c r="J407" s="2" t="s">
        <v>76</v>
      </c>
      <c r="K407" s="2" t="s">
        <v>84</v>
      </c>
      <c r="L407" s="2" t="s">
        <v>142</v>
      </c>
      <c r="M407" s="2">
        <v>2</v>
      </c>
      <c r="N407" s="7">
        <v>45</v>
      </c>
      <c r="O407" s="2">
        <v>20</v>
      </c>
      <c r="P407" s="7">
        <v>72</v>
      </c>
      <c r="Q407" s="2">
        <v>5</v>
      </c>
      <c r="R407" s="2" t="s">
        <v>65</v>
      </c>
      <c r="S407" s="2" t="s">
        <v>50</v>
      </c>
      <c r="T407" s="2" t="s">
        <v>61</v>
      </c>
      <c r="U407" s="2">
        <v>9101231789</v>
      </c>
      <c r="V407" s="2" t="s">
        <v>53</v>
      </c>
    </row>
    <row r="408" spans="1:22" x14ac:dyDescent="0.3">
      <c r="A408" s="2" t="s">
        <v>549</v>
      </c>
      <c r="B408" s="2" t="s">
        <v>73</v>
      </c>
      <c r="C408" s="2" t="s">
        <v>141</v>
      </c>
      <c r="D408" s="38">
        <v>45684</v>
      </c>
      <c r="E408" s="38">
        <v>45694</v>
      </c>
      <c r="F408" s="2" t="s">
        <v>74</v>
      </c>
      <c r="G408" s="2" t="s">
        <v>26</v>
      </c>
      <c r="H408" s="38">
        <v>32309</v>
      </c>
      <c r="I408" s="2" t="s">
        <v>27</v>
      </c>
      <c r="J408" s="2" t="s">
        <v>28</v>
      </c>
      <c r="K408" s="2" t="s">
        <v>84</v>
      </c>
      <c r="L408" s="2" t="s">
        <v>142</v>
      </c>
      <c r="M408" s="2">
        <v>18</v>
      </c>
      <c r="N408" s="7">
        <v>45</v>
      </c>
      <c r="O408" s="2">
        <v>10</v>
      </c>
      <c r="P408" s="7">
        <v>729</v>
      </c>
      <c r="Q408" s="2">
        <v>2</v>
      </c>
      <c r="R408" s="2" t="s">
        <v>41</v>
      </c>
      <c r="S408" s="2" t="s">
        <v>81</v>
      </c>
      <c r="T408" s="2" t="s">
        <v>94</v>
      </c>
      <c r="U408" s="2">
        <v>9485017802</v>
      </c>
      <c r="V408" s="2" t="s">
        <v>52</v>
      </c>
    </row>
    <row r="409" spans="1:22" x14ac:dyDescent="0.3">
      <c r="A409" s="2" t="s">
        <v>550</v>
      </c>
      <c r="B409" s="2" t="s">
        <v>88</v>
      </c>
      <c r="C409" s="2" t="s">
        <v>56</v>
      </c>
      <c r="D409" s="38">
        <v>46015</v>
      </c>
      <c r="E409" s="38">
        <v>46023</v>
      </c>
      <c r="F409" s="2" t="s">
        <v>119</v>
      </c>
      <c r="G409" s="2" t="s">
        <v>58</v>
      </c>
      <c r="H409" s="38">
        <v>34172</v>
      </c>
      <c r="I409" s="2" t="s">
        <v>151</v>
      </c>
      <c r="J409" s="2" t="s">
        <v>152</v>
      </c>
      <c r="K409" s="2" t="s">
        <v>39</v>
      </c>
      <c r="L409" s="2" t="s">
        <v>59</v>
      </c>
      <c r="M409" s="2">
        <v>13</v>
      </c>
      <c r="N409" s="7">
        <v>1200</v>
      </c>
      <c r="O409" s="2">
        <v>5</v>
      </c>
      <c r="P409" s="7">
        <v>14820</v>
      </c>
      <c r="Q409" s="2">
        <v>4</v>
      </c>
      <c r="R409" s="2" t="s">
        <v>60</v>
      </c>
      <c r="S409" s="2" t="s">
        <v>81</v>
      </c>
      <c r="T409" s="2" t="s">
        <v>90</v>
      </c>
      <c r="U409" s="2">
        <v>9815464650</v>
      </c>
      <c r="V409" s="2" t="s">
        <v>34</v>
      </c>
    </row>
    <row r="410" spans="1:22" x14ac:dyDescent="0.3">
      <c r="A410" s="2" t="s">
        <v>551</v>
      </c>
      <c r="B410" s="2" t="s">
        <v>23</v>
      </c>
      <c r="C410" s="2" t="s">
        <v>128</v>
      </c>
      <c r="D410" s="38">
        <v>46153</v>
      </c>
      <c r="E410" s="38">
        <v>46159</v>
      </c>
      <c r="F410" s="2" t="s">
        <v>25</v>
      </c>
      <c r="G410" s="2" t="s">
        <v>26</v>
      </c>
      <c r="H410" s="38">
        <v>38020</v>
      </c>
      <c r="I410" s="2" t="s">
        <v>27</v>
      </c>
      <c r="J410" s="2" t="s">
        <v>28</v>
      </c>
      <c r="K410" s="2" t="s">
        <v>84</v>
      </c>
      <c r="L410" s="2" t="s">
        <v>130</v>
      </c>
      <c r="M410" s="2">
        <v>14</v>
      </c>
      <c r="N410" s="7">
        <v>20</v>
      </c>
      <c r="O410" s="2">
        <v>20</v>
      </c>
      <c r="P410" s="7">
        <v>224</v>
      </c>
      <c r="Q410" s="2">
        <v>5</v>
      </c>
      <c r="R410" s="2" t="s">
        <v>65</v>
      </c>
      <c r="S410" s="2" t="s">
        <v>42</v>
      </c>
      <c r="T410" s="2" t="s">
        <v>43</v>
      </c>
      <c r="U410" s="2">
        <v>9860715839</v>
      </c>
      <c r="V410" s="2" t="s">
        <v>52</v>
      </c>
    </row>
    <row r="411" spans="1:22" x14ac:dyDescent="0.3">
      <c r="A411" s="2" t="s">
        <v>552</v>
      </c>
      <c r="B411" s="2" t="s">
        <v>73</v>
      </c>
      <c r="C411" s="2" t="s">
        <v>68</v>
      </c>
      <c r="D411" s="38">
        <v>46064</v>
      </c>
      <c r="E411" s="38">
        <v>46076</v>
      </c>
      <c r="F411" s="2" t="s">
        <v>74</v>
      </c>
      <c r="G411" s="2" t="s">
        <v>26</v>
      </c>
      <c r="H411" s="38">
        <v>28847</v>
      </c>
      <c r="I411" s="2" t="s">
        <v>27</v>
      </c>
      <c r="J411" s="2" t="s">
        <v>28</v>
      </c>
      <c r="K411" s="2" t="s">
        <v>29</v>
      </c>
      <c r="L411" s="2" t="s">
        <v>71</v>
      </c>
      <c r="M411" s="2">
        <v>16</v>
      </c>
      <c r="N411" s="7">
        <v>3500</v>
      </c>
      <c r="O411" s="2">
        <v>15</v>
      </c>
      <c r="P411" s="7">
        <v>47600</v>
      </c>
      <c r="Q411" s="2">
        <v>3</v>
      </c>
      <c r="R411" s="2" t="s">
        <v>65</v>
      </c>
      <c r="S411" s="2" t="s">
        <v>50</v>
      </c>
      <c r="T411" s="2" t="s">
        <v>94</v>
      </c>
      <c r="U411" s="2">
        <v>9207561051</v>
      </c>
      <c r="V411" s="2" t="s">
        <v>53</v>
      </c>
    </row>
    <row r="412" spans="1:22" x14ac:dyDescent="0.3">
      <c r="A412" s="2" t="s">
        <v>553</v>
      </c>
      <c r="B412" s="2" t="s">
        <v>137</v>
      </c>
      <c r="C412" s="2" t="s">
        <v>128</v>
      </c>
      <c r="D412" s="38">
        <v>45704</v>
      </c>
      <c r="E412" s="38">
        <v>45712</v>
      </c>
      <c r="F412" s="2" t="s">
        <v>138</v>
      </c>
      <c r="G412" s="2" t="s">
        <v>26</v>
      </c>
      <c r="H412" s="38">
        <v>34257</v>
      </c>
      <c r="I412" s="2" t="s">
        <v>48</v>
      </c>
      <c r="J412" s="2" t="s">
        <v>28</v>
      </c>
      <c r="K412" s="2" t="s">
        <v>84</v>
      </c>
      <c r="L412" s="2" t="s">
        <v>130</v>
      </c>
      <c r="M412" s="2">
        <v>20</v>
      </c>
      <c r="N412" s="7">
        <v>20</v>
      </c>
      <c r="O412" s="2">
        <v>15</v>
      </c>
      <c r="P412" s="7">
        <v>340</v>
      </c>
      <c r="Q412" s="2">
        <v>1</v>
      </c>
      <c r="R412" s="2" t="s">
        <v>41</v>
      </c>
      <c r="S412" s="2" t="s">
        <v>50</v>
      </c>
      <c r="T412" s="2" t="s">
        <v>139</v>
      </c>
      <c r="U412" s="2">
        <v>9159894508</v>
      </c>
      <c r="V412" s="2" t="s">
        <v>53</v>
      </c>
    </row>
    <row r="413" spans="1:22" x14ac:dyDescent="0.3">
      <c r="A413" s="2" t="s">
        <v>554</v>
      </c>
      <c r="B413" s="2" t="s">
        <v>105</v>
      </c>
      <c r="C413" s="2" t="s">
        <v>46</v>
      </c>
      <c r="D413" s="38">
        <v>45756</v>
      </c>
      <c r="E413" s="38">
        <v>45761</v>
      </c>
      <c r="F413" s="2" t="s">
        <v>170</v>
      </c>
      <c r="G413" s="2" t="s">
        <v>26</v>
      </c>
      <c r="H413" s="38">
        <v>29201</v>
      </c>
      <c r="I413" s="2" t="s">
        <v>92</v>
      </c>
      <c r="J413" s="2" t="s">
        <v>76</v>
      </c>
      <c r="K413" s="2" t="s">
        <v>39</v>
      </c>
      <c r="L413" s="2" t="s">
        <v>49</v>
      </c>
      <c r="M413" s="2">
        <v>1</v>
      </c>
      <c r="N413" s="7">
        <v>55000</v>
      </c>
      <c r="O413" s="2">
        <v>15</v>
      </c>
      <c r="P413" s="7">
        <v>46750</v>
      </c>
      <c r="Q413" s="2">
        <v>2</v>
      </c>
      <c r="R413" s="2" t="s">
        <v>65</v>
      </c>
      <c r="S413" s="2" t="s">
        <v>81</v>
      </c>
      <c r="T413" s="2" t="s">
        <v>109</v>
      </c>
      <c r="U413" s="2">
        <v>9531465024</v>
      </c>
      <c r="V413" s="2" t="s">
        <v>53</v>
      </c>
    </row>
    <row r="414" spans="1:22" x14ac:dyDescent="0.3">
      <c r="A414" s="2" t="s">
        <v>555</v>
      </c>
      <c r="B414" s="2" t="s">
        <v>73</v>
      </c>
      <c r="C414" s="2" t="s">
        <v>83</v>
      </c>
      <c r="D414" s="38">
        <v>45672</v>
      </c>
      <c r="E414" s="38">
        <v>45677</v>
      </c>
      <c r="F414" s="2" t="s">
        <v>74</v>
      </c>
      <c r="G414" s="2" t="s">
        <v>26</v>
      </c>
      <c r="H414" s="38">
        <v>37400</v>
      </c>
      <c r="I414" s="2" t="s">
        <v>92</v>
      </c>
      <c r="J414" s="2" t="s">
        <v>76</v>
      </c>
      <c r="K414" s="2" t="s">
        <v>84</v>
      </c>
      <c r="L414" s="2" t="s">
        <v>85</v>
      </c>
      <c r="M414" s="2">
        <v>15</v>
      </c>
      <c r="N414" s="7">
        <v>60</v>
      </c>
      <c r="O414" s="2">
        <v>5</v>
      </c>
      <c r="P414" s="7">
        <v>855</v>
      </c>
      <c r="Q414" s="2">
        <v>4</v>
      </c>
      <c r="R414" s="2" t="s">
        <v>41</v>
      </c>
      <c r="S414" s="2" t="s">
        <v>50</v>
      </c>
      <c r="T414" s="2" t="s">
        <v>94</v>
      </c>
      <c r="U414" s="2">
        <v>9158813608</v>
      </c>
      <c r="V414" s="2" t="s">
        <v>34</v>
      </c>
    </row>
    <row r="415" spans="1:22" x14ac:dyDescent="0.3">
      <c r="A415" s="2" t="s">
        <v>556</v>
      </c>
      <c r="B415" s="2" t="s">
        <v>63</v>
      </c>
      <c r="C415" s="2" t="s">
        <v>113</v>
      </c>
      <c r="D415" s="38">
        <v>46108</v>
      </c>
      <c r="E415" s="38">
        <v>46114</v>
      </c>
      <c r="F415" s="2" t="s">
        <v>111</v>
      </c>
      <c r="G415" s="2" t="s">
        <v>58</v>
      </c>
      <c r="H415" s="38">
        <v>27828</v>
      </c>
      <c r="I415" s="2" t="s">
        <v>75</v>
      </c>
      <c r="J415" s="2" t="s">
        <v>76</v>
      </c>
      <c r="K415" s="2" t="s">
        <v>39</v>
      </c>
      <c r="L415" s="2" t="s">
        <v>115</v>
      </c>
      <c r="M415" s="2">
        <v>15</v>
      </c>
      <c r="N415" s="7">
        <v>700</v>
      </c>
      <c r="O415" s="2">
        <v>0</v>
      </c>
      <c r="P415" s="7">
        <v>10500</v>
      </c>
      <c r="Q415" s="2">
        <v>5</v>
      </c>
      <c r="R415" s="2" t="s">
        <v>41</v>
      </c>
      <c r="S415" s="2" t="s">
        <v>81</v>
      </c>
      <c r="T415" s="2" t="s">
        <v>66</v>
      </c>
      <c r="U415" s="2">
        <v>9308461700</v>
      </c>
      <c r="V415" s="2" t="s">
        <v>34</v>
      </c>
    </row>
    <row r="416" spans="1:22" x14ac:dyDescent="0.3">
      <c r="A416" s="2" t="s">
        <v>557</v>
      </c>
      <c r="B416" s="2" t="s">
        <v>127</v>
      </c>
      <c r="C416" s="2" t="s">
        <v>36</v>
      </c>
      <c r="D416" s="38">
        <v>46027</v>
      </c>
      <c r="E416" s="38">
        <v>46031</v>
      </c>
      <c r="F416" s="2" t="s">
        <v>129</v>
      </c>
      <c r="G416" s="2" t="s">
        <v>58</v>
      </c>
      <c r="H416" s="38">
        <v>29484</v>
      </c>
      <c r="I416" s="2" t="s">
        <v>151</v>
      </c>
      <c r="J416" s="2" t="s">
        <v>152</v>
      </c>
      <c r="K416" s="2" t="s">
        <v>39</v>
      </c>
      <c r="L416" s="2" t="s">
        <v>40</v>
      </c>
      <c r="M416" s="2">
        <v>13</v>
      </c>
      <c r="N416" s="7">
        <v>12000</v>
      </c>
      <c r="O416" s="2">
        <v>10</v>
      </c>
      <c r="P416" s="7">
        <v>140400</v>
      </c>
      <c r="Q416" s="2">
        <v>1</v>
      </c>
      <c r="R416" s="2" t="s">
        <v>31</v>
      </c>
      <c r="S416" s="2" t="s">
        <v>97</v>
      </c>
      <c r="T416" s="2" t="s">
        <v>131</v>
      </c>
      <c r="U416" s="2">
        <v>9882279049</v>
      </c>
      <c r="V416" s="2" t="s">
        <v>53</v>
      </c>
    </row>
    <row r="417" spans="1:22" x14ac:dyDescent="0.3">
      <c r="A417" s="2" t="s">
        <v>558</v>
      </c>
      <c r="B417" s="2" t="s">
        <v>63</v>
      </c>
      <c r="C417" s="2" t="s">
        <v>36</v>
      </c>
      <c r="D417" s="38">
        <v>46129</v>
      </c>
      <c r="E417" s="38">
        <v>46141</v>
      </c>
      <c r="F417" s="2" t="s">
        <v>111</v>
      </c>
      <c r="G417" s="2" t="s">
        <v>58</v>
      </c>
      <c r="H417" s="38">
        <v>32318</v>
      </c>
      <c r="I417" s="2" t="s">
        <v>27</v>
      </c>
      <c r="J417" s="2" t="s">
        <v>28</v>
      </c>
      <c r="K417" s="2" t="s">
        <v>39</v>
      </c>
      <c r="L417" s="2" t="s">
        <v>40</v>
      </c>
      <c r="M417" s="2">
        <v>12</v>
      </c>
      <c r="N417" s="7">
        <v>12000</v>
      </c>
      <c r="O417" s="2">
        <v>20</v>
      </c>
      <c r="P417" s="7">
        <v>115200</v>
      </c>
      <c r="Q417" s="2">
        <v>2</v>
      </c>
      <c r="R417" s="2" t="s">
        <v>31</v>
      </c>
      <c r="S417" s="2" t="s">
        <v>32</v>
      </c>
      <c r="T417" s="2" t="s">
        <v>66</v>
      </c>
      <c r="U417" s="2">
        <v>9961801338</v>
      </c>
      <c r="V417" s="2" t="s">
        <v>34</v>
      </c>
    </row>
    <row r="418" spans="1:22" x14ac:dyDescent="0.3">
      <c r="A418" s="2" t="s">
        <v>559</v>
      </c>
      <c r="B418" s="2" t="s">
        <v>63</v>
      </c>
      <c r="C418" s="2" t="s">
        <v>141</v>
      </c>
      <c r="D418" s="38">
        <v>45741</v>
      </c>
      <c r="E418" s="38">
        <v>45745</v>
      </c>
      <c r="F418" s="2" t="s">
        <v>111</v>
      </c>
      <c r="G418" s="2" t="s">
        <v>58</v>
      </c>
      <c r="H418" s="38">
        <v>37783</v>
      </c>
      <c r="I418" s="2" t="s">
        <v>75</v>
      </c>
      <c r="J418" s="2" t="s">
        <v>76</v>
      </c>
      <c r="K418" s="2" t="s">
        <v>84</v>
      </c>
      <c r="L418" s="2" t="s">
        <v>142</v>
      </c>
      <c r="M418" s="2">
        <v>10</v>
      </c>
      <c r="N418" s="7">
        <v>45</v>
      </c>
      <c r="O418" s="2">
        <v>0</v>
      </c>
      <c r="P418" s="7">
        <v>450</v>
      </c>
      <c r="Q418" s="2">
        <v>5</v>
      </c>
      <c r="R418" s="2" t="s">
        <v>60</v>
      </c>
      <c r="S418" s="2" t="s">
        <v>81</v>
      </c>
      <c r="T418" s="2" t="s">
        <v>66</v>
      </c>
      <c r="U418" s="2">
        <v>9853525026</v>
      </c>
      <c r="V418" s="2" t="s">
        <v>53</v>
      </c>
    </row>
    <row r="419" spans="1:22" x14ac:dyDescent="0.3">
      <c r="A419" s="2" t="s">
        <v>560</v>
      </c>
      <c r="B419" s="2" t="s">
        <v>88</v>
      </c>
      <c r="C419" s="2" t="s">
        <v>56</v>
      </c>
      <c r="D419" s="38">
        <v>45774</v>
      </c>
      <c r="E419" s="38">
        <v>45786</v>
      </c>
      <c r="F419" s="2" t="s">
        <v>119</v>
      </c>
      <c r="G419" s="2" t="s">
        <v>58</v>
      </c>
      <c r="H419" s="38">
        <v>29930</v>
      </c>
      <c r="I419" s="2" t="s">
        <v>75</v>
      </c>
      <c r="J419" s="2" t="s">
        <v>76</v>
      </c>
      <c r="K419" s="2" t="s">
        <v>39</v>
      </c>
      <c r="L419" s="2" t="s">
        <v>59</v>
      </c>
      <c r="M419" s="2">
        <v>20</v>
      </c>
      <c r="N419" s="7">
        <v>1200</v>
      </c>
      <c r="O419" s="2">
        <v>20</v>
      </c>
      <c r="P419" s="7">
        <v>19200</v>
      </c>
      <c r="Q419" s="2">
        <v>5</v>
      </c>
      <c r="R419" s="2" t="s">
        <v>41</v>
      </c>
      <c r="S419" s="2" t="s">
        <v>50</v>
      </c>
      <c r="T419" s="2" t="s">
        <v>90</v>
      </c>
      <c r="U419" s="2">
        <v>9209649485</v>
      </c>
      <c r="V419" s="2" t="s">
        <v>53</v>
      </c>
    </row>
    <row r="420" spans="1:22" x14ac:dyDescent="0.3">
      <c r="A420" s="2" t="s">
        <v>561</v>
      </c>
      <c r="B420" s="2" t="s">
        <v>55</v>
      </c>
      <c r="C420" s="2" t="s">
        <v>56</v>
      </c>
      <c r="D420" s="38">
        <v>45919</v>
      </c>
      <c r="E420" s="38">
        <v>45926</v>
      </c>
      <c r="F420" s="2" t="s">
        <v>125</v>
      </c>
      <c r="G420" s="2" t="s">
        <v>58</v>
      </c>
      <c r="H420" s="38">
        <v>27449</v>
      </c>
      <c r="I420" s="2" t="s">
        <v>80</v>
      </c>
      <c r="J420" s="2" t="s">
        <v>76</v>
      </c>
      <c r="K420" s="2" t="s">
        <v>39</v>
      </c>
      <c r="L420" s="2" t="s">
        <v>59</v>
      </c>
      <c r="M420" s="2">
        <v>8</v>
      </c>
      <c r="N420" s="7">
        <v>1200</v>
      </c>
      <c r="O420" s="2">
        <v>10</v>
      </c>
      <c r="P420" s="7">
        <v>8640</v>
      </c>
      <c r="Q420" s="2">
        <v>4</v>
      </c>
      <c r="R420" s="2" t="s">
        <v>41</v>
      </c>
      <c r="S420" s="2" t="s">
        <v>50</v>
      </c>
      <c r="T420" s="2" t="s">
        <v>61</v>
      </c>
      <c r="U420" s="2">
        <v>9712905525</v>
      </c>
      <c r="V420" s="2" t="s">
        <v>34</v>
      </c>
    </row>
    <row r="421" spans="1:22" x14ac:dyDescent="0.3">
      <c r="A421" s="2" t="s">
        <v>562</v>
      </c>
      <c r="B421" s="2" t="s">
        <v>88</v>
      </c>
      <c r="C421" s="2" t="s">
        <v>56</v>
      </c>
      <c r="D421" s="38">
        <v>45795</v>
      </c>
      <c r="E421" s="38">
        <v>45797</v>
      </c>
      <c r="F421" s="2" t="s">
        <v>119</v>
      </c>
      <c r="G421" s="2" t="s">
        <v>58</v>
      </c>
      <c r="H421" s="38">
        <v>28395</v>
      </c>
      <c r="I421" s="2" t="s">
        <v>123</v>
      </c>
      <c r="J421" s="2" t="s">
        <v>38</v>
      </c>
      <c r="K421" s="2" t="s">
        <v>39</v>
      </c>
      <c r="L421" s="2" t="s">
        <v>59</v>
      </c>
      <c r="M421" s="2">
        <v>8</v>
      </c>
      <c r="N421" s="7">
        <v>1200</v>
      </c>
      <c r="O421" s="2">
        <v>10</v>
      </c>
      <c r="P421" s="7">
        <v>8640</v>
      </c>
      <c r="Q421" s="2">
        <v>5</v>
      </c>
      <c r="R421" s="2" t="s">
        <v>60</v>
      </c>
      <c r="S421" s="2" t="s">
        <v>42</v>
      </c>
      <c r="T421" s="2" t="s">
        <v>90</v>
      </c>
      <c r="U421" s="2">
        <v>9812472447</v>
      </c>
      <c r="V421" s="2" t="s">
        <v>53</v>
      </c>
    </row>
    <row r="422" spans="1:22" x14ac:dyDescent="0.3">
      <c r="A422" s="2" t="s">
        <v>563</v>
      </c>
      <c r="B422" s="2" t="s">
        <v>160</v>
      </c>
      <c r="C422" s="2" t="s">
        <v>24</v>
      </c>
      <c r="D422" s="38">
        <v>46020</v>
      </c>
      <c r="E422" s="38">
        <v>46021</v>
      </c>
      <c r="F422" s="2" t="s">
        <v>179</v>
      </c>
      <c r="G422" s="2" t="s">
        <v>58</v>
      </c>
      <c r="H422" s="38">
        <v>32136</v>
      </c>
      <c r="I422" s="2" t="s">
        <v>123</v>
      </c>
      <c r="J422" s="2" t="s">
        <v>38</v>
      </c>
      <c r="K422" s="2" t="s">
        <v>29</v>
      </c>
      <c r="L422" s="2" t="s">
        <v>30</v>
      </c>
      <c r="M422" s="2">
        <v>9</v>
      </c>
      <c r="N422" s="7">
        <v>2200</v>
      </c>
      <c r="O422" s="2">
        <v>20</v>
      </c>
      <c r="P422" s="7">
        <v>15840</v>
      </c>
      <c r="Q422" s="2">
        <v>1</v>
      </c>
      <c r="R422" s="2" t="s">
        <v>41</v>
      </c>
      <c r="S422" s="2" t="s">
        <v>81</v>
      </c>
      <c r="T422" s="2" t="s">
        <v>162</v>
      </c>
      <c r="U422" s="2">
        <v>9281127052</v>
      </c>
      <c r="V422" s="2" t="s">
        <v>34</v>
      </c>
    </row>
    <row r="423" spans="1:22" x14ac:dyDescent="0.3">
      <c r="A423" s="2" t="s">
        <v>564</v>
      </c>
      <c r="B423" s="2" t="s">
        <v>88</v>
      </c>
      <c r="C423" s="2" t="s">
        <v>128</v>
      </c>
      <c r="D423" s="38">
        <v>45669</v>
      </c>
      <c r="E423" s="38">
        <v>45673</v>
      </c>
      <c r="F423" s="2" t="s">
        <v>119</v>
      </c>
      <c r="G423" s="2" t="s">
        <v>58</v>
      </c>
      <c r="H423" s="38">
        <v>36973</v>
      </c>
      <c r="I423" s="2" t="s">
        <v>151</v>
      </c>
      <c r="J423" s="2" t="s">
        <v>152</v>
      </c>
      <c r="K423" s="2" t="s">
        <v>84</v>
      </c>
      <c r="L423" s="2" t="s">
        <v>130</v>
      </c>
      <c r="M423" s="2">
        <v>8</v>
      </c>
      <c r="N423" s="7">
        <v>20</v>
      </c>
      <c r="O423" s="2">
        <v>20</v>
      </c>
      <c r="P423" s="7">
        <v>128</v>
      </c>
      <c r="Q423" s="2">
        <v>4</v>
      </c>
      <c r="R423" s="2" t="s">
        <v>31</v>
      </c>
      <c r="S423" s="2" t="s">
        <v>32</v>
      </c>
      <c r="T423" s="2" t="s">
        <v>90</v>
      </c>
      <c r="U423" s="2">
        <v>9346312555</v>
      </c>
      <c r="V423" s="2" t="s">
        <v>53</v>
      </c>
    </row>
    <row r="424" spans="1:22" x14ac:dyDescent="0.3">
      <c r="A424" s="2" t="s">
        <v>565</v>
      </c>
      <c r="B424" s="2" t="s">
        <v>127</v>
      </c>
      <c r="C424" s="2" t="s">
        <v>46</v>
      </c>
      <c r="D424" s="38">
        <v>46035</v>
      </c>
      <c r="E424" s="38">
        <v>46044</v>
      </c>
      <c r="F424" s="2" t="s">
        <v>129</v>
      </c>
      <c r="G424" s="2" t="s">
        <v>58</v>
      </c>
      <c r="H424" s="38">
        <v>30216</v>
      </c>
      <c r="I424" s="2" t="s">
        <v>80</v>
      </c>
      <c r="J424" s="2" t="s">
        <v>76</v>
      </c>
      <c r="K424" s="2" t="s">
        <v>39</v>
      </c>
      <c r="L424" s="2" t="s">
        <v>49</v>
      </c>
      <c r="M424" s="2">
        <v>5</v>
      </c>
      <c r="N424" s="7">
        <v>55000</v>
      </c>
      <c r="O424" s="2">
        <v>0</v>
      </c>
      <c r="P424" s="7">
        <v>275000</v>
      </c>
      <c r="Q424" s="2">
        <v>1</v>
      </c>
      <c r="R424" s="2" t="s">
        <v>60</v>
      </c>
      <c r="S424" s="2" t="s">
        <v>81</v>
      </c>
      <c r="T424" s="2" t="s">
        <v>131</v>
      </c>
      <c r="U424" s="2">
        <v>9443786067</v>
      </c>
      <c r="V424" s="2" t="s">
        <v>34</v>
      </c>
    </row>
    <row r="425" spans="1:22" x14ac:dyDescent="0.3">
      <c r="A425" s="2" t="s">
        <v>566</v>
      </c>
      <c r="B425" s="2" t="s">
        <v>73</v>
      </c>
      <c r="C425" s="2" t="s">
        <v>56</v>
      </c>
      <c r="D425" s="38">
        <v>46096</v>
      </c>
      <c r="E425" s="38">
        <v>46099</v>
      </c>
      <c r="F425" s="2" t="s">
        <v>74</v>
      </c>
      <c r="G425" s="2" t="s">
        <v>26</v>
      </c>
      <c r="H425" s="38">
        <v>31670</v>
      </c>
      <c r="I425" s="2" t="s">
        <v>75</v>
      </c>
      <c r="J425" s="2" t="s">
        <v>76</v>
      </c>
      <c r="K425" s="2" t="s">
        <v>39</v>
      </c>
      <c r="L425" s="2" t="s">
        <v>59</v>
      </c>
      <c r="M425" s="2">
        <v>13</v>
      </c>
      <c r="N425" s="7">
        <v>1200</v>
      </c>
      <c r="O425" s="2">
        <v>5</v>
      </c>
      <c r="P425" s="7">
        <v>14820</v>
      </c>
      <c r="Q425" s="2">
        <v>2</v>
      </c>
      <c r="R425" s="2" t="s">
        <v>60</v>
      </c>
      <c r="S425" s="2" t="s">
        <v>32</v>
      </c>
      <c r="T425" s="2" t="s">
        <v>94</v>
      </c>
      <c r="U425" s="2">
        <v>9452540528</v>
      </c>
      <c r="V425" s="2" t="s">
        <v>53</v>
      </c>
    </row>
    <row r="426" spans="1:22" x14ac:dyDescent="0.3">
      <c r="A426" s="2" t="s">
        <v>567</v>
      </c>
      <c r="B426" s="2" t="s">
        <v>63</v>
      </c>
      <c r="C426" s="2" t="s">
        <v>106</v>
      </c>
      <c r="D426" s="38">
        <v>45986</v>
      </c>
      <c r="E426" s="38">
        <v>45991</v>
      </c>
      <c r="F426" s="2" t="s">
        <v>111</v>
      </c>
      <c r="G426" s="2" t="s">
        <v>58</v>
      </c>
      <c r="H426" s="38">
        <v>37602</v>
      </c>
      <c r="I426" s="2" t="s">
        <v>123</v>
      </c>
      <c r="J426" s="2" t="s">
        <v>38</v>
      </c>
      <c r="K426" s="2" t="s">
        <v>29</v>
      </c>
      <c r="L426" s="2" t="s">
        <v>108</v>
      </c>
      <c r="M426" s="2">
        <v>13</v>
      </c>
      <c r="N426" s="7">
        <v>8500</v>
      </c>
      <c r="O426" s="2">
        <v>20</v>
      </c>
      <c r="P426" s="7">
        <v>88400</v>
      </c>
      <c r="Q426" s="2">
        <v>5</v>
      </c>
      <c r="R426" s="2" t="s">
        <v>31</v>
      </c>
      <c r="S426" s="2" t="s">
        <v>42</v>
      </c>
      <c r="T426" s="2" t="s">
        <v>66</v>
      </c>
      <c r="U426" s="2">
        <v>9750918728</v>
      </c>
      <c r="V426" s="2" t="s">
        <v>52</v>
      </c>
    </row>
    <row r="427" spans="1:22" x14ac:dyDescent="0.3">
      <c r="A427" s="2" t="s">
        <v>568</v>
      </c>
      <c r="B427" s="2" t="s">
        <v>55</v>
      </c>
      <c r="C427" s="2" t="s">
        <v>83</v>
      </c>
      <c r="D427" s="38">
        <v>45692</v>
      </c>
      <c r="E427" s="38">
        <v>45703</v>
      </c>
      <c r="F427" s="2" t="s">
        <v>125</v>
      </c>
      <c r="G427" s="2" t="s">
        <v>58</v>
      </c>
      <c r="H427" s="38">
        <v>36053</v>
      </c>
      <c r="I427" s="2" t="s">
        <v>80</v>
      </c>
      <c r="J427" s="2" t="s">
        <v>76</v>
      </c>
      <c r="K427" s="2" t="s">
        <v>84</v>
      </c>
      <c r="L427" s="2" t="s">
        <v>85</v>
      </c>
      <c r="M427" s="2">
        <v>14</v>
      </c>
      <c r="N427" s="7">
        <v>60</v>
      </c>
      <c r="O427" s="2">
        <v>10</v>
      </c>
      <c r="P427" s="7">
        <v>756</v>
      </c>
      <c r="Q427" s="2">
        <v>1</v>
      </c>
      <c r="R427" s="2" t="s">
        <v>31</v>
      </c>
      <c r="S427" s="2" t="s">
        <v>50</v>
      </c>
      <c r="T427" s="2" t="s">
        <v>61</v>
      </c>
      <c r="U427" s="2">
        <v>9375975834</v>
      </c>
      <c r="V427" s="2" t="s">
        <v>53</v>
      </c>
    </row>
    <row r="428" spans="1:22" x14ac:dyDescent="0.3">
      <c r="A428" s="2" t="s">
        <v>569</v>
      </c>
      <c r="B428" s="2" t="s">
        <v>137</v>
      </c>
      <c r="C428" s="2" t="s">
        <v>24</v>
      </c>
      <c r="D428" s="38">
        <v>45775</v>
      </c>
      <c r="E428" s="38">
        <v>45776</v>
      </c>
      <c r="F428" s="2" t="s">
        <v>138</v>
      </c>
      <c r="G428" s="2" t="s">
        <v>26</v>
      </c>
      <c r="H428" s="38">
        <v>31337</v>
      </c>
      <c r="I428" s="2" t="s">
        <v>48</v>
      </c>
      <c r="J428" s="2" t="s">
        <v>28</v>
      </c>
      <c r="K428" s="2" t="s">
        <v>29</v>
      </c>
      <c r="L428" s="2" t="s">
        <v>30</v>
      </c>
      <c r="M428" s="2">
        <v>15</v>
      </c>
      <c r="N428" s="7">
        <v>2200</v>
      </c>
      <c r="O428" s="2">
        <v>0</v>
      </c>
      <c r="P428" s="7">
        <v>33000</v>
      </c>
      <c r="Q428" s="2">
        <v>1</v>
      </c>
      <c r="R428" s="2" t="s">
        <v>31</v>
      </c>
      <c r="S428" s="2" t="s">
        <v>50</v>
      </c>
      <c r="T428" s="2" t="s">
        <v>139</v>
      </c>
      <c r="U428" s="2">
        <v>9497321112</v>
      </c>
      <c r="V428" s="2" t="s">
        <v>34</v>
      </c>
    </row>
    <row r="429" spans="1:22" x14ac:dyDescent="0.3">
      <c r="A429" s="2" t="s">
        <v>570</v>
      </c>
      <c r="B429" s="2" t="s">
        <v>63</v>
      </c>
      <c r="C429" s="2" t="s">
        <v>83</v>
      </c>
      <c r="D429" s="38">
        <v>45896</v>
      </c>
      <c r="E429" s="38">
        <v>45898</v>
      </c>
      <c r="F429" s="2" t="s">
        <v>111</v>
      </c>
      <c r="G429" s="2" t="s">
        <v>58</v>
      </c>
      <c r="H429" s="38">
        <v>34926</v>
      </c>
      <c r="I429" s="2" t="s">
        <v>123</v>
      </c>
      <c r="J429" s="2" t="s">
        <v>38</v>
      </c>
      <c r="K429" s="2" t="s">
        <v>84</v>
      </c>
      <c r="L429" s="2" t="s">
        <v>85</v>
      </c>
      <c r="M429" s="2">
        <v>19</v>
      </c>
      <c r="N429" s="7">
        <v>60</v>
      </c>
      <c r="O429" s="2">
        <v>20</v>
      </c>
      <c r="P429" s="7">
        <v>912</v>
      </c>
      <c r="Q429" s="2">
        <v>3</v>
      </c>
      <c r="R429" s="2" t="s">
        <v>31</v>
      </c>
      <c r="S429" s="2" t="s">
        <v>97</v>
      </c>
      <c r="T429" s="2" t="s">
        <v>66</v>
      </c>
      <c r="U429" s="2">
        <v>9828749888</v>
      </c>
      <c r="V429" s="2" t="s">
        <v>52</v>
      </c>
    </row>
    <row r="430" spans="1:22" x14ac:dyDescent="0.3">
      <c r="A430" s="2" t="s">
        <v>571</v>
      </c>
      <c r="B430" s="2" t="s">
        <v>45</v>
      </c>
      <c r="C430" s="2" t="s">
        <v>141</v>
      </c>
      <c r="D430" s="38">
        <v>45942</v>
      </c>
      <c r="E430" s="38">
        <v>45953</v>
      </c>
      <c r="F430" s="2" t="s">
        <v>102</v>
      </c>
      <c r="G430" s="2" t="s">
        <v>26</v>
      </c>
      <c r="H430" s="38">
        <v>31286</v>
      </c>
      <c r="I430" s="2" t="s">
        <v>123</v>
      </c>
      <c r="J430" s="2" t="s">
        <v>38</v>
      </c>
      <c r="K430" s="2" t="s">
        <v>84</v>
      </c>
      <c r="L430" s="2" t="s">
        <v>142</v>
      </c>
      <c r="M430" s="2">
        <v>13</v>
      </c>
      <c r="N430" s="7">
        <v>45</v>
      </c>
      <c r="O430" s="2">
        <v>15</v>
      </c>
      <c r="P430" s="7">
        <v>497.25</v>
      </c>
      <c r="Q430" s="2">
        <v>2</v>
      </c>
      <c r="R430" s="2" t="s">
        <v>31</v>
      </c>
      <c r="S430" s="2" t="s">
        <v>42</v>
      </c>
      <c r="T430" s="2" t="s">
        <v>51</v>
      </c>
      <c r="U430" s="2">
        <v>9814267382</v>
      </c>
      <c r="V430" s="2" t="s">
        <v>34</v>
      </c>
    </row>
    <row r="431" spans="1:22" x14ac:dyDescent="0.3">
      <c r="A431" s="2" t="s">
        <v>572</v>
      </c>
      <c r="B431" s="2" t="s">
        <v>137</v>
      </c>
      <c r="C431" s="2" t="s">
        <v>36</v>
      </c>
      <c r="D431" s="38">
        <v>46036</v>
      </c>
      <c r="E431" s="38">
        <v>46046</v>
      </c>
      <c r="F431" s="2" t="s">
        <v>138</v>
      </c>
      <c r="G431" s="2" t="s">
        <v>26</v>
      </c>
      <c r="H431" s="38">
        <v>27550</v>
      </c>
      <c r="I431" s="2" t="s">
        <v>75</v>
      </c>
      <c r="J431" s="2" t="s">
        <v>76</v>
      </c>
      <c r="K431" s="2" t="s">
        <v>39</v>
      </c>
      <c r="L431" s="2" t="s">
        <v>40</v>
      </c>
      <c r="M431" s="2">
        <v>7</v>
      </c>
      <c r="N431" s="7">
        <v>12000</v>
      </c>
      <c r="O431" s="2">
        <v>5</v>
      </c>
      <c r="P431" s="7">
        <v>79800</v>
      </c>
      <c r="Q431" s="2">
        <v>4</v>
      </c>
      <c r="R431" s="2" t="s">
        <v>60</v>
      </c>
      <c r="S431" s="2" t="s">
        <v>97</v>
      </c>
      <c r="T431" s="2" t="s">
        <v>139</v>
      </c>
      <c r="U431" s="2">
        <v>9937007439</v>
      </c>
      <c r="V431" s="2" t="s">
        <v>53</v>
      </c>
    </row>
    <row r="432" spans="1:22" x14ac:dyDescent="0.3">
      <c r="A432" s="2" t="s">
        <v>573</v>
      </c>
      <c r="B432" s="2" t="s">
        <v>160</v>
      </c>
      <c r="C432" s="2" t="s">
        <v>128</v>
      </c>
      <c r="D432" s="38">
        <v>46152</v>
      </c>
      <c r="E432" s="38" t="s">
        <v>52</v>
      </c>
      <c r="F432" s="2" t="s">
        <v>179</v>
      </c>
      <c r="G432" s="2" t="s">
        <v>58</v>
      </c>
      <c r="H432" s="38">
        <v>35514</v>
      </c>
      <c r="I432" s="2" t="s">
        <v>151</v>
      </c>
      <c r="J432" s="2" t="s">
        <v>152</v>
      </c>
      <c r="K432" s="2" t="s">
        <v>84</v>
      </c>
      <c r="L432" s="2" t="s">
        <v>130</v>
      </c>
      <c r="M432" s="2">
        <v>8</v>
      </c>
      <c r="N432" s="7">
        <v>20</v>
      </c>
      <c r="O432" s="2">
        <v>0</v>
      </c>
      <c r="P432" s="7">
        <v>160</v>
      </c>
      <c r="Q432" s="2">
        <v>4</v>
      </c>
      <c r="R432" s="2" t="s">
        <v>60</v>
      </c>
      <c r="S432" s="2" t="s">
        <v>50</v>
      </c>
      <c r="T432" s="2" t="s">
        <v>162</v>
      </c>
      <c r="U432" s="2">
        <v>9657513435</v>
      </c>
      <c r="V432" s="2" t="s">
        <v>52</v>
      </c>
    </row>
    <row r="433" spans="1:22" x14ac:dyDescent="0.3">
      <c r="A433" s="2" t="s">
        <v>574</v>
      </c>
      <c r="B433" s="2" t="s">
        <v>23</v>
      </c>
      <c r="C433" s="2" t="s">
        <v>68</v>
      </c>
      <c r="D433" s="38">
        <v>45689</v>
      </c>
      <c r="E433" s="38">
        <v>45694</v>
      </c>
      <c r="F433" s="2" t="s">
        <v>25</v>
      </c>
      <c r="G433" s="2" t="s">
        <v>26</v>
      </c>
      <c r="H433" s="38">
        <v>35538</v>
      </c>
      <c r="I433" s="2" t="s">
        <v>151</v>
      </c>
      <c r="J433" s="2" t="s">
        <v>152</v>
      </c>
      <c r="K433" s="2" t="s">
        <v>29</v>
      </c>
      <c r="L433" s="2" t="s">
        <v>71</v>
      </c>
      <c r="M433" s="2">
        <v>16</v>
      </c>
      <c r="N433" s="7">
        <v>3500</v>
      </c>
      <c r="O433" s="2">
        <v>5</v>
      </c>
      <c r="P433" s="7">
        <v>53200</v>
      </c>
      <c r="Q433" s="2">
        <v>1</v>
      </c>
      <c r="R433" s="2" t="s">
        <v>60</v>
      </c>
      <c r="S433" s="2" t="s">
        <v>50</v>
      </c>
      <c r="T433" s="2" t="s">
        <v>43</v>
      </c>
      <c r="U433" s="2">
        <v>9999406260</v>
      </c>
      <c r="V433" s="2" t="s">
        <v>53</v>
      </c>
    </row>
    <row r="434" spans="1:22" x14ac:dyDescent="0.3">
      <c r="A434" s="2" t="s">
        <v>575</v>
      </c>
      <c r="B434" s="2" t="s">
        <v>160</v>
      </c>
      <c r="C434" s="2" t="s">
        <v>106</v>
      </c>
      <c r="D434" s="38">
        <v>45710</v>
      </c>
      <c r="E434" s="38">
        <v>45720</v>
      </c>
      <c r="F434" s="2" t="s">
        <v>179</v>
      </c>
      <c r="G434" s="2" t="s">
        <v>58</v>
      </c>
      <c r="H434" s="38">
        <v>36308</v>
      </c>
      <c r="I434" s="2" t="s">
        <v>75</v>
      </c>
      <c r="J434" s="2" t="s">
        <v>76</v>
      </c>
      <c r="K434" s="2" t="s">
        <v>29</v>
      </c>
      <c r="L434" s="2" t="s">
        <v>108</v>
      </c>
      <c r="M434" s="2">
        <v>12</v>
      </c>
      <c r="N434" s="7">
        <v>8500</v>
      </c>
      <c r="O434" s="2">
        <v>10</v>
      </c>
      <c r="P434" s="7">
        <v>91800</v>
      </c>
      <c r="Q434" s="2">
        <v>3</v>
      </c>
      <c r="R434" s="2" t="s">
        <v>60</v>
      </c>
      <c r="S434" s="2" t="s">
        <v>32</v>
      </c>
      <c r="T434" s="2" t="s">
        <v>162</v>
      </c>
      <c r="U434" s="2">
        <v>9233727886</v>
      </c>
      <c r="V434" s="2" t="s">
        <v>34</v>
      </c>
    </row>
    <row r="435" spans="1:22" x14ac:dyDescent="0.3">
      <c r="A435" s="2" t="s">
        <v>576</v>
      </c>
      <c r="B435" s="2" t="s">
        <v>23</v>
      </c>
      <c r="C435" s="2" t="s">
        <v>83</v>
      </c>
      <c r="D435" s="38">
        <v>45765</v>
      </c>
      <c r="E435" s="38">
        <v>45767</v>
      </c>
      <c r="F435" s="2" t="s">
        <v>25</v>
      </c>
      <c r="G435" s="2" t="s">
        <v>26</v>
      </c>
      <c r="H435" s="38">
        <v>30492</v>
      </c>
      <c r="I435" s="2" t="s">
        <v>92</v>
      </c>
      <c r="J435" s="2" t="s">
        <v>76</v>
      </c>
      <c r="K435" s="2" t="s">
        <v>84</v>
      </c>
      <c r="L435" s="2" t="s">
        <v>85</v>
      </c>
      <c r="M435" s="2">
        <v>1</v>
      </c>
      <c r="N435" s="7">
        <v>60</v>
      </c>
      <c r="O435" s="2">
        <v>20</v>
      </c>
      <c r="P435" s="7">
        <v>48</v>
      </c>
      <c r="Q435" s="2">
        <v>2</v>
      </c>
      <c r="R435" s="2" t="s">
        <v>60</v>
      </c>
      <c r="S435" s="2" t="s">
        <v>97</v>
      </c>
      <c r="T435" s="2" t="s">
        <v>43</v>
      </c>
      <c r="U435" s="2">
        <v>9831688801</v>
      </c>
      <c r="V435" s="2" t="s">
        <v>34</v>
      </c>
    </row>
    <row r="436" spans="1:22" x14ac:dyDescent="0.3">
      <c r="A436" s="2" t="s">
        <v>577</v>
      </c>
      <c r="B436" s="2" t="s">
        <v>88</v>
      </c>
      <c r="C436" s="2" t="s">
        <v>83</v>
      </c>
      <c r="D436" s="38">
        <v>45967</v>
      </c>
      <c r="E436" s="38">
        <v>45972</v>
      </c>
      <c r="F436" s="2" t="s">
        <v>119</v>
      </c>
      <c r="G436" s="2" t="s">
        <v>58</v>
      </c>
      <c r="H436" s="38">
        <v>33995</v>
      </c>
      <c r="I436" s="2" t="s">
        <v>27</v>
      </c>
      <c r="J436" s="2" t="s">
        <v>28</v>
      </c>
      <c r="K436" s="2" t="s">
        <v>84</v>
      </c>
      <c r="L436" s="2" t="s">
        <v>85</v>
      </c>
      <c r="M436" s="2">
        <v>3</v>
      </c>
      <c r="N436" s="7">
        <v>60</v>
      </c>
      <c r="O436" s="2">
        <v>15</v>
      </c>
      <c r="P436" s="7">
        <v>153</v>
      </c>
      <c r="Q436" s="2">
        <v>4</v>
      </c>
      <c r="R436" s="2" t="s">
        <v>60</v>
      </c>
      <c r="S436" s="2" t="s">
        <v>32</v>
      </c>
      <c r="T436" s="2" t="s">
        <v>90</v>
      </c>
      <c r="U436" s="2">
        <v>9982849508</v>
      </c>
      <c r="V436" s="2" t="s">
        <v>34</v>
      </c>
    </row>
    <row r="437" spans="1:22" x14ac:dyDescent="0.3">
      <c r="A437" s="2" t="s">
        <v>578</v>
      </c>
      <c r="B437" s="2" t="s">
        <v>73</v>
      </c>
      <c r="C437" s="2" t="s">
        <v>113</v>
      </c>
      <c r="D437" s="38">
        <v>45736</v>
      </c>
      <c r="E437" s="38">
        <v>45741</v>
      </c>
      <c r="F437" s="2" t="s">
        <v>74</v>
      </c>
      <c r="G437" s="2" t="s">
        <v>26</v>
      </c>
      <c r="H437" s="38">
        <v>28917</v>
      </c>
      <c r="I437" s="2" t="s">
        <v>151</v>
      </c>
      <c r="J437" s="2" t="s">
        <v>152</v>
      </c>
      <c r="K437" s="2" t="s">
        <v>39</v>
      </c>
      <c r="L437" s="2" t="s">
        <v>115</v>
      </c>
      <c r="M437" s="2">
        <v>10</v>
      </c>
      <c r="N437" s="7">
        <v>700</v>
      </c>
      <c r="O437" s="2">
        <v>15</v>
      </c>
      <c r="P437" s="7">
        <v>5950</v>
      </c>
      <c r="Q437" s="2">
        <v>3</v>
      </c>
      <c r="R437" s="2" t="s">
        <v>41</v>
      </c>
      <c r="S437" s="2" t="s">
        <v>32</v>
      </c>
      <c r="T437" s="2" t="s">
        <v>94</v>
      </c>
      <c r="U437" s="2">
        <v>9288309246</v>
      </c>
      <c r="V437" s="2" t="s">
        <v>52</v>
      </c>
    </row>
    <row r="438" spans="1:22" x14ac:dyDescent="0.3">
      <c r="A438" s="2" t="s">
        <v>579</v>
      </c>
      <c r="B438" s="2" t="s">
        <v>63</v>
      </c>
      <c r="C438" s="2" t="s">
        <v>128</v>
      </c>
      <c r="D438" s="38">
        <v>45952</v>
      </c>
      <c r="E438" s="38">
        <v>45955</v>
      </c>
      <c r="F438" s="2" t="s">
        <v>111</v>
      </c>
      <c r="G438" s="2" t="s">
        <v>58</v>
      </c>
      <c r="H438" s="38">
        <v>28016</v>
      </c>
      <c r="I438" s="2" t="s">
        <v>92</v>
      </c>
      <c r="J438" s="2" t="s">
        <v>76</v>
      </c>
      <c r="K438" s="2" t="s">
        <v>84</v>
      </c>
      <c r="L438" s="2" t="s">
        <v>130</v>
      </c>
      <c r="M438" s="2">
        <v>2</v>
      </c>
      <c r="N438" s="7">
        <v>20</v>
      </c>
      <c r="O438" s="2">
        <v>10</v>
      </c>
      <c r="P438" s="7">
        <v>36</v>
      </c>
      <c r="Q438" s="2">
        <v>2</v>
      </c>
      <c r="R438" s="2" t="s">
        <v>65</v>
      </c>
      <c r="S438" s="2" t="s">
        <v>50</v>
      </c>
      <c r="T438" s="2" t="s">
        <v>66</v>
      </c>
      <c r="U438" s="2">
        <v>9808476235</v>
      </c>
      <c r="V438" s="2" t="s">
        <v>34</v>
      </c>
    </row>
    <row r="439" spans="1:22" x14ac:dyDescent="0.3">
      <c r="A439" s="2" t="s">
        <v>580</v>
      </c>
      <c r="B439" s="2" t="s">
        <v>63</v>
      </c>
      <c r="C439" s="2" t="s">
        <v>128</v>
      </c>
      <c r="D439" s="38">
        <v>46022</v>
      </c>
      <c r="E439" s="38">
        <v>46027</v>
      </c>
      <c r="F439" s="2" t="s">
        <v>111</v>
      </c>
      <c r="G439" s="2" t="s">
        <v>58</v>
      </c>
      <c r="H439" s="38">
        <v>33446</v>
      </c>
      <c r="I439" s="2" t="s">
        <v>37</v>
      </c>
      <c r="J439" s="2" t="s">
        <v>38</v>
      </c>
      <c r="K439" s="2" t="s">
        <v>84</v>
      </c>
      <c r="L439" s="2" t="s">
        <v>130</v>
      </c>
      <c r="M439" s="2">
        <v>14</v>
      </c>
      <c r="N439" s="7">
        <v>20</v>
      </c>
      <c r="O439" s="2">
        <v>20</v>
      </c>
      <c r="P439" s="7">
        <v>224</v>
      </c>
      <c r="Q439" s="2">
        <v>5</v>
      </c>
      <c r="R439" s="2" t="s">
        <v>31</v>
      </c>
      <c r="S439" s="2" t="s">
        <v>97</v>
      </c>
      <c r="T439" s="2" t="s">
        <v>66</v>
      </c>
      <c r="U439" s="2">
        <v>9869056117</v>
      </c>
      <c r="V439" s="2" t="s">
        <v>52</v>
      </c>
    </row>
    <row r="440" spans="1:22" x14ac:dyDescent="0.3">
      <c r="A440" s="2" t="s">
        <v>581</v>
      </c>
      <c r="B440" s="2" t="s">
        <v>160</v>
      </c>
      <c r="C440" s="2" t="s">
        <v>68</v>
      </c>
      <c r="D440" s="38">
        <v>45829</v>
      </c>
      <c r="E440" s="38">
        <v>45833</v>
      </c>
      <c r="F440" s="2" t="s">
        <v>179</v>
      </c>
      <c r="G440" s="2" t="s">
        <v>58</v>
      </c>
      <c r="H440" s="38">
        <v>32075</v>
      </c>
      <c r="I440" s="2" t="s">
        <v>92</v>
      </c>
      <c r="J440" s="2" t="s">
        <v>76</v>
      </c>
      <c r="K440" s="2" t="s">
        <v>29</v>
      </c>
      <c r="L440" s="2" t="s">
        <v>71</v>
      </c>
      <c r="M440" s="2">
        <v>4</v>
      </c>
      <c r="N440" s="7">
        <v>3500</v>
      </c>
      <c r="O440" s="2">
        <v>0</v>
      </c>
      <c r="P440" s="7">
        <v>14000</v>
      </c>
      <c r="Q440" s="2">
        <v>2</v>
      </c>
      <c r="R440" s="2" t="s">
        <v>65</v>
      </c>
      <c r="S440" s="2" t="s">
        <v>32</v>
      </c>
      <c r="T440" s="2" t="s">
        <v>162</v>
      </c>
      <c r="U440" s="2">
        <v>9734229772</v>
      </c>
      <c r="V440" s="2" t="s">
        <v>53</v>
      </c>
    </row>
    <row r="441" spans="1:22" x14ac:dyDescent="0.3">
      <c r="A441" s="2" t="s">
        <v>582</v>
      </c>
      <c r="B441" s="2" t="s">
        <v>63</v>
      </c>
      <c r="C441" s="2" t="s">
        <v>68</v>
      </c>
      <c r="D441" s="38">
        <v>45812</v>
      </c>
      <c r="E441" s="38">
        <v>45813</v>
      </c>
      <c r="F441" s="2" t="s">
        <v>111</v>
      </c>
      <c r="G441" s="2" t="s">
        <v>58</v>
      </c>
      <c r="H441" s="38">
        <v>30629</v>
      </c>
      <c r="I441" s="2" t="s">
        <v>123</v>
      </c>
      <c r="J441" s="2" t="s">
        <v>38</v>
      </c>
      <c r="K441" s="2" t="s">
        <v>29</v>
      </c>
      <c r="L441" s="2" t="s">
        <v>71</v>
      </c>
      <c r="M441" s="2">
        <v>9</v>
      </c>
      <c r="N441" s="7">
        <v>3500</v>
      </c>
      <c r="O441" s="2">
        <v>5</v>
      </c>
      <c r="P441" s="7">
        <v>29925</v>
      </c>
      <c r="Q441" s="2">
        <v>3</v>
      </c>
      <c r="R441" s="2" t="s">
        <v>60</v>
      </c>
      <c r="S441" s="2" t="s">
        <v>50</v>
      </c>
      <c r="T441" s="2" t="s">
        <v>66</v>
      </c>
      <c r="U441" s="2">
        <v>9791617906</v>
      </c>
      <c r="V441" s="2" t="s">
        <v>34</v>
      </c>
    </row>
    <row r="442" spans="1:22" x14ac:dyDescent="0.3">
      <c r="A442" s="2" t="s">
        <v>583</v>
      </c>
      <c r="B442" s="2" t="s">
        <v>88</v>
      </c>
      <c r="C442" s="2" t="s">
        <v>83</v>
      </c>
      <c r="D442" s="38">
        <v>45807</v>
      </c>
      <c r="E442" s="38">
        <v>45811</v>
      </c>
      <c r="F442" s="2" t="s">
        <v>119</v>
      </c>
      <c r="G442" s="2" t="s">
        <v>58</v>
      </c>
      <c r="H442" s="38">
        <v>30678</v>
      </c>
      <c r="I442" s="2" t="s">
        <v>75</v>
      </c>
      <c r="J442" s="2" t="s">
        <v>76</v>
      </c>
      <c r="K442" s="2" t="s">
        <v>84</v>
      </c>
      <c r="L442" s="2" t="s">
        <v>85</v>
      </c>
      <c r="M442" s="2">
        <v>9</v>
      </c>
      <c r="N442" s="7">
        <v>60</v>
      </c>
      <c r="O442" s="2">
        <v>0</v>
      </c>
      <c r="P442" s="7">
        <v>540</v>
      </c>
      <c r="Q442" s="2">
        <v>3</v>
      </c>
      <c r="R442" s="2" t="s">
        <v>65</v>
      </c>
      <c r="S442" s="2" t="s">
        <v>32</v>
      </c>
      <c r="T442" s="2" t="s">
        <v>90</v>
      </c>
      <c r="U442" s="2">
        <v>9286316823</v>
      </c>
      <c r="V442" s="2" t="s">
        <v>52</v>
      </c>
    </row>
    <row r="443" spans="1:22" x14ac:dyDescent="0.3">
      <c r="A443" s="2" t="s">
        <v>584</v>
      </c>
      <c r="B443" s="2" t="s">
        <v>105</v>
      </c>
      <c r="C443" s="2" t="s">
        <v>56</v>
      </c>
      <c r="D443" s="38">
        <v>45779</v>
      </c>
      <c r="E443" s="38">
        <v>45780</v>
      </c>
      <c r="F443" s="2" t="s">
        <v>170</v>
      </c>
      <c r="G443" s="2" t="s">
        <v>26</v>
      </c>
      <c r="H443" s="38">
        <v>33862</v>
      </c>
      <c r="I443" s="2" t="s">
        <v>92</v>
      </c>
      <c r="J443" s="2" t="s">
        <v>76</v>
      </c>
      <c r="K443" s="2" t="s">
        <v>39</v>
      </c>
      <c r="L443" s="2" t="s">
        <v>59</v>
      </c>
      <c r="M443" s="2">
        <v>4</v>
      </c>
      <c r="N443" s="7">
        <v>1200</v>
      </c>
      <c r="O443" s="2">
        <v>0</v>
      </c>
      <c r="P443" s="7">
        <v>4800</v>
      </c>
      <c r="Q443" s="2">
        <v>1</v>
      </c>
      <c r="R443" s="2" t="s">
        <v>41</v>
      </c>
      <c r="S443" s="2" t="s">
        <v>50</v>
      </c>
      <c r="T443" s="2" t="s">
        <v>109</v>
      </c>
      <c r="U443" s="2">
        <v>9810569252</v>
      </c>
      <c r="V443" s="2" t="s">
        <v>34</v>
      </c>
    </row>
    <row r="444" spans="1:22" x14ac:dyDescent="0.3">
      <c r="A444" s="2" t="s">
        <v>585</v>
      </c>
      <c r="B444" s="2" t="s">
        <v>45</v>
      </c>
      <c r="C444" s="2" t="s">
        <v>46</v>
      </c>
      <c r="D444" s="38">
        <v>45691</v>
      </c>
      <c r="E444" s="38">
        <v>45701</v>
      </c>
      <c r="F444" s="2" t="s">
        <v>102</v>
      </c>
      <c r="G444" s="2" t="s">
        <v>26</v>
      </c>
      <c r="H444" s="38">
        <v>36381</v>
      </c>
      <c r="I444" s="2" t="s">
        <v>27</v>
      </c>
      <c r="J444" s="2" t="s">
        <v>28</v>
      </c>
      <c r="K444" s="2" t="s">
        <v>39</v>
      </c>
      <c r="L444" s="2" t="s">
        <v>49</v>
      </c>
      <c r="M444" s="2">
        <v>10</v>
      </c>
      <c r="N444" s="7">
        <v>55000</v>
      </c>
      <c r="O444" s="2">
        <v>5</v>
      </c>
      <c r="P444" s="7">
        <v>522500</v>
      </c>
      <c r="Q444" s="2">
        <v>5</v>
      </c>
      <c r="R444" s="2" t="s">
        <v>65</v>
      </c>
      <c r="S444" s="2" t="s">
        <v>81</v>
      </c>
      <c r="T444" s="2" t="s">
        <v>51</v>
      </c>
      <c r="U444" s="2">
        <v>9771745925</v>
      </c>
      <c r="V444" s="2" t="s">
        <v>34</v>
      </c>
    </row>
    <row r="445" spans="1:22" x14ac:dyDescent="0.3">
      <c r="A445" s="2" t="s">
        <v>586</v>
      </c>
      <c r="B445" s="2" t="s">
        <v>127</v>
      </c>
      <c r="C445" s="2" t="s">
        <v>141</v>
      </c>
      <c r="D445" s="38">
        <v>45837</v>
      </c>
      <c r="E445" s="38">
        <v>45844</v>
      </c>
      <c r="F445" s="2" t="s">
        <v>129</v>
      </c>
      <c r="G445" s="2" t="s">
        <v>58</v>
      </c>
      <c r="H445" s="38">
        <v>32931</v>
      </c>
      <c r="I445" s="2" t="s">
        <v>27</v>
      </c>
      <c r="J445" s="2" t="s">
        <v>28</v>
      </c>
      <c r="K445" s="2" t="s">
        <v>84</v>
      </c>
      <c r="L445" s="2" t="s">
        <v>142</v>
      </c>
      <c r="M445" s="2">
        <v>20</v>
      </c>
      <c r="N445" s="7">
        <v>45</v>
      </c>
      <c r="O445" s="2">
        <v>15</v>
      </c>
      <c r="P445" s="7">
        <v>765</v>
      </c>
      <c r="Q445" s="2">
        <v>2</v>
      </c>
      <c r="R445" s="2" t="s">
        <v>60</v>
      </c>
      <c r="S445" s="2" t="s">
        <v>32</v>
      </c>
      <c r="T445" s="2" t="s">
        <v>131</v>
      </c>
      <c r="U445" s="2">
        <v>9820683063</v>
      </c>
      <c r="V445" s="2" t="s">
        <v>53</v>
      </c>
    </row>
    <row r="446" spans="1:22" x14ac:dyDescent="0.3">
      <c r="A446" s="2" t="s">
        <v>587</v>
      </c>
      <c r="B446" s="2" t="s">
        <v>23</v>
      </c>
      <c r="C446" s="2" t="s">
        <v>128</v>
      </c>
      <c r="D446" s="38">
        <v>46065</v>
      </c>
      <c r="E446" s="38">
        <v>46075</v>
      </c>
      <c r="F446" s="2" t="s">
        <v>25</v>
      </c>
      <c r="G446" s="2" t="s">
        <v>26</v>
      </c>
      <c r="H446" s="38">
        <v>34420</v>
      </c>
      <c r="I446" s="2" t="s">
        <v>75</v>
      </c>
      <c r="J446" s="2" t="s">
        <v>76</v>
      </c>
      <c r="K446" s="2" t="s">
        <v>84</v>
      </c>
      <c r="L446" s="2" t="s">
        <v>130</v>
      </c>
      <c r="M446" s="2">
        <v>9</v>
      </c>
      <c r="N446" s="7">
        <v>20</v>
      </c>
      <c r="O446" s="2">
        <v>20</v>
      </c>
      <c r="P446" s="7">
        <v>144</v>
      </c>
      <c r="Q446" s="2">
        <v>3</v>
      </c>
      <c r="R446" s="2" t="s">
        <v>60</v>
      </c>
      <c r="S446" s="2" t="s">
        <v>50</v>
      </c>
      <c r="T446" s="2" t="s">
        <v>43</v>
      </c>
      <c r="U446" s="2">
        <v>9292891941</v>
      </c>
      <c r="V446" s="2" t="s">
        <v>34</v>
      </c>
    </row>
    <row r="447" spans="1:22" x14ac:dyDescent="0.3">
      <c r="A447" s="2" t="s">
        <v>588</v>
      </c>
      <c r="B447" s="2" t="s">
        <v>23</v>
      </c>
      <c r="C447" s="2" t="s">
        <v>46</v>
      </c>
      <c r="D447" s="38">
        <v>45719</v>
      </c>
      <c r="E447" s="38">
        <v>45730</v>
      </c>
      <c r="F447" s="2" t="s">
        <v>25</v>
      </c>
      <c r="G447" s="2" t="s">
        <v>26</v>
      </c>
      <c r="H447" s="38">
        <v>29383</v>
      </c>
      <c r="I447" s="2" t="s">
        <v>80</v>
      </c>
      <c r="J447" s="2" t="s">
        <v>76</v>
      </c>
      <c r="K447" s="2" t="s">
        <v>39</v>
      </c>
      <c r="L447" s="2" t="s">
        <v>49</v>
      </c>
      <c r="M447" s="2">
        <v>8</v>
      </c>
      <c r="N447" s="7">
        <v>55000</v>
      </c>
      <c r="O447" s="2">
        <v>0</v>
      </c>
      <c r="P447" s="7">
        <v>440000</v>
      </c>
      <c r="Q447" s="2">
        <v>4</v>
      </c>
      <c r="R447" s="2" t="s">
        <v>31</v>
      </c>
      <c r="S447" s="2" t="s">
        <v>81</v>
      </c>
      <c r="T447" s="2" t="s">
        <v>43</v>
      </c>
      <c r="U447" s="2">
        <v>9413789556</v>
      </c>
      <c r="V447" s="2" t="s">
        <v>34</v>
      </c>
    </row>
    <row r="448" spans="1:22" x14ac:dyDescent="0.3">
      <c r="A448" s="2" t="s">
        <v>589</v>
      </c>
      <c r="B448" s="2" t="s">
        <v>160</v>
      </c>
      <c r="C448" s="2" t="s">
        <v>56</v>
      </c>
      <c r="D448" s="38">
        <v>46136</v>
      </c>
      <c r="E448" s="38">
        <v>46140</v>
      </c>
      <c r="F448" s="2" t="s">
        <v>179</v>
      </c>
      <c r="G448" s="2" t="s">
        <v>58</v>
      </c>
      <c r="H448" s="38">
        <v>36687</v>
      </c>
      <c r="I448" s="2" t="s">
        <v>92</v>
      </c>
      <c r="J448" s="2" t="s">
        <v>76</v>
      </c>
      <c r="K448" s="2" t="s">
        <v>39</v>
      </c>
      <c r="L448" s="2" t="s">
        <v>59</v>
      </c>
      <c r="M448" s="2">
        <v>4</v>
      </c>
      <c r="N448" s="7">
        <v>1200</v>
      </c>
      <c r="O448" s="2">
        <v>10</v>
      </c>
      <c r="P448" s="7">
        <v>4320</v>
      </c>
      <c r="Q448" s="2">
        <v>4</v>
      </c>
      <c r="R448" s="2" t="s">
        <v>65</v>
      </c>
      <c r="S448" s="2" t="s">
        <v>32</v>
      </c>
      <c r="T448" s="2" t="s">
        <v>590</v>
      </c>
      <c r="U448" s="2">
        <v>98765</v>
      </c>
      <c r="V448" s="2" t="s">
        <v>53</v>
      </c>
    </row>
    <row r="449" spans="1:22" x14ac:dyDescent="0.3">
      <c r="A449" s="2" t="s">
        <v>591</v>
      </c>
      <c r="B449" s="2" t="s">
        <v>160</v>
      </c>
      <c r="C449" s="2" t="s">
        <v>106</v>
      </c>
      <c r="D449" s="38">
        <v>46145</v>
      </c>
      <c r="E449" s="38">
        <v>46155</v>
      </c>
      <c r="F449" s="2" t="s">
        <v>179</v>
      </c>
      <c r="G449" s="2" t="s">
        <v>58</v>
      </c>
      <c r="H449" s="38">
        <v>35906</v>
      </c>
      <c r="I449" s="2" t="s">
        <v>151</v>
      </c>
      <c r="J449" s="2" t="s">
        <v>152</v>
      </c>
      <c r="K449" s="2" t="s">
        <v>29</v>
      </c>
      <c r="L449" s="2" t="s">
        <v>108</v>
      </c>
      <c r="M449" s="2">
        <v>14</v>
      </c>
      <c r="N449" s="7">
        <v>8500</v>
      </c>
      <c r="O449" s="2">
        <v>10</v>
      </c>
      <c r="P449" s="7">
        <v>107100</v>
      </c>
      <c r="Q449" s="2">
        <v>4</v>
      </c>
      <c r="R449" s="2" t="s">
        <v>31</v>
      </c>
      <c r="S449" s="2" t="s">
        <v>32</v>
      </c>
      <c r="T449" s="2" t="s">
        <v>162</v>
      </c>
      <c r="U449" s="2">
        <v>9211936331</v>
      </c>
      <c r="V449" s="2" t="s">
        <v>34</v>
      </c>
    </row>
    <row r="450" spans="1:22" x14ac:dyDescent="0.3">
      <c r="A450" s="2" t="s">
        <v>592</v>
      </c>
      <c r="B450" s="2" t="s">
        <v>55</v>
      </c>
      <c r="C450" s="2" t="s">
        <v>141</v>
      </c>
      <c r="D450" s="38">
        <v>45807</v>
      </c>
      <c r="E450" s="38">
        <v>45815</v>
      </c>
      <c r="F450" s="2" t="s">
        <v>125</v>
      </c>
      <c r="G450" s="2" t="s">
        <v>58</v>
      </c>
      <c r="H450" s="38">
        <v>30812</v>
      </c>
      <c r="I450" s="2" t="s">
        <v>27</v>
      </c>
      <c r="J450" s="2" t="s">
        <v>28</v>
      </c>
      <c r="K450" s="2" t="s">
        <v>84</v>
      </c>
      <c r="L450" s="2" t="s">
        <v>142</v>
      </c>
      <c r="M450" s="2">
        <v>1</v>
      </c>
      <c r="N450" s="7">
        <v>45</v>
      </c>
      <c r="O450" s="2">
        <v>0</v>
      </c>
      <c r="P450" s="7">
        <v>45</v>
      </c>
      <c r="Q450" s="2">
        <v>3</v>
      </c>
      <c r="R450" s="2" t="s">
        <v>65</v>
      </c>
      <c r="S450" s="2" t="s">
        <v>97</v>
      </c>
      <c r="T450" s="2" t="s">
        <v>61</v>
      </c>
      <c r="U450" s="2">
        <v>9167291747</v>
      </c>
      <c r="V450" s="2" t="s">
        <v>53</v>
      </c>
    </row>
    <row r="451" spans="1:22" x14ac:dyDescent="0.3">
      <c r="A451" s="2" t="s">
        <v>593</v>
      </c>
      <c r="B451" s="2" t="s">
        <v>55</v>
      </c>
      <c r="C451" s="2" t="s">
        <v>46</v>
      </c>
      <c r="D451" s="38">
        <v>45705</v>
      </c>
      <c r="E451" s="38">
        <v>45716</v>
      </c>
      <c r="F451" s="2" t="s">
        <v>125</v>
      </c>
      <c r="G451" s="2" t="s">
        <v>58</v>
      </c>
      <c r="H451" s="38">
        <v>31692</v>
      </c>
      <c r="I451" s="2" t="s">
        <v>37</v>
      </c>
      <c r="J451" s="2" t="s">
        <v>38</v>
      </c>
      <c r="K451" s="2" t="s">
        <v>39</v>
      </c>
      <c r="L451" s="2" t="s">
        <v>49</v>
      </c>
      <c r="M451" s="2">
        <v>16</v>
      </c>
      <c r="N451" s="7">
        <v>55000</v>
      </c>
      <c r="O451" s="2">
        <v>15</v>
      </c>
      <c r="P451" s="7">
        <v>748000</v>
      </c>
      <c r="Q451" s="2">
        <v>1</v>
      </c>
      <c r="R451" s="2" t="s">
        <v>60</v>
      </c>
      <c r="S451" s="2" t="s">
        <v>97</v>
      </c>
      <c r="T451" s="2" t="s">
        <v>61</v>
      </c>
      <c r="U451" s="2">
        <v>9637283597</v>
      </c>
      <c r="V451" s="2" t="s">
        <v>53</v>
      </c>
    </row>
    <row r="452" spans="1:22" x14ac:dyDescent="0.3">
      <c r="A452" s="2" t="s">
        <v>594</v>
      </c>
      <c r="B452" s="2" t="s">
        <v>45</v>
      </c>
      <c r="C452" s="2" t="s">
        <v>113</v>
      </c>
      <c r="D452" s="38">
        <v>46103</v>
      </c>
      <c r="E452" s="38">
        <v>46110</v>
      </c>
      <c r="F452" s="2" t="s">
        <v>102</v>
      </c>
      <c r="G452" s="2" t="s">
        <v>26</v>
      </c>
      <c r="H452" s="38">
        <v>37926</v>
      </c>
      <c r="I452" s="2" t="s">
        <v>92</v>
      </c>
      <c r="J452" s="2" t="s">
        <v>76</v>
      </c>
      <c r="K452" s="2" t="s">
        <v>39</v>
      </c>
      <c r="L452" s="2" t="s">
        <v>115</v>
      </c>
      <c r="M452" s="2">
        <v>8</v>
      </c>
      <c r="N452" s="7">
        <v>700</v>
      </c>
      <c r="O452" s="2">
        <v>0</v>
      </c>
      <c r="P452" s="7">
        <v>5600</v>
      </c>
      <c r="Q452" s="2">
        <v>3</v>
      </c>
      <c r="R452" s="2" t="s">
        <v>31</v>
      </c>
      <c r="S452" s="2" t="s">
        <v>42</v>
      </c>
      <c r="T452" s="2" t="s">
        <v>51</v>
      </c>
      <c r="U452" s="2">
        <v>9514269002</v>
      </c>
      <c r="V452" s="2" t="s">
        <v>34</v>
      </c>
    </row>
    <row r="453" spans="1:22" x14ac:dyDescent="0.3">
      <c r="A453" s="2" t="s">
        <v>595</v>
      </c>
      <c r="B453" s="2" t="s">
        <v>137</v>
      </c>
      <c r="C453" s="2" t="s">
        <v>56</v>
      </c>
      <c r="D453" s="38">
        <v>46114</v>
      </c>
      <c r="E453" s="38">
        <v>46125</v>
      </c>
      <c r="F453" s="2" t="s">
        <v>138</v>
      </c>
      <c r="G453" s="2" t="s">
        <v>26</v>
      </c>
      <c r="H453" s="38">
        <v>37782</v>
      </c>
      <c r="I453" s="2" t="s">
        <v>92</v>
      </c>
      <c r="J453" s="2" t="s">
        <v>76</v>
      </c>
      <c r="K453" s="2" t="s">
        <v>39</v>
      </c>
      <c r="L453" s="2" t="s">
        <v>59</v>
      </c>
      <c r="M453" s="2">
        <v>3</v>
      </c>
      <c r="N453" s="7">
        <v>1200</v>
      </c>
      <c r="O453" s="2">
        <v>0</v>
      </c>
      <c r="P453" s="7">
        <v>3600</v>
      </c>
      <c r="Q453" s="2">
        <v>1</v>
      </c>
      <c r="R453" s="2" t="s">
        <v>60</v>
      </c>
      <c r="S453" s="2" t="s">
        <v>42</v>
      </c>
      <c r="T453" s="2" t="s">
        <v>139</v>
      </c>
      <c r="U453" s="2">
        <v>9778908233</v>
      </c>
      <c r="V453" s="2" t="s">
        <v>53</v>
      </c>
    </row>
    <row r="454" spans="1:22" x14ac:dyDescent="0.3">
      <c r="A454" s="2" t="s">
        <v>596</v>
      </c>
      <c r="B454" s="2" t="s">
        <v>55</v>
      </c>
      <c r="C454" s="2" t="s">
        <v>68</v>
      </c>
      <c r="D454" s="38">
        <v>45706</v>
      </c>
      <c r="E454" s="38">
        <v>45714</v>
      </c>
      <c r="F454" s="2" t="s">
        <v>125</v>
      </c>
      <c r="G454" s="2" t="s">
        <v>58</v>
      </c>
      <c r="H454" s="38">
        <v>32959</v>
      </c>
      <c r="I454" s="2" t="s">
        <v>151</v>
      </c>
      <c r="J454" s="2" t="s">
        <v>152</v>
      </c>
      <c r="K454" s="2" t="s">
        <v>29</v>
      </c>
      <c r="L454" s="2" t="s">
        <v>71</v>
      </c>
      <c r="M454" s="2">
        <v>7</v>
      </c>
      <c r="N454" s="7">
        <v>3500</v>
      </c>
      <c r="O454" s="2">
        <v>15</v>
      </c>
      <c r="P454" s="7">
        <v>20825</v>
      </c>
      <c r="Q454" s="2">
        <v>4</v>
      </c>
      <c r="R454" s="2" t="s">
        <v>60</v>
      </c>
      <c r="S454" s="2" t="s">
        <v>50</v>
      </c>
      <c r="T454" s="2" t="s">
        <v>61</v>
      </c>
      <c r="U454" s="2">
        <v>9981118755</v>
      </c>
      <c r="V454" s="2" t="s">
        <v>52</v>
      </c>
    </row>
    <row r="455" spans="1:22" x14ac:dyDescent="0.3">
      <c r="A455" s="2" t="s">
        <v>597</v>
      </c>
      <c r="B455" s="2" t="s">
        <v>45</v>
      </c>
      <c r="C455" s="2" t="s">
        <v>46</v>
      </c>
      <c r="D455" s="38">
        <v>46110</v>
      </c>
      <c r="E455" s="38">
        <v>46116</v>
      </c>
      <c r="F455" s="2" t="s">
        <v>102</v>
      </c>
      <c r="G455" s="2" t="s">
        <v>26</v>
      </c>
      <c r="H455" s="38">
        <v>37769</v>
      </c>
      <c r="I455" s="2" t="s">
        <v>80</v>
      </c>
      <c r="J455" s="2" t="s">
        <v>76</v>
      </c>
      <c r="K455" s="2" t="s">
        <v>39</v>
      </c>
      <c r="L455" s="2" t="s">
        <v>49</v>
      </c>
      <c r="M455" s="2">
        <v>9</v>
      </c>
      <c r="N455" s="7">
        <v>55000</v>
      </c>
      <c r="O455" s="2">
        <v>15</v>
      </c>
      <c r="P455" s="7">
        <v>420750</v>
      </c>
      <c r="Q455" s="2">
        <v>3</v>
      </c>
      <c r="R455" s="2" t="s">
        <v>65</v>
      </c>
      <c r="S455" s="2" t="s">
        <v>32</v>
      </c>
      <c r="T455" s="2" t="s">
        <v>51</v>
      </c>
      <c r="U455" s="2">
        <v>9887896743</v>
      </c>
      <c r="V455" s="2" t="s">
        <v>53</v>
      </c>
    </row>
    <row r="456" spans="1:22" x14ac:dyDescent="0.3">
      <c r="A456" s="2" t="s">
        <v>598</v>
      </c>
      <c r="B456" s="2" t="s">
        <v>160</v>
      </c>
      <c r="C456" s="2" t="s">
        <v>36</v>
      </c>
      <c r="D456" s="38">
        <v>45992</v>
      </c>
      <c r="E456" s="38">
        <v>45993</v>
      </c>
      <c r="F456" s="2" t="s">
        <v>179</v>
      </c>
      <c r="G456" s="2" t="s">
        <v>58</v>
      </c>
      <c r="H456" s="38">
        <v>34006</v>
      </c>
      <c r="I456" s="2" t="s">
        <v>48</v>
      </c>
      <c r="J456" s="2" t="s">
        <v>28</v>
      </c>
      <c r="K456" s="2" t="s">
        <v>39</v>
      </c>
      <c r="L456" s="2" t="s">
        <v>40</v>
      </c>
      <c r="M456" s="2">
        <v>12</v>
      </c>
      <c r="N456" s="7">
        <v>12000</v>
      </c>
      <c r="O456" s="2">
        <v>0</v>
      </c>
      <c r="P456" s="7">
        <v>144000</v>
      </c>
      <c r="Q456" s="2">
        <v>3</v>
      </c>
      <c r="R456" s="2" t="s">
        <v>60</v>
      </c>
      <c r="S456" s="2" t="s">
        <v>97</v>
      </c>
      <c r="T456" s="2" t="s">
        <v>162</v>
      </c>
      <c r="U456" s="2">
        <v>9585330043</v>
      </c>
      <c r="V456" s="2" t="s">
        <v>53</v>
      </c>
    </row>
    <row r="457" spans="1:22" x14ac:dyDescent="0.3">
      <c r="A457" s="2" t="s">
        <v>599</v>
      </c>
      <c r="B457" s="2" t="s">
        <v>73</v>
      </c>
      <c r="C457" s="2" t="s">
        <v>83</v>
      </c>
      <c r="D457" s="38">
        <v>45781</v>
      </c>
      <c r="E457" s="38">
        <v>45788</v>
      </c>
      <c r="F457" s="2" t="s">
        <v>74</v>
      </c>
      <c r="G457" s="2" t="s">
        <v>26</v>
      </c>
      <c r="H457" s="38">
        <v>27639</v>
      </c>
      <c r="I457" s="2" t="s">
        <v>92</v>
      </c>
      <c r="J457" s="2" t="s">
        <v>76</v>
      </c>
      <c r="K457" s="2" t="s">
        <v>84</v>
      </c>
      <c r="L457" s="2" t="s">
        <v>85</v>
      </c>
      <c r="M457" s="2">
        <v>7</v>
      </c>
      <c r="N457" s="7">
        <v>60</v>
      </c>
      <c r="O457" s="2">
        <v>10</v>
      </c>
      <c r="P457" s="7">
        <v>378</v>
      </c>
      <c r="Q457" s="2">
        <v>4</v>
      </c>
      <c r="R457" s="2" t="s">
        <v>31</v>
      </c>
      <c r="S457" s="2" t="s">
        <v>42</v>
      </c>
      <c r="T457" s="2" t="s">
        <v>94</v>
      </c>
      <c r="U457" s="2">
        <v>9423719975</v>
      </c>
      <c r="V457" s="2" t="s">
        <v>53</v>
      </c>
    </row>
    <row r="458" spans="1:22" x14ac:dyDescent="0.3">
      <c r="A458" s="2" t="s">
        <v>600</v>
      </c>
      <c r="B458" s="2" t="s">
        <v>127</v>
      </c>
      <c r="C458" s="2" t="s">
        <v>24</v>
      </c>
      <c r="D458" s="38">
        <v>45892</v>
      </c>
      <c r="E458" s="38">
        <v>45900</v>
      </c>
      <c r="F458" s="2" t="s">
        <v>129</v>
      </c>
      <c r="G458" s="2" t="s">
        <v>58</v>
      </c>
      <c r="H458" s="38">
        <v>34586</v>
      </c>
      <c r="I458" s="2" t="s">
        <v>75</v>
      </c>
      <c r="J458" s="2" t="s">
        <v>76</v>
      </c>
      <c r="K458" s="2" t="s">
        <v>29</v>
      </c>
      <c r="L458" s="2" t="s">
        <v>30</v>
      </c>
      <c r="M458" s="2">
        <v>17</v>
      </c>
      <c r="N458" s="7">
        <v>2200</v>
      </c>
      <c r="O458" s="2">
        <v>15</v>
      </c>
      <c r="P458" s="7">
        <v>31790</v>
      </c>
      <c r="Q458" s="2">
        <v>3</v>
      </c>
      <c r="R458" s="2" t="s">
        <v>65</v>
      </c>
      <c r="S458" s="2" t="s">
        <v>97</v>
      </c>
      <c r="T458" s="2" t="s">
        <v>131</v>
      </c>
      <c r="U458" s="2">
        <v>9270746961</v>
      </c>
      <c r="V458" s="2" t="s">
        <v>52</v>
      </c>
    </row>
    <row r="459" spans="1:22" x14ac:dyDescent="0.3">
      <c r="A459" s="2" t="s">
        <v>601</v>
      </c>
      <c r="B459" s="2" t="s">
        <v>160</v>
      </c>
      <c r="C459" s="2" t="s">
        <v>113</v>
      </c>
      <c r="D459" s="38">
        <v>45988</v>
      </c>
      <c r="E459" s="38">
        <v>45997</v>
      </c>
      <c r="F459" s="2" t="s">
        <v>179</v>
      </c>
      <c r="G459" s="2" t="s">
        <v>58</v>
      </c>
      <c r="H459" s="38">
        <v>33884</v>
      </c>
      <c r="I459" s="2" t="s">
        <v>48</v>
      </c>
      <c r="J459" s="2" t="s">
        <v>28</v>
      </c>
      <c r="K459" s="2" t="s">
        <v>39</v>
      </c>
      <c r="L459" s="2" t="s">
        <v>115</v>
      </c>
      <c r="M459" s="2">
        <v>17</v>
      </c>
      <c r="N459" s="7">
        <v>700</v>
      </c>
      <c r="O459" s="2">
        <v>10</v>
      </c>
      <c r="P459" s="7">
        <v>10710</v>
      </c>
      <c r="Q459" s="2">
        <v>2</v>
      </c>
      <c r="R459" s="2" t="s">
        <v>31</v>
      </c>
      <c r="S459" s="2" t="s">
        <v>50</v>
      </c>
      <c r="T459" s="2" t="s">
        <v>162</v>
      </c>
      <c r="U459" s="2">
        <v>9333162025</v>
      </c>
      <c r="V459" s="2" t="s">
        <v>52</v>
      </c>
    </row>
    <row r="460" spans="1:22" x14ac:dyDescent="0.3">
      <c r="A460" s="2" t="s">
        <v>602</v>
      </c>
      <c r="B460" s="2" t="s">
        <v>160</v>
      </c>
      <c r="C460" s="2" t="s">
        <v>46</v>
      </c>
      <c r="D460" s="38">
        <v>45806</v>
      </c>
      <c r="E460" s="38">
        <v>45809</v>
      </c>
      <c r="F460" s="2" t="s">
        <v>179</v>
      </c>
      <c r="G460" s="2" t="s">
        <v>58</v>
      </c>
      <c r="H460" s="38">
        <v>37454</v>
      </c>
      <c r="I460" s="2" t="s">
        <v>37</v>
      </c>
      <c r="J460" s="2" t="s">
        <v>38</v>
      </c>
      <c r="K460" s="2" t="s">
        <v>39</v>
      </c>
      <c r="L460" s="2" t="s">
        <v>49</v>
      </c>
      <c r="M460" s="2">
        <v>19</v>
      </c>
      <c r="N460" s="7">
        <v>55000</v>
      </c>
      <c r="O460" s="2">
        <v>20</v>
      </c>
      <c r="P460" s="7">
        <v>836000</v>
      </c>
      <c r="Q460" s="2">
        <v>5</v>
      </c>
      <c r="R460" s="2" t="s">
        <v>41</v>
      </c>
      <c r="S460" s="2" t="s">
        <v>50</v>
      </c>
      <c r="T460" s="2" t="s">
        <v>162</v>
      </c>
      <c r="U460" s="2">
        <v>9247023285</v>
      </c>
      <c r="V460" s="2" t="s">
        <v>34</v>
      </c>
    </row>
    <row r="461" spans="1:22" x14ac:dyDescent="0.3">
      <c r="A461" s="2" t="s">
        <v>603</v>
      </c>
      <c r="B461" s="2" t="s">
        <v>88</v>
      </c>
      <c r="C461" s="2" t="s">
        <v>83</v>
      </c>
      <c r="D461" s="38">
        <v>45912</v>
      </c>
      <c r="E461" s="38">
        <v>45919</v>
      </c>
      <c r="F461" s="2" t="s">
        <v>119</v>
      </c>
      <c r="G461" s="2" t="s">
        <v>58</v>
      </c>
      <c r="H461" s="38">
        <v>36925</v>
      </c>
      <c r="I461" s="2" t="s">
        <v>37</v>
      </c>
      <c r="J461" s="2" t="s">
        <v>38</v>
      </c>
      <c r="K461" s="2" t="s">
        <v>84</v>
      </c>
      <c r="L461" s="2" t="s">
        <v>85</v>
      </c>
      <c r="M461" s="2">
        <v>1</v>
      </c>
      <c r="N461" s="7">
        <v>60</v>
      </c>
      <c r="O461" s="2">
        <v>10</v>
      </c>
      <c r="P461" s="7">
        <v>54</v>
      </c>
      <c r="Q461" s="2">
        <v>4</v>
      </c>
      <c r="R461" s="2" t="s">
        <v>41</v>
      </c>
      <c r="S461" s="2" t="s">
        <v>696</v>
      </c>
      <c r="T461" s="2" t="s">
        <v>604</v>
      </c>
      <c r="U461" s="2">
        <v>9448658297</v>
      </c>
      <c r="V461" s="2" t="s">
        <v>53</v>
      </c>
    </row>
    <row r="462" spans="1:22" x14ac:dyDescent="0.3">
      <c r="A462" s="2" t="s">
        <v>605</v>
      </c>
      <c r="B462" s="2" t="s">
        <v>55</v>
      </c>
      <c r="C462" s="2" t="s">
        <v>68</v>
      </c>
      <c r="D462" s="38">
        <v>46085</v>
      </c>
      <c r="E462" s="38">
        <v>46092</v>
      </c>
      <c r="F462" s="2" t="s">
        <v>125</v>
      </c>
      <c r="G462" s="2" t="s">
        <v>58</v>
      </c>
      <c r="H462" s="38">
        <v>33047</v>
      </c>
      <c r="I462" s="2" t="s">
        <v>27</v>
      </c>
      <c r="J462" s="2" t="s">
        <v>28</v>
      </c>
      <c r="K462" s="2" t="s">
        <v>29</v>
      </c>
      <c r="L462" s="2" t="s">
        <v>71</v>
      </c>
      <c r="M462" s="2">
        <v>16</v>
      </c>
      <c r="N462" s="7">
        <v>3500</v>
      </c>
      <c r="O462" s="2">
        <v>0</v>
      </c>
      <c r="P462" s="7">
        <v>56000</v>
      </c>
      <c r="Q462" s="2">
        <v>4</v>
      </c>
      <c r="R462" s="2" t="s">
        <v>41</v>
      </c>
      <c r="S462" s="2" t="s">
        <v>32</v>
      </c>
      <c r="T462" s="2" t="s">
        <v>61</v>
      </c>
      <c r="U462" s="2">
        <v>9906748486</v>
      </c>
      <c r="V462" s="2" t="s">
        <v>52</v>
      </c>
    </row>
    <row r="463" spans="1:22" x14ac:dyDescent="0.3">
      <c r="A463" s="2" t="s">
        <v>606</v>
      </c>
      <c r="B463" s="2" t="s">
        <v>88</v>
      </c>
      <c r="C463" s="2" t="s">
        <v>128</v>
      </c>
      <c r="D463" s="38">
        <v>45681</v>
      </c>
      <c r="E463" s="38">
        <v>45693</v>
      </c>
      <c r="F463" s="2" t="s">
        <v>119</v>
      </c>
      <c r="G463" s="2" t="s">
        <v>58</v>
      </c>
      <c r="H463" s="38">
        <v>28623</v>
      </c>
      <c r="I463" s="2" t="s">
        <v>80</v>
      </c>
      <c r="J463" s="2" t="s">
        <v>76</v>
      </c>
      <c r="K463" s="2" t="s">
        <v>84</v>
      </c>
      <c r="L463" s="2" t="s">
        <v>130</v>
      </c>
      <c r="M463" s="2">
        <v>14</v>
      </c>
      <c r="N463" s="7">
        <v>20</v>
      </c>
      <c r="O463" s="2">
        <v>10</v>
      </c>
      <c r="P463" s="7">
        <v>252</v>
      </c>
      <c r="Q463" s="2">
        <v>1</v>
      </c>
      <c r="R463" s="2" t="s">
        <v>41</v>
      </c>
      <c r="S463" s="2" t="s">
        <v>50</v>
      </c>
      <c r="T463" s="2" t="s">
        <v>90</v>
      </c>
      <c r="U463" s="2">
        <v>9365182725</v>
      </c>
      <c r="V463" s="2" t="s">
        <v>52</v>
      </c>
    </row>
    <row r="464" spans="1:22" x14ac:dyDescent="0.3">
      <c r="A464" s="2" t="s">
        <v>607</v>
      </c>
      <c r="B464" s="2" t="s">
        <v>55</v>
      </c>
      <c r="C464" s="2" t="s">
        <v>24</v>
      </c>
      <c r="D464" s="38">
        <v>46004</v>
      </c>
      <c r="E464" s="38">
        <v>46005</v>
      </c>
      <c r="F464" s="2" t="s">
        <v>125</v>
      </c>
      <c r="G464" s="2" t="s">
        <v>58</v>
      </c>
      <c r="H464" s="38">
        <v>36729</v>
      </c>
      <c r="I464" s="2" t="s">
        <v>48</v>
      </c>
      <c r="J464" s="2" t="s">
        <v>28</v>
      </c>
      <c r="K464" s="2" t="s">
        <v>29</v>
      </c>
      <c r="L464" s="2" t="s">
        <v>30</v>
      </c>
      <c r="M464" s="2">
        <v>11</v>
      </c>
      <c r="N464" s="7">
        <v>2200</v>
      </c>
      <c r="O464" s="2">
        <v>15</v>
      </c>
      <c r="P464" s="7">
        <v>20570</v>
      </c>
      <c r="Q464" s="2">
        <v>4</v>
      </c>
      <c r="R464" s="2" t="s">
        <v>41</v>
      </c>
      <c r="S464" s="2" t="s">
        <v>42</v>
      </c>
      <c r="T464" s="2" t="s">
        <v>61</v>
      </c>
      <c r="U464" s="2">
        <v>9937119494</v>
      </c>
      <c r="V464" s="2" t="s">
        <v>53</v>
      </c>
    </row>
    <row r="465" spans="1:22" x14ac:dyDescent="0.3">
      <c r="A465" s="2" t="s">
        <v>608</v>
      </c>
      <c r="B465" s="2" t="s">
        <v>63</v>
      </c>
      <c r="C465" s="2" t="s">
        <v>46</v>
      </c>
      <c r="D465" s="38">
        <v>45870</v>
      </c>
      <c r="E465" s="38">
        <v>45878</v>
      </c>
      <c r="F465" s="2" t="s">
        <v>111</v>
      </c>
      <c r="G465" s="2" t="s">
        <v>58</v>
      </c>
      <c r="H465" s="38">
        <v>31126</v>
      </c>
      <c r="I465" s="2" t="s">
        <v>123</v>
      </c>
      <c r="J465" s="2" t="s">
        <v>38</v>
      </c>
      <c r="K465" s="2" t="s">
        <v>39</v>
      </c>
      <c r="L465" s="2" t="s">
        <v>49</v>
      </c>
      <c r="M465" s="2">
        <v>2</v>
      </c>
      <c r="N465" s="7">
        <v>55000</v>
      </c>
      <c r="O465" s="2">
        <v>0</v>
      </c>
      <c r="P465" s="7">
        <v>110000</v>
      </c>
      <c r="Q465" s="2">
        <v>4</v>
      </c>
      <c r="R465" s="2" t="s">
        <v>41</v>
      </c>
      <c r="S465" s="2" t="s">
        <v>42</v>
      </c>
      <c r="T465" s="2" t="s">
        <v>66</v>
      </c>
      <c r="U465" s="2">
        <v>9828015293</v>
      </c>
      <c r="V465" s="2" t="s">
        <v>53</v>
      </c>
    </row>
    <row r="466" spans="1:22" x14ac:dyDescent="0.3">
      <c r="A466" s="2" t="s">
        <v>609</v>
      </c>
      <c r="B466" s="2" t="s">
        <v>45</v>
      </c>
      <c r="C466" s="2" t="s">
        <v>24</v>
      </c>
      <c r="D466" s="38">
        <v>45658</v>
      </c>
      <c r="E466" s="38">
        <v>45664</v>
      </c>
      <c r="F466" s="2" t="s">
        <v>102</v>
      </c>
      <c r="G466" s="2" t="s">
        <v>26</v>
      </c>
      <c r="H466" s="38">
        <v>32181</v>
      </c>
      <c r="I466" s="2" t="s">
        <v>80</v>
      </c>
      <c r="J466" s="2" t="s">
        <v>76</v>
      </c>
      <c r="K466" s="2" t="s">
        <v>29</v>
      </c>
      <c r="L466" s="2" t="s">
        <v>30</v>
      </c>
      <c r="M466" s="2">
        <v>7</v>
      </c>
      <c r="N466" s="7">
        <v>2200</v>
      </c>
      <c r="O466" s="2">
        <v>5</v>
      </c>
      <c r="P466" s="7">
        <v>14630</v>
      </c>
      <c r="Q466" s="2">
        <v>4</v>
      </c>
      <c r="R466" s="2" t="s">
        <v>60</v>
      </c>
      <c r="S466" s="2" t="s">
        <v>81</v>
      </c>
      <c r="T466" s="2" t="s">
        <v>51</v>
      </c>
      <c r="U466" s="2">
        <v>9864206250</v>
      </c>
      <c r="V466" s="2" t="s">
        <v>53</v>
      </c>
    </row>
    <row r="467" spans="1:22" x14ac:dyDescent="0.3">
      <c r="A467" s="2" t="s">
        <v>610</v>
      </c>
      <c r="B467" s="2" t="s">
        <v>23</v>
      </c>
      <c r="C467" s="2" t="s">
        <v>141</v>
      </c>
      <c r="D467" s="38">
        <v>45755</v>
      </c>
      <c r="E467" s="38">
        <v>45759</v>
      </c>
      <c r="F467" s="2" t="s">
        <v>25</v>
      </c>
      <c r="G467" s="2" t="s">
        <v>26</v>
      </c>
      <c r="H467" s="38">
        <v>35546</v>
      </c>
      <c r="I467" s="2" t="s">
        <v>92</v>
      </c>
      <c r="J467" s="2" t="s">
        <v>76</v>
      </c>
      <c r="K467" s="2" t="s">
        <v>84</v>
      </c>
      <c r="L467" s="2" t="s">
        <v>142</v>
      </c>
      <c r="M467" s="2">
        <v>11</v>
      </c>
      <c r="N467" s="7">
        <v>45</v>
      </c>
      <c r="O467" s="2">
        <v>15</v>
      </c>
      <c r="P467" s="7">
        <v>420.75</v>
      </c>
      <c r="Q467" s="2">
        <v>4</v>
      </c>
      <c r="R467" s="2" t="s">
        <v>60</v>
      </c>
      <c r="S467" s="2" t="s">
        <v>50</v>
      </c>
      <c r="T467" s="2" t="s">
        <v>43</v>
      </c>
      <c r="U467" s="2">
        <v>9519293104</v>
      </c>
      <c r="V467" s="2" t="s">
        <v>52</v>
      </c>
    </row>
    <row r="468" spans="1:22" x14ac:dyDescent="0.3">
      <c r="A468" s="2" t="s">
        <v>611</v>
      </c>
      <c r="B468" s="2" t="s">
        <v>73</v>
      </c>
      <c r="C468" s="2" t="s">
        <v>83</v>
      </c>
      <c r="D468" s="38">
        <v>45767</v>
      </c>
      <c r="E468" s="38">
        <v>45777</v>
      </c>
      <c r="F468" s="2" t="s">
        <v>74</v>
      </c>
      <c r="G468" s="2" t="s">
        <v>26</v>
      </c>
      <c r="H468" s="38">
        <v>37033</v>
      </c>
      <c r="I468" s="2" t="s">
        <v>75</v>
      </c>
      <c r="J468" s="2" t="s">
        <v>76</v>
      </c>
      <c r="K468" s="2" t="s">
        <v>84</v>
      </c>
      <c r="L468" s="2" t="s">
        <v>85</v>
      </c>
      <c r="M468" s="2">
        <v>16</v>
      </c>
      <c r="N468" s="7">
        <v>60</v>
      </c>
      <c r="O468" s="2">
        <v>5</v>
      </c>
      <c r="P468" s="7">
        <v>912</v>
      </c>
      <c r="Q468" s="2">
        <v>2</v>
      </c>
      <c r="R468" s="2" t="s">
        <v>31</v>
      </c>
      <c r="S468" s="2" t="s">
        <v>81</v>
      </c>
      <c r="T468" s="2" t="s">
        <v>94</v>
      </c>
      <c r="U468" s="2">
        <v>9296075245</v>
      </c>
      <c r="V468" s="2" t="s">
        <v>53</v>
      </c>
    </row>
    <row r="469" spans="1:22" x14ac:dyDescent="0.3">
      <c r="A469" s="2" t="s">
        <v>612</v>
      </c>
      <c r="B469" s="2" t="s">
        <v>160</v>
      </c>
      <c r="C469" s="2" t="s">
        <v>46</v>
      </c>
      <c r="D469" s="38">
        <v>45963</v>
      </c>
      <c r="E469" s="38">
        <v>45965</v>
      </c>
      <c r="F469" s="2" t="s">
        <v>179</v>
      </c>
      <c r="G469" s="2" t="s">
        <v>58</v>
      </c>
      <c r="H469" s="38">
        <v>30121</v>
      </c>
      <c r="I469" s="2" t="s">
        <v>80</v>
      </c>
      <c r="J469" s="2" t="s">
        <v>76</v>
      </c>
      <c r="K469" s="2" t="s">
        <v>39</v>
      </c>
      <c r="L469" s="2" t="s">
        <v>49</v>
      </c>
      <c r="M469" s="2">
        <v>18</v>
      </c>
      <c r="N469" s="7">
        <v>55000</v>
      </c>
      <c r="O469" s="2">
        <v>0</v>
      </c>
      <c r="P469" s="7">
        <v>990000</v>
      </c>
      <c r="Q469" s="2">
        <v>5</v>
      </c>
      <c r="R469" s="2" t="s">
        <v>41</v>
      </c>
      <c r="S469" s="2" t="s">
        <v>42</v>
      </c>
      <c r="T469" s="2" t="s">
        <v>162</v>
      </c>
      <c r="U469" s="2">
        <v>9316770206</v>
      </c>
      <c r="V469" s="2" t="s">
        <v>52</v>
      </c>
    </row>
    <row r="470" spans="1:22" x14ac:dyDescent="0.3">
      <c r="A470" s="2" t="s">
        <v>613</v>
      </c>
      <c r="B470" s="2" t="s">
        <v>23</v>
      </c>
      <c r="C470" s="2" t="s">
        <v>56</v>
      </c>
      <c r="D470" s="38">
        <v>45948</v>
      </c>
      <c r="E470" s="38">
        <v>45952</v>
      </c>
      <c r="F470" s="2" t="s">
        <v>25</v>
      </c>
      <c r="G470" s="2" t="s">
        <v>26</v>
      </c>
      <c r="H470" s="38">
        <v>36334</v>
      </c>
      <c r="I470" s="2" t="s">
        <v>48</v>
      </c>
      <c r="J470" s="2" t="s">
        <v>28</v>
      </c>
      <c r="K470" s="2" t="s">
        <v>39</v>
      </c>
      <c r="L470" s="2" t="s">
        <v>59</v>
      </c>
      <c r="M470" s="2">
        <v>17</v>
      </c>
      <c r="N470" s="7">
        <v>1200</v>
      </c>
      <c r="O470" s="2">
        <v>5</v>
      </c>
      <c r="P470" s="7">
        <v>19380</v>
      </c>
      <c r="Q470" s="2">
        <v>1</v>
      </c>
      <c r="R470" s="2" t="s">
        <v>41</v>
      </c>
      <c r="S470" s="2" t="s">
        <v>32</v>
      </c>
      <c r="T470" s="2" t="s">
        <v>43</v>
      </c>
      <c r="U470" s="2">
        <v>9706553861</v>
      </c>
      <c r="V470" s="2" t="s">
        <v>52</v>
      </c>
    </row>
    <row r="471" spans="1:22" x14ac:dyDescent="0.3">
      <c r="A471" s="2" t="s">
        <v>614</v>
      </c>
      <c r="B471" s="2" t="s">
        <v>45</v>
      </c>
      <c r="C471" s="2" t="s">
        <v>46</v>
      </c>
      <c r="D471" s="38">
        <v>45774</v>
      </c>
      <c r="E471" s="38">
        <v>45782</v>
      </c>
      <c r="F471" s="2" t="s">
        <v>102</v>
      </c>
      <c r="G471" s="2" t="s">
        <v>26</v>
      </c>
      <c r="H471" s="38">
        <v>36924</v>
      </c>
      <c r="I471" s="2" t="s">
        <v>80</v>
      </c>
      <c r="J471" s="2" t="s">
        <v>76</v>
      </c>
      <c r="K471" s="2" t="s">
        <v>39</v>
      </c>
      <c r="L471" s="2" t="s">
        <v>49</v>
      </c>
      <c r="M471" s="2">
        <v>11</v>
      </c>
      <c r="N471" s="7">
        <v>55000</v>
      </c>
      <c r="O471" s="2">
        <v>0</v>
      </c>
      <c r="P471" s="7">
        <v>605000</v>
      </c>
      <c r="Q471" s="2">
        <v>2</v>
      </c>
      <c r="R471" s="2" t="s">
        <v>31</v>
      </c>
      <c r="S471" s="2" t="s">
        <v>50</v>
      </c>
      <c r="T471" s="2" t="s">
        <v>51</v>
      </c>
      <c r="U471" s="2">
        <v>9524904662</v>
      </c>
      <c r="V471" s="2" t="s">
        <v>52</v>
      </c>
    </row>
    <row r="472" spans="1:22" x14ac:dyDescent="0.3">
      <c r="A472" s="2" t="s">
        <v>615</v>
      </c>
      <c r="B472" s="2" t="s">
        <v>137</v>
      </c>
      <c r="C472" s="2" t="s">
        <v>113</v>
      </c>
      <c r="D472" s="38">
        <v>45799</v>
      </c>
      <c r="E472" s="38">
        <v>45808</v>
      </c>
      <c r="F472" s="2" t="s">
        <v>138</v>
      </c>
      <c r="G472" s="2" t="s">
        <v>26</v>
      </c>
      <c r="H472" s="38">
        <v>36200</v>
      </c>
      <c r="I472" s="2" t="s">
        <v>37</v>
      </c>
      <c r="J472" s="2" t="s">
        <v>38</v>
      </c>
      <c r="K472" s="2" t="s">
        <v>39</v>
      </c>
      <c r="L472" s="2" t="s">
        <v>115</v>
      </c>
      <c r="M472" s="2">
        <v>20</v>
      </c>
      <c r="N472" s="7">
        <v>700</v>
      </c>
      <c r="O472" s="2">
        <v>20</v>
      </c>
      <c r="P472" s="7">
        <v>11200</v>
      </c>
      <c r="Q472" s="2">
        <v>5</v>
      </c>
      <c r="R472" s="2" t="s">
        <v>41</v>
      </c>
      <c r="S472" s="2" t="s">
        <v>50</v>
      </c>
      <c r="T472" s="2" t="s">
        <v>139</v>
      </c>
      <c r="U472" s="2">
        <v>9577624596</v>
      </c>
      <c r="V472" s="2" t="s">
        <v>34</v>
      </c>
    </row>
    <row r="473" spans="1:22" x14ac:dyDescent="0.3">
      <c r="A473" s="2" t="s">
        <v>616</v>
      </c>
      <c r="B473" s="2" t="s">
        <v>55</v>
      </c>
      <c r="C473" s="2" t="s">
        <v>128</v>
      </c>
      <c r="D473" s="38">
        <v>46050</v>
      </c>
      <c r="E473" s="38">
        <v>46061</v>
      </c>
      <c r="F473" s="2" t="s">
        <v>125</v>
      </c>
      <c r="G473" s="2" t="s">
        <v>58</v>
      </c>
      <c r="H473" s="38">
        <v>32269</v>
      </c>
      <c r="I473" s="2" t="s">
        <v>37</v>
      </c>
      <c r="J473" s="2" t="s">
        <v>38</v>
      </c>
      <c r="K473" s="2" t="s">
        <v>84</v>
      </c>
      <c r="L473" s="2" t="s">
        <v>130</v>
      </c>
      <c r="M473" s="2">
        <v>5</v>
      </c>
      <c r="N473" s="7">
        <v>20</v>
      </c>
      <c r="O473" s="2">
        <v>5</v>
      </c>
      <c r="P473" s="7">
        <v>95</v>
      </c>
      <c r="Q473" s="2">
        <v>4</v>
      </c>
      <c r="R473" s="2" t="s">
        <v>31</v>
      </c>
      <c r="S473" s="2" t="s">
        <v>42</v>
      </c>
      <c r="T473" s="2" t="s">
        <v>61</v>
      </c>
      <c r="U473" s="2">
        <v>9898452436</v>
      </c>
      <c r="V473" s="2" t="s">
        <v>53</v>
      </c>
    </row>
    <row r="474" spans="1:22" x14ac:dyDescent="0.3">
      <c r="A474" s="2" t="s">
        <v>617</v>
      </c>
      <c r="B474" s="2" t="s">
        <v>160</v>
      </c>
      <c r="C474" s="2" t="s">
        <v>46</v>
      </c>
      <c r="D474" s="38">
        <v>45692</v>
      </c>
      <c r="E474" s="38">
        <v>45699</v>
      </c>
      <c r="F474" s="2" t="s">
        <v>179</v>
      </c>
      <c r="G474" s="2" t="s">
        <v>58</v>
      </c>
      <c r="H474" s="38">
        <v>27437</v>
      </c>
      <c r="I474" s="2" t="s">
        <v>75</v>
      </c>
      <c r="J474" s="2" t="s">
        <v>76</v>
      </c>
      <c r="K474" s="2" t="s">
        <v>39</v>
      </c>
      <c r="L474" s="2" t="s">
        <v>49</v>
      </c>
      <c r="M474" s="2">
        <v>13</v>
      </c>
      <c r="N474" s="7">
        <v>55000</v>
      </c>
      <c r="O474" s="2">
        <v>5</v>
      </c>
      <c r="P474" s="7">
        <v>679250</v>
      </c>
      <c r="Q474" s="2">
        <v>1</v>
      </c>
      <c r="R474" s="2" t="s">
        <v>41</v>
      </c>
      <c r="S474" s="2" t="s">
        <v>42</v>
      </c>
      <c r="T474" s="2" t="s">
        <v>162</v>
      </c>
      <c r="U474" s="2">
        <v>9960757012</v>
      </c>
      <c r="V474" s="2" t="s">
        <v>52</v>
      </c>
    </row>
    <row r="475" spans="1:22" x14ac:dyDescent="0.3">
      <c r="A475" s="2" t="s">
        <v>618</v>
      </c>
      <c r="B475" s="2" t="s">
        <v>88</v>
      </c>
      <c r="C475" s="2" t="s">
        <v>46</v>
      </c>
      <c r="D475" s="38">
        <v>45766</v>
      </c>
      <c r="E475" s="38">
        <v>45767</v>
      </c>
      <c r="F475" s="2" t="s">
        <v>119</v>
      </c>
      <c r="G475" s="2" t="s">
        <v>58</v>
      </c>
      <c r="H475" s="38">
        <v>37987</v>
      </c>
      <c r="I475" s="2" t="s">
        <v>151</v>
      </c>
      <c r="J475" s="2" t="s">
        <v>152</v>
      </c>
      <c r="K475" s="2" t="s">
        <v>39</v>
      </c>
      <c r="L475" s="2" t="s">
        <v>49</v>
      </c>
      <c r="M475" s="2">
        <v>12</v>
      </c>
      <c r="N475" s="7">
        <v>55000</v>
      </c>
      <c r="O475" s="2">
        <v>5</v>
      </c>
      <c r="P475" s="7">
        <v>627000</v>
      </c>
      <c r="Q475" s="2">
        <v>1</v>
      </c>
      <c r="R475" s="2" t="s">
        <v>41</v>
      </c>
      <c r="S475" s="2" t="s">
        <v>81</v>
      </c>
      <c r="T475" s="2" t="s">
        <v>90</v>
      </c>
      <c r="U475" s="2">
        <v>9331268182</v>
      </c>
      <c r="V475" s="2" t="s">
        <v>53</v>
      </c>
    </row>
    <row r="476" spans="1:22" x14ac:dyDescent="0.3">
      <c r="A476" s="2" t="s">
        <v>619</v>
      </c>
      <c r="B476" s="2" t="s">
        <v>45</v>
      </c>
      <c r="C476" s="2" t="s">
        <v>141</v>
      </c>
      <c r="D476" s="38">
        <v>45678</v>
      </c>
      <c r="E476" s="38">
        <v>45685</v>
      </c>
      <c r="F476" s="2" t="s">
        <v>102</v>
      </c>
      <c r="G476" s="2" t="s">
        <v>26</v>
      </c>
      <c r="H476" s="38">
        <v>37126</v>
      </c>
      <c r="I476" s="2" t="s">
        <v>75</v>
      </c>
      <c r="J476" s="2" t="s">
        <v>76</v>
      </c>
      <c r="K476" s="2" t="s">
        <v>84</v>
      </c>
      <c r="L476" s="2" t="s">
        <v>142</v>
      </c>
      <c r="M476" s="2">
        <v>16</v>
      </c>
      <c r="N476" s="7">
        <v>45</v>
      </c>
      <c r="O476" s="2">
        <v>20</v>
      </c>
      <c r="P476" s="7">
        <v>576</v>
      </c>
      <c r="Q476" s="2">
        <v>2</v>
      </c>
      <c r="R476" s="2" t="s">
        <v>31</v>
      </c>
      <c r="S476" s="2" t="s">
        <v>42</v>
      </c>
      <c r="T476" s="2" t="s">
        <v>51</v>
      </c>
      <c r="U476" s="2">
        <v>9135996862</v>
      </c>
      <c r="V476" s="2" t="s">
        <v>52</v>
      </c>
    </row>
    <row r="477" spans="1:22" x14ac:dyDescent="0.3">
      <c r="A477" s="2" t="s">
        <v>620</v>
      </c>
      <c r="B477" s="2" t="s">
        <v>23</v>
      </c>
      <c r="C477" s="2" t="s">
        <v>56</v>
      </c>
      <c r="D477" s="38">
        <v>45918</v>
      </c>
      <c r="E477" s="38">
        <v>45927</v>
      </c>
      <c r="F477" s="2" t="s">
        <v>25</v>
      </c>
      <c r="G477" s="2" t="s">
        <v>26</v>
      </c>
      <c r="H477" s="38">
        <v>35818</v>
      </c>
      <c r="I477" s="2" t="s">
        <v>48</v>
      </c>
      <c r="J477" s="2" t="s">
        <v>28</v>
      </c>
      <c r="K477" s="2" t="s">
        <v>39</v>
      </c>
      <c r="L477" s="2" t="s">
        <v>59</v>
      </c>
      <c r="M477" s="2">
        <v>5</v>
      </c>
      <c r="N477" s="7">
        <v>1200</v>
      </c>
      <c r="O477" s="2">
        <v>10</v>
      </c>
      <c r="P477" s="7">
        <v>5400</v>
      </c>
      <c r="Q477" s="2">
        <v>1</v>
      </c>
      <c r="R477" s="2" t="s">
        <v>31</v>
      </c>
      <c r="S477" s="2" t="s">
        <v>696</v>
      </c>
      <c r="T477" s="2" t="s">
        <v>621</v>
      </c>
      <c r="U477" s="2">
        <v>9540813143</v>
      </c>
      <c r="V477" s="2" t="s">
        <v>34</v>
      </c>
    </row>
    <row r="478" spans="1:22" x14ac:dyDescent="0.3">
      <c r="A478" s="2" t="s">
        <v>622</v>
      </c>
      <c r="B478" s="2" t="s">
        <v>105</v>
      </c>
      <c r="C478" s="2" t="s">
        <v>141</v>
      </c>
      <c r="D478" s="38">
        <v>45949</v>
      </c>
      <c r="E478" s="38">
        <v>45950</v>
      </c>
      <c r="F478" s="2" t="s">
        <v>170</v>
      </c>
      <c r="G478" s="2" t="s">
        <v>26</v>
      </c>
      <c r="H478" s="38">
        <v>38135</v>
      </c>
      <c r="I478" s="2" t="s">
        <v>151</v>
      </c>
      <c r="J478" s="2" t="s">
        <v>152</v>
      </c>
      <c r="K478" s="2" t="s">
        <v>84</v>
      </c>
      <c r="L478" s="2" t="s">
        <v>142</v>
      </c>
      <c r="M478" s="2">
        <v>2</v>
      </c>
      <c r="N478" s="7">
        <v>45</v>
      </c>
      <c r="O478" s="2">
        <v>10</v>
      </c>
      <c r="P478" s="7">
        <v>81</v>
      </c>
      <c r="Q478" s="2">
        <v>4</v>
      </c>
      <c r="R478" s="2" t="s">
        <v>65</v>
      </c>
      <c r="S478" s="2" t="s">
        <v>42</v>
      </c>
      <c r="T478" s="2" t="s">
        <v>109</v>
      </c>
      <c r="U478" s="2">
        <v>9910913552</v>
      </c>
      <c r="V478" s="2" t="s">
        <v>52</v>
      </c>
    </row>
    <row r="479" spans="1:22" x14ac:dyDescent="0.3">
      <c r="A479" s="2" t="s">
        <v>624</v>
      </c>
      <c r="B479" s="2" t="s">
        <v>88</v>
      </c>
      <c r="C479" s="2" t="s">
        <v>36</v>
      </c>
      <c r="D479" s="38">
        <v>46034</v>
      </c>
      <c r="E479" s="38">
        <v>46040</v>
      </c>
      <c r="F479" s="2" t="s">
        <v>119</v>
      </c>
      <c r="G479" s="2" t="s">
        <v>58</v>
      </c>
      <c r="H479" s="38">
        <v>31112</v>
      </c>
      <c r="I479" s="2" t="s">
        <v>92</v>
      </c>
      <c r="J479" s="2" t="s">
        <v>76</v>
      </c>
      <c r="K479" s="2" t="s">
        <v>39</v>
      </c>
      <c r="L479" s="2" t="s">
        <v>40</v>
      </c>
      <c r="M479" s="2">
        <v>3</v>
      </c>
      <c r="N479" s="7">
        <v>12000</v>
      </c>
      <c r="O479" s="2">
        <v>0</v>
      </c>
      <c r="P479" s="7">
        <v>36000</v>
      </c>
      <c r="Q479" s="2">
        <v>2</v>
      </c>
      <c r="R479" s="2" t="s">
        <v>65</v>
      </c>
      <c r="S479" s="2" t="s">
        <v>97</v>
      </c>
      <c r="T479" s="2" t="s">
        <v>90</v>
      </c>
      <c r="U479" s="2">
        <v>9282751683</v>
      </c>
      <c r="V479" s="2" t="s">
        <v>52</v>
      </c>
    </row>
    <row r="480" spans="1:22" x14ac:dyDescent="0.3">
      <c r="A480" s="2" t="s">
        <v>625</v>
      </c>
      <c r="B480" s="2" t="s">
        <v>23</v>
      </c>
      <c r="C480" s="2" t="s">
        <v>36</v>
      </c>
      <c r="D480" s="38">
        <v>45683</v>
      </c>
      <c r="E480" s="38">
        <v>45689</v>
      </c>
      <c r="F480" s="2" t="s">
        <v>25</v>
      </c>
      <c r="G480" s="2" t="s">
        <v>26</v>
      </c>
      <c r="H480" s="38">
        <v>31661</v>
      </c>
      <c r="I480" s="2" t="s">
        <v>48</v>
      </c>
      <c r="J480" s="2" t="s">
        <v>28</v>
      </c>
      <c r="K480" s="2" t="s">
        <v>39</v>
      </c>
      <c r="L480" s="2" t="s">
        <v>40</v>
      </c>
      <c r="M480" s="2">
        <v>3</v>
      </c>
      <c r="N480" s="7">
        <v>12000</v>
      </c>
      <c r="O480" s="2">
        <v>20</v>
      </c>
      <c r="P480" s="7">
        <v>28800</v>
      </c>
      <c r="Q480" s="2">
        <v>3</v>
      </c>
      <c r="R480" s="2" t="s">
        <v>65</v>
      </c>
      <c r="S480" s="2" t="s">
        <v>81</v>
      </c>
      <c r="T480" s="2" t="s">
        <v>43</v>
      </c>
      <c r="U480" s="2">
        <v>9939332058</v>
      </c>
      <c r="V480" s="2" t="s">
        <v>34</v>
      </c>
    </row>
    <row r="481" spans="1:22" x14ac:dyDescent="0.3">
      <c r="A481" s="2" t="s">
        <v>626</v>
      </c>
      <c r="B481" s="2" t="s">
        <v>88</v>
      </c>
      <c r="C481" s="2" t="s">
        <v>106</v>
      </c>
      <c r="D481" s="38">
        <v>46119</v>
      </c>
      <c r="E481" s="38">
        <v>46120</v>
      </c>
      <c r="F481" s="2" t="s">
        <v>119</v>
      </c>
      <c r="G481" s="2" t="s">
        <v>58</v>
      </c>
      <c r="H481" s="38">
        <v>29819</v>
      </c>
      <c r="I481" s="2" t="s">
        <v>151</v>
      </c>
      <c r="J481" s="2" t="s">
        <v>152</v>
      </c>
      <c r="K481" s="2" t="s">
        <v>29</v>
      </c>
      <c r="L481" s="2" t="s">
        <v>108</v>
      </c>
      <c r="M481" s="2">
        <v>9</v>
      </c>
      <c r="N481" s="7">
        <v>8500</v>
      </c>
      <c r="O481" s="2">
        <v>15</v>
      </c>
      <c r="P481" s="7">
        <v>65025</v>
      </c>
      <c r="Q481" s="2">
        <v>5</v>
      </c>
      <c r="R481" s="2" t="s">
        <v>31</v>
      </c>
      <c r="S481" s="2" t="s">
        <v>42</v>
      </c>
      <c r="T481" s="2" t="s">
        <v>90</v>
      </c>
      <c r="U481" s="2">
        <v>9780626473</v>
      </c>
      <c r="V481" s="2" t="s">
        <v>52</v>
      </c>
    </row>
    <row r="482" spans="1:22" x14ac:dyDescent="0.3">
      <c r="A482" s="2" t="s">
        <v>627</v>
      </c>
      <c r="B482" s="2" t="s">
        <v>55</v>
      </c>
      <c r="C482" s="2" t="s">
        <v>113</v>
      </c>
      <c r="D482" s="38">
        <v>45834</v>
      </c>
      <c r="E482" s="38">
        <v>45844</v>
      </c>
      <c r="F482" s="2" t="s">
        <v>125</v>
      </c>
      <c r="G482" s="2" t="s">
        <v>58</v>
      </c>
      <c r="H482" s="38">
        <v>33717</v>
      </c>
      <c r="I482" s="2" t="s">
        <v>151</v>
      </c>
      <c r="J482" s="2" t="s">
        <v>152</v>
      </c>
      <c r="K482" s="2" t="s">
        <v>39</v>
      </c>
      <c r="L482" s="2" t="s">
        <v>115</v>
      </c>
      <c r="M482" s="2">
        <v>17</v>
      </c>
      <c r="N482" s="7">
        <v>700</v>
      </c>
      <c r="O482" s="2">
        <v>0</v>
      </c>
      <c r="P482" s="7">
        <v>11900</v>
      </c>
      <c r="Q482" s="2">
        <v>2</v>
      </c>
      <c r="R482" s="2" t="s">
        <v>31</v>
      </c>
      <c r="S482" s="2" t="s">
        <v>50</v>
      </c>
      <c r="T482" s="2" t="s">
        <v>61</v>
      </c>
      <c r="U482" s="2">
        <v>9347298020</v>
      </c>
      <c r="V482" s="2" t="s">
        <v>53</v>
      </c>
    </row>
    <row r="483" spans="1:22" x14ac:dyDescent="0.3">
      <c r="A483" s="2" t="s">
        <v>629</v>
      </c>
      <c r="B483" s="2" t="s">
        <v>23</v>
      </c>
      <c r="C483" s="2" t="s">
        <v>113</v>
      </c>
      <c r="D483" s="38">
        <v>45846</v>
      </c>
      <c r="E483" s="38">
        <v>45856</v>
      </c>
      <c r="F483" s="2" t="s">
        <v>25</v>
      </c>
      <c r="G483" s="2" t="s">
        <v>26</v>
      </c>
      <c r="H483" s="38">
        <v>33422</v>
      </c>
      <c r="I483" s="2" t="s">
        <v>27</v>
      </c>
      <c r="J483" s="2" t="s">
        <v>28</v>
      </c>
      <c r="K483" s="2" t="s">
        <v>39</v>
      </c>
      <c r="L483" s="2" t="s">
        <v>115</v>
      </c>
      <c r="M483" s="2">
        <v>20</v>
      </c>
      <c r="N483" s="7">
        <v>700</v>
      </c>
      <c r="O483" s="2">
        <v>5</v>
      </c>
      <c r="P483" s="7">
        <v>13300</v>
      </c>
      <c r="Q483" s="2">
        <v>2</v>
      </c>
      <c r="R483" s="2" t="s">
        <v>65</v>
      </c>
      <c r="S483" s="2" t="s">
        <v>32</v>
      </c>
      <c r="T483" s="2" t="s">
        <v>43</v>
      </c>
      <c r="U483" s="2">
        <v>9345328522</v>
      </c>
      <c r="V483" s="2" t="s">
        <v>34</v>
      </c>
    </row>
    <row r="484" spans="1:22" x14ac:dyDescent="0.3">
      <c r="A484" s="2" t="s">
        <v>630</v>
      </c>
      <c r="B484" s="2" t="s">
        <v>160</v>
      </c>
      <c r="C484" s="2" t="s">
        <v>56</v>
      </c>
      <c r="D484" s="38">
        <v>46092</v>
      </c>
      <c r="E484" s="38">
        <v>46102</v>
      </c>
      <c r="F484" s="2" t="s">
        <v>179</v>
      </c>
      <c r="G484" s="2" t="s">
        <v>58</v>
      </c>
      <c r="H484" s="38">
        <v>28526</v>
      </c>
      <c r="I484" s="2" t="s">
        <v>92</v>
      </c>
      <c r="J484" s="2" t="s">
        <v>76</v>
      </c>
      <c r="K484" s="2" t="s">
        <v>39</v>
      </c>
      <c r="L484" s="2" t="s">
        <v>59</v>
      </c>
      <c r="M484" s="2">
        <v>13</v>
      </c>
      <c r="N484" s="7">
        <v>1200</v>
      </c>
      <c r="O484" s="2">
        <v>20</v>
      </c>
      <c r="P484" s="7">
        <v>12480</v>
      </c>
      <c r="Q484" s="2">
        <v>5</v>
      </c>
      <c r="R484" s="2" t="s">
        <v>60</v>
      </c>
      <c r="S484" s="2" t="s">
        <v>81</v>
      </c>
      <c r="T484" s="2" t="s">
        <v>162</v>
      </c>
      <c r="U484" s="2">
        <v>9160310438</v>
      </c>
      <c r="V484" s="2" t="s">
        <v>34</v>
      </c>
    </row>
    <row r="485" spans="1:22" x14ac:dyDescent="0.3">
      <c r="A485" s="2" t="s">
        <v>632</v>
      </c>
      <c r="B485" s="2" t="s">
        <v>73</v>
      </c>
      <c r="C485" s="2" t="s">
        <v>46</v>
      </c>
      <c r="D485" s="38">
        <v>46104</v>
      </c>
      <c r="E485" s="38">
        <v>46110</v>
      </c>
      <c r="F485" s="2" t="s">
        <v>74</v>
      </c>
      <c r="G485" s="2" t="s">
        <v>26</v>
      </c>
      <c r="H485" s="38">
        <v>36359</v>
      </c>
      <c r="I485" s="2" t="s">
        <v>123</v>
      </c>
      <c r="J485" s="2" t="s">
        <v>38</v>
      </c>
      <c r="K485" s="2" t="s">
        <v>39</v>
      </c>
      <c r="L485" s="2" t="s">
        <v>49</v>
      </c>
      <c r="M485" s="2">
        <v>20</v>
      </c>
      <c r="N485" s="7">
        <v>55000</v>
      </c>
      <c r="O485" s="2">
        <v>10</v>
      </c>
      <c r="P485" s="7">
        <v>990000</v>
      </c>
      <c r="Q485" s="2">
        <v>1</v>
      </c>
      <c r="R485" s="2" t="s">
        <v>65</v>
      </c>
      <c r="S485" s="2" t="s">
        <v>32</v>
      </c>
      <c r="T485" s="2" t="s">
        <v>94</v>
      </c>
      <c r="U485" s="2">
        <v>9343776153</v>
      </c>
      <c r="V485" s="2" t="s">
        <v>52</v>
      </c>
    </row>
    <row r="486" spans="1:22" x14ac:dyDescent="0.3">
      <c r="A486" s="2" t="s">
        <v>633</v>
      </c>
      <c r="B486" s="2" t="s">
        <v>137</v>
      </c>
      <c r="C486" s="2" t="s">
        <v>56</v>
      </c>
      <c r="D486" s="38">
        <v>45961</v>
      </c>
      <c r="E486" s="38">
        <v>45966</v>
      </c>
      <c r="F486" s="2" t="s">
        <v>138</v>
      </c>
      <c r="G486" s="2" t="s">
        <v>26</v>
      </c>
      <c r="H486" s="38">
        <v>32236</v>
      </c>
      <c r="I486" s="2" t="s">
        <v>151</v>
      </c>
      <c r="J486" s="2" t="s">
        <v>152</v>
      </c>
      <c r="K486" s="2" t="s">
        <v>39</v>
      </c>
      <c r="L486" s="2" t="s">
        <v>59</v>
      </c>
      <c r="M486" s="2">
        <v>8</v>
      </c>
      <c r="N486" s="7">
        <v>1200</v>
      </c>
      <c r="O486" s="2">
        <v>0</v>
      </c>
      <c r="P486" s="7">
        <v>9600</v>
      </c>
      <c r="Q486" s="2">
        <v>2</v>
      </c>
      <c r="R486" s="2" t="s">
        <v>41</v>
      </c>
      <c r="S486" s="2" t="s">
        <v>97</v>
      </c>
      <c r="T486" s="2" t="s">
        <v>139</v>
      </c>
      <c r="U486" s="2">
        <v>9458599727</v>
      </c>
      <c r="V486" s="2" t="s">
        <v>34</v>
      </c>
    </row>
    <row r="487" spans="1:22" x14ac:dyDescent="0.3">
      <c r="A487" s="2" t="s">
        <v>634</v>
      </c>
      <c r="B487" s="2" t="s">
        <v>45</v>
      </c>
      <c r="C487" s="2" t="s">
        <v>128</v>
      </c>
      <c r="D487" s="38">
        <v>46147</v>
      </c>
      <c r="E487" s="38">
        <v>46151</v>
      </c>
      <c r="F487" s="2" t="s">
        <v>102</v>
      </c>
      <c r="G487" s="2" t="s">
        <v>26</v>
      </c>
      <c r="H487" s="38">
        <v>28805</v>
      </c>
      <c r="I487" s="2" t="s">
        <v>151</v>
      </c>
      <c r="J487" s="2" t="s">
        <v>152</v>
      </c>
      <c r="K487" s="2" t="s">
        <v>84</v>
      </c>
      <c r="L487" s="2" t="s">
        <v>130</v>
      </c>
      <c r="M487" s="2">
        <v>18</v>
      </c>
      <c r="N487" s="7">
        <v>20</v>
      </c>
      <c r="O487" s="2">
        <v>10</v>
      </c>
      <c r="P487" s="7">
        <v>324</v>
      </c>
      <c r="Q487" s="2">
        <v>5</v>
      </c>
      <c r="R487" s="2" t="s">
        <v>60</v>
      </c>
      <c r="S487" s="2" t="s">
        <v>696</v>
      </c>
      <c r="T487" s="2" t="s">
        <v>635</v>
      </c>
      <c r="U487" s="2">
        <v>9218660140</v>
      </c>
      <c r="V487" s="2" t="s">
        <v>52</v>
      </c>
    </row>
    <row r="488" spans="1:22" x14ac:dyDescent="0.3">
      <c r="A488" s="2" t="s">
        <v>636</v>
      </c>
      <c r="B488" s="2" t="s">
        <v>105</v>
      </c>
      <c r="C488" s="2" t="s">
        <v>36</v>
      </c>
      <c r="D488" s="38">
        <v>45711</v>
      </c>
      <c r="E488" s="38">
        <v>45723</v>
      </c>
      <c r="F488" s="2" t="s">
        <v>170</v>
      </c>
      <c r="G488" s="2" t="s">
        <v>26</v>
      </c>
      <c r="H488" s="38">
        <v>34426</v>
      </c>
      <c r="I488" s="2" t="s">
        <v>80</v>
      </c>
      <c r="J488" s="2" t="s">
        <v>76</v>
      </c>
      <c r="K488" s="2" t="s">
        <v>39</v>
      </c>
      <c r="L488" s="2" t="s">
        <v>40</v>
      </c>
      <c r="M488" s="2">
        <v>11</v>
      </c>
      <c r="N488" s="7">
        <v>12000</v>
      </c>
      <c r="O488" s="2">
        <v>10</v>
      </c>
      <c r="P488" s="7">
        <v>118800</v>
      </c>
      <c r="Q488" s="2">
        <v>1</v>
      </c>
      <c r="R488" s="2" t="s">
        <v>60</v>
      </c>
      <c r="S488" s="2" t="s">
        <v>42</v>
      </c>
      <c r="T488" s="2" t="s">
        <v>109</v>
      </c>
      <c r="U488" s="2">
        <v>9341979199</v>
      </c>
      <c r="V488" s="2" t="s">
        <v>53</v>
      </c>
    </row>
    <row r="489" spans="1:22" x14ac:dyDescent="0.3">
      <c r="A489" s="2" t="s">
        <v>637</v>
      </c>
      <c r="B489" s="2" t="s">
        <v>160</v>
      </c>
      <c r="C489" s="2" t="s">
        <v>106</v>
      </c>
      <c r="D489" s="38">
        <v>45672</v>
      </c>
      <c r="E489" s="38">
        <v>45674</v>
      </c>
      <c r="F489" s="2" t="s">
        <v>179</v>
      </c>
      <c r="G489" s="2" t="s">
        <v>58</v>
      </c>
      <c r="H489" s="38">
        <v>34098</v>
      </c>
      <c r="I489" s="2" t="s">
        <v>27</v>
      </c>
      <c r="J489" s="2" t="s">
        <v>28</v>
      </c>
      <c r="K489" s="2" t="s">
        <v>29</v>
      </c>
      <c r="L489" s="2" t="s">
        <v>108</v>
      </c>
      <c r="M489" s="2">
        <v>2</v>
      </c>
      <c r="N489" s="7">
        <v>8500</v>
      </c>
      <c r="O489" s="2">
        <v>5</v>
      </c>
      <c r="P489" s="7">
        <v>16150</v>
      </c>
      <c r="Q489" s="2">
        <v>1</v>
      </c>
      <c r="R489" s="2" t="s">
        <v>60</v>
      </c>
      <c r="S489" s="2" t="s">
        <v>50</v>
      </c>
      <c r="T489" s="2" t="s">
        <v>162</v>
      </c>
      <c r="U489" s="2">
        <v>9823080381</v>
      </c>
      <c r="V489" s="2" t="s">
        <v>34</v>
      </c>
    </row>
    <row r="490" spans="1:22" x14ac:dyDescent="0.3">
      <c r="A490" s="2" t="s">
        <v>638</v>
      </c>
      <c r="B490" s="2" t="s">
        <v>73</v>
      </c>
      <c r="C490" s="2" t="s">
        <v>24</v>
      </c>
      <c r="D490" s="38">
        <v>45746</v>
      </c>
      <c r="E490" s="38">
        <v>45755</v>
      </c>
      <c r="F490" s="2" t="s">
        <v>74</v>
      </c>
      <c r="G490" s="2" t="s">
        <v>26</v>
      </c>
      <c r="H490" s="38">
        <v>34526</v>
      </c>
      <c r="I490" s="2" t="s">
        <v>80</v>
      </c>
      <c r="J490" s="2" t="s">
        <v>76</v>
      </c>
      <c r="K490" s="2" t="s">
        <v>29</v>
      </c>
      <c r="L490" s="2" t="s">
        <v>30</v>
      </c>
      <c r="M490" s="2">
        <v>7</v>
      </c>
      <c r="N490" s="7">
        <v>2200</v>
      </c>
      <c r="O490" s="2">
        <v>0</v>
      </c>
      <c r="P490" s="7">
        <v>15400</v>
      </c>
      <c r="Q490" s="2">
        <v>5</v>
      </c>
      <c r="R490" s="2" t="s">
        <v>41</v>
      </c>
      <c r="S490" s="2" t="s">
        <v>32</v>
      </c>
      <c r="T490" s="2" t="s">
        <v>94</v>
      </c>
      <c r="U490" s="2">
        <v>9981183477</v>
      </c>
      <c r="V490" s="2" t="s">
        <v>52</v>
      </c>
    </row>
    <row r="491" spans="1:22" x14ac:dyDescent="0.3">
      <c r="A491" s="2" t="s">
        <v>640</v>
      </c>
      <c r="B491" s="2" t="s">
        <v>63</v>
      </c>
      <c r="C491" s="2" t="s">
        <v>106</v>
      </c>
      <c r="D491" s="38">
        <v>46136</v>
      </c>
      <c r="E491" s="38">
        <v>46144</v>
      </c>
      <c r="F491" s="2" t="s">
        <v>111</v>
      </c>
      <c r="G491" s="2" t="s">
        <v>58</v>
      </c>
      <c r="H491" s="38">
        <v>30304</v>
      </c>
      <c r="I491" s="2" t="s">
        <v>37</v>
      </c>
      <c r="J491" s="2" t="s">
        <v>38</v>
      </c>
      <c r="K491" s="2" t="s">
        <v>29</v>
      </c>
      <c r="L491" s="2" t="s">
        <v>108</v>
      </c>
      <c r="M491" s="2">
        <v>20</v>
      </c>
      <c r="N491" s="7">
        <v>8500</v>
      </c>
      <c r="O491" s="2">
        <v>0</v>
      </c>
      <c r="P491" s="7">
        <v>170000</v>
      </c>
      <c r="Q491" s="2">
        <v>3</v>
      </c>
      <c r="R491" s="2" t="s">
        <v>41</v>
      </c>
      <c r="S491" s="2" t="s">
        <v>42</v>
      </c>
      <c r="T491" s="2" t="s">
        <v>66</v>
      </c>
      <c r="U491" s="2">
        <v>9281596011</v>
      </c>
      <c r="V491" s="2" t="s">
        <v>34</v>
      </c>
    </row>
    <row r="492" spans="1:22" x14ac:dyDescent="0.3">
      <c r="A492" s="2" t="s">
        <v>641</v>
      </c>
      <c r="B492" s="2" t="s">
        <v>88</v>
      </c>
      <c r="C492" s="2" t="s">
        <v>56</v>
      </c>
      <c r="D492" s="38">
        <v>45858</v>
      </c>
      <c r="E492" s="38">
        <v>45867</v>
      </c>
      <c r="F492" s="2" t="s">
        <v>119</v>
      </c>
      <c r="G492" s="2" t="s">
        <v>58</v>
      </c>
      <c r="H492" s="38">
        <v>37197</v>
      </c>
      <c r="I492" s="2" t="s">
        <v>27</v>
      </c>
      <c r="J492" s="2" t="s">
        <v>28</v>
      </c>
      <c r="K492" s="2" t="s">
        <v>39</v>
      </c>
      <c r="L492" s="2" t="s">
        <v>59</v>
      </c>
      <c r="M492" s="2">
        <v>11</v>
      </c>
      <c r="N492" s="7">
        <v>1200</v>
      </c>
      <c r="O492" s="2">
        <v>5</v>
      </c>
      <c r="P492" s="7">
        <v>12540</v>
      </c>
      <c r="Q492" s="2">
        <v>2</v>
      </c>
      <c r="R492" s="2" t="s">
        <v>31</v>
      </c>
      <c r="S492" s="2" t="s">
        <v>32</v>
      </c>
      <c r="T492" s="2" t="s">
        <v>90</v>
      </c>
      <c r="U492" s="2">
        <v>9211734022</v>
      </c>
      <c r="V492" s="2" t="s">
        <v>52</v>
      </c>
    </row>
    <row r="493" spans="1:22" x14ac:dyDescent="0.3">
      <c r="A493" s="2" t="s">
        <v>643</v>
      </c>
      <c r="B493" s="2" t="s">
        <v>63</v>
      </c>
      <c r="C493" s="2" t="s">
        <v>113</v>
      </c>
      <c r="D493" s="38">
        <v>45867</v>
      </c>
      <c r="E493" s="38">
        <v>45870</v>
      </c>
      <c r="F493" s="2" t="s">
        <v>111</v>
      </c>
      <c r="G493" s="2" t="s">
        <v>58</v>
      </c>
      <c r="H493" s="38">
        <v>37182</v>
      </c>
      <c r="I493" s="2" t="s">
        <v>92</v>
      </c>
      <c r="J493" s="2" t="s">
        <v>76</v>
      </c>
      <c r="K493" s="2" t="s">
        <v>39</v>
      </c>
      <c r="L493" s="2" t="s">
        <v>115</v>
      </c>
      <c r="M493" s="2">
        <v>14</v>
      </c>
      <c r="N493" s="7">
        <v>700</v>
      </c>
      <c r="O493" s="2">
        <v>0</v>
      </c>
      <c r="P493" s="7">
        <v>9800</v>
      </c>
      <c r="Q493" s="2">
        <v>2</v>
      </c>
      <c r="R493" s="2" t="s">
        <v>60</v>
      </c>
      <c r="S493" s="2" t="s">
        <v>97</v>
      </c>
      <c r="T493" s="2" t="s">
        <v>66</v>
      </c>
      <c r="U493" s="2">
        <v>9447151666</v>
      </c>
      <c r="V493" s="2" t="s">
        <v>53</v>
      </c>
    </row>
    <row r="494" spans="1:22" x14ac:dyDescent="0.3">
      <c r="A494" s="2" t="s">
        <v>644</v>
      </c>
      <c r="B494" s="2" t="s">
        <v>55</v>
      </c>
      <c r="C494" s="2" t="s">
        <v>56</v>
      </c>
      <c r="D494" s="38">
        <v>45951</v>
      </c>
      <c r="E494" s="38">
        <v>45962</v>
      </c>
      <c r="F494" s="2" t="s">
        <v>125</v>
      </c>
      <c r="G494" s="2" t="s">
        <v>58</v>
      </c>
      <c r="H494" s="38">
        <v>36881</v>
      </c>
      <c r="I494" s="2" t="s">
        <v>80</v>
      </c>
      <c r="J494" s="2" t="s">
        <v>76</v>
      </c>
      <c r="K494" s="2" t="s">
        <v>39</v>
      </c>
      <c r="L494" s="2" t="s">
        <v>59</v>
      </c>
      <c r="M494" s="2">
        <v>16</v>
      </c>
      <c r="N494" s="7">
        <v>1200</v>
      </c>
      <c r="O494" s="2">
        <v>15</v>
      </c>
      <c r="P494" s="7">
        <v>16320</v>
      </c>
      <c r="Q494" s="2">
        <v>4</v>
      </c>
      <c r="R494" s="2" t="s">
        <v>31</v>
      </c>
      <c r="S494" s="2" t="s">
        <v>97</v>
      </c>
      <c r="T494" s="2" t="s">
        <v>61</v>
      </c>
      <c r="U494" s="2">
        <v>9345342793</v>
      </c>
      <c r="V494" s="2" t="s">
        <v>52</v>
      </c>
    </row>
    <row r="495" spans="1:22" x14ac:dyDescent="0.3">
      <c r="A495" s="2" t="s">
        <v>645</v>
      </c>
      <c r="B495" s="2" t="s">
        <v>105</v>
      </c>
      <c r="C495" s="2" t="s">
        <v>24</v>
      </c>
      <c r="D495" s="38">
        <v>46098</v>
      </c>
      <c r="E495" s="38">
        <v>46110</v>
      </c>
      <c r="F495" s="2" t="s">
        <v>170</v>
      </c>
      <c r="G495" s="2" t="s">
        <v>26</v>
      </c>
      <c r="H495" s="38">
        <v>30367</v>
      </c>
      <c r="I495" s="2" t="s">
        <v>123</v>
      </c>
      <c r="J495" s="2" t="s">
        <v>38</v>
      </c>
      <c r="K495" s="2" t="s">
        <v>29</v>
      </c>
      <c r="L495" s="2" t="s">
        <v>30</v>
      </c>
      <c r="M495" s="2">
        <v>20</v>
      </c>
      <c r="N495" s="7">
        <v>2200</v>
      </c>
      <c r="O495" s="2">
        <v>0</v>
      </c>
      <c r="P495" s="7">
        <v>44000</v>
      </c>
      <c r="Q495" s="2">
        <v>5</v>
      </c>
      <c r="R495" s="2" t="s">
        <v>31</v>
      </c>
      <c r="S495" s="2" t="s">
        <v>32</v>
      </c>
      <c r="T495" s="2" t="s">
        <v>109</v>
      </c>
      <c r="U495" s="2">
        <v>9329668173</v>
      </c>
      <c r="V495" s="2" t="s">
        <v>53</v>
      </c>
    </row>
    <row r="496" spans="1:22" x14ac:dyDescent="0.3">
      <c r="A496" s="2" t="s">
        <v>647</v>
      </c>
      <c r="B496" s="2" t="s">
        <v>63</v>
      </c>
      <c r="C496" s="2" t="s">
        <v>36</v>
      </c>
      <c r="D496" s="38">
        <v>45711</v>
      </c>
      <c r="E496" s="38">
        <v>45723</v>
      </c>
      <c r="F496" s="2" t="s">
        <v>111</v>
      </c>
      <c r="G496" s="2" t="s">
        <v>58</v>
      </c>
      <c r="H496" s="38">
        <v>32307</v>
      </c>
      <c r="I496" s="2" t="s">
        <v>123</v>
      </c>
      <c r="J496" s="2" t="s">
        <v>38</v>
      </c>
      <c r="K496" s="2" t="s">
        <v>39</v>
      </c>
      <c r="L496" s="2" t="s">
        <v>40</v>
      </c>
      <c r="M496" s="2">
        <v>12</v>
      </c>
      <c r="N496" s="7">
        <v>12000</v>
      </c>
      <c r="O496" s="2">
        <v>15</v>
      </c>
      <c r="P496" s="7">
        <v>122400</v>
      </c>
      <c r="Q496" s="2">
        <v>5</v>
      </c>
      <c r="R496" s="2" t="s">
        <v>31</v>
      </c>
      <c r="S496" s="2" t="s">
        <v>97</v>
      </c>
      <c r="T496" s="2" t="s">
        <v>66</v>
      </c>
      <c r="U496" s="2">
        <v>9294740227</v>
      </c>
      <c r="V496" s="2" t="s">
        <v>34</v>
      </c>
    </row>
    <row r="497" spans="1:22" x14ac:dyDescent="0.3">
      <c r="A497" s="2" t="s">
        <v>648</v>
      </c>
      <c r="B497" s="2" t="s">
        <v>127</v>
      </c>
      <c r="C497" s="2" t="s">
        <v>56</v>
      </c>
      <c r="D497" s="38">
        <v>46002</v>
      </c>
      <c r="E497" s="38">
        <v>46011</v>
      </c>
      <c r="F497" s="2" t="s">
        <v>129</v>
      </c>
      <c r="G497" s="2" t="s">
        <v>58</v>
      </c>
      <c r="H497" s="38">
        <v>33807</v>
      </c>
      <c r="I497" s="2" t="s">
        <v>37</v>
      </c>
      <c r="J497" s="2" t="s">
        <v>38</v>
      </c>
      <c r="K497" s="2" t="s">
        <v>39</v>
      </c>
      <c r="L497" s="2" t="s">
        <v>59</v>
      </c>
      <c r="M497" s="2">
        <v>3</v>
      </c>
      <c r="N497" s="7">
        <v>1200</v>
      </c>
      <c r="O497" s="2">
        <v>20</v>
      </c>
      <c r="P497" s="7">
        <v>2880</v>
      </c>
      <c r="Q497" s="2">
        <v>2</v>
      </c>
      <c r="R497" s="2" t="s">
        <v>41</v>
      </c>
      <c r="S497" s="2" t="s">
        <v>81</v>
      </c>
      <c r="T497" s="2" t="s">
        <v>305</v>
      </c>
      <c r="U497" s="2">
        <v>9549426303</v>
      </c>
      <c r="V497" s="2" t="s">
        <v>52</v>
      </c>
    </row>
    <row r="498" spans="1:22" x14ac:dyDescent="0.3">
      <c r="A498" s="2" t="s">
        <v>649</v>
      </c>
      <c r="B498" s="2" t="s">
        <v>73</v>
      </c>
      <c r="C498" s="2" t="s">
        <v>46</v>
      </c>
      <c r="D498" s="38">
        <v>45842</v>
      </c>
      <c r="E498" s="38">
        <v>45843</v>
      </c>
      <c r="F498" s="2" t="s">
        <v>74</v>
      </c>
      <c r="G498" s="2" t="s">
        <v>26</v>
      </c>
      <c r="H498" s="38">
        <v>29079</v>
      </c>
      <c r="I498" s="2" t="s">
        <v>75</v>
      </c>
      <c r="J498" s="2" t="s">
        <v>76</v>
      </c>
      <c r="K498" s="2" t="s">
        <v>39</v>
      </c>
      <c r="L498" s="2" t="s">
        <v>650</v>
      </c>
      <c r="M498" s="2">
        <v>6</v>
      </c>
      <c r="N498" s="7">
        <v>55000</v>
      </c>
      <c r="O498" s="2">
        <v>20</v>
      </c>
      <c r="P498" s="7">
        <v>264000</v>
      </c>
      <c r="Q498" s="2">
        <v>3</v>
      </c>
      <c r="R498" s="2" t="s">
        <v>31</v>
      </c>
      <c r="S498" s="2" t="s">
        <v>97</v>
      </c>
      <c r="T498" s="2" t="s">
        <v>94</v>
      </c>
      <c r="U498" s="2">
        <v>9374249303</v>
      </c>
      <c r="V498" s="2" t="s">
        <v>34</v>
      </c>
    </row>
    <row r="499" spans="1:22" x14ac:dyDescent="0.3">
      <c r="A499" s="2" t="s">
        <v>651</v>
      </c>
      <c r="B499" s="2" t="s">
        <v>73</v>
      </c>
      <c r="C499" s="2" t="s">
        <v>68</v>
      </c>
      <c r="D499" s="38">
        <v>45916</v>
      </c>
      <c r="E499" s="38">
        <v>45923</v>
      </c>
      <c r="F499" s="2" t="s">
        <v>74</v>
      </c>
      <c r="G499" s="2" t="s">
        <v>26</v>
      </c>
      <c r="H499" s="38">
        <v>28088</v>
      </c>
      <c r="I499" s="2" t="s">
        <v>48</v>
      </c>
      <c r="J499" s="2" t="s">
        <v>28</v>
      </c>
      <c r="K499" s="2" t="s">
        <v>29</v>
      </c>
      <c r="L499" s="2" t="s">
        <v>71</v>
      </c>
      <c r="M499" s="2">
        <v>20</v>
      </c>
      <c r="N499" s="7">
        <v>3500</v>
      </c>
      <c r="O499" s="2">
        <v>0</v>
      </c>
      <c r="P499" s="7">
        <v>70000</v>
      </c>
      <c r="Q499" s="2">
        <v>1</v>
      </c>
      <c r="R499" s="2" t="s">
        <v>41</v>
      </c>
      <c r="S499" s="2" t="s">
        <v>97</v>
      </c>
      <c r="T499" s="2" t="s">
        <v>94</v>
      </c>
      <c r="U499" s="2">
        <v>9810334941</v>
      </c>
      <c r="V499" s="2" t="s">
        <v>52</v>
      </c>
    </row>
    <row r="500" spans="1:22" hidden="1" x14ac:dyDescent="0.3">
      <c r="S500" s="2"/>
    </row>
    <row r="501" spans="1:22" hidden="1" x14ac:dyDescent="0.3">
      <c r="S501" s="2"/>
    </row>
  </sheetData>
  <autoFilter ref="K1:K501" xr:uid="{12C764E3-81A5-473E-8A90-E6BEBAB2547D}">
    <filterColumn colId="0">
      <customFilters>
        <customFilter operator="notEqual" val=" "/>
      </customFilters>
    </filterColumn>
  </autoFilter>
  <conditionalFormatting sqref="O1:O1048576">
    <cfRule type="cellIs" dxfId="6" priority="1" operator="greaterThan">
      <formula>20</formula>
    </cfRule>
  </conditionalFormatting>
  <dataValidations count="2">
    <dataValidation type="whole" allowBlank="1" showInputMessage="1" showErrorMessage="1" prompt="Quantity accepts values only between 1 and 20." sqref="M1:M1048576" xr:uid="{A7E7ADF2-4F1F-486E-B4B5-B5978292512D}">
      <formula1>1</formula1>
      <formula2>20</formula2>
    </dataValidation>
    <dataValidation type="list" allowBlank="1" showInputMessage="1" showErrorMessage="1" sqref="R2:R1048576" xr:uid="{1639760B-D335-443A-8473-337B39C3E9C7}">
      <formula1>"UPI, Card, Cash, NetBanking"</formula1>
    </dataValidation>
  </dataValidation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84354-29F3-44F3-A5F3-F82AE8157269}">
  <sheetPr codeName="Sheet1"/>
  <dimension ref="A1"/>
  <sheetViews>
    <sheetView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2D346-5A9B-41D9-B13F-12F940515D93}">
  <sheetPr codeName="Sheet12"/>
  <dimension ref="A1:K29"/>
  <sheetViews>
    <sheetView tabSelected="1" workbookViewId="0">
      <selection activeCell="E4" sqref="E4"/>
    </sheetView>
  </sheetViews>
  <sheetFormatPr defaultRowHeight="14.4" x14ac:dyDescent="0.3"/>
  <cols>
    <col min="1" max="1" width="12.5546875" bestFit="1" customWidth="1"/>
    <col min="2" max="2" width="11.6640625" bestFit="1" customWidth="1"/>
    <col min="3" max="3" width="16.44140625" bestFit="1" customWidth="1"/>
    <col min="5" max="5" width="14.88671875" bestFit="1" customWidth="1"/>
    <col min="7" max="7" width="10.44140625" bestFit="1" customWidth="1"/>
    <col min="8" max="8" width="12.5546875" bestFit="1" customWidth="1"/>
    <col min="9" max="9" width="11.6640625" bestFit="1" customWidth="1"/>
    <col min="10" max="10" width="15.109375" bestFit="1" customWidth="1"/>
    <col min="11" max="11" width="11.6640625" bestFit="1" customWidth="1"/>
  </cols>
  <sheetData>
    <row r="1" spans="1:11" x14ac:dyDescent="0.3">
      <c r="A1" t="s">
        <v>697</v>
      </c>
    </row>
    <row r="2" spans="1:11" x14ac:dyDescent="0.3">
      <c r="A2" t="s">
        <v>698</v>
      </c>
      <c r="C2" t="s">
        <v>701</v>
      </c>
      <c r="E2" t="s">
        <v>714</v>
      </c>
    </row>
    <row r="3" spans="1:11" x14ac:dyDescent="0.3">
      <c r="A3" s="34">
        <v>34745967.5</v>
      </c>
      <c r="C3" s="34">
        <v>498</v>
      </c>
      <c r="E3" s="41">
        <v>69771.019076305223</v>
      </c>
    </row>
    <row r="4" spans="1:11" x14ac:dyDescent="0.3">
      <c r="A4">
        <f>GETPIVOTDATA("Sales",$A$2)</f>
        <v>34745967.5</v>
      </c>
      <c r="C4">
        <f>GETPIVOTDATA("Order_ID",$C$2)</f>
        <v>498</v>
      </c>
      <c r="E4" s="41">
        <f>GETPIVOTDATA("Sales",$E$2)</f>
        <v>69771.019076305223</v>
      </c>
    </row>
    <row r="7" spans="1:11" x14ac:dyDescent="0.3">
      <c r="A7" s="35" t="s">
        <v>699</v>
      </c>
      <c r="B7" t="s">
        <v>698</v>
      </c>
      <c r="J7" s="35" t="s">
        <v>699</v>
      </c>
      <c r="K7" t="s">
        <v>698</v>
      </c>
    </row>
    <row r="8" spans="1:11" x14ac:dyDescent="0.3">
      <c r="A8" s="36" t="s">
        <v>152</v>
      </c>
      <c r="B8" s="34">
        <v>4041922</v>
      </c>
      <c r="J8" s="36" t="s">
        <v>39</v>
      </c>
      <c r="K8" s="34">
        <v>27823939</v>
      </c>
    </row>
    <row r="9" spans="1:11" x14ac:dyDescent="0.3">
      <c r="A9" s="36" t="s">
        <v>38</v>
      </c>
      <c r="B9" s="34">
        <v>10013332.5</v>
      </c>
      <c r="J9" s="36" t="s">
        <v>29</v>
      </c>
      <c r="K9" s="34">
        <v>6806525</v>
      </c>
    </row>
    <row r="10" spans="1:11" x14ac:dyDescent="0.3">
      <c r="A10" s="36" t="s">
        <v>28</v>
      </c>
      <c r="B10" s="34">
        <v>7487181.5</v>
      </c>
      <c r="J10" s="36" t="s">
        <v>84</v>
      </c>
      <c r="K10" s="34">
        <v>115503.5</v>
      </c>
    </row>
    <row r="11" spans="1:11" x14ac:dyDescent="0.3">
      <c r="A11" s="36" t="s">
        <v>76</v>
      </c>
      <c r="B11" s="34">
        <v>13203531.5</v>
      </c>
      <c r="J11" s="36" t="s">
        <v>700</v>
      </c>
      <c r="K11" s="34">
        <v>34745967.5</v>
      </c>
    </row>
    <row r="12" spans="1:11" x14ac:dyDescent="0.3">
      <c r="A12" s="36" t="s">
        <v>700</v>
      </c>
      <c r="B12" s="34">
        <v>34745967.5</v>
      </c>
    </row>
    <row r="16" spans="1:11" x14ac:dyDescent="0.3">
      <c r="H16" s="35" t="s">
        <v>699</v>
      </c>
      <c r="I16" t="s">
        <v>698</v>
      </c>
    </row>
    <row r="17" spans="8:9" x14ac:dyDescent="0.3">
      <c r="H17" s="40" t="s">
        <v>702</v>
      </c>
      <c r="I17" s="34">
        <v>5404197.5</v>
      </c>
    </row>
    <row r="18" spans="8:9" x14ac:dyDescent="0.3">
      <c r="H18" s="40" t="s">
        <v>703</v>
      </c>
      <c r="I18" s="34">
        <v>4363982.25</v>
      </c>
    </row>
    <row r="19" spans="8:9" x14ac:dyDescent="0.3">
      <c r="H19" s="40" t="s">
        <v>704</v>
      </c>
      <c r="I19" s="34">
        <v>3640969.75</v>
      </c>
    </row>
    <row r="20" spans="8:9" x14ac:dyDescent="0.3">
      <c r="H20" s="40" t="s">
        <v>705</v>
      </c>
      <c r="I20" s="34">
        <v>5689717.75</v>
      </c>
    </row>
    <row r="21" spans="8:9" x14ac:dyDescent="0.3">
      <c r="H21" s="40" t="s">
        <v>706</v>
      </c>
      <c r="I21" s="34">
        <v>3849232</v>
      </c>
    </row>
    <row r="22" spans="8:9" x14ac:dyDescent="0.3">
      <c r="H22" s="40" t="s">
        <v>707</v>
      </c>
      <c r="I22" s="34">
        <v>1032385</v>
      </c>
    </row>
    <row r="23" spans="8:9" x14ac:dyDescent="0.3">
      <c r="H23" s="40" t="s">
        <v>708</v>
      </c>
      <c r="I23" s="34">
        <v>1741047.5</v>
      </c>
    </row>
    <row r="24" spans="8:9" x14ac:dyDescent="0.3">
      <c r="H24" s="40" t="s">
        <v>709</v>
      </c>
      <c r="I24" s="34">
        <v>1836526</v>
      </c>
    </row>
    <row r="25" spans="8:9" x14ac:dyDescent="0.3">
      <c r="H25" s="40" t="s">
        <v>710</v>
      </c>
      <c r="I25" s="34">
        <v>1226591.5</v>
      </c>
    </row>
    <row r="26" spans="8:9" x14ac:dyDescent="0.3">
      <c r="H26" s="40" t="s">
        <v>711</v>
      </c>
      <c r="I26" s="34">
        <v>1782743.5</v>
      </c>
    </row>
    <row r="27" spans="8:9" x14ac:dyDescent="0.3">
      <c r="H27" s="40" t="s">
        <v>712</v>
      </c>
      <c r="I27" s="34">
        <v>1992715.25</v>
      </c>
    </row>
    <row r="28" spans="8:9" x14ac:dyDescent="0.3">
      <c r="H28" s="40" t="s">
        <v>713</v>
      </c>
      <c r="I28" s="34">
        <v>2185859.5</v>
      </c>
    </row>
    <row r="29" spans="8:9" x14ac:dyDescent="0.3">
      <c r="H29" s="40" t="s">
        <v>700</v>
      </c>
      <c r="I29" s="34">
        <v>34745967.5</v>
      </c>
    </row>
  </sheetData>
  <pageMargins left="0.7" right="0.7" top="0.75" bottom="0.75" header="0.3" footer="0.3"/>
  <drawing r:id="rId7"/>
  <extLst>
    <ext xmlns:x14="http://schemas.microsoft.com/office/spreadsheetml/2009/9/main" uri="{A8765BA9-456A-4dab-B4F3-ACF838C121DE}">
      <x14:slicerList>
        <x14:slicer r:id="rId8"/>
      </x14:slicerList>
    </ext>
    <ext xmlns:x15="http://schemas.microsoft.com/office/spreadsheetml/2010/11/main" uri="{7E03D99C-DC04-49d9-9315-930204A7B6E9}">
      <x15:timelineRefs>
        <x15:timelineRef r:id="rId9"/>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8A2B58F-5A16-4595-82BC-EB5D3D94FC2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Sales_Data</vt:lpstr>
      <vt:lpstr>Product_Master</vt:lpstr>
      <vt:lpstr>Customer_Master</vt:lpstr>
      <vt:lpstr>Q1_Q2_Q3</vt:lpstr>
      <vt:lpstr>Q4_Product_Lookup_Report</vt:lpstr>
      <vt:lpstr>Q5_Sales_Summary_Report</vt:lpstr>
      <vt:lpstr>Q6_Sales_Statistics_Report</vt:lpstr>
      <vt:lpstr>Q7_Product_Performance_Report</vt:lpstr>
      <vt:lpstr>Q8_Financial_Analysis_Report</vt:lpstr>
      <vt:lpstr>Q9_Cleaned_Data</vt:lpstr>
      <vt:lpstr>Q10_Sales_Dashboard</vt:lpstr>
      <vt:lpstr>Q10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 S</dc:creator>
  <cp:lastModifiedBy>MANAB DUTTA</cp:lastModifiedBy>
  <dcterms:created xsi:type="dcterms:W3CDTF">2026-10-02T15:45:17Z</dcterms:created>
  <dcterms:modified xsi:type="dcterms:W3CDTF">2026-10-13T05:53:28Z</dcterms:modified>
</cp:coreProperties>
</file>