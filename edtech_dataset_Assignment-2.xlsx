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Data Analaytics\Excel Assignment\"/>
    </mc:Choice>
  </mc:AlternateContent>
  <xr:revisionPtr revIDLastSave="0" documentId="13_ncr:1_{42FA8F74-2CC4-40A4-AF16-216094E3E84C}" xr6:coauthVersionLast="47" xr6:coauthVersionMax="47" xr10:uidLastSave="{00000000-0000-0000-0000-000000000000}"/>
  <bookViews>
    <workbookView xWindow="-108" yWindow="-108" windowWidth="23256" windowHeight="12576" xr2:uid="{00000000-000D-0000-FFFF-FFFF00000000}"/>
  </bookViews>
  <sheets>
    <sheet name="edtech_dataset" sheetId="1" r:id="rId1"/>
    <sheet name="Q1_Q2_Q3_Q4_Q7" sheetId="2" r:id="rId2"/>
    <sheet name="Q5_Q6_Q8" sheetId="4" r:id="rId3"/>
    <sheet name="Q9_Q10" sheetId="5" r:id="rId4"/>
    <sheet name="Q11_Q12_Q14" sheetId="7" r:id="rId5"/>
    <sheet name="Q13_Dashboard" sheetId="9" r:id="rId6"/>
    <sheet name="Q13" sheetId="8" r:id="rId7"/>
  </sheets>
  <definedNames>
    <definedName name="Slicer_CourseName">#N/A</definedName>
    <definedName name="Slicer_MentorName">#N/A</definedName>
    <definedName name="Slicer_Platform">#N/A</definedName>
  </definedNames>
  <calcPr calcId="191029"/>
  <pivotCaches>
    <pivotCache cacheId="0" r:id="rId8"/>
    <pivotCache cacheId="1" r:id="rId9"/>
    <pivotCache cacheId="2"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4" i="4" l="1"/>
  <c r="L2" i="5"/>
  <c r="Q5" i="4"/>
  <c r="B3" i="5" a="1"/>
  <c r="B3" i="5" s="1"/>
  <c r="N3" i="4"/>
  <c r="O3" i="4" s="1"/>
  <c r="N4" i="4"/>
  <c r="O4" i="4" s="1"/>
  <c r="N5" i="4"/>
  <c r="O5" i="4" s="1"/>
  <c r="N6" i="4"/>
  <c r="N7" i="4"/>
  <c r="N8" i="4"/>
  <c r="O8" i="4" s="1"/>
  <c r="N9" i="4"/>
  <c r="O9" i="4" s="1"/>
  <c r="N10" i="4"/>
  <c r="N11" i="4"/>
  <c r="N12" i="4"/>
  <c r="O12" i="4" s="1"/>
  <c r="N13" i="4"/>
  <c r="O13" i="4" s="1"/>
  <c r="N14" i="4"/>
  <c r="N15" i="4"/>
  <c r="N16" i="4"/>
  <c r="O16" i="4" s="1"/>
  <c r="N17" i="4"/>
  <c r="O17" i="4" s="1"/>
  <c r="N18" i="4"/>
  <c r="N19" i="4"/>
  <c r="N20" i="4"/>
  <c r="O20" i="4" s="1"/>
  <c r="N21" i="4"/>
  <c r="O21" i="4" s="1"/>
  <c r="N22" i="4"/>
  <c r="N23" i="4"/>
  <c r="N24" i="4"/>
  <c r="O24" i="4" s="1"/>
  <c r="N25" i="4"/>
  <c r="O25" i="4" s="1"/>
  <c r="N26" i="4"/>
  <c r="N27" i="4"/>
  <c r="N28" i="4"/>
  <c r="O28" i="4" s="1"/>
  <c r="N29" i="4"/>
  <c r="O29" i="4" s="1"/>
  <c r="N30" i="4"/>
  <c r="N31" i="4"/>
  <c r="N32" i="4"/>
  <c r="O32" i="4" s="1"/>
  <c r="N33" i="4"/>
  <c r="O33" i="4" s="1"/>
  <c r="N34" i="4"/>
  <c r="N35" i="4"/>
  <c r="N36" i="4"/>
  <c r="O36" i="4" s="1"/>
  <c r="N37" i="4"/>
  <c r="O37" i="4" s="1"/>
  <c r="N38" i="4"/>
  <c r="N39" i="4"/>
  <c r="N40" i="4"/>
  <c r="O40" i="4" s="1"/>
  <c r="N41" i="4"/>
  <c r="O41" i="4" s="1"/>
  <c r="N42" i="4"/>
  <c r="N43" i="4"/>
  <c r="N44" i="4"/>
  <c r="O44" i="4" s="1"/>
  <c r="N45" i="4"/>
  <c r="O45" i="4" s="1"/>
  <c r="N46" i="4"/>
  <c r="N47" i="4"/>
  <c r="N48" i="4"/>
  <c r="O48" i="4" s="1"/>
  <c r="N49" i="4"/>
  <c r="O49" i="4" s="1"/>
  <c r="N50" i="4"/>
  <c r="N51" i="4"/>
  <c r="N52" i="4"/>
  <c r="O52" i="4" s="1"/>
  <c r="N53" i="4"/>
  <c r="O53" i="4" s="1"/>
  <c r="N54" i="4"/>
  <c r="N55" i="4"/>
  <c r="N56" i="4"/>
  <c r="O56" i="4" s="1"/>
  <c r="N57" i="4"/>
  <c r="O57" i="4" s="1"/>
  <c r="N58" i="4"/>
  <c r="N59" i="4"/>
  <c r="N60" i="4"/>
  <c r="O60" i="4" s="1"/>
  <c r="N61" i="4"/>
  <c r="O61" i="4" s="1"/>
  <c r="N62" i="4"/>
  <c r="N63" i="4"/>
  <c r="N64" i="4"/>
  <c r="O64" i="4" s="1"/>
  <c r="N65" i="4"/>
  <c r="O65" i="4" s="1"/>
  <c r="N66" i="4"/>
  <c r="N67" i="4"/>
  <c r="N68" i="4"/>
  <c r="O68" i="4" s="1"/>
  <c r="N69" i="4"/>
  <c r="O69" i="4" s="1"/>
  <c r="N70" i="4"/>
  <c r="N71" i="4"/>
  <c r="N72" i="4"/>
  <c r="O72" i="4" s="1"/>
  <c r="N73" i="4"/>
  <c r="O73" i="4" s="1"/>
  <c r="N74" i="4"/>
  <c r="N75" i="4"/>
  <c r="N76" i="4"/>
  <c r="O76" i="4" s="1"/>
  <c r="N77" i="4"/>
  <c r="O77" i="4" s="1"/>
  <c r="N78" i="4"/>
  <c r="N79" i="4"/>
  <c r="N80" i="4"/>
  <c r="O80" i="4" s="1"/>
  <c r="N81" i="4"/>
  <c r="O81" i="4" s="1"/>
  <c r="N82" i="4"/>
  <c r="N83" i="4"/>
  <c r="N84" i="4"/>
  <c r="O84" i="4" s="1"/>
  <c r="N85" i="4"/>
  <c r="O85" i="4" s="1"/>
  <c r="N86" i="4"/>
  <c r="N87" i="4"/>
  <c r="N88" i="4"/>
  <c r="N89" i="4"/>
  <c r="O89" i="4" s="1"/>
  <c r="N90" i="4"/>
  <c r="N91" i="4"/>
  <c r="N92" i="4"/>
  <c r="N93" i="4"/>
  <c r="N94" i="4"/>
  <c r="N95" i="4"/>
  <c r="N96" i="4"/>
  <c r="N97" i="4"/>
  <c r="O97" i="4" s="1"/>
  <c r="N98" i="4"/>
  <c r="N99" i="4"/>
  <c r="N100" i="4"/>
  <c r="N101" i="4"/>
  <c r="N102" i="4"/>
  <c r="N103" i="4"/>
  <c r="N104" i="4"/>
  <c r="N105" i="4"/>
  <c r="O105" i="4" s="1"/>
  <c r="N106" i="4"/>
  <c r="N107" i="4"/>
  <c r="N108" i="4"/>
  <c r="N109" i="4"/>
  <c r="N110" i="4"/>
  <c r="N111" i="4"/>
  <c r="N112" i="4"/>
  <c r="N113" i="4"/>
  <c r="O113" i="4" s="1"/>
  <c r="N114" i="4"/>
  <c r="N115" i="4"/>
  <c r="N116" i="4"/>
  <c r="N117" i="4"/>
  <c r="N118" i="4"/>
  <c r="N119" i="4"/>
  <c r="N120" i="4"/>
  <c r="N121" i="4"/>
  <c r="O121" i="4" s="1"/>
  <c r="N122" i="4"/>
  <c r="N123" i="4"/>
  <c r="N124" i="4"/>
  <c r="N125" i="4"/>
  <c r="N126" i="4"/>
  <c r="N127" i="4"/>
  <c r="N128" i="4"/>
  <c r="N129" i="4"/>
  <c r="O129" i="4" s="1"/>
  <c r="N130" i="4"/>
  <c r="N131" i="4"/>
  <c r="N132" i="4"/>
  <c r="N133" i="4"/>
  <c r="N134" i="4"/>
  <c r="N135" i="4"/>
  <c r="N136" i="4"/>
  <c r="N137" i="4"/>
  <c r="O137" i="4" s="1"/>
  <c r="N138" i="4"/>
  <c r="N139" i="4"/>
  <c r="N140" i="4"/>
  <c r="N141" i="4"/>
  <c r="N142" i="4"/>
  <c r="N143" i="4"/>
  <c r="N144" i="4"/>
  <c r="N145" i="4"/>
  <c r="O145" i="4" s="1"/>
  <c r="N146" i="4"/>
  <c r="N147" i="4"/>
  <c r="N148" i="4"/>
  <c r="N149" i="4"/>
  <c r="N150" i="4"/>
  <c r="N151" i="4"/>
  <c r="N152" i="4"/>
  <c r="N153" i="4"/>
  <c r="O153" i="4" s="1"/>
  <c r="N154" i="4"/>
  <c r="N155" i="4"/>
  <c r="N156" i="4"/>
  <c r="N157" i="4"/>
  <c r="N158" i="4"/>
  <c r="N159" i="4"/>
  <c r="N160" i="4"/>
  <c r="N161" i="4"/>
  <c r="O161" i="4" s="1"/>
  <c r="N162" i="4"/>
  <c r="N163" i="4"/>
  <c r="N164" i="4"/>
  <c r="N165" i="4"/>
  <c r="M165" i="4" s="1"/>
  <c r="N166" i="4"/>
  <c r="N167" i="4"/>
  <c r="N168" i="4"/>
  <c r="N169" i="4"/>
  <c r="O169" i="4" s="1"/>
  <c r="N170" i="4"/>
  <c r="N171" i="4"/>
  <c r="N172" i="4"/>
  <c r="N173" i="4"/>
  <c r="N174" i="4"/>
  <c r="N175" i="4"/>
  <c r="N176" i="4"/>
  <c r="N177" i="4"/>
  <c r="O177" i="4" s="1"/>
  <c r="N178" i="4"/>
  <c r="N179" i="4"/>
  <c r="N180" i="4"/>
  <c r="N181" i="4"/>
  <c r="N182" i="4"/>
  <c r="N183" i="4"/>
  <c r="N184" i="4"/>
  <c r="N185" i="4"/>
  <c r="O185" i="4" s="1"/>
  <c r="N186" i="4"/>
  <c r="M186" i="4" s="1"/>
  <c r="N187" i="4"/>
  <c r="N188" i="4"/>
  <c r="N189" i="4"/>
  <c r="N190" i="4"/>
  <c r="N191" i="4"/>
  <c r="N192" i="4"/>
  <c r="N193" i="4"/>
  <c r="O193" i="4" s="1"/>
  <c r="N194" i="4"/>
  <c r="N195" i="4"/>
  <c r="N196" i="4"/>
  <c r="N197" i="4"/>
  <c r="N198" i="4"/>
  <c r="N199" i="4"/>
  <c r="N200" i="4"/>
  <c r="N201" i="4"/>
  <c r="O201" i="4" s="1"/>
  <c r="N202" i="4"/>
  <c r="N203" i="4"/>
  <c r="N204" i="4"/>
  <c r="N205" i="4"/>
  <c r="N206" i="4"/>
  <c r="N207" i="4"/>
  <c r="N208" i="4"/>
  <c r="N209" i="4"/>
  <c r="O209" i="4" s="1"/>
  <c r="N210" i="4"/>
  <c r="N211" i="4"/>
  <c r="N212" i="4"/>
  <c r="N213" i="4"/>
  <c r="N214" i="4"/>
  <c r="N215" i="4"/>
  <c r="N216" i="4"/>
  <c r="N217" i="4"/>
  <c r="O217" i="4" s="1"/>
  <c r="N218" i="4"/>
  <c r="N219" i="4"/>
  <c r="N220" i="4"/>
  <c r="N221" i="4"/>
  <c r="N222" i="4"/>
  <c r="N223" i="4"/>
  <c r="N224" i="4"/>
  <c r="N225" i="4"/>
  <c r="O225" i="4" s="1"/>
  <c r="N226" i="4"/>
  <c r="N227" i="4"/>
  <c r="N228" i="4"/>
  <c r="N229" i="4"/>
  <c r="N230" i="4"/>
  <c r="N231" i="4"/>
  <c r="N232" i="4"/>
  <c r="N233" i="4"/>
  <c r="O233" i="4" s="1"/>
  <c r="N234" i="4"/>
  <c r="N235" i="4"/>
  <c r="N236" i="4"/>
  <c r="N237" i="4"/>
  <c r="N238" i="4"/>
  <c r="N239" i="4"/>
  <c r="N240" i="4"/>
  <c r="N241" i="4"/>
  <c r="O241" i="4" s="1"/>
  <c r="N242" i="4"/>
  <c r="N243" i="4"/>
  <c r="N244" i="4"/>
  <c r="N245" i="4"/>
  <c r="N246" i="4"/>
  <c r="N247" i="4"/>
  <c r="N248" i="4"/>
  <c r="N249" i="4"/>
  <c r="O249" i="4" s="1"/>
  <c r="N250" i="4"/>
  <c r="N251" i="4"/>
  <c r="N252" i="4"/>
  <c r="N253" i="4"/>
  <c r="N254" i="4"/>
  <c r="N255" i="4"/>
  <c r="N256" i="4"/>
  <c r="N257" i="4"/>
  <c r="O257" i="4" s="1"/>
  <c r="N258" i="4"/>
  <c r="N259" i="4"/>
  <c r="N260" i="4"/>
  <c r="N261" i="4"/>
  <c r="N262" i="4"/>
  <c r="N263" i="4"/>
  <c r="N264" i="4"/>
  <c r="N265" i="4"/>
  <c r="O265" i="4" s="1"/>
  <c r="N266" i="4"/>
  <c r="N267" i="4"/>
  <c r="N268" i="4"/>
  <c r="N269" i="4"/>
  <c r="N270" i="4"/>
  <c r="N271" i="4"/>
  <c r="N272" i="4"/>
  <c r="N273" i="4"/>
  <c r="O273" i="4" s="1"/>
  <c r="N274" i="4"/>
  <c r="N275" i="4"/>
  <c r="N276" i="4"/>
  <c r="N277" i="4"/>
  <c r="N278" i="4"/>
  <c r="N279" i="4"/>
  <c r="N280" i="4"/>
  <c r="N281" i="4"/>
  <c r="O281" i="4" s="1"/>
  <c r="N282" i="4"/>
  <c r="N283" i="4"/>
  <c r="N284" i="4"/>
  <c r="N285" i="4"/>
  <c r="N286" i="4"/>
  <c r="N287" i="4"/>
  <c r="N288" i="4"/>
  <c r="N289" i="4"/>
  <c r="O289" i="4" s="1"/>
  <c r="N290" i="4"/>
  <c r="N291" i="4"/>
  <c r="N292" i="4"/>
  <c r="N293" i="4"/>
  <c r="M293" i="4" s="1"/>
  <c r="N294" i="4"/>
  <c r="N295" i="4"/>
  <c r="N296" i="4"/>
  <c r="N297" i="4"/>
  <c r="O297" i="4" s="1"/>
  <c r="N298" i="4"/>
  <c r="N299" i="4"/>
  <c r="N300" i="4"/>
  <c r="N301" i="4"/>
  <c r="N302" i="4"/>
  <c r="N303" i="4"/>
  <c r="N304" i="4"/>
  <c r="N305" i="4"/>
  <c r="O305" i="4" s="1"/>
  <c r="N306" i="4"/>
  <c r="N307" i="4"/>
  <c r="N308" i="4"/>
  <c r="N309" i="4"/>
  <c r="N310" i="4"/>
  <c r="N311" i="4"/>
  <c r="N312" i="4"/>
  <c r="N313" i="4"/>
  <c r="O313" i="4" s="1"/>
  <c r="N314" i="4"/>
  <c r="M314" i="4" s="1"/>
  <c r="N315" i="4"/>
  <c r="N316" i="4"/>
  <c r="N317" i="4"/>
  <c r="N318" i="4"/>
  <c r="N319" i="4"/>
  <c r="N320" i="4"/>
  <c r="N321" i="4"/>
  <c r="O321" i="4" s="1"/>
  <c r="N322" i="4"/>
  <c r="N323" i="4"/>
  <c r="N324" i="4"/>
  <c r="N325" i="4"/>
  <c r="N326" i="4"/>
  <c r="N327" i="4"/>
  <c r="N328" i="4"/>
  <c r="N329" i="4"/>
  <c r="O329" i="4" s="1"/>
  <c r="N330" i="4"/>
  <c r="N331" i="4"/>
  <c r="N332" i="4"/>
  <c r="N333" i="4"/>
  <c r="N334" i="4"/>
  <c r="N335" i="4"/>
  <c r="N336" i="4"/>
  <c r="N337" i="4"/>
  <c r="O337" i="4" s="1"/>
  <c r="N338" i="4"/>
  <c r="N339" i="4"/>
  <c r="N340" i="4"/>
  <c r="N341" i="4"/>
  <c r="N342" i="4"/>
  <c r="N343" i="4"/>
  <c r="N344" i="4"/>
  <c r="N345" i="4"/>
  <c r="O345" i="4" s="1"/>
  <c r="N346" i="4"/>
  <c r="N347" i="4"/>
  <c r="N348" i="4"/>
  <c r="N349" i="4"/>
  <c r="N350" i="4"/>
  <c r="N351" i="4"/>
  <c r="N352" i="4"/>
  <c r="N353" i="4"/>
  <c r="O353" i="4" s="1"/>
  <c r="N354" i="4"/>
  <c r="N355" i="4"/>
  <c r="N356" i="4"/>
  <c r="N357" i="4"/>
  <c r="N358" i="4"/>
  <c r="N359" i="4"/>
  <c r="N360" i="4"/>
  <c r="N361" i="4"/>
  <c r="O361" i="4" s="1"/>
  <c r="N362" i="4"/>
  <c r="N363" i="4"/>
  <c r="N364" i="4"/>
  <c r="N365" i="4"/>
  <c r="N366" i="4"/>
  <c r="N367" i="4"/>
  <c r="N368" i="4"/>
  <c r="N369" i="4"/>
  <c r="O369" i="4" s="1"/>
  <c r="N370" i="4"/>
  <c r="N371" i="4"/>
  <c r="N372" i="4"/>
  <c r="N373" i="4"/>
  <c r="N374" i="4"/>
  <c r="N375" i="4"/>
  <c r="N376" i="4"/>
  <c r="N377" i="4"/>
  <c r="O377" i="4" s="1"/>
  <c r="N378" i="4"/>
  <c r="N379" i="4"/>
  <c r="N380" i="4"/>
  <c r="N381" i="4"/>
  <c r="N382" i="4"/>
  <c r="N383" i="4"/>
  <c r="N384" i="4"/>
  <c r="N385" i="4"/>
  <c r="O385" i="4" s="1"/>
  <c r="N386" i="4"/>
  <c r="N387" i="4"/>
  <c r="N388" i="4"/>
  <c r="N389" i="4"/>
  <c r="N390" i="4"/>
  <c r="N391" i="4"/>
  <c r="N392" i="4"/>
  <c r="N393" i="4"/>
  <c r="O393" i="4" s="1"/>
  <c r="N394" i="4"/>
  <c r="N395" i="4"/>
  <c r="N396" i="4"/>
  <c r="N397" i="4"/>
  <c r="N398" i="4"/>
  <c r="M398" i="4" s="1"/>
  <c r="N399" i="4"/>
  <c r="N400" i="4"/>
  <c r="N401" i="4"/>
  <c r="O401" i="4" s="1"/>
  <c r="N402" i="4"/>
  <c r="N403" i="4"/>
  <c r="N404" i="4"/>
  <c r="N405" i="4"/>
  <c r="N406" i="4"/>
  <c r="N407" i="4"/>
  <c r="N408" i="4"/>
  <c r="N409" i="4"/>
  <c r="O409" i="4" s="1"/>
  <c r="N410" i="4"/>
  <c r="N411" i="4"/>
  <c r="N412" i="4"/>
  <c r="N413" i="4"/>
  <c r="N414" i="4"/>
  <c r="N415" i="4"/>
  <c r="N416" i="4"/>
  <c r="N417" i="4"/>
  <c r="O417" i="4" s="1"/>
  <c r="N418" i="4"/>
  <c r="N419" i="4"/>
  <c r="N420" i="4"/>
  <c r="N421" i="4"/>
  <c r="N422" i="4"/>
  <c r="N423" i="4"/>
  <c r="N424" i="4"/>
  <c r="N425" i="4"/>
  <c r="O425" i="4" s="1"/>
  <c r="N426" i="4"/>
  <c r="N427" i="4"/>
  <c r="N428" i="4"/>
  <c r="N429" i="4"/>
  <c r="N430" i="4"/>
  <c r="N431" i="4"/>
  <c r="N432" i="4"/>
  <c r="N433" i="4"/>
  <c r="O433" i="4" s="1"/>
  <c r="N434" i="4"/>
  <c r="N435" i="4"/>
  <c r="N436" i="4"/>
  <c r="N437" i="4"/>
  <c r="N438" i="4"/>
  <c r="N439" i="4"/>
  <c r="N440" i="4"/>
  <c r="N441" i="4"/>
  <c r="O441" i="4" s="1"/>
  <c r="N442" i="4"/>
  <c r="N443" i="4"/>
  <c r="N444" i="4"/>
  <c r="N445" i="4"/>
  <c r="N446" i="4"/>
  <c r="N447" i="4"/>
  <c r="N448" i="4"/>
  <c r="N449" i="4"/>
  <c r="M449" i="4" s="1"/>
  <c r="N450" i="4"/>
  <c r="N451" i="4"/>
  <c r="N452" i="4"/>
  <c r="N453" i="4"/>
  <c r="N454" i="4"/>
  <c r="N455" i="4"/>
  <c r="N456" i="4"/>
  <c r="N457" i="4"/>
  <c r="O457" i="4" s="1"/>
  <c r="N458" i="4"/>
  <c r="N459" i="4"/>
  <c r="N460" i="4"/>
  <c r="N461" i="4"/>
  <c r="N462" i="4"/>
  <c r="N463" i="4"/>
  <c r="N464" i="4"/>
  <c r="N465" i="4"/>
  <c r="O465" i="4" s="1"/>
  <c r="N466" i="4"/>
  <c r="N467" i="4"/>
  <c r="N468" i="4"/>
  <c r="N469" i="4"/>
  <c r="N470" i="4"/>
  <c r="N471" i="4"/>
  <c r="N472" i="4"/>
  <c r="N473" i="4"/>
  <c r="O473" i="4" s="1"/>
  <c r="N474" i="4"/>
  <c r="N475" i="4"/>
  <c r="N476" i="4"/>
  <c r="N477" i="4"/>
  <c r="N478" i="4"/>
  <c r="N479" i="4"/>
  <c r="N480" i="4"/>
  <c r="N481" i="4"/>
  <c r="O481" i="4" s="1"/>
  <c r="N482" i="4"/>
  <c r="N483" i="4"/>
  <c r="N484" i="4"/>
  <c r="N485" i="4"/>
  <c r="N486" i="4"/>
  <c r="N487" i="4"/>
  <c r="N488" i="4"/>
  <c r="N489" i="4"/>
  <c r="O489" i="4" s="1"/>
  <c r="N490" i="4"/>
  <c r="N491" i="4"/>
  <c r="N492" i="4"/>
  <c r="N493" i="4"/>
  <c r="N494" i="4"/>
  <c r="N495" i="4"/>
  <c r="N496" i="4"/>
  <c r="N497" i="4"/>
  <c r="O497" i="4" s="1"/>
  <c r="N498" i="4"/>
  <c r="N499" i="4"/>
  <c r="N500" i="4"/>
  <c r="N501" i="4"/>
  <c r="N502" i="4"/>
  <c r="N503" i="4"/>
  <c r="N504" i="4"/>
  <c r="N505" i="4"/>
  <c r="O505" i="4" s="1"/>
  <c r="N506" i="4"/>
  <c r="N507" i="4"/>
  <c r="N508" i="4"/>
  <c r="N509" i="4"/>
  <c r="N510" i="4"/>
  <c r="N511" i="4"/>
  <c r="N512" i="4"/>
  <c r="N513" i="4"/>
  <c r="M513" i="4" s="1"/>
  <c r="N514" i="4"/>
  <c r="N515" i="4"/>
  <c r="N516" i="4"/>
  <c r="N517" i="4"/>
  <c r="N518" i="4"/>
  <c r="N519" i="4"/>
  <c r="N520" i="4"/>
  <c r="N521" i="4"/>
  <c r="O521" i="4" s="1"/>
  <c r="N522" i="4"/>
  <c r="N523" i="4"/>
  <c r="N524" i="4"/>
  <c r="N525" i="4"/>
  <c r="N526" i="4"/>
  <c r="N527" i="4"/>
  <c r="N528" i="4"/>
  <c r="N529" i="4"/>
  <c r="O529" i="4" s="1"/>
  <c r="N530" i="4"/>
  <c r="N531" i="4"/>
  <c r="N532" i="4"/>
  <c r="N533" i="4"/>
  <c r="N534" i="4"/>
  <c r="N535" i="4"/>
  <c r="N536" i="4"/>
  <c r="N537" i="4"/>
  <c r="O537" i="4" s="1"/>
  <c r="N538" i="4"/>
  <c r="N539" i="4"/>
  <c r="N540" i="4"/>
  <c r="N541" i="4"/>
  <c r="N542" i="4"/>
  <c r="N543" i="4"/>
  <c r="N544" i="4"/>
  <c r="N545" i="4"/>
  <c r="O545" i="4" s="1"/>
  <c r="N546" i="4"/>
  <c r="N547" i="4"/>
  <c r="N548" i="4"/>
  <c r="N549" i="4"/>
  <c r="N550" i="4"/>
  <c r="N551" i="4"/>
  <c r="N552" i="4"/>
  <c r="N553" i="4"/>
  <c r="O553" i="4" s="1"/>
  <c r="N554" i="4"/>
  <c r="N555" i="4"/>
  <c r="N556" i="4"/>
  <c r="N557" i="4"/>
  <c r="N558" i="4"/>
  <c r="N559" i="4"/>
  <c r="N560" i="4"/>
  <c r="N561" i="4"/>
  <c r="O561" i="4" s="1"/>
  <c r="N562" i="4"/>
  <c r="N563" i="4"/>
  <c r="N564" i="4"/>
  <c r="N565" i="4"/>
  <c r="N566" i="4"/>
  <c r="N567" i="4"/>
  <c r="N568" i="4"/>
  <c r="N569" i="4"/>
  <c r="O569" i="4" s="1"/>
  <c r="N570" i="4"/>
  <c r="N571" i="4"/>
  <c r="N572" i="4"/>
  <c r="N573" i="4"/>
  <c r="N574" i="4"/>
  <c r="N575" i="4"/>
  <c r="N576" i="4"/>
  <c r="N577" i="4"/>
  <c r="M577" i="4" s="1"/>
  <c r="N578" i="4"/>
  <c r="N579" i="4"/>
  <c r="N580" i="4"/>
  <c r="N581" i="4"/>
  <c r="N582" i="4"/>
  <c r="N583" i="4"/>
  <c r="N584" i="4"/>
  <c r="N585" i="4"/>
  <c r="N586" i="4"/>
  <c r="N587" i="4"/>
  <c r="N588" i="4"/>
  <c r="O588" i="4" s="1"/>
  <c r="N589" i="4"/>
  <c r="N590" i="4"/>
  <c r="N591" i="4"/>
  <c r="N592" i="4"/>
  <c r="N593" i="4"/>
  <c r="N594" i="4"/>
  <c r="N595" i="4"/>
  <c r="N596" i="4"/>
  <c r="N597" i="4"/>
  <c r="N598" i="4"/>
  <c r="O598" i="4" s="1"/>
  <c r="N599" i="4"/>
  <c r="N600" i="4"/>
  <c r="N601" i="4"/>
  <c r="M601" i="4" s="1"/>
  <c r="N602" i="4"/>
  <c r="N603" i="4"/>
  <c r="N604" i="4"/>
  <c r="N605" i="4"/>
  <c r="M605" i="4" s="1"/>
  <c r="N606" i="4"/>
  <c r="N607" i="4"/>
  <c r="N608" i="4"/>
  <c r="N609" i="4"/>
  <c r="O609" i="4" s="1"/>
  <c r="N610" i="4"/>
  <c r="N611" i="4"/>
  <c r="N612" i="4"/>
  <c r="N613" i="4"/>
  <c r="N614" i="4"/>
  <c r="N615" i="4"/>
  <c r="N616" i="4"/>
  <c r="N617" i="4"/>
  <c r="M617" i="4" s="1"/>
  <c r="N618" i="4"/>
  <c r="N619" i="4"/>
  <c r="N620" i="4"/>
  <c r="O620" i="4" s="1"/>
  <c r="N621" i="4"/>
  <c r="M621" i="4" s="1"/>
  <c r="N622" i="4"/>
  <c r="N623" i="4"/>
  <c r="N624" i="4"/>
  <c r="N625" i="4"/>
  <c r="N626" i="4"/>
  <c r="N627" i="4"/>
  <c r="N628" i="4"/>
  <c r="N629" i="4"/>
  <c r="N630" i="4"/>
  <c r="O630" i="4" s="1"/>
  <c r="N631" i="4"/>
  <c r="N632" i="4"/>
  <c r="N633" i="4"/>
  <c r="M633" i="4" s="1"/>
  <c r="N634" i="4"/>
  <c r="N635" i="4"/>
  <c r="N636" i="4"/>
  <c r="N637" i="4"/>
  <c r="M637" i="4" s="1"/>
  <c r="N638" i="4"/>
  <c r="N639" i="4"/>
  <c r="N640" i="4"/>
  <c r="N641" i="4"/>
  <c r="O641" i="4" s="1"/>
  <c r="N642" i="4"/>
  <c r="N643" i="4"/>
  <c r="N644" i="4"/>
  <c r="N645" i="4"/>
  <c r="N646" i="4"/>
  <c r="N647" i="4"/>
  <c r="N648" i="4"/>
  <c r="N649" i="4"/>
  <c r="M649" i="4" s="1"/>
  <c r="N650" i="4"/>
  <c r="N651" i="4"/>
  <c r="N652" i="4"/>
  <c r="O652" i="4" s="1"/>
  <c r="N653" i="4"/>
  <c r="M653" i="4" s="1"/>
  <c r="N654" i="4"/>
  <c r="N655" i="4"/>
  <c r="N656" i="4"/>
  <c r="N657" i="4"/>
  <c r="N658" i="4"/>
  <c r="N659" i="4"/>
  <c r="N660" i="4"/>
  <c r="N661" i="4"/>
  <c r="N662" i="4"/>
  <c r="O662" i="4" s="1"/>
  <c r="N663" i="4"/>
  <c r="N664" i="4"/>
  <c r="N665" i="4"/>
  <c r="M665" i="4" s="1"/>
  <c r="N666" i="4"/>
  <c r="N667" i="4"/>
  <c r="N668" i="4"/>
  <c r="N669" i="4"/>
  <c r="M669" i="4" s="1"/>
  <c r="N670" i="4"/>
  <c r="N671" i="4"/>
  <c r="N672" i="4"/>
  <c r="N673" i="4"/>
  <c r="N674" i="4"/>
  <c r="N675" i="4"/>
  <c r="N676" i="4"/>
  <c r="N677" i="4"/>
  <c r="N678" i="4"/>
  <c r="N679" i="4"/>
  <c r="N680" i="4"/>
  <c r="N681" i="4"/>
  <c r="M681" i="4" s="1"/>
  <c r="N682" i="4"/>
  <c r="O682" i="4" s="1"/>
  <c r="N683" i="4"/>
  <c r="N684" i="4"/>
  <c r="N685" i="4"/>
  <c r="M685" i="4" s="1"/>
  <c r="N686" i="4"/>
  <c r="N687" i="4"/>
  <c r="N688" i="4"/>
  <c r="N689" i="4"/>
  <c r="N690" i="4"/>
  <c r="N691" i="4"/>
  <c r="N692" i="4"/>
  <c r="N693" i="4"/>
  <c r="N694" i="4"/>
  <c r="N695" i="4"/>
  <c r="N696" i="4"/>
  <c r="N697" i="4"/>
  <c r="M697" i="4" s="1"/>
  <c r="N698" i="4"/>
  <c r="N699" i="4"/>
  <c r="N700" i="4"/>
  <c r="N701" i="4"/>
  <c r="M701" i="4" s="1"/>
  <c r="N702" i="4"/>
  <c r="N703" i="4"/>
  <c r="O703" i="4" s="1"/>
  <c r="N704" i="4"/>
  <c r="N705" i="4"/>
  <c r="N706" i="4"/>
  <c r="N707" i="4"/>
  <c r="N708" i="4"/>
  <c r="N709" i="4"/>
  <c r="N710" i="4"/>
  <c r="N711" i="4"/>
  <c r="N712" i="4"/>
  <c r="N713" i="4"/>
  <c r="M713" i="4" s="1"/>
  <c r="N714" i="4"/>
  <c r="N715" i="4"/>
  <c r="N716" i="4"/>
  <c r="N717" i="4"/>
  <c r="M717" i="4" s="1"/>
  <c r="N718" i="4"/>
  <c r="N719" i="4"/>
  <c r="N720" i="4"/>
  <c r="N721" i="4"/>
  <c r="N722" i="4"/>
  <c r="N723" i="4"/>
  <c r="N724" i="4"/>
  <c r="N725" i="4"/>
  <c r="O725" i="4" s="1"/>
  <c r="N726" i="4"/>
  <c r="N727" i="4"/>
  <c r="N728" i="4"/>
  <c r="N729" i="4"/>
  <c r="M729" i="4" s="1"/>
  <c r="N730" i="4"/>
  <c r="N731" i="4"/>
  <c r="N732" i="4"/>
  <c r="N733" i="4"/>
  <c r="M733" i="4" s="1"/>
  <c r="N734" i="4"/>
  <c r="N735" i="4"/>
  <c r="N736" i="4"/>
  <c r="N737" i="4"/>
  <c r="N738" i="4"/>
  <c r="N739" i="4"/>
  <c r="N740" i="4"/>
  <c r="N741" i="4"/>
  <c r="N742" i="4"/>
  <c r="N743" i="4"/>
  <c r="N744" i="4"/>
  <c r="N745" i="4"/>
  <c r="M745" i="4" s="1"/>
  <c r="N746" i="4"/>
  <c r="O746" i="4" s="1"/>
  <c r="N747" i="4"/>
  <c r="N748" i="4"/>
  <c r="N749" i="4"/>
  <c r="M749" i="4" s="1"/>
  <c r="N750" i="4"/>
  <c r="N751" i="4"/>
  <c r="N752" i="4"/>
  <c r="N753" i="4"/>
  <c r="N754" i="4"/>
  <c r="N755" i="4"/>
  <c r="N756" i="4"/>
  <c r="N757" i="4"/>
  <c r="N758" i="4"/>
  <c r="N759" i="4"/>
  <c r="N760" i="4"/>
  <c r="N761" i="4"/>
  <c r="M761" i="4" s="1"/>
  <c r="N762" i="4"/>
  <c r="N763" i="4"/>
  <c r="N764" i="4"/>
  <c r="N765" i="4"/>
  <c r="M765" i="4" s="1"/>
  <c r="N766" i="4"/>
  <c r="N767" i="4"/>
  <c r="O767" i="4" s="1"/>
  <c r="N768" i="4"/>
  <c r="N769" i="4"/>
  <c r="N770" i="4"/>
  <c r="N771" i="4"/>
  <c r="N772" i="4"/>
  <c r="N773" i="4"/>
  <c r="N774" i="4"/>
  <c r="N775" i="4"/>
  <c r="N776" i="4"/>
  <c r="N777" i="4"/>
  <c r="M777" i="4" s="1"/>
  <c r="N778" i="4"/>
  <c r="N779" i="4"/>
  <c r="N780" i="4"/>
  <c r="N781" i="4"/>
  <c r="M781" i="4" s="1"/>
  <c r="N782" i="4"/>
  <c r="N783" i="4"/>
  <c r="N784" i="4"/>
  <c r="N785" i="4"/>
  <c r="N786" i="4"/>
  <c r="N787" i="4"/>
  <c r="N788" i="4"/>
  <c r="N789" i="4"/>
  <c r="O789" i="4" s="1"/>
  <c r="N790" i="4"/>
  <c r="N791" i="4"/>
  <c r="N792" i="4"/>
  <c r="N793" i="4"/>
  <c r="M793" i="4" s="1"/>
  <c r="N794" i="4"/>
  <c r="N795" i="4"/>
  <c r="N796" i="4"/>
  <c r="N797" i="4"/>
  <c r="M797" i="4" s="1"/>
  <c r="N798" i="4"/>
  <c r="N799" i="4"/>
  <c r="N800" i="4"/>
  <c r="N801" i="4"/>
  <c r="N802" i="4"/>
  <c r="N803" i="4"/>
  <c r="N804" i="4"/>
  <c r="N805" i="4"/>
  <c r="N806" i="4"/>
  <c r="N807" i="4"/>
  <c r="N808" i="4"/>
  <c r="N809" i="4"/>
  <c r="M809" i="4" s="1"/>
  <c r="N810" i="4"/>
  <c r="O810" i="4" s="1"/>
  <c r="N811" i="4"/>
  <c r="N812" i="4"/>
  <c r="N813" i="4"/>
  <c r="M813" i="4" s="1"/>
  <c r="N814" i="4"/>
  <c r="N815" i="4"/>
  <c r="N816" i="4"/>
  <c r="N817" i="4"/>
  <c r="N818" i="4"/>
  <c r="N819" i="4"/>
  <c r="N820" i="4"/>
  <c r="N821" i="4"/>
  <c r="N822" i="4"/>
  <c r="N823" i="4"/>
  <c r="N824" i="4"/>
  <c r="N825" i="4"/>
  <c r="M825" i="4" s="1"/>
  <c r="N826" i="4"/>
  <c r="N827" i="4"/>
  <c r="N828" i="4"/>
  <c r="N829" i="4"/>
  <c r="M829" i="4" s="1"/>
  <c r="N830" i="4"/>
  <c r="N831" i="4"/>
  <c r="O831" i="4" s="1"/>
  <c r="N832" i="4"/>
  <c r="N833" i="4"/>
  <c r="N834" i="4"/>
  <c r="N835" i="4"/>
  <c r="N836" i="4"/>
  <c r="N837" i="4"/>
  <c r="N838" i="4"/>
  <c r="N839" i="4"/>
  <c r="N840" i="4"/>
  <c r="N841" i="4"/>
  <c r="M841" i="4" s="1"/>
  <c r="N842" i="4"/>
  <c r="N843" i="4"/>
  <c r="N844" i="4"/>
  <c r="N845" i="4"/>
  <c r="M845" i="4" s="1"/>
  <c r="N846" i="4"/>
  <c r="N847" i="4"/>
  <c r="N848" i="4"/>
  <c r="N849" i="4"/>
  <c r="N850" i="4"/>
  <c r="N851" i="4"/>
  <c r="N852" i="4"/>
  <c r="N853" i="4"/>
  <c r="O853" i="4" s="1"/>
  <c r="N854" i="4"/>
  <c r="N855" i="4"/>
  <c r="N856" i="4"/>
  <c r="N857" i="4"/>
  <c r="M857" i="4" s="1"/>
  <c r="N858" i="4"/>
  <c r="N859" i="4"/>
  <c r="N860" i="4"/>
  <c r="N861" i="4"/>
  <c r="M861" i="4" s="1"/>
  <c r="N862" i="4"/>
  <c r="N863" i="4"/>
  <c r="N864" i="4"/>
  <c r="N865" i="4"/>
  <c r="N866" i="4"/>
  <c r="N867" i="4"/>
  <c r="N868" i="4"/>
  <c r="N869" i="4"/>
  <c r="N870" i="4"/>
  <c r="N871" i="4"/>
  <c r="N872" i="4"/>
  <c r="N873" i="4"/>
  <c r="M873" i="4" s="1"/>
  <c r="N874" i="4"/>
  <c r="O874" i="4" s="1"/>
  <c r="N875" i="4"/>
  <c r="N876" i="4"/>
  <c r="N877" i="4"/>
  <c r="M877" i="4" s="1"/>
  <c r="N878" i="4"/>
  <c r="N879" i="4"/>
  <c r="N880" i="4"/>
  <c r="N881" i="4"/>
  <c r="N882" i="4"/>
  <c r="N883" i="4"/>
  <c r="N884" i="4"/>
  <c r="N885" i="4"/>
  <c r="N886" i="4"/>
  <c r="N887" i="4"/>
  <c r="N888" i="4"/>
  <c r="N889" i="4"/>
  <c r="M889" i="4" s="1"/>
  <c r="N890" i="4"/>
  <c r="N891" i="4"/>
  <c r="N892" i="4"/>
  <c r="N893" i="4"/>
  <c r="M893" i="4" s="1"/>
  <c r="N894" i="4"/>
  <c r="N895" i="4"/>
  <c r="O895" i="4" s="1"/>
  <c r="N896" i="4"/>
  <c r="N897" i="4"/>
  <c r="N898" i="4"/>
  <c r="N899" i="4"/>
  <c r="N900" i="4"/>
  <c r="N901" i="4"/>
  <c r="N902" i="4"/>
  <c r="N903" i="4"/>
  <c r="N904" i="4"/>
  <c r="N905" i="4"/>
  <c r="M905" i="4" s="1"/>
  <c r="N906" i="4"/>
  <c r="N907" i="4"/>
  <c r="N908" i="4"/>
  <c r="N909" i="4"/>
  <c r="M909" i="4" s="1"/>
  <c r="N910" i="4"/>
  <c r="N911" i="4"/>
  <c r="N912" i="4"/>
  <c r="N913" i="4"/>
  <c r="N914" i="4"/>
  <c r="N915" i="4"/>
  <c r="N916" i="4"/>
  <c r="N917" i="4"/>
  <c r="O917" i="4" s="1"/>
  <c r="N918" i="4"/>
  <c r="N919" i="4"/>
  <c r="N920" i="4"/>
  <c r="N921" i="4"/>
  <c r="M921" i="4" s="1"/>
  <c r="N922" i="4"/>
  <c r="N923" i="4"/>
  <c r="N924" i="4"/>
  <c r="N925" i="4"/>
  <c r="M925" i="4" s="1"/>
  <c r="N926" i="4"/>
  <c r="N927" i="4"/>
  <c r="N928" i="4"/>
  <c r="N929" i="4"/>
  <c r="N930" i="4"/>
  <c r="N931" i="4"/>
  <c r="N932" i="4"/>
  <c r="N933" i="4"/>
  <c r="N934" i="4"/>
  <c r="N935" i="4"/>
  <c r="N936" i="4"/>
  <c r="N937" i="4"/>
  <c r="M937" i="4" s="1"/>
  <c r="N938" i="4"/>
  <c r="O938" i="4" s="1"/>
  <c r="N939" i="4"/>
  <c r="N940" i="4"/>
  <c r="N941" i="4"/>
  <c r="M941" i="4" s="1"/>
  <c r="N942" i="4"/>
  <c r="N943" i="4"/>
  <c r="N944" i="4"/>
  <c r="N945" i="4"/>
  <c r="N946" i="4"/>
  <c r="N947" i="4"/>
  <c r="N948" i="4"/>
  <c r="N949" i="4"/>
  <c r="N950" i="4"/>
  <c r="N951" i="4"/>
  <c r="N952" i="4"/>
  <c r="N953" i="4"/>
  <c r="M953" i="4" s="1"/>
  <c r="N954" i="4"/>
  <c r="N955" i="4"/>
  <c r="N956" i="4"/>
  <c r="N957" i="4"/>
  <c r="M957" i="4" s="1"/>
  <c r="N958" i="4"/>
  <c r="N959" i="4"/>
  <c r="O959" i="4" s="1"/>
  <c r="N960" i="4"/>
  <c r="N961" i="4"/>
  <c r="N962" i="4"/>
  <c r="N963" i="4"/>
  <c r="N964" i="4"/>
  <c r="N965" i="4"/>
  <c r="N966" i="4"/>
  <c r="N967" i="4"/>
  <c r="N968" i="4"/>
  <c r="N969" i="4"/>
  <c r="M969" i="4" s="1"/>
  <c r="N970" i="4"/>
  <c r="N971" i="4"/>
  <c r="N972" i="4"/>
  <c r="N973" i="4"/>
  <c r="M973" i="4" s="1"/>
  <c r="N974" i="4"/>
  <c r="N975" i="4"/>
  <c r="N976" i="4"/>
  <c r="N977" i="4"/>
  <c r="N978" i="4"/>
  <c r="N979" i="4"/>
  <c r="N980" i="4"/>
  <c r="N981" i="4"/>
  <c r="N982" i="4"/>
  <c r="N983" i="4"/>
  <c r="N984" i="4"/>
  <c r="N985" i="4"/>
  <c r="M985" i="4" s="1"/>
  <c r="N986" i="4"/>
  <c r="N987" i="4"/>
  <c r="N988" i="4"/>
  <c r="N989" i="4"/>
  <c r="M989" i="4" s="1"/>
  <c r="N990" i="4"/>
  <c r="N991" i="4"/>
  <c r="N992" i="4"/>
  <c r="N993" i="4"/>
  <c r="N994" i="4"/>
  <c r="N995" i="4"/>
  <c r="N996" i="4"/>
  <c r="N997" i="4"/>
  <c r="N998" i="4"/>
  <c r="N999" i="4"/>
  <c r="N1000" i="4"/>
  <c r="N1001" i="4"/>
  <c r="M1001" i="4" s="1"/>
  <c r="N2" i="4"/>
  <c r="J14" i="2"/>
  <c r="F14" i="2"/>
  <c r="J9" i="8"/>
  <c r="J7" i="8"/>
  <c r="J5" i="8"/>
  <c r="M4" i="4" l="1"/>
  <c r="M993" i="4"/>
  <c r="O993" i="4"/>
  <c r="O981" i="4"/>
  <c r="M981" i="4"/>
  <c r="M897" i="4"/>
  <c r="O897" i="4"/>
  <c r="O2" i="4"/>
  <c r="M2" i="4"/>
  <c r="O998" i="4"/>
  <c r="M998" i="4"/>
  <c r="O994" i="4"/>
  <c r="M994" i="4"/>
  <c r="O990" i="4"/>
  <c r="M990" i="4"/>
  <c r="O986" i="4"/>
  <c r="M986" i="4"/>
  <c r="O982" i="4"/>
  <c r="M982" i="4"/>
  <c r="O978" i="4"/>
  <c r="M978" i="4"/>
  <c r="O974" i="4"/>
  <c r="M974" i="4"/>
  <c r="O970" i="4"/>
  <c r="M970" i="4"/>
  <c r="O966" i="4"/>
  <c r="M966" i="4"/>
  <c r="O962" i="4"/>
  <c r="M962" i="4"/>
  <c r="O958" i="4"/>
  <c r="M958" i="4"/>
  <c r="O954" i="4"/>
  <c r="M954" i="4"/>
  <c r="O950" i="4"/>
  <c r="M950" i="4"/>
  <c r="O946" i="4"/>
  <c r="M946" i="4"/>
  <c r="O942" i="4"/>
  <c r="M942" i="4"/>
  <c r="O934" i="4"/>
  <c r="M934" i="4"/>
  <c r="O930" i="4"/>
  <c r="M930" i="4"/>
  <c r="O926" i="4"/>
  <c r="M926" i="4"/>
  <c r="O922" i="4"/>
  <c r="M922" i="4"/>
  <c r="O918" i="4"/>
  <c r="M918" i="4"/>
  <c r="O914" i="4"/>
  <c r="M914" i="4"/>
  <c r="O910" i="4"/>
  <c r="M910" i="4"/>
  <c r="O906" i="4"/>
  <c r="M906" i="4"/>
  <c r="O902" i="4"/>
  <c r="M902" i="4"/>
  <c r="O898" i="4"/>
  <c r="M898" i="4"/>
  <c r="O894" i="4"/>
  <c r="M894" i="4"/>
  <c r="O890" i="4"/>
  <c r="M890" i="4"/>
  <c r="O886" i="4"/>
  <c r="M886" i="4"/>
  <c r="O882" i="4"/>
  <c r="M882" i="4"/>
  <c r="O878" i="4"/>
  <c r="M878" i="4"/>
  <c r="O870" i="4"/>
  <c r="M870" i="4"/>
  <c r="O866" i="4"/>
  <c r="M866" i="4"/>
  <c r="O862" i="4"/>
  <c r="M862" i="4"/>
  <c r="O858" i="4"/>
  <c r="M858" i="4"/>
  <c r="O854" i="4"/>
  <c r="M854" i="4"/>
  <c r="O850" i="4"/>
  <c r="M850" i="4"/>
  <c r="O846" i="4"/>
  <c r="M846" i="4"/>
  <c r="O842" i="4"/>
  <c r="M842" i="4"/>
  <c r="O838" i="4"/>
  <c r="M838" i="4"/>
  <c r="O834" i="4"/>
  <c r="M834" i="4"/>
  <c r="O830" i="4"/>
  <c r="M830" i="4"/>
  <c r="O826" i="4"/>
  <c r="M826" i="4"/>
  <c r="O822" i="4"/>
  <c r="M822" i="4"/>
  <c r="O818" i="4"/>
  <c r="M818" i="4"/>
  <c r="O814" i="4"/>
  <c r="M814" i="4"/>
  <c r="O806" i="4"/>
  <c r="M806" i="4"/>
  <c r="O802" i="4"/>
  <c r="M802" i="4"/>
  <c r="O798" i="4"/>
  <c r="M798" i="4"/>
  <c r="O794" i="4"/>
  <c r="M794" i="4"/>
  <c r="O790" i="4"/>
  <c r="M790" i="4"/>
  <c r="O786" i="4"/>
  <c r="M786" i="4"/>
  <c r="O782" i="4"/>
  <c r="M782" i="4"/>
  <c r="O778" i="4"/>
  <c r="M778" i="4"/>
  <c r="O774" i="4"/>
  <c r="M774" i="4"/>
  <c r="O770" i="4"/>
  <c r="M770" i="4"/>
  <c r="O766" i="4"/>
  <c r="M766" i="4"/>
  <c r="O762" i="4"/>
  <c r="M762" i="4"/>
  <c r="O758" i="4"/>
  <c r="M758" i="4"/>
  <c r="O754" i="4"/>
  <c r="M754" i="4"/>
  <c r="O750" i="4"/>
  <c r="M750" i="4"/>
  <c r="O742" i="4"/>
  <c r="M742" i="4"/>
  <c r="O738" i="4"/>
  <c r="M738" i="4"/>
  <c r="O734" i="4"/>
  <c r="M734" i="4"/>
  <c r="O730" i="4"/>
  <c r="M730" i="4"/>
  <c r="O726" i="4"/>
  <c r="M726" i="4"/>
  <c r="O722" i="4"/>
  <c r="M722" i="4"/>
  <c r="O718" i="4"/>
  <c r="M718" i="4"/>
  <c r="O714" i="4"/>
  <c r="M714" i="4"/>
  <c r="O710" i="4"/>
  <c r="M710" i="4"/>
  <c r="O706" i="4"/>
  <c r="M706" i="4"/>
  <c r="O702" i="4"/>
  <c r="M702" i="4"/>
  <c r="O698" i="4"/>
  <c r="M698" i="4"/>
  <c r="O694" i="4"/>
  <c r="M694" i="4"/>
  <c r="O690" i="4"/>
  <c r="M690" i="4"/>
  <c r="O686" i="4"/>
  <c r="M686" i="4"/>
  <c r="O678" i="4"/>
  <c r="M678" i="4"/>
  <c r="O674" i="4"/>
  <c r="M674" i="4"/>
  <c r="O670" i="4"/>
  <c r="M670" i="4"/>
  <c r="O666" i="4"/>
  <c r="M666" i="4"/>
  <c r="O658" i="4"/>
  <c r="M658" i="4"/>
  <c r="O654" i="4"/>
  <c r="M654" i="4"/>
  <c r="O650" i="4"/>
  <c r="M650" i="4"/>
  <c r="O646" i="4"/>
  <c r="M646" i="4"/>
  <c r="O642" i="4"/>
  <c r="M642" i="4"/>
  <c r="O638" i="4"/>
  <c r="M638" i="4"/>
  <c r="O634" i="4"/>
  <c r="M634" i="4"/>
  <c r="O626" i="4"/>
  <c r="M626" i="4"/>
  <c r="O622" i="4"/>
  <c r="M622" i="4"/>
  <c r="O618" i="4"/>
  <c r="M618" i="4"/>
  <c r="O614" i="4"/>
  <c r="M614" i="4"/>
  <c r="O610" i="4"/>
  <c r="M610" i="4"/>
  <c r="O606" i="4"/>
  <c r="M606" i="4"/>
  <c r="O602" i="4"/>
  <c r="M602" i="4"/>
  <c r="O594" i="4"/>
  <c r="M594" i="4"/>
  <c r="O590" i="4"/>
  <c r="M590" i="4"/>
  <c r="O586" i="4"/>
  <c r="M586" i="4"/>
  <c r="O582" i="4"/>
  <c r="M582" i="4"/>
  <c r="O578" i="4"/>
  <c r="M578" i="4"/>
  <c r="O574" i="4"/>
  <c r="M574" i="4"/>
  <c r="O570" i="4"/>
  <c r="M570" i="4"/>
  <c r="O566" i="4"/>
  <c r="M566" i="4"/>
  <c r="O562" i="4"/>
  <c r="M562" i="4"/>
  <c r="O558" i="4"/>
  <c r="M558" i="4"/>
  <c r="O554" i="4"/>
  <c r="M554" i="4"/>
  <c r="O550" i="4"/>
  <c r="M550" i="4"/>
  <c r="O546" i="4"/>
  <c r="M546" i="4"/>
  <c r="O542" i="4"/>
  <c r="M542" i="4"/>
  <c r="O538" i="4"/>
  <c r="M538" i="4"/>
  <c r="O534" i="4"/>
  <c r="M534" i="4"/>
  <c r="O530" i="4"/>
  <c r="M530" i="4"/>
  <c r="O526" i="4"/>
  <c r="M526" i="4"/>
  <c r="O522" i="4"/>
  <c r="M522" i="4"/>
  <c r="O518" i="4"/>
  <c r="M518" i="4"/>
  <c r="O514" i="4"/>
  <c r="M514" i="4"/>
  <c r="O510" i="4"/>
  <c r="M510" i="4"/>
  <c r="O506" i="4"/>
  <c r="M506" i="4"/>
  <c r="O502" i="4"/>
  <c r="M502" i="4"/>
  <c r="O498" i="4"/>
  <c r="M498" i="4"/>
  <c r="O494" i="4"/>
  <c r="M494" i="4"/>
  <c r="O490" i="4"/>
  <c r="M490" i="4"/>
  <c r="O486" i="4"/>
  <c r="M486" i="4"/>
  <c r="O482" i="4"/>
  <c r="M482" i="4"/>
  <c r="O478" i="4"/>
  <c r="M478" i="4"/>
  <c r="O474" i="4"/>
  <c r="M474" i="4"/>
  <c r="O470" i="4"/>
  <c r="M470" i="4"/>
  <c r="O466" i="4"/>
  <c r="M466" i="4"/>
  <c r="O462" i="4"/>
  <c r="M462" i="4"/>
  <c r="O458" i="4"/>
  <c r="M458" i="4"/>
  <c r="O454" i="4"/>
  <c r="M454" i="4"/>
  <c r="O450" i="4"/>
  <c r="M450" i="4"/>
  <c r="O446" i="4"/>
  <c r="M446" i="4"/>
  <c r="O442" i="4"/>
  <c r="M442" i="4"/>
  <c r="O438" i="4"/>
  <c r="M438" i="4"/>
  <c r="O434" i="4"/>
  <c r="M434" i="4"/>
  <c r="M430" i="4"/>
  <c r="O430" i="4"/>
  <c r="O426" i="4"/>
  <c r="M426" i="4"/>
  <c r="O422" i="4"/>
  <c r="M422" i="4"/>
  <c r="O418" i="4"/>
  <c r="M418" i="4"/>
  <c r="O414" i="4"/>
  <c r="M414" i="4"/>
  <c r="O410" i="4"/>
  <c r="M410" i="4"/>
  <c r="O406" i="4"/>
  <c r="M406" i="4"/>
  <c r="O402" i="4"/>
  <c r="M402" i="4"/>
  <c r="O394" i="4"/>
  <c r="M394" i="4"/>
  <c r="O390" i="4"/>
  <c r="M390" i="4"/>
  <c r="O386" i="4"/>
  <c r="M386" i="4"/>
  <c r="O382" i="4"/>
  <c r="M382" i="4"/>
  <c r="O378" i="4"/>
  <c r="M378" i="4"/>
  <c r="O374" i="4"/>
  <c r="M374" i="4"/>
  <c r="O370" i="4"/>
  <c r="M370" i="4"/>
  <c r="O366" i="4"/>
  <c r="M366" i="4"/>
  <c r="O362" i="4"/>
  <c r="M362" i="4"/>
  <c r="O358" i="4"/>
  <c r="M358" i="4"/>
  <c r="O354" i="4"/>
  <c r="M354" i="4"/>
  <c r="O350" i="4"/>
  <c r="M350" i="4"/>
  <c r="O346" i="4"/>
  <c r="M346" i="4"/>
  <c r="O342" i="4"/>
  <c r="M342" i="4"/>
  <c r="O338" i="4"/>
  <c r="M338" i="4"/>
  <c r="O334" i="4"/>
  <c r="M334" i="4"/>
  <c r="O330" i="4"/>
  <c r="M330" i="4"/>
  <c r="O326" i="4"/>
  <c r="M326" i="4"/>
  <c r="O322" i="4"/>
  <c r="M322" i="4"/>
  <c r="O318" i="4"/>
  <c r="M318" i="4"/>
  <c r="O310" i="4"/>
  <c r="M310" i="4"/>
  <c r="O306" i="4"/>
  <c r="M306" i="4"/>
  <c r="O302" i="4"/>
  <c r="M302" i="4"/>
  <c r="O298" i="4"/>
  <c r="M298" i="4"/>
  <c r="O294" i="4"/>
  <c r="M294" i="4"/>
  <c r="O290" i="4"/>
  <c r="M290" i="4"/>
  <c r="O286" i="4"/>
  <c r="M286" i="4"/>
  <c r="O282" i="4"/>
  <c r="M282" i="4"/>
  <c r="O278" i="4"/>
  <c r="M278" i="4"/>
  <c r="O274" i="4"/>
  <c r="M274" i="4"/>
  <c r="O270" i="4"/>
  <c r="M270" i="4"/>
  <c r="O266" i="4"/>
  <c r="M266" i="4"/>
  <c r="O262" i="4"/>
  <c r="M262" i="4"/>
  <c r="O258" i="4"/>
  <c r="M258" i="4"/>
  <c r="O254" i="4"/>
  <c r="M254" i="4"/>
  <c r="M250" i="4"/>
  <c r="O250" i="4"/>
  <c r="O246" i="4"/>
  <c r="M246" i="4"/>
  <c r="O242" i="4"/>
  <c r="M242" i="4"/>
  <c r="O238" i="4"/>
  <c r="M238" i="4"/>
  <c r="O234" i="4"/>
  <c r="M234" i="4"/>
  <c r="O230" i="4"/>
  <c r="M230" i="4"/>
  <c r="O226" i="4"/>
  <c r="M226" i="4"/>
  <c r="O222" i="4"/>
  <c r="M222" i="4"/>
  <c r="O218" i="4"/>
  <c r="M218" i="4"/>
  <c r="O214" i="4"/>
  <c r="M214" i="4"/>
  <c r="O210" i="4"/>
  <c r="M210" i="4"/>
  <c r="O206" i="4"/>
  <c r="M206" i="4"/>
  <c r="O202" i="4"/>
  <c r="M202" i="4"/>
  <c r="O198" i="4"/>
  <c r="M198" i="4"/>
  <c r="O194" i="4"/>
  <c r="M194" i="4"/>
  <c r="O190" i="4"/>
  <c r="M190" i="4"/>
  <c r="O182" i="4"/>
  <c r="M182" i="4"/>
  <c r="O178" i="4"/>
  <c r="M178" i="4"/>
  <c r="O174" i="4"/>
  <c r="M174" i="4"/>
  <c r="O170" i="4"/>
  <c r="M170" i="4"/>
  <c r="O166" i="4"/>
  <c r="M166" i="4"/>
  <c r="O162" i="4"/>
  <c r="M162" i="4"/>
  <c r="O158" i="4"/>
  <c r="M158" i="4"/>
  <c r="O154" i="4"/>
  <c r="M154" i="4"/>
  <c r="O150" i="4"/>
  <c r="M150" i="4"/>
  <c r="O146" i="4"/>
  <c r="M146" i="4"/>
  <c r="O142" i="4"/>
  <c r="M142" i="4"/>
  <c r="O138" i="4"/>
  <c r="M138" i="4"/>
  <c r="O134" i="4"/>
  <c r="M134" i="4"/>
  <c r="O130" i="4"/>
  <c r="M130" i="4"/>
  <c r="O126" i="4"/>
  <c r="M126" i="4"/>
  <c r="M122" i="4"/>
  <c r="O122" i="4"/>
  <c r="O118" i="4"/>
  <c r="M118" i="4"/>
  <c r="O114" i="4"/>
  <c r="M114" i="4"/>
  <c r="O110" i="4"/>
  <c r="M110" i="4"/>
  <c r="O106" i="4"/>
  <c r="M106" i="4"/>
  <c r="O102" i="4"/>
  <c r="M102" i="4"/>
  <c r="O98" i="4"/>
  <c r="M98" i="4"/>
  <c r="O94" i="4"/>
  <c r="M94" i="4"/>
  <c r="O90" i="4"/>
  <c r="M90" i="4"/>
  <c r="O86" i="4"/>
  <c r="M86" i="4"/>
  <c r="O82" i="4"/>
  <c r="M82" i="4"/>
  <c r="O78" i="4"/>
  <c r="M78" i="4"/>
  <c r="O74" i="4"/>
  <c r="M74" i="4"/>
  <c r="O70" i="4"/>
  <c r="M70" i="4"/>
  <c r="O66" i="4"/>
  <c r="M66" i="4"/>
  <c r="O62" i="4"/>
  <c r="M62" i="4"/>
  <c r="O58" i="4"/>
  <c r="M58" i="4"/>
  <c r="O54" i="4"/>
  <c r="M54" i="4"/>
  <c r="O50" i="4"/>
  <c r="M50" i="4"/>
  <c r="O46" i="4"/>
  <c r="M46" i="4"/>
  <c r="O42" i="4"/>
  <c r="M42" i="4"/>
  <c r="O38" i="4"/>
  <c r="M38" i="4"/>
  <c r="O34" i="4"/>
  <c r="M34" i="4"/>
  <c r="O30" i="4"/>
  <c r="M30" i="4"/>
  <c r="O26" i="4"/>
  <c r="M26" i="4"/>
  <c r="O22" i="4"/>
  <c r="M22" i="4"/>
  <c r="O18" i="4"/>
  <c r="M18" i="4"/>
  <c r="O14" i="4"/>
  <c r="M14" i="4"/>
  <c r="O10" i="4"/>
  <c r="M10" i="4"/>
  <c r="O6" i="4"/>
  <c r="M6" i="4"/>
  <c r="O973" i="4"/>
  <c r="O941" i="4"/>
  <c r="O909" i="4"/>
  <c r="O877" i="4"/>
  <c r="O845" i="4"/>
  <c r="O813" i="4"/>
  <c r="O781" i="4"/>
  <c r="O749" i="4"/>
  <c r="O717" i="4"/>
  <c r="O685" i="4"/>
  <c r="O653" i="4"/>
  <c r="O621" i="4"/>
  <c r="O577" i="4"/>
  <c r="O513" i="4"/>
  <c r="O449" i="4"/>
  <c r="O314" i="4"/>
  <c r="M8" i="4"/>
  <c r="M16" i="4"/>
  <c r="M24" i="4"/>
  <c r="M32" i="4"/>
  <c r="M40" i="4"/>
  <c r="M48" i="4"/>
  <c r="M56" i="4"/>
  <c r="M64" i="4"/>
  <c r="M72" i="4"/>
  <c r="M80" i="4"/>
  <c r="M89" i="4"/>
  <c r="M121" i="4"/>
  <c r="M153" i="4"/>
  <c r="M185" i="4"/>
  <c r="M217" i="4"/>
  <c r="M249" i="4"/>
  <c r="M281" i="4"/>
  <c r="M313" i="4"/>
  <c r="M345" i="4"/>
  <c r="M377" i="4"/>
  <c r="M409" i="4"/>
  <c r="M441" i="4"/>
  <c r="M473" i="4"/>
  <c r="M505" i="4"/>
  <c r="M537" i="4"/>
  <c r="M569" i="4"/>
  <c r="M609" i="4"/>
  <c r="M652" i="4"/>
  <c r="M725" i="4"/>
  <c r="M810" i="4"/>
  <c r="M895" i="4"/>
  <c r="M997" i="4"/>
  <c r="O997" i="4"/>
  <c r="M945" i="4"/>
  <c r="O945" i="4"/>
  <c r="M929" i="4"/>
  <c r="O929" i="4"/>
  <c r="M901" i="4"/>
  <c r="O901" i="4"/>
  <c r="M885" i="4"/>
  <c r="O885" i="4"/>
  <c r="M869" i="4"/>
  <c r="O869" i="4"/>
  <c r="M865" i="4"/>
  <c r="O865" i="4"/>
  <c r="M849" i="4"/>
  <c r="O849" i="4"/>
  <c r="M837" i="4"/>
  <c r="O837" i="4"/>
  <c r="M833" i="4"/>
  <c r="O833" i="4"/>
  <c r="M821" i="4"/>
  <c r="O821" i="4"/>
  <c r="M817" i="4"/>
  <c r="O817" i="4"/>
  <c r="M805" i="4"/>
  <c r="O805" i="4"/>
  <c r="M801" i="4"/>
  <c r="O801" i="4"/>
  <c r="M785" i="4"/>
  <c r="O785" i="4"/>
  <c r="M773" i="4"/>
  <c r="O773" i="4"/>
  <c r="M769" i="4"/>
  <c r="O769" i="4"/>
  <c r="M757" i="4"/>
  <c r="O757" i="4"/>
  <c r="M753" i="4"/>
  <c r="O753" i="4"/>
  <c r="M741" i="4"/>
  <c r="O741" i="4"/>
  <c r="M737" i="4"/>
  <c r="O737" i="4"/>
  <c r="M721" i="4"/>
  <c r="O721" i="4"/>
  <c r="M709" i="4"/>
  <c r="O709" i="4"/>
  <c r="M705" i="4"/>
  <c r="O705" i="4"/>
  <c r="M693" i="4"/>
  <c r="O693" i="4"/>
  <c r="M689" i="4"/>
  <c r="O689" i="4"/>
  <c r="M677" i="4"/>
  <c r="O677" i="4"/>
  <c r="M673" i="4"/>
  <c r="O673" i="4"/>
  <c r="O661" i="4"/>
  <c r="M661" i="4"/>
  <c r="M657" i="4"/>
  <c r="O657" i="4"/>
  <c r="M645" i="4"/>
  <c r="O645" i="4"/>
  <c r="O629" i="4"/>
  <c r="M629" i="4"/>
  <c r="M625" i="4"/>
  <c r="O625" i="4"/>
  <c r="M613" i="4"/>
  <c r="O613" i="4"/>
  <c r="O597" i="4"/>
  <c r="M597" i="4"/>
  <c r="M593" i="4"/>
  <c r="O593" i="4"/>
  <c r="O589" i="4"/>
  <c r="M589" i="4"/>
  <c r="M585" i="4"/>
  <c r="O585" i="4"/>
  <c r="O581" i="4"/>
  <c r="M581" i="4"/>
  <c r="O573" i="4"/>
  <c r="M573" i="4"/>
  <c r="O565" i="4"/>
  <c r="M565" i="4"/>
  <c r="O557" i="4"/>
  <c r="M557" i="4"/>
  <c r="O549" i="4"/>
  <c r="M549" i="4"/>
  <c r="O541" i="4"/>
  <c r="M541" i="4"/>
  <c r="O533" i="4"/>
  <c r="M533" i="4"/>
  <c r="O525" i="4"/>
  <c r="M525" i="4"/>
  <c r="O517" i="4"/>
  <c r="M517" i="4"/>
  <c r="O509" i="4"/>
  <c r="M509" i="4"/>
  <c r="O501" i="4"/>
  <c r="M501" i="4"/>
  <c r="O493" i="4"/>
  <c r="M493" i="4"/>
  <c r="O485" i="4"/>
  <c r="M485" i="4"/>
  <c r="O477" i="4"/>
  <c r="M477" i="4"/>
  <c r="O469" i="4"/>
  <c r="M469" i="4"/>
  <c r="O461" i="4"/>
  <c r="M461" i="4"/>
  <c r="O453" i="4"/>
  <c r="M453" i="4"/>
  <c r="O445" i="4"/>
  <c r="M445" i="4"/>
  <c r="O437" i="4"/>
  <c r="M437" i="4"/>
  <c r="O429" i="4"/>
  <c r="M429" i="4"/>
  <c r="O421" i="4"/>
  <c r="M421" i="4"/>
  <c r="O413" i="4"/>
  <c r="M413" i="4"/>
  <c r="O405" i="4"/>
  <c r="M405" i="4"/>
  <c r="O397" i="4"/>
  <c r="M397" i="4"/>
  <c r="O389" i="4"/>
  <c r="M389" i="4"/>
  <c r="O381" i="4"/>
  <c r="M381" i="4"/>
  <c r="O373" i="4"/>
  <c r="M373" i="4"/>
  <c r="O365" i="4"/>
  <c r="M365" i="4"/>
  <c r="O357" i="4"/>
  <c r="M357" i="4"/>
  <c r="O349" i="4"/>
  <c r="M349" i="4"/>
  <c r="O341" i="4"/>
  <c r="M341" i="4"/>
  <c r="O333" i="4"/>
  <c r="M333" i="4"/>
  <c r="O325" i="4"/>
  <c r="M325" i="4"/>
  <c r="O317" i="4"/>
  <c r="M317" i="4"/>
  <c r="O309" i="4"/>
  <c r="M309" i="4"/>
  <c r="O301" i="4"/>
  <c r="M301" i="4"/>
  <c r="O285" i="4"/>
  <c r="M285" i="4"/>
  <c r="O277" i="4"/>
  <c r="M277" i="4"/>
  <c r="O269" i="4"/>
  <c r="M269" i="4"/>
  <c r="O261" i="4"/>
  <c r="M261" i="4"/>
  <c r="O253" i="4"/>
  <c r="M253" i="4"/>
  <c r="O245" i="4"/>
  <c r="M245" i="4"/>
  <c r="O237" i="4"/>
  <c r="M237" i="4"/>
  <c r="M229" i="4"/>
  <c r="O229" i="4"/>
  <c r="O221" i="4"/>
  <c r="M221" i="4"/>
  <c r="O213" i="4"/>
  <c r="M213" i="4"/>
  <c r="O205" i="4"/>
  <c r="M205" i="4"/>
  <c r="O197" i="4"/>
  <c r="M197" i="4"/>
  <c r="O189" i="4"/>
  <c r="M189" i="4"/>
  <c r="O181" i="4"/>
  <c r="M181" i="4"/>
  <c r="O173" i="4"/>
  <c r="M173" i="4"/>
  <c r="O157" i="4"/>
  <c r="M157" i="4"/>
  <c r="O149" i="4"/>
  <c r="M149" i="4"/>
  <c r="O141" i="4"/>
  <c r="M141" i="4"/>
  <c r="O133" i="4"/>
  <c r="M133" i="4"/>
  <c r="O125" i="4"/>
  <c r="M125" i="4"/>
  <c r="O117" i="4"/>
  <c r="M117" i="4"/>
  <c r="O109" i="4"/>
  <c r="M109" i="4"/>
  <c r="M101" i="4"/>
  <c r="O101" i="4"/>
  <c r="O93" i="4"/>
  <c r="M93" i="4"/>
  <c r="O1001" i="4"/>
  <c r="O969" i="4"/>
  <c r="O937" i="4"/>
  <c r="O905" i="4"/>
  <c r="O873" i="4"/>
  <c r="O841" i="4"/>
  <c r="O809" i="4"/>
  <c r="O777" i="4"/>
  <c r="O745" i="4"/>
  <c r="O713" i="4"/>
  <c r="O681" i="4"/>
  <c r="O649" i="4"/>
  <c r="O617" i="4"/>
  <c r="O293" i="4"/>
  <c r="M9" i="4"/>
  <c r="M17" i="4"/>
  <c r="M25" i="4"/>
  <c r="M33" i="4"/>
  <c r="M41" i="4"/>
  <c r="M49" i="4"/>
  <c r="M57" i="4"/>
  <c r="M65" i="4"/>
  <c r="M73" i="4"/>
  <c r="M81" i="4"/>
  <c r="M97" i="4"/>
  <c r="M129" i="4"/>
  <c r="M161" i="4"/>
  <c r="M193" i="4"/>
  <c r="M225" i="4"/>
  <c r="M257" i="4"/>
  <c r="M289" i="4"/>
  <c r="M321" i="4"/>
  <c r="M353" i="4"/>
  <c r="M385" i="4"/>
  <c r="M417" i="4"/>
  <c r="M481" i="4"/>
  <c r="M545" i="4"/>
  <c r="M620" i="4"/>
  <c r="M662" i="4"/>
  <c r="M746" i="4"/>
  <c r="M831" i="4"/>
  <c r="M917" i="4"/>
  <c r="M977" i="4"/>
  <c r="O977" i="4"/>
  <c r="M965" i="4"/>
  <c r="O965" i="4"/>
  <c r="M933" i="4"/>
  <c r="O933" i="4"/>
  <c r="M881" i="4"/>
  <c r="O881" i="4"/>
  <c r="O1000" i="4"/>
  <c r="M1000" i="4"/>
  <c r="O992" i="4"/>
  <c r="M992" i="4"/>
  <c r="O984" i="4"/>
  <c r="M984" i="4"/>
  <c r="O976" i="4"/>
  <c r="M976" i="4"/>
  <c r="O968" i="4"/>
  <c r="M968" i="4"/>
  <c r="O960" i="4"/>
  <c r="M960" i="4"/>
  <c r="O956" i="4"/>
  <c r="M956" i="4"/>
  <c r="O952" i="4"/>
  <c r="M952" i="4"/>
  <c r="O948" i="4"/>
  <c r="M948" i="4"/>
  <c r="O944" i="4"/>
  <c r="M944" i="4"/>
  <c r="O936" i="4"/>
  <c r="M936" i="4"/>
  <c r="O932" i="4"/>
  <c r="M932" i="4"/>
  <c r="O928" i="4"/>
  <c r="M928" i="4"/>
  <c r="O924" i="4"/>
  <c r="M924" i="4"/>
  <c r="O920" i="4"/>
  <c r="M920" i="4"/>
  <c r="O916" i="4"/>
  <c r="M916" i="4"/>
  <c r="O912" i="4"/>
  <c r="M912" i="4"/>
  <c r="O908" i="4"/>
  <c r="M908" i="4"/>
  <c r="O904" i="4"/>
  <c r="M904" i="4"/>
  <c r="O900" i="4"/>
  <c r="M900" i="4"/>
  <c r="O896" i="4"/>
  <c r="M896" i="4"/>
  <c r="O892" i="4"/>
  <c r="M892" i="4"/>
  <c r="O888" i="4"/>
  <c r="M888" i="4"/>
  <c r="O884" i="4"/>
  <c r="M884" i="4"/>
  <c r="O880" i="4"/>
  <c r="M880" i="4"/>
  <c r="O876" i="4"/>
  <c r="M876" i="4"/>
  <c r="O872" i="4"/>
  <c r="M872" i="4"/>
  <c r="O868" i="4"/>
  <c r="M868" i="4"/>
  <c r="O864" i="4"/>
  <c r="M864" i="4"/>
  <c r="O860" i="4"/>
  <c r="M860" i="4"/>
  <c r="O856" i="4"/>
  <c r="M856" i="4"/>
  <c r="O852" i="4"/>
  <c r="M852" i="4"/>
  <c r="O848" i="4"/>
  <c r="M848" i="4"/>
  <c r="O844" i="4"/>
  <c r="M844" i="4"/>
  <c r="O840" i="4"/>
  <c r="M840" i="4"/>
  <c r="O836" i="4"/>
  <c r="M836" i="4"/>
  <c r="O832" i="4"/>
  <c r="M832" i="4"/>
  <c r="O828" i="4"/>
  <c r="M828" i="4"/>
  <c r="O824" i="4"/>
  <c r="M824" i="4"/>
  <c r="O820" i="4"/>
  <c r="M820" i="4"/>
  <c r="O816" i="4"/>
  <c r="M816" i="4"/>
  <c r="O812" i="4"/>
  <c r="M812" i="4"/>
  <c r="O808" i="4"/>
  <c r="M808" i="4"/>
  <c r="O804" i="4"/>
  <c r="M804" i="4"/>
  <c r="O800" i="4"/>
  <c r="M800" i="4"/>
  <c r="O796" i="4"/>
  <c r="M796" i="4"/>
  <c r="O792" i="4"/>
  <c r="M792" i="4"/>
  <c r="O788" i="4"/>
  <c r="M788" i="4"/>
  <c r="O784" i="4"/>
  <c r="M784" i="4"/>
  <c r="O780" i="4"/>
  <c r="M780" i="4"/>
  <c r="O776" i="4"/>
  <c r="M776" i="4"/>
  <c r="O772" i="4"/>
  <c r="M772" i="4"/>
  <c r="O768" i="4"/>
  <c r="M768" i="4"/>
  <c r="O764" i="4"/>
  <c r="M764" i="4"/>
  <c r="O760" i="4"/>
  <c r="M760" i="4"/>
  <c r="O756" i="4"/>
  <c r="M756" i="4"/>
  <c r="O752" i="4"/>
  <c r="M752" i="4"/>
  <c r="O748" i="4"/>
  <c r="M748" i="4"/>
  <c r="O744" i="4"/>
  <c r="M744" i="4"/>
  <c r="O740" i="4"/>
  <c r="M740" i="4"/>
  <c r="O736" i="4"/>
  <c r="M736" i="4"/>
  <c r="O732" i="4"/>
  <c r="M732" i="4"/>
  <c r="O728" i="4"/>
  <c r="M728" i="4"/>
  <c r="O724" i="4"/>
  <c r="M724" i="4"/>
  <c r="O720" i="4"/>
  <c r="M720" i="4"/>
  <c r="O716" i="4"/>
  <c r="M716" i="4"/>
  <c r="O712" i="4"/>
  <c r="M712" i="4"/>
  <c r="O708" i="4"/>
  <c r="M708" i="4"/>
  <c r="O704" i="4"/>
  <c r="M704" i="4"/>
  <c r="O700" i="4"/>
  <c r="M700" i="4"/>
  <c r="O696" i="4"/>
  <c r="M696" i="4"/>
  <c r="O692" i="4"/>
  <c r="M692" i="4"/>
  <c r="O688" i="4"/>
  <c r="M688" i="4"/>
  <c r="O684" i="4"/>
  <c r="M684" i="4"/>
  <c r="O680" i="4"/>
  <c r="M680" i="4"/>
  <c r="O676" i="4"/>
  <c r="M676" i="4"/>
  <c r="O672" i="4"/>
  <c r="M672" i="4"/>
  <c r="O668" i="4"/>
  <c r="M668" i="4"/>
  <c r="O664" i="4"/>
  <c r="M664" i="4"/>
  <c r="O660" i="4"/>
  <c r="M660" i="4"/>
  <c r="O656" i="4"/>
  <c r="M656" i="4"/>
  <c r="O648" i="4"/>
  <c r="M648" i="4"/>
  <c r="O644" i="4"/>
  <c r="M644" i="4"/>
  <c r="O640" i="4"/>
  <c r="M640" i="4"/>
  <c r="O636" i="4"/>
  <c r="M636" i="4"/>
  <c r="O632" i="4"/>
  <c r="M632" i="4"/>
  <c r="O628" i="4"/>
  <c r="M628" i="4"/>
  <c r="O624" i="4"/>
  <c r="M624" i="4"/>
  <c r="O616" i="4"/>
  <c r="M616" i="4"/>
  <c r="O612" i="4"/>
  <c r="M612" i="4"/>
  <c r="O608" i="4"/>
  <c r="M608" i="4"/>
  <c r="O604" i="4"/>
  <c r="M604" i="4"/>
  <c r="O600" i="4"/>
  <c r="M600" i="4"/>
  <c r="O596" i="4"/>
  <c r="M596" i="4"/>
  <c r="O592" i="4"/>
  <c r="M592" i="4"/>
  <c r="O584" i="4"/>
  <c r="M584" i="4"/>
  <c r="O580" i="4"/>
  <c r="M580" i="4"/>
  <c r="O576" i="4"/>
  <c r="M576" i="4"/>
  <c r="O572" i="4"/>
  <c r="M572" i="4"/>
  <c r="O568" i="4"/>
  <c r="M568" i="4"/>
  <c r="O564" i="4"/>
  <c r="M564" i="4"/>
  <c r="O560" i="4"/>
  <c r="M560" i="4"/>
  <c r="O556" i="4"/>
  <c r="M556" i="4"/>
  <c r="O552" i="4"/>
  <c r="M552" i="4"/>
  <c r="O548" i="4"/>
  <c r="M548" i="4"/>
  <c r="O544" i="4"/>
  <c r="M544" i="4"/>
  <c r="O540" i="4"/>
  <c r="M540" i="4"/>
  <c r="O536" i="4"/>
  <c r="M536" i="4"/>
  <c r="O532" i="4"/>
  <c r="M532" i="4"/>
  <c r="O528" i="4"/>
  <c r="M528" i="4"/>
  <c r="O524" i="4"/>
  <c r="M524" i="4"/>
  <c r="O520" i="4"/>
  <c r="M520" i="4"/>
  <c r="O516" i="4"/>
  <c r="M516" i="4"/>
  <c r="O512" i="4"/>
  <c r="M512" i="4"/>
  <c r="O508" i="4"/>
  <c r="M508" i="4"/>
  <c r="O504" i="4"/>
  <c r="M504" i="4"/>
  <c r="O500" i="4"/>
  <c r="M500" i="4"/>
  <c r="O496" i="4"/>
  <c r="M496" i="4"/>
  <c r="O492" i="4"/>
  <c r="M492" i="4"/>
  <c r="O488" i="4"/>
  <c r="M488" i="4"/>
  <c r="O484" i="4"/>
  <c r="M484" i="4"/>
  <c r="O480" i="4"/>
  <c r="M480" i="4"/>
  <c r="O476" i="4"/>
  <c r="M476" i="4"/>
  <c r="O472" i="4"/>
  <c r="M472" i="4"/>
  <c r="O468" i="4"/>
  <c r="M468" i="4"/>
  <c r="O464" i="4"/>
  <c r="M464" i="4"/>
  <c r="O460" i="4"/>
  <c r="M460" i="4"/>
  <c r="O456" i="4"/>
  <c r="M456" i="4"/>
  <c r="O452" i="4"/>
  <c r="M452" i="4"/>
  <c r="O448" i="4"/>
  <c r="M448" i="4"/>
  <c r="O444" i="4"/>
  <c r="M444" i="4"/>
  <c r="O440" i="4"/>
  <c r="M440" i="4"/>
  <c r="O436" i="4"/>
  <c r="M436" i="4"/>
  <c r="O432" i="4"/>
  <c r="M432" i="4"/>
  <c r="O428" i="4"/>
  <c r="M428" i="4"/>
  <c r="O424" i="4"/>
  <c r="M424" i="4"/>
  <c r="O420" i="4"/>
  <c r="M420" i="4"/>
  <c r="O416" i="4"/>
  <c r="M416" i="4"/>
  <c r="O412" i="4"/>
  <c r="M412" i="4"/>
  <c r="O408" i="4"/>
  <c r="M408" i="4"/>
  <c r="O404" i="4"/>
  <c r="M404" i="4"/>
  <c r="O400" i="4"/>
  <c r="M400" i="4"/>
  <c r="O396" i="4"/>
  <c r="M396" i="4"/>
  <c r="O392" i="4"/>
  <c r="M392" i="4"/>
  <c r="O388" i="4"/>
  <c r="M388" i="4"/>
  <c r="O384" i="4"/>
  <c r="M384" i="4"/>
  <c r="O380" i="4"/>
  <c r="M380" i="4"/>
  <c r="O376" i="4"/>
  <c r="M376" i="4"/>
  <c r="O372" i="4"/>
  <c r="M372" i="4"/>
  <c r="O368" i="4"/>
  <c r="M368" i="4"/>
  <c r="O364" i="4"/>
  <c r="M364" i="4"/>
  <c r="O360" i="4"/>
  <c r="M360" i="4"/>
  <c r="O356" i="4"/>
  <c r="M356" i="4"/>
  <c r="O352" i="4"/>
  <c r="M352" i="4"/>
  <c r="O348" i="4"/>
  <c r="M348" i="4"/>
  <c r="O344" i="4"/>
  <c r="M344" i="4"/>
  <c r="O340" i="4"/>
  <c r="M340" i="4"/>
  <c r="O336" i="4"/>
  <c r="M336" i="4"/>
  <c r="O332" i="4"/>
  <c r="M332" i="4"/>
  <c r="O328" i="4"/>
  <c r="M328" i="4"/>
  <c r="O324" i="4"/>
  <c r="M324" i="4"/>
  <c r="O320" i="4"/>
  <c r="M320" i="4"/>
  <c r="O316" i="4"/>
  <c r="M316" i="4"/>
  <c r="O312" i="4"/>
  <c r="M312" i="4"/>
  <c r="O308" i="4"/>
  <c r="M308" i="4"/>
  <c r="O304" i="4"/>
  <c r="M304" i="4"/>
  <c r="O300" i="4"/>
  <c r="M300" i="4"/>
  <c r="O296" i="4"/>
  <c r="M296" i="4"/>
  <c r="O292" i="4"/>
  <c r="M292" i="4"/>
  <c r="O288" i="4"/>
  <c r="M288" i="4"/>
  <c r="O284" i="4"/>
  <c r="M284" i="4"/>
  <c r="O280" i="4"/>
  <c r="M280" i="4"/>
  <c r="O276" i="4"/>
  <c r="M276" i="4"/>
  <c r="O272" i="4"/>
  <c r="M272" i="4"/>
  <c r="O268" i="4"/>
  <c r="M268" i="4"/>
  <c r="O264" i="4"/>
  <c r="M264" i="4"/>
  <c r="O260" i="4"/>
  <c r="M260" i="4"/>
  <c r="O256" i="4"/>
  <c r="M256" i="4"/>
  <c r="O252" i="4"/>
  <c r="M252" i="4"/>
  <c r="O248" i="4"/>
  <c r="M248" i="4"/>
  <c r="O244" i="4"/>
  <c r="M244" i="4"/>
  <c r="O240" i="4"/>
  <c r="M240" i="4"/>
  <c r="O236" i="4"/>
  <c r="M236" i="4"/>
  <c r="O232" i="4"/>
  <c r="M232" i="4"/>
  <c r="O228" i="4"/>
  <c r="M228" i="4"/>
  <c r="O224" i="4"/>
  <c r="M224" i="4"/>
  <c r="O220" i="4"/>
  <c r="M220" i="4"/>
  <c r="O216" i="4"/>
  <c r="M216" i="4"/>
  <c r="O212" i="4"/>
  <c r="M212" i="4"/>
  <c r="O208" i="4"/>
  <c r="M208" i="4"/>
  <c r="O204" i="4"/>
  <c r="M204" i="4"/>
  <c r="O200" i="4"/>
  <c r="M200" i="4"/>
  <c r="O196" i="4"/>
  <c r="M196" i="4"/>
  <c r="O192" i="4"/>
  <c r="M192" i="4"/>
  <c r="O188" i="4"/>
  <c r="M188" i="4"/>
  <c r="O184" i="4"/>
  <c r="M184" i="4"/>
  <c r="O180" i="4"/>
  <c r="M180" i="4"/>
  <c r="O176" i="4"/>
  <c r="M176" i="4"/>
  <c r="O172" i="4"/>
  <c r="M172" i="4"/>
  <c r="O168" i="4"/>
  <c r="M168" i="4"/>
  <c r="O164" i="4"/>
  <c r="M164" i="4"/>
  <c r="O160" i="4"/>
  <c r="M160" i="4"/>
  <c r="O156" i="4"/>
  <c r="M156" i="4"/>
  <c r="O152" i="4"/>
  <c r="M152" i="4"/>
  <c r="O148" i="4"/>
  <c r="M148" i="4"/>
  <c r="O144" i="4"/>
  <c r="M144" i="4"/>
  <c r="O140" i="4"/>
  <c r="M140" i="4"/>
  <c r="O136" i="4"/>
  <c r="M136" i="4"/>
  <c r="O132" i="4"/>
  <c r="M132" i="4"/>
  <c r="O128" i="4"/>
  <c r="M128" i="4"/>
  <c r="O124" i="4"/>
  <c r="M124" i="4"/>
  <c r="O120" i="4"/>
  <c r="M120" i="4"/>
  <c r="O116" i="4"/>
  <c r="M116" i="4"/>
  <c r="O112" i="4"/>
  <c r="M112" i="4"/>
  <c r="O108" i="4"/>
  <c r="M108" i="4"/>
  <c r="O104" i="4"/>
  <c r="M104" i="4"/>
  <c r="O100" i="4"/>
  <c r="M100" i="4"/>
  <c r="O96" i="4"/>
  <c r="M96" i="4"/>
  <c r="O92" i="4"/>
  <c r="M92" i="4"/>
  <c r="O88" i="4"/>
  <c r="M88" i="4"/>
  <c r="O989" i="4"/>
  <c r="O957" i="4"/>
  <c r="O925" i="4"/>
  <c r="O893" i="4"/>
  <c r="O861" i="4"/>
  <c r="O829" i="4"/>
  <c r="O797" i="4"/>
  <c r="O765" i="4"/>
  <c r="O733" i="4"/>
  <c r="O701" i="4"/>
  <c r="O669" i="4"/>
  <c r="O637" i="4"/>
  <c r="O605" i="4"/>
  <c r="O398" i="4"/>
  <c r="O186" i="4"/>
  <c r="M12" i="4"/>
  <c r="M20" i="4"/>
  <c r="M28" i="4"/>
  <c r="M36" i="4"/>
  <c r="M44" i="4"/>
  <c r="M52" i="4"/>
  <c r="M60" i="4"/>
  <c r="M68" i="4"/>
  <c r="M76" i="4"/>
  <c r="M84" i="4"/>
  <c r="M105" i="4"/>
  <c r="M137" i="4"/>
  <c r="M169" i="4"/>
  <c r="M201" i="4"/>
  <c r="M233" i="4"/>
  <c r="M265" i="4"/>
  <c r="M297" i="4"/>
  <c r="M329" i="4"/>
  <c r="M361" i="4"/>
  <c r="M393" i="4"/>
  <c r="M425" i="4"/>
  <c r="M457" i="4"/>
  <c r="M489" i="4"/>
  <c r="M521" i="4"/>
  <c r="M553" i="4"/>
  <c r="M588" i="4"/>
  <c r="M630" i="4"/>
  <c r="M682" i="4"/>
  <c r="M767" i="4"/>
  <c r="M853" i="4"/>
  <c r="M938" i="4"/>
  <c r="M961" i="4"/>
  <c r="O961" i="4"/>
  <c r="M949" i="4"/>
  <c r="O949" i="4"/>
  <c r="M913" i="4"/>
  <c r="O913" i="4"/>
  <c r="O996" i="4"/>
  <c r="M996" i="4"/>
  <c r="O988" i="4"/>
  <c r="M988" i="4"/>
  <c r="O980" i="4"/>
  <c r="M980" i="4"/>
  <c r="O972" i="4"/>
  <c r="M972" i="4"/>
  <c r="O964" i="4"/>
  <c r="M964" i="4"/>
  <c r="O940" i="4"/>
  <c r="M940" i="4"/>
  <c r="O999" i="4"/>
  <c r="M999" i="4"/>
  <c r="O995" i="4"/>
  <c r="M995" i="4"/>
  <c r="O991" i="4"/>
  <c r="M991" i="4"/>
  <c r="O987" i="4"/>
  <c r="M987" i="4"/>
  <c r="O983" i="4"/>
  <c r="M983" i="4"/>
  <c r="O979" i="4"/>
  <c r="M979" i="4"/>
  <c r="O975" i="4"/>
  <c r="M975" i="4"/>
  <c r="O971" i="4"/>
  <c r="M971" i="4"/>
  <c r="O967" i="4"/>
  <c r="M967" i="4"/>
  <c r="O963" i="4"/>
  <c r="M963" i="4"/>
  <c r="O955" i="4"/>
  <c r="M955" i="4"/>
  <c r="O951" i="4"/>
  <c r="M951" i="4"/>
  <c r="O947" i="4"/>
  <c r="M947" i="4"/>
  <c r="O943" i="4"/>
  <c r="M943" i="4"/>
  <c r="O939" i="4"/>
  <c r="M939" i="4"/>
  <c r="O935" i="4"/>
  <c r="M935" i="4"/>
  <c r="O931" i="4"/>
  <c r="M931" i="4"/>
  <c r="O927" i="4"/>
  <c r="M927" i="4"/>
  <c r="O923" i="4"/>
  <c r="M923" i="4"/>
  <c r="O919" i="4"/>
  <c r="M919" i="4"/>
  <c r="O915" i="4"/>
  <c r="M915" i="4"/>
  <c r="O911" i="4"/>
  <c r="M911" i="4"/>
  <c r="O907" i="4"/>
  <c r="M907" i="4"/>
  <c r="O903" i="4"/>
  <c r="M903" i="4"/>
  <c r="O899" i="4"/>
  <c r="M899" i="4"/>
  <c r="O891" i="4"/>
  <c r="M891" i="4"/>
  <c r="O887" i="4"/>
  <c r="M887" i="4"/>
  <c r="O883" i="4"/>
  <c r="M883" i="4"/>
  <c r="O879" i="4"/>
  <c r="M879" i="4"/>
  <c r="O875" i="4"/>
  <c r="M875" i="4"/>
  <c r="O871" i="4"/>
  <c r="M871" i="4"/>
  <c r="O867" i="4"/>
  <c r="M867" i="4"/>
  <c r="O863" i="4"/>
  <c r="M863" i="4"/>
  <c r="O859" i="4"/>
  <c r="M859" i="4"/>
  <c r="O855" i="4"/>
  <c r="M855" i="4"/>
  <c r="O851" i="4"/>
  <c r="M851" i="4"/>
  <c r="O847" i="4"/>
  <c r="M847" i="4"/>
  <c r="O843" i="4"/>
  <c r="M843" i="4"/>
  <c r="O839" i="4"/>
  <c r="M839" i="4"/>
  <c r="O835" i="4"/>
  <c r="M835" i="4"/>
  <c r="O827" i="4"/>
  <c r="M827" i="4"/>
  <c r="O823" i="4"/>
  <c r="M823" i="4"/>
  <c r="O819" i="4"/>
  <c r="M819" i="4"/>
  <c r="O815" i="4"/>
  <c r="M815" i="4"/>
  <c r="O811" i="4"/>
  <c r="M811" i="4"/>
  <c r="O807" i="4"/>
  <c r="M807" i="4"/>
  <c r="O803" i="4"/>
  <c r="M803" i="4"/>
  <c r="O799" i="4"/>
  <c r="M799" i="4"/>
  <c r="O795" i="4"/>
  <c r="M795" i="4"/>
  <c r="O791" i="4"/>
  <c r="M791" i="4"/>
  <c r="O787" i="4"/>
  <c r="M787" i="4"/>
  <c r="O783" i="4"/>
  <c r="M783" i="4"/>
  <c r="O779" i="4"/>
  <c r="M779" i="4"/>
  <c r="O775" i="4"/>
  <c r="M775" i="4"/>
  <c r="O771" i="4"/>
  <c r="M771" i="4"/>
  <c r="O763" i="4"/>
  <c r="M763" i="4"/>
  <c r="O759" i="4"/>
  <c r="M759" i="4"/>
  <c r="O755" i="4"/>
  <c r="M755" i="4"/>
  <c r="O751" i="4"/>
  <c r="M751" i="4"/>
  <c r="O747" i="4"/>
  <c r="M747" i="4"/>
  <c r="O743" i="4"/>
  <c r="M743" i="4"/>
  <c r="O739" i="4"/>
  <c r="M739" i="4"/>
  <c r="O735" i="4"/>
  <c r="M735" i="4"/>
  <c r="O731" i="4"/>
  <c r="M731" i="4"/>
  <c r="O727" i="4"/>
  <c r="M727" i="4"/>
  <c r="O723" i="4"/>
  <c r="M723" i="4"/>
  <c r="O719" i="4"/>
  <c r="M719" i="4"/>
  <c r="O715" i="4"/>
  <c r="M715" i="4"/>
  <c r="O711" i="4"/>
  <c r="M711" i="4"/>
  <c r="O707" i="4"/>
  <c r="M707" i="4"/>
  <c r="O699" i="4"/>
  <c r="M699" i="4"/>
  <c r="O695" i="4"/>
  <c r="M695" i="4"/>
  <c r="O691" i="4"/>
  <c r="M691" i="4"/>
  <c r="O687" i="4"/>
  <c r="M687" i="4"/>
  <c r="O683" i="4"/>
  <c r="M683" i="4"/>
  <c r="O679" i="4"/>
  <c r="M679" i="4"/>
  <c r="O675" i="4"/>
  <c r="M675" i="4"/>
  <c r="O671" i="4"/>
  <c r="M671" i="4"/>
  <c r="O667" i="4"/>
  <c r="M667" i="4"/>
  <c r="O663" i="4"/>
  <c r="M663" i="4"/>
  <c r="O659" i="4"/>
  <c r="M659" i="4"/>
  <c r="O655" i="4"/>
  <c r="M655" i="4"/>
  <c r="O651" i="4"/>
  <c r="M651" i="4"/>
  <c r="O647" i="4"/>
  <c r="M647" i="4"/>
  <c r="O643" i="4"/>
  <c r="M643" i="4"/>
  <c r="O639" i="4"/>
  <c r="M639" i="4"/>
  <c r="O635" i="4"/>
  <c r="M635" i="4"/>
  <c r="O631" i="4"/>
  <c r="M631" i="4"/>
  <c r="O627" i="4"/>
  <c r="M627" i="4"/>
  <c r="O623" i="4"/>
  <c r="M623" i="4"/>
  <c r="O619" i="4"/>
  <c r="M619" i="4"/>
  <c r="O615" i="4"/>
  <c r="M615" i="4"/>
  <c r="O611" i="4"/>
  <c r="M611" i="4"/>
  <c r="O607" i="4"/>
  <c r="M607" i="4"/>
  <c r="O603" i="4"/>
  <c r="M603" i="4"/>
  <c r="O599" i="4"/>
  <c r="M599" i="4"/>
  <c r="O595" i="4"/>
  <c r="M595" i="4"/>
  <c r="O591" i="4"/>
  <c r="M591" i="4"/>
  <c r="O587" i="4"/>
  <c r="M587" i="4"/>
  <c r="O583" i="4"/>
  <c r="M583" i="4"/>
  <c r="O579" i="4"/>
  <c r="M579" i="4"/>
  <c r="O575" i="4"/>
  <c r="M575" i="4"/>
  <c r="O571" i="4"/>
  <c r="M571" i="4"/>
  <c r="O567" i="4"/>
  <c r="M567" i="4"/>
  <c r="O563" i="4"/>
  <c r="M563" i="4"/>
  <c r="O559" i="4"/>
  <c r="M559" i="4"/>
  <c r="O555" i="4"/>
  <c r="M555" i="4"/>
  <c r="O551" i="4"/>
  <c r="M551" i="4"/>
  <c r="O547" i="4"/>
  <c r="M547" i="4"/>
  <c r="O543" i="4"/>
  <c r="M543" i="4"/>
  <c r="O539" i="4"/>
  <c r="M539" i="4"/>
  <c r="O535" i="4"/>
  <c r="M535" i="4"/>
  <c r="O531" i="4"/>
  <c r="M531" i="4"/>
  <c r="O527" i="4"/>
  <c r="M527" i="4"/>
  <c r="O523" i="4"/>
  <c r="M523" i="4"/>
  <c r="O519" i="4"/>
  <c r="M519" i="4"/>
  <c r="O515" i="4"/>
  <c r="M515" i="4"/>
  <c r="O511" i="4"/>
  <c r="M511" i="4"/>
  <c r="O507" i="4"/>
  <c r="M507" i="4"/>
  <c r="O503" i="4"/>
  <c r="M503" i="4"/>
  <c r="O499" i="4"/>
  <c r="M499" i="4"/>
  <c r="O495" i="4"/>
  <c r="M495" i="4"/>
  <c r="O491" i="4"/>
  <c r="M491" i="4"/>
  <c r="O487" i="4"/>
  <c r="M487" i="4"/>
  <c r="O483" i="4"/>
  <c r="M483" i="4"/>
  <c r="O479" i="4"/>
  <c r="M479" i="4"/>
  <c r="O475" i="4"/>
  <c r="M475" i="4"/>
  <c r="O471" i="4"/>
  <c r="M471" i="4"/>
  <c r="O467" i="4"/>
  <c r="M467" i="4"/>
  <c r="O463" i="4"/>
  <c r="M463" i="4"/>
  <c r="O459" i="4"/>
  <c r="M459" i="4"/>
  <c r="O455" i="4"/>
  <c r="M455" i="4"/>
  <c r="O451" i="4"/>
  <c r="M451" i="4"/>
  <c r="O447" i="4"/>
  <c r="M447" i="4"/>
  <c r="O443" i="4"/>
  <c r="M443" i="4"/>
  <c r="O439" i="4"/>
  <c r="M439" i="4"/>
  <c r="O435" i="4"/>
  <c r="M435" i="4"/>
  <c r="O431" i="4"/>
  <c r="M431" i="4"/>
  <c r="O427" i="4"/>
  <c r="M427" i="4"/>
  <c r="O423" i="4"/>
  <c r="M423" i="4"/>
  <c r="O419" i="4"/>
  <c r="M419" i="4"/>
  <c r="O415" i="4"/>
  <c r="M415" i="4"/>
  <c r="O411" i="4"/>
  <c r="M411" i="4"/>
  <c r="O407" i="4"/>
  <c r="M407" i="4"/>
  <c r="O403" i="4"/>
  <c r="M403" i="4"/>
  <c r="O399" i="4"/>
  <c r="M399" i="4"/>
  <c r="O395" i="4"/>
  <c r="M395" i="4"/>
  <c r="O391" i="4"/>
  <c r="M391" i="4"/>
  <c r="O387" i="4"/>
  <c r="M387" i="4"/>
  <c r="O383" i="4"/>
  <c r="M383" i="4"/>
  <c r="O379" i="4"/>
  <c r="M379" i="4"/>
  <c r="O375" i="4"/>
  <c r="M375" i="4"/>
  <c r="O371" i="4"/>
  <c r="M371" i="4"/>
  <c r="O367" i="4"/>
  <c r="M367" i="4"/>
  <c r="O363" i="4"/>
  <c r="M363" i="4"/>
  <c r="O359" i="4"/>
  <c r="M359" i="4"/>
  <c r="O355" i="4"/>
  <c r="M355" i="4"/>
  <c r="O351" i="4"/>
  <c r="M351" i="4"/>
  <c r="O347" i="4"/>
  <c r="M347" i="4"/>
  <c r="O343" i="4"/>
  <c r="M343" i="4"/>
  <c r="O339" i="4"/>
  <c r="M339" i="4"/>
  <c r="O335" i="4"/>
  <c r="M335" i="4"/>
  <c r="O331" i="4"/>
  <c r="M331" i="4"/>
  <c r="O327" i="4"/>
  <c r="M327" i="4"/>
  <c r="O323" i="4"/>
  <c r="M323" i="4"/>
  <c r="O319" i="4"/>
  <c r="M319" i="4"/>
  <c r="O315" i="4"/>
  <c r="M315" i="4"/>
  <c r="O311" i="4"/>
  <c r="M311" i="4"/>
  <c r="O307" i="4"/>
  <c r="M307" i="4"/>
  <c r="O303" i="4"/>
  <c r="M303" i="4"/>
  <c r="O299" i="4"/>
  <c r="M299" i="4"/>
  <c r="O295" i="4"/>
  <c r="M295" i="4"/>
  <c r="O291" i="4"/>
  <c r="M291" i="4"/>
  <c r="O287" i="4"/>
  <c r="M287" i="4"/>
  <c r="O283" i="4"/>
  <c r="M283" i="4"/>
  <c r="O279" i="4"/>
  <c r="M279" i="4"/>
  <c r="O275" i="4"/>
  <c r="M275" i="4"/>
  <c r="O271" i="4"/>
  <c r="M271" i="4"/>
  <c r="O267" i="4"/>
  <c r="M267" i="4"/>
  <c r="O263" i="4"/>
  <c r="M263" i="4"/>
  <c r="O259" i="4"/>
  <c r="M259" i="4"/>
  <c r="O255" i="4"/>
  <c r="M255" i="4"/>
  <c r="O251" i="4"/>
  <c r="M251" i="4"/>
  <c r="O247" i="4"/>
  <c r="M247" i="4"/>
  <c r="O243" i="4"/>
  <c r="M243" i="4"/>
  <c r="O239" i="4"/>
  <c r="M239" i="4"/>
  <c r="O235" i="4"/>
  <c r="M235" i="4"/>
  <c r="O231" i="4"/>
  <c r="M231" i="4"/>
  <c r="O227" i="4"/>
  <c r="M227" i="4"/>
  <c r="O223" i="4"/>
  <c r="M223" i="4"/>
  <c r="O219" i="4"/>
  <c r="M219" i="4"/>
  <c r="O215" i="4"/>
  <c r="M215" i="4"/>
  <c r="O211" i="4"/>
  <c r="M211" i="4"/>
  <c r="O207" i="4"/>
  <c r="M207" i="4"/>
  <c r="O203" i="4"/>
  <c r="M203" i="4"/>
  <c r="O199" i="4"/>
  <c r="M199" i="4"/>
  <c r="O195" i="4"/>
  <c r="M195" i="4"/>
  <c r="O191" i="4"/>
  <c r="M191" i="4"/>
  <c r="O187" i="4"/>
  <c r="M187" i="4"/>
  <c r="O183" i="4"/>
  <c r="M183" i="4"/>
  <c r="O179" i="4"/>
  <c r="M179" i="4"/>
  <c r="O175" i="4"/>
  <c r="M175" i="4"/>
  <c r="O171" i="4"/>
  <c r="M171" i="4"/>
  <c r="O167" i="4"/>
  <c r="M167" i="4"/>
  <c r="O163" i="4"/>
  <c r="M163" i="4"/>
  <c r="O159" i="4"/>
  <c r="M159" i="4"/>
  <c r="O155" i="4"/>
  <c r="M155" i="4"/>
  <c r="O151" i="4"/>
  <c r="M151" i="4"/>
  <c r="O147" i="4"/>
  <c r="M147" i="4"/>
  <c r="O143" i="4"/>
  <c r="M143" i="4"/>
  <c r="O139" i="4"/>
  <c r="M139" i="4"/>
  <c r="O135" i="4"/>
  <c r="M135" i="4"/>
  <c r="O131" i="4"/>
  <c r="M131" i="4"/>
  <c r="O127" i="4"/>
  <c r="M127" i="4"/>
  <c r="O123" i="4"/>
  <c r="M123" i="4"/>
  <c r="O119" i="4"/>
  <c r="M119" i="4"/>
  <c r="O115" i="4"/>
  <c r="M115" i="4"/>
  <c r="O111" i="4"/>
  <c r="M111" i="4"/>
  <c r="O107" i="4"/>
  <c r="M107" i="4"/>
  <c r="O103" i="4"/>
  <c r="M103" i="4"/>
  <c r="O99" i="4"/>
  <c r="M99" i="4"/>
  <c r="O95" i="4"/>
  <c r="M95" i="4"/>
  <c r="O91" i="4"/>
  <c r="M91" i="4"/>
  <c r="O87" i="4"/>
  <c r="M87" i="4"/>
  <c r="O83" i="4"/>
  <c r="M83" i="4"/>
  <c r="O79" i="4"/>
  <c r="M79" i="4"/>
  <c r="O75" i="4"/>
  <c r="M75" i="4"/>
  <c r="O71" i="4"/>
  <c r="M71" i="4"/>
  <c r="O67" i="4"/>
  <c r="M67" i="4"/>
  <c r="O63" i="4"/>
  <c r="M63" i="4"/>
  <c r="O59" i="4"/>
  <c r="M59" i="4"/>
  <c r="O55" i="4"/>
  <c r="M55" i="4"/>
  <c r="O51" i="4"/>
  <c r="M51" i="4"/>
  <c r="O47" i="4"/>
  <c r="M47" i="4"/>
  <c r="O43" i="4"/>
  <c r="M43" i="4"/>
  <c r="O39" i="4"/>
  <c r="M39" i="4"/>
  <c r="O35" i="4"/>
  <c r="M35" i="4"/>
  <c r="O31" i="4"/>
  <c r="M31" i="4"/>
  <c r="O27" i="4"/>
  <c r="M27" i="4"/>
  <c r="O23" i="4"/>
  <c r="M23" i="4"/>
  <c r="O19" i="4"/>
  <c r="M19" i="4"/>
  <c r="O15" i="4"/>
  <c r="M15" i="4"/>
  <c r="O11" i="4"/>
  <c r="M11" i="4"/>
  <c r="O7" i="4"/>
  <c r="M7" i="4"/>
  <c r="O985" i="4"/>
  <c r="O953" i="4"/>
  <c r="O921" i="4"/>
  <c r="O889" i="4"/>
  <c r="O857" i="4"/>
  <c r="O825" i="4"/>
  <c r="O793" i="4"/>
  <c r="O761" i="4"/>
  <c r="O729" i="4"/>
  <c r="O697" i="4"/>
  <c r="O665" i="4"/>
  <c r="O633" i="4"/>
  <c r="O601" i="4"/>
  <c r="O165" i="4"/>
  <c r="M5" i="4"/>
  <c r="M13" i="4"/>
  <c r="M21" i="4"/>
  <c r="M29" i="4"/>
  <c r="M37" i="4"/>
  <c r="M45" i="4"/>
  <c r="M53" i="4"/>
  <c r="M61" i="4"/>
  <c r="M69" i="4"/>
  <c r="M77" i="4"/>
  <c r="M85" i="4"/>
  <c r="M113" i="4"/>
  <c r="M145" i="4"/>
  <c r="M177" i="4"/>
  <c r="M209" i="4"/>
  <c r="M241" i="4"/>
  <c r="M273" i="4"/>
  <c r="M305" i="4"/>
  <c r="M337" i="4"/>
  <c r="M369" i="4"/>
  <c r="M401" i="4"/>
  <c r="M433" i="4"/>
  <c r="M465" i="4"/>
  <c r="M497" i="4"/>
  <c r="M529" i="4"/>
  <c r="M561" i="4"/>
  <c r="M598" i="4"/>
  <c r="M641" i="4"/>
  <c r="M703" i="4"/>
  <c r="M789" i="4"/>
  <c r="M874" i="4"/>
  <c r="M959" i="4"/>
  <c r="M3" i="4"/>
  <c r="Q6" i="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<sst xmlns="http://schemas.openxmlformats.org/spreadsheetml/2006/main" count="15726" uniqueCount="1288">
  <si>
    <t>StudentID</t>
  </si>
  <si>
    <t>StudentName</t>
  </si>
  <si>
    <t>CourseID</t>
  </si>
  <si>
    <t>CourseName</t>
  </si>
  <si>
    <t>BatchID</t>
  </si>
  <si>
    <t>MentorName</t>
  </si>
  <si>
    <t>Platform</t>
  </si>
  <si>
    <t>PaymentAmount</t>
  </si>
  <si>
    <t>DiscountCode</t>
  </si>
  <si>
    <t>DiscountPercent</t>
  </si>
  <si>
    <t>TargetRevenue</t>
  </si>
  <si>
    <t>PaymentDate</t>
  </si>
  <si>
    <t>S1000</t>
  </si>
  <si>
    <t>Rohit Shah</t>
  </si>
  <si>
    <t>C201</t>
  </si>
  <si>
    <t>Data Analytics</t>
  </si>
  <si>
    <t>B3</t>
  </si>
  <si>
    <t>Priya</t>
  </si>
  <si>
    <t>Web</t>
  </si>
  <si>
    <t>DISC20</t>
  </si>
  <si>
    <t>S1001</t>
  </si>
  <si>
    <t>Riya Singh</t>
  </si>
  <si>
    <t>DISC10</t>
  </si>
  <si>
    <t>S1002</t>
  </si>
  <si>
    <t>Sneha Gupta</t>
  </si>
  <si>
    <t>Saurabh</t>
  </si>
  <si>
    <t>Tablet</t>
  </si>
  <si>
    <t>DISC15</t>
  </si>
  <si>
    <t>S1003</t>
  </si>
  <si>
    <t>Sneha Iyer</t>
  </si>
  <si>
    <t>C203</t>
  </si>
  <si>
    <t>Full Stack Dev</t>
  </si>
  <si>
    <t>B1</t>
  </si>
  <si>
    <t>DISC30</t>
  </si>
  <si>
    <t>S1004</t>
  </si>
  <si>
    <t>Karan Patil</t>
  </si>
  <si>
    <t>Mobile</t>
  </si>
  <si>
    <t>S1005</t>
  </si>
  <si>
    <t>Pooja Joshi</t>
  </si>
  <si>
    <t>Amit</t>
  </si>
  <si>
    <t>S1006</t>
  </si>
  <si>
    <t>Rahul Shah</t>
  </si>
  <si>
    <t>S1007</t>
  </si>
  <si>
    <t>Riya Kulkarni</t>
  </si>
  <si>
    <t>C202</t>
  </si>
  <si>
    <t>Data Science</t>
  </si>
  <si>
    <t>B2</t>
  </si>
  <si>
    <t>S1008</t>
  </si>
  <si>
    <t>Aditya Iyer</t>
  </si>
  <si>
    <t>S1009</t>
  </si>
  <si>
    <t>Kunal Singh</t>
  </si>
  <si>
    <t>S1010</t>
  </si>
  <si>
    <t>Neha Verma</t>
  </si>
  <si>
    <t>S1011</t>
  </si>
  <si>
    <t>Dev Patel</t>
  </si>
  <si>
    <t>S1012</t>
  </si>
  <si>
    <t>Sneha Joshi</t>
  </si>
  <si>
    <t>S1013</t>
  </si>
  <si>
    <t>Aditya Mehta</t>
  </si>
  <si>
    <t>S1014</t>
  </si>
  <si>
    <t>Kunal Joshi</t>
  </si>
  <si>
    <t>C204</t>
  </si>
  <si>
    <t>UI UX Design</t>
  </si>
  <si>
    <t>S1015</t>
  </si>
  <si>
    <t>Dev Kulkarni</t>
  </si>
  <si>
    <t>S1016</t>
  </si>
  <si>
    <t>Riya Verma</t>
  </si>
  <si>
    <t>S1017</t>
  </si>
  <si>
    <t>Aarav Singh</t>
  </si>
  <si>
    <t>S1018</t>
  </si>
  <si>
    <t>Aditya Verma</t>
  </si>
  <si>
    <t>S1019</t>
  </si>
  <si>
    <t>Dev Mehta</t>
  </si>
  <si>
    <t>S1020</t>
  </si>
  <si>
    <t>Karan Jain</t>
  </si>
  <si>
    <t>S1021</t>
  </si>
  <si>
    <t>Aarav Shah</t>
  </si>
  <si>
    <t>S1022</t>
  </si>
  <si>
    <t>Riya Shah</t>
  </si>
  <si>
    <t>S1023</t>
  </si>
  <si>
    <t>Manish Mehta</t>
  </si>
  <si>
    <t>S1024</t>
  </si>
  <si>
    <t>Manish Patel</t>
  </si>
  <si>
    <t>S1025</t>
  </si>
  <si>
    <t>Kunal Gupta</t>
  </si>
  <si>
    <t>S1026</t>
  </si>
  <si>
    <t>Kavita Gupta</t>
  </si>
  <si>
    <t>S1027</t>
  </si>
  <si>
    <t>S1028</t>
  </si>
  <si>
    <t>S1029</t>
  </si>
  <si>
    <t>Rohit Verma</t>
  </si>
  <si>
    <t>S1030</t>
  </si>
  <si>
    <t>Rohit Singh</t>
  </si>
  <si>
    <t>S1031</t>
  </si>
  <si>
    <t>Sneha Patil</t>
  </si>
  <si>
    <t>S1032</t>
  </si>
  <si>
    <t>Meera Shah</t>
  </si>
  <si>
    <t>S1033</t>
  </si>
  <si>
    <t>S1034</t>
  </si>
  <si>
    <t>Rahul Kulkarni</t>
  </si>
  <si>
    <t>S1035</t>
  </si>
  <si>
    <t>Rahul Desai</t>
  </si>
  <si>
    <t>S1036</t>
  </si>
  <si>
    <t>Anjali Gupta</t>
  </si>
  <si>
    <t>S1037</t>
  </si>
  <si>
    <t>Manish Nair</t>
  </si>
  <si>
    <t>S1038</t>
  </si>
  <si>
    <t>Kavita Shah</t>
  </si>
  <si>
    <t>S1039</t>
  </si>
  <si>
    <t>Aarav Joshi</t>
  </si>
  <si>
    <t>S1040</t>
  </si>
  <si>
    <t>Kunal Rao</t>
  </si>
  <si>
    <t>S1041</t>
  </si>
  <si>
    <t>Karan Singh</t>
  </si>
  <si>
    <t>S1042</t>
  </si>
  <si>
    <t>S1043</t>
  </si>
  <si>
    <t>Pooja Shah</t>
  </si>
  <si>
    <t>S1044</t>
  </si>
  <si>
    <t>Aditya Joshi</t>
  </si>
  <si>
    <t>S1045</t>
  </si>
  <si>
    <t>Kunal Mehta</t>
  </si>
  <si>
    <t>S1046</t>
  </si>
  <si>
    <t>S1047</t>
  </si>
  <si>
    <t>Neha Rao</t>
  </si>
  <si>
    <t>S1048</t>
  </si>
  <si>
    <t>Aarav Jain</t>
  </si>
  <si>
    <t>S1049</t>
  </si>
  <si>
    <t>Anjali Verma</t>
  </si>
  <si>
    <t>S1050</t>
  </si>
  <si>
    <t>Aarav Nair</t>
  </si>
  <si>
    <t>S1051</t>
  </si>
  <si>
    <t>Aditya Jain</t>
  </si>
  <si>
    <t>S1052</t>
  </si>
  <si>
    <t>Dev Gupta</t>
  </si>
  <si>
    <t>S1053</t>
  </si>
  <si>
    <t>Karan Patel</t>
  </si>
  <si>
    <t>S1054</t>
  </si>
  <si>
    <t>Kunal Verma</t>
  </si>
  <si>
    <t>S1055</t>
  </si>
  <si>
    <t>S1056</t>
  </si>
  <si>
    <t>Dev Nair</t>
  </si>
  <si>
    <t>S1057</t>
  </si>
  <si>
    <t>Aditya Nair</t>
  </si>
  <si>
    <t>S1058</t>
  </si>
  <si>
    <t>Meera Gupta</t>
  </si>
  <si>
    <t>S1059</t>
  </si>
  <si>
    <t>S1060</t>
  </si>
  <si>
    <t>S1061</t>
  </si>
  <si>
    <t>Kunal Patel</t>
  </si>
  <si>
    <t>S1062</t>
  </si>
  <si>
    <t>Pooja Singh</t>
  </si>
  <si>
    <t>S1063</t>
  </si>
  <si>
    <t>S1064</t>
  </si>
  <si>
    <t>Anjali Mehta</t>
  </si>
  <si>
    <t>S1065</t>
  </si>
  <si>
    <t>Rahul Patel</t>
  </si>
  <si>
    <t>S1066</t>
  </si>
  <si>
    <t>Neha Patel</t>
  </si>
  <si>
    <t>S1067</t>
  </si>
  <si>
    <t>Riya Nair</t>
  </si>
  <si>
    <t>S1068</t>
  </si>
  <si>
    <t>Aarav Kulkarni</t>
  </si>
  <si>
    <t>S1069</t>
  </si>
  <si>
    <t>Rohit Joshi</t>
  </si>
  <si>
    <t>S1070</t>
  </si>
  <si>
    <t>S1071</t>
  </si>
  <si>
    <t>Aarav Gupta</t>
  </si>
  <si>
    <t>S1072</t>
  </si>
  <si>
    <t>Manish Gupta</t>
  </si>
  <si>
    <t>S1073</t>
  </si>
  <si>
    <t>S1074</t>
  </si>
  <si>
    <t>Sneha Nair</t>
  </si>
  <si>
    <t>S1075</t>
  </si>
  <si>
    <t>Riya Desai</t>
  </si>
  <si>
    <t>S1076</t>
  </si>
  <si>
    <t>Karan Mehta</t>
  </si>
  <si>
    <t>S1077</t>
  </si>
  <si>
    <t>Rahul Verma</t>
  </si>
  <si>
    <t>S1078</t>
  </si>
  <si>
    <t>S1079</t>
  </si>
  <si>
    <t>Dev Verma</t>
  </si>
  <si>
    <t>S1080</t>
  </si>
  <si>
    <t>S1081</t>
  </si>
  <si>
    <t>S1082</t>
  </si>
  <si>
    <t>Manish Kulkarni</t>
  </si>
  <si>
    <t>S1083</t>
  </si>
  <si>
    <t>Rahul Mehta</t>
  </si>
  <si>
    <t>S1084</t>
  </si>
  <si>
    <t>Neha Jain</t>
  </si>
  <si>
    <t>S1085</t>
  </si>
  <si>
    <t>Aarav Desai</t>
  </si>
  <si>
    <t>S1086</t>
  </si>
  <si>
    <t>Aarav Patil</t>
  </si>
  <si>
    <t>S1087</t>
  </si>
  <si>
    <t>S1088</t>
  </si>
  <si>
    <t>Kavita Joshi</t>
  </si>
  <si>
    <t>S1089</t>
  </si>
  <si>
    <t>S1090</t>
  </si>
  <si>
    <t>Meera Singh</t>
  </si>
  <si>
    <t>S1091</t>
  </si>
  <si>
    <t>Riya Patel</t>
  </si>
  <si>
    <t>S1092</t>
  </si>
  <si>
    <t>Manish Singh</t>
  </si>
  <si>
    <t>S1093</t>
  </si>
  <si>
    <t>Rohit Nair</t>
  </si>
  <si>
    <t>S1094</t>
  </si>
  <si>
    <t>S1095</t>
  </si>
  <si>
    <t>Meera Patil</t>
  </si>
  <si>
    <t>S1096</t>
  </si>
  <si>
    <t>Kavita Singh</t>
  </si>
  <si>
    <t>S1097</t>
  </si>
  <si>
    <t>Neha Patil</t>
  </si>
  <si>
    <t>S1098</t>
  </si>
  <si>
    <t>S1099</t>
  </si>
  <si>
    <t>S1100</t>
  </si>
  <si>
    <t>S1101</t>
  </si>
  <si>
    <t>S1102</t>
  </si>
  <si>
    <t>Manish Jain</t>
  </si>
  <si>
    <t>S1103</t>
  </si>
  <si>
    <t>S1104</t>
  </si>
  <si>
    <t>Sneha Desai</t>
  </si>
  <si>
    <t>S1105</t>
  </si>
  <si>
    <t>Aditya Shah</t>
  </si>
  <si>
    <t>S1106</t>
  </si>
  <si>
    <t>S1107</t>
  </si>
  <si>
    <t>S1108</t>
  </si>
  <si>
    <t>S1109</t>
  </si>
  <si>
    <t>Neha Shah</t>
  </si>
  <si>
    <t>S1110</t>
  </si>
  <si>
    <t>Sneha Shah</t>
  </si>
  <si>
    <t>S1111</t>
  </si>
  <si>
    <t>Neha Iyer</t>
  </si>
  <si>
    <t>S1112</t>
  </si>
  <si>
    <t>Kavita Desai</t>
  </si>
  <si>
    <t>S1113</t>
  </si>
  <si>
    <t>Sneha Mehta</t>
  </si>
  <si>
    <t>S1114</t>
  </si>
  <si>
    <t>Aditya Kulkarni</t>
  </si>
  <si>
    <t>S1115</t>
  </si>
  <si>
    <t>Rohit Patil</t>
  </si>
  <si>
    <t>S1116</t>
  </si>
  <si>
    <t>Riya Gupta</t>
  </si>
  <si>
    <t>S1117</t>
  </si>
  <si>
    <t>Aarav Mehta</t>
  </si>
  <si>
    <t>S1118</t>
  </si>
  <si>
    <t>Riya Iyer</t>
  </si>
  <si>
    <t>S1119</t>
  </si>
  <si>
    <t>S1120</t>
  </si>
  <si>
    <t>Riya Patil</t>
  </si>
  <si>
    <t>S1121</t>
  </si>
  <si>
    <t>S1122</t>
  </si>
  <si>
    <t>S1123</t>
  </si>
  <si>
    <t>S1124</t>
  </si>
  <si>
    <t>S1125</t>
  </si>
  <si>
    <t>S1126</t>
  </si>
  <si>
    <t>S1127</t>
  </si>
  <si>
    <t>Karan Rao</t>
  </si>
  <si>
    <t>S1128</t>
  </si>
  <si>
    <t>S1129</t>
  </si>
  <si>
    <t>S1130</t>
  </si>
  <si>
    <t>Kunal Desai</t>
  </si>
  <si>
    <t>S1131</t>
  </si>
  <si>
    <t>S1132</t>
  </si>
  <si>
    <t>Riya Rao</t>
  </si>
  <si>
    <t>S1133</t>
  </si>
  <si>
    <t>Anjali Rao</t>
  </si>
  <si>
    <t>S1134</t>
  </si>
  <si>
    <t>S1135</t>
  </si>
  <si>
    <t>Rahul Patil</t>
  </si>
  <si>
    <t>S1136</t>
  </si>
  <si>
    <t>Rohit Patel</t>
  </si>
  <si>
    <t>S1137</t>
  </si>
  <si>
    <t>S1138</t>
  </si>
  <si>
    <t>S1139</t>
  </si>
  <si>
    <t>Rahul Singh</t>
  </si>
  <si>
    <t>S1140</t>
  </si>
  <si>
    <t>Anjali Patel</t>
  </si>
  <si>
    <t>S1141</t>
  </si>
  <si>
    <t>Rohit Rao</t>
  </si>
  <si>
    <t>S1142</t>
  </si>
  <si>
    <t>Karan Desai</t>
  </si>
  <si>
    <t>S1143</t>
  </si>
  <si>
    <t>Pooja Jain</t>
  </si>
  <si>
    <t>S1144</t>
  </si>
  <si>
    <t>S1145</t>
  </si>
  <si>
    <t>S1146</t>
  </si>
  <si>
    <t>Aditya Singh</t>
  </si>
  <si>
    <t>S1147</t>
  </si>
  <si>
    <t>S1148</t>
  </si>
  <si>
    <t>Aditya Patil</t>
  </si>
  <si>
    <t>S1149</t>
  </si>
  <si>
    <t>Kavita Rao</t>
  </si>
  <si>
    <t>S1150</t>
  </si>
  <si>
    <t>S1151</t>
  </si>
  <si>
    <t>Dev Patil</t>
  </si>
  <si>
    <t>S1152</t>
  </si>
  <si>
    <t>Dev Desai</t>
  </si>
  <si>
    <t>S1153</t>
  </si>
  <si>
    <t>Dev Iyer</t>
  </si>
  <si>
    <t>S1154</t>
  </si>
  <si>
    <t>S1155</t>
  </si>
  <si>
    <t>Pooja Gupta</t>
  </si>
  <si>
    <t>S1156</t>
  </si>
  <si>
    <t>Meera Jain</t>
  </si>
  <si>
    <t>S1157</t>
  </si>
  <si>
    <t>Rohit Desai</t>
  </si>
  <si>
    <t>S1158</t>
  </si>
  <si>
    <t>Aditya Gupta</t>
  </si>
  <si>
    <t>S1159</t>
  </si>
  <si>
    <t>Rahul Nair</t>
  </si>
  <si>
    <t>S1160</t>
  </si>
  <si>
    <t>S1161</t>
  </si>
  <si>
    <t>S1162</t>
  </si>
  <si>
    <t>S1163</t>
  </si>
  <si>
    <t>S1164</t>
  </si>
  <si>
    <t>S1165</t>
  </si>
  <si>
    <t>S1166</t>
  </si>
  <si>
    <t>Rohit Jain</t>
  </si>
  <si>
    <t>S1167</t>
  </si>
  <si>
    <t>Meera Nair</t>
  </si>
  <si>
    <t>S1168</t>
  </si>
  <si>
    <t>Aarav Patel</t>
  </si>
  <si>
    <t>S1169</t>
  </si>
  <si>
    <t>S1170</t>
  </si>
  <si>
    <t>S1171</t>
  </si>
  <si>
    <t>Karan Shah</t>
  </si>
  <si>
    <t>S1172</t>
  </si>
  <si>
    <t>Pooja Kulkarni</t>
  </si>
  <si>
    <t>S1173</t>
  </si>
  <si>
    <t>S1174</t>
  </si>
  <si>
    <t>Neha Gupta</t>
  </si>
  <si>
    <t>S1175</t>
  </si>
  <si>
    <t>Neha Singh</t>
  </si>
  <si>
    <t>S1176</t>
  </si>
  <si>
    <t>Anjali Iyer</t>
  </si>
  <si>
    <t>S1177</t>
  </si>
  <si>
    <t>S1178</t>
  </si>
  <si>
    <t>Kavita Verma</t>
  </si>
  <si>
    <t>S1179</t>
  </si>
  <si>
    <t>S1180</t>
  </si>
  <si>
    <t>S1181</t>
  </si>
  <si>
    <t>S1182</t>
  </si>
  <si>
    <t>Anjali Desai</t>
  </si>
  <si>
    <t>S1183</t>
  </si>
  <si>
    <t>S1184</t>
  </si>
  <si>
    <t>S1185</t>
  </si>
  <si>
    <t>Manish Patil</t>
  </si>
  <si>
    <t>S1186</t>
  </si>
  <si>
    <t>S1187</t>
  </si>
  <si>
    <t>S1188</t>
  </si>
  <si>
    <t>Aditya Desai</t>
  </si>
  <si>
    <t>S1189</t>
  </si>
  <si>
    <t>S1190</t>
  </si>
  <si>
    <t>S1191</t>
  </si>
  <si>
    <t>S1192</t>
  </si>
  <si>
    <t>S1193</t>
  </si>
  <si>
    <t>Kavita Iyer</t>
  </si>
  <si>
    <t>S1194</t>
  </si>
  <si>
    <t>S1195</t>
  </si>
  <si>
    <t>Kavita Kulkarni</t>
  </si>
  <si>
    <t>S1196</t>
  </si>
  <si>
    <t>Aditya Rao</t>
  </si>
  <si>
    <t>S1197</t>
  </si>
  <si>
    <t>Karan Verma</t>
  </si>
  <si>
    <t>S1198</t>
  </si>
  <si>
    <t>S1199</t>
  </si>
  <si>
    <t>S1200</t>
  </si>
  <si>
    <t>S1201</t>
  </si>
  <si>
    <t>S1202</t>
  </si>
  <si>
    <t>S1203</t>
  </si>
  <si>
    <t>S1204</t>
  </si>
  <si>
    <t>Anjali Nair</t>
  </si>
  <si>
    <t>S1205</t>
  </si>
  <si>
    <t>Kavita Mehta</t>
  </si>
  <si>
    <t>S1206</t>
  </si>
  <si>
    <t>S1207</t>
  </si>
  <si>
    <t>S1208</t>
  </si>
  <si>
    <t>S1209</t>
  </si>
  <si>
    <t>S1210</t>
  </si>
  <si>
    <t>S1211</t>
  </si>
  <si>
    <t>S1212</t>
  </si>
  <si>
    <t>S1213</t>
  </si>
  <si>
    <t>Manish Joshi</t>
  </si>
  <si>
    <t>S1214</t>
  </si>
  <si>
    <t>S1215</t>
  </si>
  <si>
    <t>S1216</t>
  </si>
  <si>
    <t>S1217</t>
  </si>
  <si>
    <t>S1218</t>
  </si>
  <si>
    <t>Manish Verma</t>
  </si>
  <si>
    <t>S1219</t>
  </si>
  <si>
    <t>S1220</t>
  </si>
  <si>
    <t>Sneha Jain</t>
  </si>
  <si>
    <t>S1221</t>
  </si>
  <si>
    <t>Meera Patel</t>
  </si>
  <si>
    <t>S1222</t>
  </si>
  <si>
    <t>S1223</t>
  </si>
  <si>
    <t>S1224</t>
  </si>
  <si>
    <t>Anjali Patil</t>
  </si>
  <si>
    <t>S1225</t>
  </si>
  <si>
    <t>S1226</t>
  </si>
  <si>
    <t>S1227</t>
  </si>
  <si>
    <t>Sneha Patel</t>
  </si>
  <si>
    <t>S1228</t>
  </si>
  <si>
    <t>Kunal Shah</t>
  </si>
  <si>
    <t>S1229</t>
  </si>
  <si>
    <t>S1230</t>
  </si>
  <si>
    <t>Aarav Verma</t>
  </si>
  <si>
    <t>S1231</t>
  </si>
  <si>
    <t>Pooja Patil</t>
  </si>
  <si>
    <t>S1232</t>
  </si>
  <si>
    <t>S1233</t>
  </si>
  <si>
    <t>S1234</t>
  </si>
  <si>
    <t>Meera Mehta</t>
  </si>
  <si>
    <t>S1235</t>
  </si>
  <si>
    <t>Sneha Verma</t>
  </si>
  <si>
    <t>S1236</t>
  </si>
  <si>
    <t>Rohit Gupta</t>
  </si>
  <si>
    <t>S1237</t>
  </si>
  <si>
    <t>S1238</t>
  </si>
  <si>
    <t>S1239</t>
  </si>
  <si>
    <t>S1240</t>
  </si>
  <si>
    <t>S1241</t>
  </si>
  <si>
    <t>Rohit Mehta</t>
  </si>
  <si>
    <t>S1242</t>
  </si>
  <si>
    <t>S1243</t>
  </si>
  <si>
    <t>S1244</t>
  </si>
  <si>
    <t>Dev Singh</t>
  </si>
  <si>
    <t>S1245</t>
  </si>
  <si>
    <t>S1246</t>
  </si>
  <si>
    <t>Karan Iyer</t>
  </si>
  <si>
    <t>S1247</t>
  </si>
  <si>
    <t>S1248</t>
  </si>
  <si>
    <t>Riya Jain</t>
  </si>
  <si>
    <t>S1249</t>
  </si>
  <si>
    <t>S1250</t>
  </si>
  <si>
    <t>Rahul Rao</t>
  </si>
  <si>
    <t>S1251</t>
  </si>
  <si>
    <t>S1252</t>
  </si>
  <si>
    <t>S1253</t>
  </si>
  <si>
    <t>S1254</t>
  </si>
  <si>
    <t>Karan Gupta</t>
  </si>
  <si>
    <t>S1255</t>
  </si>
  <si>
    <t>S1256</t>
  </si>
  <si>
    <t>Aditya Patel</t>
  </si>
  <si>
    <t>S1257</t>
  </si>
  <si>
    <t>Kunal Iyer</t>
  </si>
  <si>
    <t>S1258</t>
  </si>
  <si>
    <t>S1259</t>
  </si>
  <si>
    <t>Manish Rao</t>
  </si>
  <si>
    <t>S1260</t>
  </si>
  <si>
    <t>S1261</t>
  </si>
  <si>
    <t>S1262</t>
  </si>
  <si>
    <t>S1263</t>
  </si>
  <si>
    <t>S1264</t>
  </si>
  <si>
    <t>Kunal Nair</t>
  </si>
  <si>
    <t>S1265</t>
  </si>
  <si>
    <t>S1266</t>
  </si>
  <si>
    <t>S1267</t>
  </si>
  <si>
    <t>S1268</t>
  </si>
  <si>
    <t>S1269</t>
  </si>
  <si>
    <t>Meera Joshi</t>
  </si>
  <si>
    <t>S1270</t>
  </si>
  <si>
    <t>S1271</t>
  </si>
  <si>
    <t>S1272</t>
  </si>
  <si>
    <t>Anjali Kulkarni</t>
  </si>
  <si>
    <t>S1273</t>
  </si>
  <si>
    <t>S1274</t>
  </si>
  <si>
    <t>S1275</t>
  </si>
  <si>
    <t>S1276</t>
  </si>
  <si>
    <t>S1277</t>
  </si>
  <si>
    <t>S1278</t>
  </si>
  <si>
    <t>S1279</t>
  </si>
  <si>
    <t>S1280</t>
  </si>
  <si>
    <t>S1281</t>
  </si>
  <si>
    <t>Rahul Jain</t>
  </si>
  <si>
    <t>S1282</t>
  </si>
  <si>
    <t>S1283</t>
  </si>
  <si>
    <t>S1284</t>
  </si>
  <si>
    <t>Pooja Patel</t>
  </si>
  <si>
    <t>S1285</t>
  </si>
  <si>
    <t>S1286</t>
  </si>
  <si>
    <t>S1287</t>
  </si>
  <si>
    <t>S1288</t>
  </si>
  <si>
    <t>Neha Desai</t>
  </si>
  <si>
    <t>S1289</t>
  </si>
  <si>
    <t>S1290</t>
  </si>
  <si>
    <t>S1291</t>
  </si>
  <si>
    <t>Meera Verma</t>
  </si>
  <si>
    <t>S1292</t>
  </si>
  <si>
    <t>Aarav Iyer</t>
  </si>
  <si>
    <t>S1293</t>
  </si>
  <si>
    <t>S1294</t>
  </si>
  <si>
    <t>S1295</t>
  </si>
  <si>
    <t>S1296</t>
  </si>
  <si>
    <t>S1297</t>
  </si>
  <si>
    <t>S1298</t>
  </si>
  <si>
    <t>S1299</t>
  </si>
  <si>
    <t>S1300</t>
  </si>
  <si>
    <t>S1301</t>
  </si>
  <si>
    <t>S1302</t>
  </si>
  <si>
    <t>Sneha Kulkarni</t>
  </si>
  <si>
    <t>S1303</t>
  </si>
  <si>
    <t>S1304</t>
  </si>
  <si>
    <t>S1305</t>
  </si>
  <si>
    <t>S1306</t>
  </si>
  <si>
    <t>S1307</t>
  </si>
  <si>
    <t>S1308</t>
  </si>
  <si>
    <t>S1309</t>
  </si>
  <si>
    <t>Neha Mehta</t>
  </si>
  <si>
    <t>S1310</t>
  </si>
  <si>
    <t>S1311</t>
  </si>
  <si>
    <t>S1312</t>
  </si>
  <si>
    <t>Rahul Gupta</t>
  </si>
  <si>
    <t>S1313</t>
  </si>
  <si>
    <t>S1314</t>
  </si>
  <si>
    <t>S1315</t>
  </si>
  <si>
    <t>Pooja Desai</t>
  </si>
  <si>
    <t>S1316</t>
  </si>
  <si>
    <t>S1317</t>
  </si>
  <si>
    <t>Kavita Patil</t>
  </si>
  <si>
    <t>S1318</t>
  </si>
  <si>
    <t>S1319</t>
  </si>
  <si>
    <t>Dev Joshi</t>
  </si>
  <si>
    <t>S1320</t>
  </si>
  <si>
    <t>S1321</t>
  </si>
  <si>
    <t>S1322</t>
  </si>
  <si>
    <t>S1323</t>
  </si>
  <si>
    <t>Rahul Iyer</t>
  </si>
  <si>
    <t>S1324</t>
  </si>
  <si>
    <t>S1325</t>
  </si>
  <si>
    <t>S1326</t>
  </si>
  <si>
    <t>S1327</t>
  </si>
  <si>
    <t>S1328</t>
  </si>
  <si>
    <t>S1329</t>
  </si>
  <si>
    <t>S1330</t>
  </si>
  <si>
    <t>S1331</t>
  </si>
  <si>
    <t>S1332</t>
  </si>
  <si>
    <t>S1333</t>
  </si>
  <si>
    <t>S1334</t>
  </si>
  <si>
    <t>S1335</t>
  </si>
  <si>
    <t>S1336</t>
  </si>
  <si>
    <t>S1337</t>
  </si>
  <si>
    <t>S1338</t>
  </si>
  <si>
    <t>S1339</t>
  </si>
  <si>
    <t>Manish Iyer</t>
  </si>
  <si>
    <t>S1340</t>
  </si>
  <si>
    <t>S1341</t>
  </si>
  <si>
    <t>S1342</t>
  </si>
  <si>
    <t>Manish Desai</t>
  </si>
  <si>
    <t>S1343</t>
  </si>
  <si>
    <t>S1344</t>
  </si>
  <si>
    <t>S1345</t>
  </si>
  <si>
    <t>S1346</t>
  </si>
  <si>
    <t>Kunal Patil</t>
  </si>
  <si>
    <t>S1347</t>
  </si>
  <si>
    <t>S1348</t>
  </si>
  <si>
    <t>S1349</t>
  </si>
  <si>
    <t>Karan Kulkarni</t>
  </si>
  <si>
    <t>S1350</t>
  </si>
  <si>
    <t>S1351</t>
  </si>
  <si>
    <t>S1352</t>
  </si>
  <si>
    <t>S1353</t>
  </si>
  <si>
    <t>S1354</t>
  </si>
  <si>
    <t>S1355</t>
  </si>
  <si>
    <t>S1356</t>
  </si>
  <si>
    <t>S1357</t>
  </si>
  <si>
    <t>S1358</t>
  </si>
  <si>
    <t>S1359</t>
  </si>
  <si>
    <t>S1360</t>
  </si>
  <si>
    <t>S1361</t>
  </si>
  <si>
    <t>S1362</t>
  </si>
  <si>
    <t>S1363</t>
  </si>
  <si>
    <t>S1364</t>
  </si>
  <si>
    <t>S1365</t>
  </si>
  <si>
    <t>S1366</t>
  </si>
  <si>
    <t>S1367</t>
  </si>
  <si>
    <t>S1368</t>
  </si>
  <si>
    <t>Anjali Jain</t>
  </si>
  <si>
    <t>S1369</t>
  </si>
  <si>
    <t>Kavita Patel</t>
  </si>
  <si>
    <t>S1370</t>
  </si>
  <si>
    <t>S1371</t>
  </si>
  <si>
    <t>S1372</t>
  </si>
  <si>
    <t>S1373</t>
  </si>
  <si>
    <t>Aarav Rao</t>
  </si>
  <si>
    <t>S1374</t>
  </si>
  <si>
    <t>S1375</t>
  </si>
  <si>
    <t>S1376</t>
  </si>
  <si>
    <t>S1377</t>
  </si>
  <si>
    <t>S1378</t>
  </si>
  <si>
    <t>S1379</t>
  </si>
  <si>
    <t>Rohit Iyer</t>
  </si>
  <si>
    <t>S1380</t>
  </si>
  <si>
    <t>S1381</t>
  </si>
  <si>
    <t>S1382</t>
  </si>
  <si>
    <t>S1383</t>
  </si>
  <si>
    <t>S1384</t>
  </si>
  <si>
    <t>S1385</t>
  </si>
  <si>
    <t>S1386</t>
  </si>
  <si>
    <t>S1387</t>
  </si>
  <si>
    <t>Neha Joshi</t>
  </si>
  <si>
    <t>S1388</t>
  </si>
  <si>
    <t>Dev Jain</t>
  </si>
  <si>
    <t>S1389</t>
  </si>
  <si>
    <t>S1390</t>
  </si>
  <si>
    <t>S1391</t>
  </si>
  <si>
    <t>S1392</t>
  </si>
  <si>
    <t>S1393</t>
  </si>
  <si>
    <t>S1394</t>
  </si>
  <si>
    <t>S1395</t>
  </si>
  <si>
    <t>S1396</t>
  </si>
  <si>
    <t>S1397</t>
  </si>
  <si>
    <t>S1398</t>
  </si>
  <si>
    <t>S1399</t>
  </si>
  <si>
    <t>S1400</t>
  </si>
  <si>
    <t>S1401</t>
  </si>
  <si>
    <t>S1402</t>
  </si>
  <si>
    <t>Rahul Joshi</t>
  </si>
  <si>
    <t>S1403</t>
  </si>
  <si>
    <t>Karan Nair</t>
  </si>
  <si>
    <t>S1404</t>
  </si>
  <si>
    <t>S1405</t>
  </si>
  <si>
    <t>S1406</t>
  </si>
  <si>
    <t>S1407</t>
  </si>
  <si>
    <t>Pooja Nair</t>
  </si>
  <si>
    <t>S1408</t>
  </si>
  <si>
    <t>S1409</t>
  </si>
  <si>
    <t>S1410</t>
  </si>
  <si>
    <t>S1411</t>
  </si>
  <si>
    <t>S1412</t>
  </si>
  <si>
    <t>S1413</t>
  </si>
  <si>
    <t>S1414</t>
  </si>
  <si>
    <t>S1415</t>
  </si>
  <si>
    <t>S1416</t>
  </si>
  <si>
    <t>S1417</t>
  </si>
  <si>
    <t>S1418</t>
  </si>
  <si>
    <t>S1419</t>
  </si>
  <si>
    <t>S1420</t>
  </si>
  <si>
    <t>S1421</t>
  </si>
  <si>
    <t>S1422</t>
  </si>
  <si>
    <t>S1423</t>
  </si>
  <si>
    <t>S1424</t>
  </si>
  <si>
    <t>S1425</t>
  </si>
  <si>
    <t>Meera Rao</t>
  </si>
  <si>
    <t>S1426</t>
  </si>
  <si>
    <t>S1427</t>
  </si>
  <si>
    <t>S1428</t>
  </si>
  <si>
    <t>S1429</t>
  </si>
  <si>
    <t>S1430</t>
  </si>
  <si>
    <t>S1431</t>
  </si>
  <si>
    <t>S1432</t>
  </si>
  <si>
    <t>S1433</t>
  </si>
  <si>
    <t>Dev Shah</t>
  </si>
  <si>
    <t>S1434</t>
  </si>
  <si>
    <t>S1435</t>
  </si>
  <si>
    <t>S1436</t>
  </si>
  <si>
    <t>S1437</t>
  </si>
  <si>
    <t>S1438</t>
  </si>
  <si>
    <t>S1439</t>
  </si>
  <si>
    <t>S1440</t>
  </si>
  <si>
    <t>S1441</t>
  </si>
  <si>
    <t>S1442</t>
  </si>
  <si>
    <t>S1443</t>
  </si>
  <si>
    <t>S1444</t>
  </si>
  <si>
    <t>S1445</t>
  </si>
  <si>
    <t>S1446</t>
  </si>
  <si>
    <t>Pooja Verma</t>
  </si>
  <si>
    <t>S1447</t>
  </si>
  <si>
    <t>S1448</t>
  </si>
  <si>
    <t>S1449</t>
  </si>
  <si>
    <t>S1450</t>
  </si>
  <si>
    <t>S1451</t>
  </si>
  <si>
    <t>Anjali Joshi</t>
  </si>
  <si>
    <t>S1452</t>
  </si>
  <si>
    <t>S1453</t>
  </si>
  <si>
    <t>S1454</t>
  </si>
  <si>
    <t>Meera Kulkarni</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</si>
  <si>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</si>
  <si>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</si>
  <si>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</si>
  <si>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</si>
  <si>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</si>
  <si>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</si>
  <si>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</si>
  <si>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</si>
  <si>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</si>
  <si>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</si>
  <si>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</si>
  <si>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</si>
  <si>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</si>
  <si>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</si>
  <si>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</si>
  <si>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</si>
  <si>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</si>
  <si>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</si>
  <si>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</si>
  <si>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</si>
  <si>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</si>
  <si>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</si>
  <si>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</si>
  <si>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</si>
  <si>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</si>
  <si>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</si>
  <si>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</si>
  <si>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</si>
  <si>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</si>
  <si>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</si>
  <si>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</si>
  <si>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</si>
  <si>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</si>
  <si>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</si>
  <si>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Neha Kulkarni</t>
  </si>
  <si>
    <t>S1489</t>
  </si>
  <si>
    <t>S1490</t>
  </si>
  <si>
    <t>S1491</t>
  </si>
  <si>
    <t>S1492</t>
  </si>
  <si>
    <t>S1493</t>
  </si>
  <si>
    <t>S1494</t>
  </si>
  <si>
    <t>S1495</t>
  </si>
  <si>
    <t>S1496</t>
  </si>
  <si>
    <t>Karan Joshi</t>
  </si>
  <si>
    <t>S1497</t>
  </si>
  <si>
    <t>S1498</t>
  </si>
  <si>
    <t>S1499</t>
  </si>
  <si>
    <t>S1500</t>
  </si>
  <si>
    <t>S1501</t>
  </si>
  <si>
    <t>S1502</t>
  </si>
  <si>
    <t>S1503</t>
  </si>
  <si>
    <t>Pooja Mehta</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</si>
  <si>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</si>
  <si>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</si>
  <si>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</si>
  <si>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</si>
  <si>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</si>
  <si>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</si>
  <si>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</si>
  <si>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</si>
  <si>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</si>
  <si>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</si>
  <si>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</si>
  <si>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</si>
  <si>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</si>
  <si>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</si>
  <si>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</si>
  <si>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</si>
  <si>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</si>
  <si>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</si>
  <si>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</si>
  <si>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</si>
  <si>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</si>
  <si>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</si>
  <si>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</si>
  <si>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Neha Nair</t>
  </si>
  <si>
    <t>S1527</t>
  </si>
  <si>
    <t>S1528</t>
  </si>
  <si>
    <t>S1529</t>
  </si>
  <si>
    <t>S1530</t>
  </si>
  <si>
    <t>S1531</t>
  </si>
  <si>
    <t>S1532</t>
  </si>
  <si>
    <t>S1533</t>
  </si>
  <si>
    <t>S1534</t>
  </si>
  <si>
    <t>S1535</t>
  </si>
  <si>
    <t>S1536</t>
  </si>
  <si>
    <t>S1537</t>
  </si>
  <si>
    <t>S1538</t>
  </si>
  <si>
    <t>Anjali Singh</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</si>
  <si>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</si>
  <si>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</si>
  <si>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</si>
  <si>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</si>
  <si>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</si>
  <si>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</si>
  <si>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</si>
  <si>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</si>
  <si>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</si>
  <si>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</si>
  <si>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</si>
  <si>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</si>
  <si>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</si>
  <si>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</si>
  <si>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</si>
  <si>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</si>
  <si>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</si>
  <si>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</si>
  <si>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</si>
  <si>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</si>
  <si>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</si>
  <si>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</si>
  <si>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</si>
  <si>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</si>
  <si>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</si>
  <si>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</si>
  <si>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</si>
  <si>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</si>
  <si>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</si>
  <si>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</si>
  <si>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</si>
  <si>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</si>
  <si>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</si>
  <si>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</si>
  <si>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</si>
  <si>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</si>
  <si>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Pooja Iyer</t>
  </si>
  <si>
    <t>S1575</t>
  </si>
  <si>
    <t>S1576</t>
  </si>
  <si>
    <t>S1577</t>
  </si>
  <si>
    <t>S1578</t>
  </si>
  <si>
    <t>S1579</t>
  </si>
  <si>
    <t>S1580</t>
  </si>
  <si>
    <t>S1581</t>
  </si>
  <si>
    <t>S1582</t>
  </si>
  <si>
    <t>S1583</t>
  </si>
  <si>
    <t>S1584</t>
  </si>
  <si>
    <t>S1585</t>
  </si>
  <si>
    <t>S1586</t>
  </si>
  <si>
    <t>S1587</t>
  </si>
  <si>
    <t>S1588</t>
  </si>
  <si>
    <t>Sneha Singh</t>
  </si>
  <si>
    <t>S1589</t>
  </si>
  <si>
    <t>S1590</t>
  </si>
  <si>
    <t>S1591</t>
  </si>
  <si>
    <t>S1592</t>
  </si>
  <si>
    <t>S1593</t>
  </si>
  <si>
    <t>S1594</t>
  </si>
  <si>
    <t>S1595</t>
  </si>
  <si>
    <t>S1596</t>
  </si>
  <si>
    <t>S1597</t>
  </si>
  <si>
    <t>Kunal Jain</t>
  </si>
  <si>
    <t>S1598</t>
  </si>
  <si>
    <t>S1599</t>
  </si>
  <si>
    <t>S1600</t>
  </si>
  <si>
    <t>S1601</t>
  </si>
  <si>
    <t>S1602</t>
  </si>
  <si>
    <t>S1603</t>
  </si>
  <si>
    <t>S1604</t>
  </si>
  <si>
    <t>S1605</t>
  </si>
  <si>
    <t>S1606</t>
  </si>
  <si>
    <t>Kavita Nair</t>
  </si>
  <si>
    <t>S1607</t>
  </si>
  <si>
    <t>S1608</t>
  </si>
  <si>
    <t>S1609</t>
  </si>
  <si>
    <t>S1610</t>
  </si>
  <si>
    <t>S1611</t>
  </si>
  <si>
    <t>Riya Mehta</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</si>
  <si>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</si>
  <si>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</si>
  <si>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</si>
  <si>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</si>
  <si>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</si>
  <si>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</si>
  <si>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</si>
  <si>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</si>
  <si>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</si>
  <si>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</si>
  <si>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</si>
  <si>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</si>
  <si>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</si>
  <si>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</si>
  <si>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</si>
  <si>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</si>
  <si>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</si>
  <si>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</si>
  <si>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</si>
  <si>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</si>
  <si>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</si>
  <si>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</si>
  <si>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</si>
  <si>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</si>
  <si>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</si>
  <si>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</si>
  <si>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</si>
  <si>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</si>
  <si>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</si>
  <si>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</si>
  <si>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</si>
  <si>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</si>
  <si>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</si>
  <si>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</si>
  <si>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</si>
  <si>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</si>
  <si>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</si>
  <si>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</si>
  <si>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</si>
  <si>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</si>
  <si>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</si>
  <si>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</si>
  <si>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</si>
  <si>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</si>
  <si>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</si>
  <si>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</si>
  <si>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</si>
  <si>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</si>
  <si>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</si>
  <si>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</si>
  <si>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</si>
  <si>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</si>
  <si>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</si>
  <si>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</si>
  <si>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</si>
  <si>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</si>
  <si>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</si>
  <si>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</si>
  <si>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</si>
  <si>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</si>
  <si>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</si>
  <si>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Manish Shah</t>
  </si>
  <si>
    <t>S1673</t>
  </si>
  <si>
    <t>S1674</t>
  </si>
  <si>
    <t>S1675</t>
  </si>
  <si>
    <t>S1676</t>
  </si>
  <si>
    <t>S1677</t>
  </si>
  <si>
    <t>S1678</t>
  </si>
  <si>
    <t>S1679</t>
  </si>
  <si>
    <t>S1680</t>
  </si>
  <si>
    <t>S1681</t>
  </si>
  <si>
    <t>S1682</t>
  </si>
  <si>
    <t>S1683</t>
  </si>
  <si>
    <t>S1684</t>
  </si>
  <si>
    <t>S1685</t>
  </si>
  <si>
    <t>S1686</t>
  </si>
  <si>
    <t>Kavita Jain</t>
  </si>
  <si>
    <t>S1687</t>
  </si>
  <si>
    <t>S1688</t>
  </si>
  <si>
    <t>S1689</t>
  </si>
  <si>
    <t>S1690</t>
  </si>
  <si>
    <t>S1691</t>
  </si>
  <si>
    <t>S1692</t>
  </si>
  <si>
    <t>S1693</t>
  </si>
  <si>
    <t>S1694</t>
  </si>
  <si>
    <t>S1695</t>
  </si>
  <si>
    <t>S1696</t>
  </si>
  <si>
    <t>S1697</t>
  </si>
  <si>
    <t>S1698</t>
  </si>
  <si>
    <t>S1699</t>
  </si>
  <si>
    <t>S1700</t>
  </si>
  <si>
    <t>S1701</t>
  </si>
  <si>
    <t>S1702</t>
  </si>
  <si>
    <t>S1703</t>
  </si>
  <si>
    <t>S1704</t>
  </si>
  <si>
    <t>Sneha Rao</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</si>
  <si>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</si>
  <si>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</si>
  <si>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</si>
  <si>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</si>
  <si>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</si>
  <si>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</si>
  <si>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</si>
  <si>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</si>
  <si>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</si>
  <si>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</si>
  <si>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</si>
  <si>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</si>
  <si>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</si>
  <si>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</si>
  <si>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</si>
  <si>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</si>
  <si>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</si>
  <si>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</si>
  <si>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</si>
  <si>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</si>
  <si>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</si>
  <si>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</si>
  <si>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</si>
  <si>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</si>
  <si>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</si>
  <si>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</si>
  <si>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</si>
  <si>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</si>
  <si>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</si>
  <si>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</si>
  <si>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</si>
  <si>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</si>
  <si>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</si>
  <si>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</si>
  <si>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</si>
  <si>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</si>
  <si>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</si>
  <si>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</si>
  <si>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</si>
  <si>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</si>
  <si>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</si>
  <si>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</si>
  <si>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</si>
  <si>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</si>
  <si>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</si>
  <si>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</si>
  <si>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</si>
  <si>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Kunal Kulkarni</t>
  </si>
  <si>
    <t>S1752</t>
  </si>
  <si>
    <t>S1753</t>
  </si>
  <si>
    <t>S1754</t>
  </si>
  <si>
    <t>S1755</t>
  </si>
  <si>
    <t>S1756</t>
  </si>
  <si>
    <t>S1757</t>
  </si>
  <si>
    <t>S1758</t>
  </si>
  <si>
    <t>S1759</t>
  </si>
  <si>
    <t>S1760</t>
  </si>
  <si>
    <t>S1761</t>
  </si>
  <si>
    <t>S1762</t>
  </si>
  <si>
    <t>S1763</t>
  </si>
  <si>
    <t>Anjali Shah</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</si>
  <si>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</si>
  <si>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</si>
  <si>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</si>
  <si>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</si>
  <si>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</si>
  <si>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</si>
  <si>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</si>
  <si>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</si>
  <si>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</si>
  <si>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</si>
  <si>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</si>
  <si>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</si>
  <si>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</si>
  <si>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</si>
  <si>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</si>
  <si>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</si>
  <si>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</si>
  <si>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</si>
  <si>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</si>
  <si>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</si>
  <si>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</si>
  <si>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</si>
  <si>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</si>
  <si>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</si>
  <si>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</si>
  <si>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</si>
  <si>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</si>
  <si>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</si>
  <si>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</si>
  <si>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</si>
  <si>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</si>
  <si>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Rohit Kulkarni</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</si>
  <si>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</si>
  <si>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</si>
  <si>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</si>
  <si>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</si>
  <si>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</si>
  <si>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</si>
  <si>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</si>
  <si>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</si>
  <si>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</si>
  <si>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</si>
  <si>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</si>
  <si>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</si>
  <si>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</si>
  <si>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</si>
  <si>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</si>
  <si>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</si>
  <si>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</si>
  <si>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</si>
  <si>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</si>
  <si>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</si>
  <si>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</si>
  <si>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</si>
  <si>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</si>
  <si>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</si>
  <si>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</si>
  <si>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</si>
  <si>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</si>
  <si>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</si>
  <si>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</si>
  <si>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</si>
  <si>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</si>
  <si>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</si>
  <si>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</si>
  <si>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</si>
  <si>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</si>
  <si>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</si>
  <si>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</si>
  <si>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</si>
  <si>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</si>
  <si>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</si>
  <si>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Dev Rao</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</si>
  <si>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</si>
  <si>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</si>
  <si>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</si>
  <si>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</si>
  <si>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</si>
  <si>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</si>
  <si>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</si>
  <si>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</si>
  <si>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</si>
  <si>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</si>
  <si>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</si>
  <si>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</si>
  <si>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</si>
  <si>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</si>
  <si>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</si>
  <si>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</si>
  <si>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</si>
  <si>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</si>
  <si>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</si>
  <si>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</si>
  <si>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</si>
  <si>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</si>
  <si>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</si>
  <si>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</si>
  <si>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</si>
  <si>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</si>
  <si>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</si>
  <si>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</si>
  <si>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</si>
  <si>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</si>
  <si>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</si>
  <si>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Pooja Rao</t>
  </si>
  <si>
    <t>S1866</t>
  </si>
  <si>
    <t>S1867</t>
  </si>
  <si>
    <t>S1868</t>
  </si>
  <si>
    <t>S1869</t>
  </si>
  <si>
    <t>S1870</t>
  </si>
  <si>
    <t>S1871</t>
  </si>
  <si>
    <t>Meera Desai</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</si>
  <si>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</si>
  <si>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</si>
  <si>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</si>
  <si>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</si>
  <si>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</si>
  <si>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</si>
  <si>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</si>
  <si>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</si>
  <si>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</si>
  <si>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</si>
  <si>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</si>
  <si>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</si>
  <si>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</si>
  <si>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</si>
  <si>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</si>
  <si>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</si>
  <si>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</si>
  <si>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</si>
  <si>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</si>
  <si>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</si>
  <si>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</si>
  <si>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</si>
  <si>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</si>
  <si>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</si>
  <si>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</si>
  <si>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</si>
  <si>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</si>
  <si>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</si>
  <si>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</si>
  <si>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</si>
  <si>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</si>
  <si>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</si>
  <si>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</si>
  <si>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</si>
  <si>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</si>
  <si>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</si>
  <si>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</si>
  <si>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</si>
  <si>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</si>
  <si>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</si>
  <si>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</si>
  <si>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</si>
  <si>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</si>
  <si>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</si>
  <si>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</si>
  <si>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</si>
  <si>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</si>
  <si>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</si>
  <si>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</si>
  <si>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</si>
  <si>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</si>
  <si>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</si>
  <si>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</si>
  <si>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</si>
  <si>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</si>
  <si>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</si>
  <si>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</si>
  <si>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</si>
  <si>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</si>
  <si>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</si>
  <si>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</si>
  <si>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</si>
  <si>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</si>
  <si>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</si>
  <si>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</si>
  <si>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</si>
  <si>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</si>
  <si>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</si>
  <si>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</si>
  <si>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</si>
  <si>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</si>
  <si>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</si>
  <si>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</si>
  <si>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</si>
  <si>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</si>
  <si>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</si>
  <si>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</si>
  <si>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Meera Iyer</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</si>
  <si>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</si>
  <si>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</si>
  <si>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</si>
  <si>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</si>
  <si>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</si>
  <si>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</si>
  <si>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</si>
  <si>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</si>
  <si>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</si>
  <si>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</si>
  <si>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</si>
  <si>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</si>
  <si>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</si>
  <si>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</si>
  <si>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</si>
  <si>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</si>
  <si>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</si>
  <si>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</si>
  <si>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</si>
  <si>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</si>
  <si>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</si>
  <si>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</si>
  <si>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</si>
  <si>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</si>
  <si>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</si>
  <si>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</si>
  <si>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</si>
  <si>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</si>
  <si>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</si>
  <si>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</si>
  <si>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</si>
  <si>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</si>
  <si>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</si>
  <si>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</si>
  <si>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</si>
  <si>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</si>
  <si>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</si>
  <si>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</si>
  <si>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</si>
  <si>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</si>
  <si>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</si>
  <si>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</si>
  <si>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</si>
  <si>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</si>
  <si>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</si>
  <si>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</si>
  <si>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</si>
  <si>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</si>
  <si>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</si>
  <si>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</si>
  <si>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</si>
  <si>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Row Labels</t>
  </si>
  <si>
    <t>Grand Total</t>
  </si>
  <si>
    <t>Count of StudentID</t>
  </si>
  <si>
    <t>Sum of PaymentAmount</t>
  </si>
  <si>
    <t>Student ID</t>
  </si>
  <si>
    <t>Performance Status</t>
  </si>
  <si>
    <t>% of Target Achieved</t>
  </si>
  <si>
    <t>New_DiscountPercent</t>
  </si>
  <si>
    <t>Platfrom</t>
  </si>
  <si>
    <t>Total Net Revenue</t>
  </si>
  <si>
    <t xml:space="preserve"> CourselD</t>
  </si>
  <si>
    <t xml:space="preserve"> CourseName</t>
  </si>
  <si>
    <t xml:space="preserve"> Batch</t>
  </si>
  <si>
    <t xml:space="preserve"> MentorName</t>
  </si>
  <si>
    <t xml:space="preserve"> Platform</t>
  </si>
  <si>
    <t xml:space="preserve"> PaymentAmount</t>
  </si>
  <si>
    <t xml:space="preserve"> Discount</t>
  </si>
  <si>
    <t>Q-10</t>
  </si>
  <si>
    <t>Q-1</t>
  </si>
  <si>
    <t>Q-2</t>
  </si>
  <si>
    <t>Q-3</t>
  </si>
  <si>
    <t>Q-4</t>
  </si>
  <si>
    <t>Q-7</t>
  </si>
  <si>
    <t>Column Labels</t>
  </si>
  <si>
    <t>Total Revenue Before Discount</t>
  </si>
  <si>
    <t>Total Revenue After Discount</t>
  </si>
  <si>
    <t>Q-9</t>
  </si>
  <si>
    <t>The number of records</t>
  </si>
  <si>
    <t>Sum of Total Net Revenue</t>
  </si>
  <si>
    <t>Q-11</t>
  </si>
  <si>
    <t>Q-12</t>
  </si>
  <si>
    <t>Average of PaymentAmount</t>
  </si>
  <si>
    <t>Jan</t>
  </si>
  <si>
    <t>Feb</t>
  </si>
  <si>
    <t>Mar</t>
  </si>
  <si>
    <t>Sum of Net Revenue</t>
  </si>
  <si>
    <t>revenue</t>
  </si>
  <si>
    <t>amount</t>
  </si>
  <si>
    <t>KPIs</t>
  </si>
  <si>
    <t>Pivot Table</t>
  </si>
  <si>
    <t>Slicer</t>
  </si>
  <si>
    <t>Chart</t>
  </si>
  <si>
    <t>Below Target</t>
  </si>
  <si>
    <t>Target Achieved</t>
  </si>
  <si>
    <t>target</t>
  </si>
  <si>
    <t>Q-14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</si>
</sst>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theme="1"/>
      <name val="Calibri"/>
      <family val="2"/>
      <scheme val="minor"/>
    </font>
    <font>
      <sz val="12"/>
      <color theme="1"/>
      <name val="Calibri"/>
      <family val="2"/>
      <scheme val="minor"/>
    </font>
    <font>
      <sz val="14"/>
      <color theme="1"/>
      <name val="Calibri"/>
      <family val="2"/>
      <scheme val="minor"/>
    </font>
    <font>
      <sz val="14"/>
      <color theme="0"/>
      <name val="Calibri"/>
      <family val="2"/>
      <scheme val="minor"/>
    </font>
    <font>
      <sz val="20"/>
      <color theme="0"/>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59999389629810485"/>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1" tint="0.249977111117893"/>
        <bgColor indexed="64"/>
      </patternFill>
    </fill>
    <fill>
      <patternFill patternType="solid">
        <fgColor theme="3"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9">
    <xf numFmtId="0" fontId="0" fillId="0" borderId="0" xfId="0"/>
    <xf numFmtId="14" fontId="0" fillId="0" borderId="0" xfId="0" applyNumberFormat="1"/>
    <xf numFmtId="0" fontId="0" fillId="0" borderId="0" xfId="0" pivotButton="1"/>
    <xf numFmtId="0" fontId="18" fillId="0" borderId="0" xfId="0" applyFont="1" applyAlignment="1">
      <alignment horizontal="center" vertical="center"/>
    </xf>
    <xf numFmtId="0" fontId="18" fillId="0" borderId="0" xfId="0" applyNumberFormat="1" applyFont="1" applyAlignment="1">
      <alignment horizontal="center" vertical="center"/>
    </xf>
    <xf numFmtId="0" fontId="18" fillId="0" borderId="0" xfId="0" pivotButton="1" applyFont="1" applyAlignment="1">
      <alignment horizontal="center" vertical="center"/>
    </xf>
    <xf numFmtId="0" fontId="18" fillId="33" borderId="0" xfId="0" applyFont="1" applyFill="1" applyAlignment="1">
      <alignment horizontal="center" vertical="center"/>
    </xf>
    <xf numFmtId="0" fontId="18" fillId="33" borderId="0" xfId="0" applyNumberFormat="1" applyFont="1" applyFill="1" applyAlignment="1">
      <alignment horizontal="center" vertical="center"/>
    </xf>
    <xf numFmtId="0" fontId="0" fillId="33" borderId="0" xfId="0" applyFont="1" applyFill="1" applyAlignment="1">
      <alignment horizontal="center" vertical="center"/>
    </xf>
    <xf numFmtId="0" fontId="0" fillId="33" borderId="0" xfId="0" applyFill="1"/>
    <xf numFmtId="0" fontId="19" fillId="34" borderId="0" xfId="0" applyFont="1" applyFill="1" applyAlignment="1">
      <alignment horizontal="center" vertical="center"/>
    </xf>
    <xf numFmtId="2" fontId="19" fillId="34" borderId="0" xfId="42" applyNumberFormat="1" applyFont="1" applyFill="1" applyAlignment="1">
      <alignment horizontal="center" vertical="center"/>
    </xf>
    <xf numFmtId="0" fontId="0" fillId="0" borderId="0" xfId="0" applyAlignment="1">
      <alignment horizontal="center" vertical="center"/>
    </xf>
    <xf numFmtId="0" fontId="18" fillId="35" borderId="0" xfId="0" applyFont="1" applyFill="1" applyAlignment="1">
      <alignment horizontal="center" vertical="center"/>
    </xf>
    <xf numFmtId="14" fontId="0" fillId="0" borderId="0" xfId="0" applyNumberFormat="1" applyAlignment="1">
      <alignment horizontal="center" vertical="center"/>
    </xf>
    <xf numFmtId="0" fontId="20" fillId="0" borderId="0" xfId="0" applyFont="1" applyAlignment="1">
      <alignment horizontal="center" vertical="center"/>
    </xf>
    <xf numFmtId="9" fontId="20" fillId="0" borderId="0" xfId="42" applyFont="1" applyAlignment="1">
      <alignment horizontal="center" vertical="center"/>
    </xf>
    <xf numFmtId="0" fontId="20" fillId="35" borderId="0" xfId="0" applyFont="1" applyFill="1" applyAlignment="1">
      <alignment horizontal="center" vertical="center"/>
    </xf>
    <xf numFmtId="0" fontId="0" fillId="0" borderId="0" xfId="0" applyAlignment="1">
      <alignment horizontal="left"/>
    </xf>
    <xf numFmtId="0" fontId="0" fillId="0" borderId="0" xfId="0" applyNumberFormat="1"/>
    <xf numFmtId="0" fontId="0" fillId="35" borderId="0" xfId="0" applyFill="1" applyAlignment="1">
      <alignment horizontal="center" vertical="center"/>
    </xf>
    <xf numFmtId="0" fontId="0" fillId="35" borderId="0" xfId="0" applyFill="1"/>
    <xf numFmtId="0" fontId="0" fillId="36" borderId="0" xfId="0" applyFill="1" applyAlignment="1">
      <alignment horizontal="center" vertical="center"/>
    </xf>
    <xf numFmtId="0" fontId="0" fillId="36" borderId="0" xfId="0" applyFill="1"/>
    <xf numFmtId="0" fontId="17" fillId="38" borderId="0" xfId="0" applyFont="1" applyFill="1"/>
    <xf numFmtId="0" fontId="20" fillId="36" borderId="0" xfId="0" applyFont="1" applyFill="1" applyAlignment="1">
      <alignment horizontal="center" vertical="center"/>
    </xf>
    <xf numFmtId="0" fontId="0" fillId="0" borderId="0" xfId="42" applyNumberFormat="1" applyFont="1" applyAlignment="1">
      <alignment horizontal="center" vertical="center"/>
    </xf>
    <xf numFmtId="0" fontId="0" fillId="0" borderId="0" xfId="42" applyNumberFormat="1" applyFont="1"/>
    <xf numFmtId="0" fontId="19" fillId="37" borderId="0" xfId="0" applyFont="1" applyFill="1" applyAlignment="1">
      <alignment horizontal="center" vertical="center"/>
    </xf>
    <xf numFmtId="0" fontId="22" fillId="39" borderId="0" xfId="0" applyFont="1" applyFill="1" applyAlignment="1">
      <alignment horizontal="center" vertical="center"/>
    </xf>
    <xf numFmtId="0" fontId="21" fillId="39" borderId="0" xfId="0" applyFont="1" applyFill="1" applyAlignment="1">
      <alignment horizontal="center" vertical="center"/>
    </xf>
    <xf numFmtId="0" fontId="0" fillId="0" borderId="0" xfId="0" applyNumberFormat="1" applyAlignment="1">
      <alignment horizontal="center" vertical="center"/>
    </xf>
    <xf numFmtId="0" fontId="0" fillId="0" borderId="0" xfId="0" pivotButton="1" applyAlignment="1">
      <alignment horizontal="center" vertical="center"/>
    </xf>
    <xf numFmtId="0" fontId="17" fillId="39" borderId="0" xfId="0" applyFont="1" applyFill="1"/>
    <xf numFmtId="0" fontId="17" fillId="39" borderId="0" xfId="0" applyFont="1" applyFill="1" applyAlignment="1">
      <alignment horizontal="center" vertical="center"/>
    </xf>
    <xf numFmtId="10" fontId="0" fillId="0" borderId="0" xfId="0" applyNumberFormat="1" applyAlignment="1">
      <alignment horizontal="center" vertical="center"/>
    </xf>
    <xf numFmtId="10" fontId="0" fillId="0" borderId="0" xfId="42" applyNumberFormat="1" applyFont="1"/>
    <xf numFmtId="2" fontId="0" fillId="0" borderId="0" xfId="0" applyNumberFormat="1" applyAlignment="1">
      <alignment horizontal="center" vertical="center"/>
    </xf>
    <xf numFmtId="2"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01">
    <dxf>
      <alignment vertical="center"/>
    </dxf>
    <dxf>
      <alignment vertical="center"/>
    </dxf>
    <dxf>
      <alignment vertical="center"/>
    </dxf>
    <dxf>
      <alignment horizontal="center"/>
    </dxf>
    <dxf>
      <alignment horizontal="center"/>
    </dxf>
    <dxf>
      <alignment horizontal="center"/>
    </dxf>
    <dxf>
      <numFmt numFmtId="14" formatCode="0.00%"/>
    </dxf>
    <dxf>
      <alignment vertical="center"/>
    </dxf>
    <dxf>
      <alignment vertical="center"/>
    </dxf>
    <dxf>
      <alignment vertical="center"/>
    </dxf>
    <dxf>
      <alignment horizontal="center"/>
    </dxf>
    <dxf>
      <alignment horizontal="center"/>
    </dxf>
    <dxf>
      <alignment horizontal="center"/>
    </dxf>
    <dxf>
      <numFmt numFmtId="2" formatCode="0.00"/>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14" formatCode="0.00%"/>
    </dxf>
    <dxf>
      <alignment vertical="center"/>
    </dxf>
    <dxf>
      <alignment vertical="center"/>
    </dxf>
    <dxf>
      <alignment vertical="center"/>
    </dxf>
    <dxf>
      <alignment horizontal="center"/>
    </dxf>
    <dxf>
      <alignment horizontal="center"/>
    </dxf>
    <dxf>
      <alignment horizontal="center"/>
    </dxf>
    <dxf>
      <numFmt numFmtId="2" formatCode="0.00"/>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fill>
        <patternFill patternType="solid">
          <bgColor theme="3" tint="0.59999389629810485"/>
        </patternFill>
      </fill>
    </dxf>
    <dxf>
      <fill>
        <patternFill patternType="solid">
          <bgColor theme="3"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20"/>
      </font>
    </dxf>
    <dxf>
      <font>
        <sz val="20"/>
      </font>
    </dxf>
    <dxf>
      <font>
        <sz val="20"/>
      </font>
    </dxf>
    <dxf>
      <font>
        <sz val="20"/>
      </font>
    </dxf>
    <dxf>
      <font>
        <sz val="20"/>
      </font>
    </dxf>
    <dxf>
      <font>
        <sz val="20"/>
      </font>
    </dxf>
    <dxf>
      <fill>
        <patternFill patternType="solid">
          <bgColor theme="3" tint="0.59999389629810485"/>
        </patternFill>
      </fill>
    </dxf>
    <dxf>
      <fill>
        <patternFill patternType="solid">
          <bgColor theme="3"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20"/>
      </font>
    </dxf>
    <dxf>
      <font>
        <sz val="20"/>
      </font>
    </dxf>
    <dxf>
      <font>
        <sz val="20"/>
      </font>
    </dxf>
    <dxf>
      <font>
        <sz val="20"/>
      </font>
    </dxf>
    <dxf>
      <font>
        <sz val="20"/>
      </font>
    </dxf>
    <dxf>
      <font>
        <sz val="20"/>
      </font>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font>
        <sz val="20"/>
      </font>
    </dxf>
    <dxf>
      <font>
        <sz val="20"/>
      </font>
    </dxf>
    <dxf>
      <font>
        <sz val="20"/>
      </font>
    </dxf>
    <dxf>
      <font>
        <sz val="20"/>
      </font>
    </dxf>
    <dxf>
      <font>
        <sz val="20"/>
      </font>
    </dxf>
    <dxf>
      <font>
        <sz val="20"/>
      </font>
    </dxf>
    <dxf>
      <font>
        <sz val="20"/>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[edtech_dataset_Assignment-2.xlsx]Q13!PivotTable6</c:name>
    <c:fmtId val="1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'Q13'!$F$12</c:f>
              <c:strCache>
                <c:ptCount val="1"/>
                <c:pt idx="0">
                  <c:v>Total</c:v>
                </c:pt>
              </c:strCache>
            </c:strRef>
          </c:tx>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cat>
            <c:strRef>
              <c:f>'Q13'!$E$13:$E$16</c:f>
              <c:strCache>
                <c:ptCount val="3"/>
                <c:pt idx="0">
                  <c:v>Jan</c:v>
                </c:pt>
                <c:pt idx="1">
                  <c:v>Feb</c:v>
                </c:pt>
                <c:pt idx="2">
                  <c:v>Mar</c:v>
                </c:pt>
              </c:strCache>
            </c:strRef>
          </c:cat>
          <c:val>
            <c:numRef>
              <c:f>'Q13'!$F$13:$F$16</c:f>
              <c:numCache>
                <c:formatCode>General</c:formatCode>
                <c:ptCount val="3"/>
                <c:pt idx="0">
                  <c:v>5563210.9000000041</c:v>
                </c:pt>
                <c:pt idx="1">
                  <c:v>5616565.4000000022</c:v>
                </c:pt>
                <c:pt idx="2">
                  <c:v>174341.19999999998</c:v>
                </c:pt>
              </c:numCache>
            </c:numRef>
          </c:val>
          <c:smooth val="0"/>
          <c:extLst>
            <c:ext xmlns:c16="http://schemas.microsoft.com/office/drawing/2014/chart" uri="{C3380CC4-5D6E-409C-BE32-E72D297353CC}">
              <c16:uniqueId val="{00000000-EA22-41D8-AD0F-52407603D797}"/>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13533616"/>
        <c:axId val="1813535696"/>
      </c:lineChart>
      <c:catAx>
        <c:axId val="181353361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813535696"/>
        <c:crosses val="autoZero"/>
        <c:auto val="1"/>
        <c:lblAlgn val="ctr"/>
        <c:lblOffset val="100"/>
        <c:noMultiLvlLbl val="0"/>
      </c:catAx>
      <c:valAx>
        <c:axId val="1813535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1353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[edtech_dataset_Assignment-2.xlsx]Q13!PivotTable5</c:name>
    <c:fmtId val="2"/>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6"/>
            </a:fgClr>
            <a:bgClr>
              <a:schemeClr val="lt1"/>
            </a:bgClr>
          </a:pattFill>
          <a:ln>
            <a:noFill/>
          </a:ln>
          <a:effectLst/>
        </c:spPr>
        <c:marker>
          <c:symbol val="none"/>
        </c:marker>
        <c:dLbl>
          <c:idx val="0"/>
          <c:spPr>
            <a:solidFill>
              <a:srgbClr val="70AD47">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94609062025142"/>
          <c:y val="0.2055058587438989"/>
          <c:w val="0.72676582573559889"/>
          <c:h val="0.60771868959144681"/>
        </c:manualLayout>
      </c:layout>
      <c:barChart>
        <c:barDir val="col"/>
        <c:grouping val="clustered"/>
        <c:varyColors val="0"/>
        <c:ser>
          <c:idx val="0"/>
          <c:order val="0"/>
          <c:tx>
            <c:strRef>
              <c:f>'Q13'!$C$10</c:f>
              <c:strCache>
                <c:ptCount val="1"/>
                <c:pt idx="0">
                  <c:v>Total</c:v>
                </c:pt>
              </c:strCache>
            </c:strRef>
          </c:tx>
          <c:spPr>
            <a:pattFill prst="ltUpDiag">
              <a:fgClr>
                <a:schemeClr val="accent6"/>
              </a:fgClr>
              <a:bgClr>
                <a:schemeClr val="lt1"/>
              </a:bgClr>
            </a:pattFill>
            <a:ln>
              <a:noFill/>
            </a:ln>
            <a:effectLst/>
          </c:spPr>
          <c:invertIfNegative val="0"/>
          <c:dLbls>
            <c:spPr>
              <a:solidFill>
                <a:srgbClr val="70AD47">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'Q13'!$B$11:$B$15</c:f>
              <c:strCache>
                <c:ptCount val="4"/>
                <c:pt idx="0">
                  <c:v>Data Analytics</c:v>
                </c:pt>
                <c:pt idx="1">
                  <c:v>Data Science</c:v>
                </c:pt>
                <c:pt idx="2">
                  <c:v>Full Stack Dev</c:v>
                </c:pt>
                <c:pt idx="3">
                  <c:v>UI UX Design</c:v>
                </c:pt>
              </c:strCache>
            </c:strRef>
          </c:cat>
          <c:val>
            <c:numRef>
              <c:f>'Q13'!$C$11:$C$15</c:f>
              <c:numCache>
                <c:formatCode>General</c:formatCode>
                <c:ptCount val="4"/>
                <c:pt idx="0">
                  <c:v>2959247.1999999983</c:v>
                </c:pt>
                <c:pt idx="1">
                  <c:v>2676652.15</c:v>
                </c:pt>
                <c:pt idx="2">
                  <c:v>3849565.3499999978</c:v>
                </c:pt>
                <c:pt idx="3">
                  <c:v>1868652.800000001</c:v>
                </c:pt>
              </c:numCache>
            </c:numRef>
          </c:val>
          <c:extLst>
            <c:ext xmlns:c16="http://schemas.microsoft.com/office/drawing/2014/chart" uri="{C3380CC4-5D6E-409C-BE32-E72D297353CC}">
              <c16:uniqueId val="{00000000-1127-4044-BBA7-E2BA9B8B9268}"/>
            </c:ext>
          </c:extLst>
        </c:ser>
        <c:dLbls>
          <c:dLblPos val="inEnd"/>
          <c:showLegendKey val="0"/>
          <c:showVal val="1"/>
          <c:showCatName val="0"/>
          <c:showSerName val="0"/>
          <c:showPercent val="0"/>
          <c:showBubbleSize val="0"/>
        </c:dLbls>
        <c:gapWidth val="269"/>
        <c:overlap val="-20"/>
        <c:axId val="1813539440"/>
        <c:axId val="1813542352"/>
      </c:barChart>
      <c:catAx>
        <c:axId val="1813539440"/>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6">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813542352"/>
        <c:crosses val="autoZero"/>
        <c:auto val="1"/>
        <c:lblAlgn val="ctr"/>
        <c:lblOffset val="100"/>
        <c:noMultiLvlLbl val="0"/>
      </c:catAx>
      <c:valAx>
        <c:axId val="1813542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1353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[edtech_dataset_Assignment-2.xlsx]Q13!PivotTable5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94609062025142"/>
          <c:y val="0.2055058587438989"/>
          <c:w val="0.72676582573559889"/>
          <c:h val="0.60771868959144681"/>
        </c:manualLayout>
      </c:layout>
      <c:barChart>
        <c:barDir val="col"/>
        <c:grouping val="clustered"/>
        <c:varyColors val="0"/>
        <c:ser>
          <c:idx val="0"/>
          <c:order val="0"/>
          <c:tx>
            <c:strRef>
              <c:f>'Q13'!$C$10</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'Q13'!$B$11:$B$15</c:f>
              <c:strCache>
                <c:ptCount val="4"/>
                <c:pt idx="0">
                  <c:v>Data Analytics</c:v>
                </c:pt>
                <c:pt idx="1">
                  <c:v>Data Science</c:v>
                </c:pt>
                <c:pt idx="2">
                  <c:v>Full Stack Dev</c:v>
                </c:pt>
                <c:pt idx="3">
                  <c:v>UI UX Design</c:v>
                </c:pt>
              </c:strCache>
            </c:strRef>
          </c:cat>
          <c:val>
            <c:numRef>
              <c:f>'Q13'!$C$11:$C$15</c:f>
              <c:numCache>
                <c:formatCode>General</c:formatCode>
                <c:ptCount val="4"/>
                <c:pt idx="0">
                  <c:v>2959247.1999999983</c:v>
                </c:pt>
                <c:pt idx="1">
                  <c:v>2676652.15</c:v>
                </c:pt>
                <c:pt idx="2">
                  <c:v>3849565.3499999978</c:v>
                </c:pt>
                <c:pt idx="3">
                  <c:v>1868652.800000001</c:v>
                </c:pt>
              </c:numCache>
            </c:numRef>
          </c:val>
          <c:extLst>
            <c:ext xmlns:c16="http://schemas.microsoft.com/office/drawing/2014/chart" uri="{C3380CC4-5D6E-409C-BE32-E72D297353CC}">
              <c16:uniqueId val="{00000000-D5D4-4B5E-BD52-60C96218E6C0}"/>
            </c:ext>
          </c:extLst>
        </c:ser>
        <c:dLbls>
          <c:dLblPos val="inEnd"/>
          <c:showLegendKey val="0"/>
          <c:showVal val="1"/>
          <c:showCatName val="0"/>
          <c:showSerName val="0"/>
          <c:showPercent val="0"/>
          <c:showBubbleSize val="0"/>
        </c:dLbls>
        <c:gapWidth val="219"/>
        <c:overlap val="-27"/>
        <c:axId val="1813539440"/>
        <c:axId val="1813542352"/>
      </c:barChart>
      <c:catAx>
        <c:axId val="181353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542352"/>
        <c:crosses val="autoZero"/>
        <c:auto val="1"/>
        <c:lblAlgn val="ctr"/>
        <c:lblOffset val="100"/>
        <c:noMultiLvlLbl val="0"/>
      </c:catAx>
      <c:valAx>
        <c:axId val="181354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53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[edtech_dataset_Assignment-2.xlsx]Q13!PivotTable6</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77633354399029"/>
          <c:y val="0.17118560765079918"/>
          <c:w val="0.58861427571011327"/>
          <c:h val="0.56719842724470881"/>
        </c:manualLayout>
      </c:layout>
      <c:lineChart>
        <c:grouping val="stacked"/>
        <c:varyColors val="0"/>
        <c:ser>
          <c:idx val="0"/>
          <c:order val="0"/>
          <c:tx>
            <c:strRef>
              <c:f>'Q13'!$F$12</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'Q13'!$E$13:$E$16</c:f>
              <c:strCache>
                <c:ptCount val="3"/>
                <c:pt idx="0">
                  <c:v>Jan</c:v>
                </c:pt>
                <c:pt idx="1">
                  <c:v>Feb</c:v>
                </c:pt>
                <c:pt idx="2">
                  <c:v>Mar</c:v>
                </c:pt>
              </c:strCache>
            </c:strRef>
          </c:cat>
          <c:val>
            <c:numRef>
              <c:f>'Q13'!$F$13:$F$16</c:f>
              <c:numCache>
                <c:formatCode>General</c:formatCode>
                <c:ptCount val="3"/>
                <c:pt idx="0">
                  <c:v>5563210.9000000041</c:v>
                </c:pt>
                <c:pt idx="1">
                  <c:v>5616565.4000000022</c:v>
                </c:pt>
                <c:pt idx="2">
                  <c:v>174341.19999999998</c:v>
                </c:pt>
              </c:numCache>
            </c:numRef>
          </c:val>
          <c:smooth val="0"/>
          <c:extLst>
            <c:ext xmlns:c16="http://schemas.microsoft.com/office/drawing/2014/chart" uri="{C3380CC4-5D6E-409C-BE32-E72D297353CC}">
              <c16:uniqueId val="{00000000-CC3E-4D67-B3C3-B849E0C57E0A}"/>
            </c:ext>
          </c:extLst>
        </c:ser>
        <c:dLbls>
          <c:showLegendKey val="0"/>
          <c:showVal val="0"/>
          <c:showCatName val="0"/>
          <c:showSerName val="0"/>
          <c:showPercent val="0"/>
          <c:showBubbleSize val="0"/>
        </c:dLbls>
        <c:marker val="1"/>
        <c:smooth val="0"/>
        <c:axId val="1813533616"/>
        <c:axId val="1813535696"/>
      </c:lineChart>
      <c:catAx>
        <c:axId val="181353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535696"/>
        <c:crosses val="autoZero"/>
        <c:auto val="1"/>
        <c:lblAlgn val="ctr"/>
        <c:lblOffset val="100"/>
        <c:noMultiLvlLbl val="0"/>
      </c:catAx>
      <c:valAx>
        <c:axId val="181353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53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38100</xdr:colOff>
      <xdr:row>13</xdr:row>
      <xdr:rowOff>30480</xdr:rowOff>
    </xdr:from>
    <xdr:to>
      <xdr:col>4</xdr:col>
      <xdr:colOff>617220</xdr:colOff>
      <xdr:row>20</xdr:row>
      <xdr:rowOff>60960</xdr:rowOff>
    </xdr:to>
    <xdr:sp macro="" textlink="">
      <xdr:nvSpPr>
        <xdr:cNvPr id="2" name="TextBox 1">
          <a:extLst>
            <a:ext uri="{FF2B5EF4-FFF2-40B4-BE49-F238E27FC236}">
              <a16:creationId xmlns:a16="http://schemas.microsoft.com/office/drawing/2014/main" id="{5C6ED9FD-1438-4BAB-A2EA-9BE10D5CF254}"/>
            </a:ext>
          </a:extLst>
        </xdr:cNvPr>
        <xdr:cNvSpPr txBox="1"/>
      </xdr:nvSpPr>
      <xdr:spPr>
        <a:xfrm>
          <a:off x="38100" y="2407920"/>
          <a:ext cx="4747260" cy="1310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u="sng"/>
            <a:t>Top Performing Combination of Category &amp; Platfrom</a:t>
          </a:r>
        </a:p>
        <a:p>
          <a:r>
            <a:rPr lang="en-IN" sz="1400"/>
            <a:t> Category</a:t>
          </a:r>
          <a:r>
            <a:rPr lang="en-IN" sz="1400" baseline="0"/>
            <a:t> - Full Stack Developer</a:t>
          </a:r>
        </a:p>
        <a:p>
          <a:r>
            <a:rPr lang="en-IN" sz="1400" baseline="0"/>
            <a:t> Platfrom - Tablet</a:t>
          </a:r>
        </a:p>
        <a:p>
          <a:r>
            <a:rPr lang="en-IN" sz="1400" baseline="0"/>
            <a:t> Revenue - 1452256.20 </a:t>
          </a:r>
          <a:endParaRPr lang="en-IN" sz="14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xdr:colOff>
      <xdr:row>0</xdr:row>
      <xdr:rowOff>60960</xdr:rowOff>
    </xdr:from>
    <xdr:to>
      <xdr:col>22</xdr:col>
      <xdr:colOff>586740</xdr:colOff>
      <xdr:row>34</xdr:row>
      <xdr:rowOff>0</xdr:rowOff>
    </xdr:to>
    <xdr:sp macro="" textlink="">
      <xdr:nvSpPr>
        <xdr:cNvPr id="2" name="Rectangle 1">
          <a:extLst>
            <a:ext uri="{FF2B5EF4-FFF2-40B4-BE49-F238E27FC236}">
              <a16:creationId xmlns:a16="http://schemas.microsoft.com/office/drawing/2014/main" id="{1CAB814E-AC50-4FD9-9D28-F9CD34B26C55}"/>
            </a:ext>
          </a:extLst>
        </xdr:cNvPr>
        <xdr:cNvSpPr/>
      </xdr:nvSpPr>
      <xdr:spPr>
        <a:xfrm>
          <a:off x="53340" y="60960"/>
          <a:ext cx="13944600" cy="6156960"/>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20</xdr:col>
      <xdr:colOff>30480</xdr:colOff>
      <xdr:row>0</xdr:row>
      <xdr:rowOff>167640</xdr:rowOff>
    </xdr:from>
    <xdr:to>
      <xdr:col>22</xdr:col>
      <xdr:colOff>525780</xdr:colOff>
      <xdr:row>8</xdr:row>
      <xdr:rowOff>121920</xdr:rowOff>
    </xdr:to>
    <mc:AlternateContent xmlns:mc="http://schemas.openxmlformats.org/markup-compatibility/2006" xmlns:a14="http://schemas.microsoft.com/office/drawing/2010/main">
      <mc:Choice Requires="a14">
        <xdr:graphicFrame macro="">
          <xdr:nvGraphicFramePr>
            <xdr:cNvPr id="3" name="CourseName">
              <a:extLst>
                <a:ext uri="{FF2B5EF4-FFF2-40B4-BE49-F238E27FC236}">
                  <a16:creationId xmlns:a16="http://schemas.microsoft.com/office/drawing/2014/main" id="{6F2558C7-FE7A-41D7-8FF3-AE10DE8B0B1D}"/>
                </a:ext>
              </a:extLst>
            </xdr:cNvPr>
            <xdr:cNvGraphicFramePr/>
          </xdr:nvGraphicFramePr>
          <xdr:xfrm>
            <a:off x="0" y="0"/>
            <a:ext cx="0" cy="0"/>
          </xdr:xfrm>
          <a:graphic>
            <a:graphicData uri="http://schemas.microsoft.com/office/drawing/2010/slicer">
              <sle:slicer xmlns:sle="http://schemas.microsoft.com/office/drawing/2010/slicer" name="CourseName"/>
            </a:graphicData>
          </a:graphic>
        </xdr:graphicFrame>
      </mc:Choice>
      <mc:Fallback xmlns="">
        <xdr:sp macro="" textlink="">
          <xdr:nvSpPr>
            <xdr:cNvPr id="0" name=""/>
            <xdr:cNvSpPr>
              <a:spLocks noTextEdit="1"/>
            </xdr:cNvSpPr>
          </xdr:nvSpPr>
          <xdr:spPr>
            <a:xfrm>
              <a:off x="12222480" y="167640"/>
              <a:ext cx="171450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45720</xdr:colOff>
      <xdr:row>8</xdr:row>
      <xdr:rowOff>167640</xdr:rowOff>
    </xdr:from>
    <xdr:to>
      <xdr:col>22</xdr:col>
      <xdr:colOff>540120</xdr:colOff>
      <xdr:row>15</xdr:row>
      <xdr:rowOff>76200</xdr:rowOff>
    </xdr:to>
    <mc:AlternateContent xmlns:mc="http://schemas.openxmlformats.org/markup-compatibility/2006" xmlns:a14="http://schemas.microsoft.com/office/drawing/2010/main">
      <mc:Choice Requires="a14">
        <xdr:graphicFrame macro="">
          <xdr:nvGraphicFramePr>
            <xdr:cNvPr id="4" name="Platform">
              <a:extLst>
                <a:ext uri="{FF2B5EF4-FFF2-40B4-BE49-F238E27FC236}">
                  <a16:creationId xmlns:a16="http://schemas.microsoft.com/office/drawing/2014/main" id="{C498BE28-A1B0-4FBB-8B43-99D70F1584EA}"/>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2237720" y="1630680"/>
              <a:ext cx="17136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53340</xdr:colOff>
      <xdr:row>15</xdr:row>
      <xdr:rowOff>106680</xdr:rowOff>
    </xdr:from>
    <xdr:to>
      <xdr:col>22</xdr:col>
      <xdr:colOff>547740</xdr:colOff>
      <xdr:row>22</xdr:row>
      <xdr:rowOff>30480</xdr:rowOff>
    </xdr:to>
    <mc:AlternateContent xmlns:mc="http://schemas.openxmlformats.org/markup-compatibility/2006" xmlns:a14="http://schemas.microsoft.com/office/drawing/2010/main">
      <mc:Choice Requires="a14">
        <xdr:graphicFrame macro="">
          <xdr:nvGraphicFramePr>
            <xdr:cNvPr id="5" name="MentorName">
              <a:extLst>
                <a:ext uri="{FF2B5EF4-FFF2-40B4-BE49-F238E27FC236}">
                  <a16:creationId xmlns:a16="http://schemas.microsoft.com/office/drawing/2014/main" id="{2150FC5E-66A3-4BA2-A830-7F4AD054E09E}"/>
                </a:ext>
              </a:extLst>
            </xdr:cNvPr>
            <xdr:cNvGraphicFramePr/>
          </xdr:nvGraphicFramePr>
          <xdr:xfrm>
            <a:off x="0" y="0"/>
            <a:ext cx="0" cy="0"/>
          </xdr:xfrm>
          <a:graphic>
            <a:graphicData uri="http://schemas.microsoft.com/office/drawing/2010/slicer">
              <sle:slicer xmlns:sle="http://schemas.microsoft.com/office/drawing/2010/slicer" name="MentorName"/>
            </a:graphicData>
          </a:graphic>
        </xdr:graphicFrame>
      </mc:Choice>
      <mc:Fallback xmlns="">
        <xdr:sp macro="" textlink="">
          <xdr:nvSpPr>
            <xdr:cNvPr id="0" name=""/>
            <xdr:cNvSpPr>
              <a:spLocks noTextEdit="1"/>
            </xdr:cNvSpPr>
          </xdr:nvSpPr>
          <xdr:spPr>
            <a:xfrm>
              <a:off x="12245340" y="2849880"/>
              <a:ext cx="171360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502920</xdr:colOff>
      <xdr:row>13</xdr:row>
      <xdr:rowOff>7620</xdr:rowOff>
    </xdr:from>
    <xdr:to>
      <xdr:col>19</xdr:col>
      <xdr:colOff>518160</xdr:colOff>
      <xdr:row>32</xdr:row>
      <xdr:rowOff>49530</xdr:rowOff>
    </xdr:to>
    <xdr:graphicFrame macro="">
      <xdr:nvGraphicFramePr>
        <xdr:cNvPr id="6" name="Chart 5">
          <a:extLst>
            <a:ext uri="{FF2B5EF4-FFF2-40B4-BE49-F238E27FC236}">
              <a16:creationId xmlns:a16="http://schemas.microsoft.com/office/drawing/2014/main" id="{A6EA4430-68DA-4389-B842-2E487184C5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594360</xdr:colOff>
      <xdr:row>13</xdr:row>
      <xdr:rowOff>7620</xdr:rowOff>
    </xdr:from>
    <xdr:to>
      <xdr:col>11</xdr:col>
      <xdr:colOff>396240</xdr:colOff>
      <xdr:row>32</xdr:row>
      <xdr:rowOff>60960</xdr:rowOff>
    </xdr:to>
    <xdr:graphicFrame macro="">
      <xdr:nvGraphicFramePr>
        <xdr:cNvPr id="7" name="Chart 6">
          <a:extLst>
            <a:ext uri="{FF2B5EF4-FFF2-40B4-BE49-F238E27FC236}">
              <a16:creationId xmlns:a16="http://schemas.microsoft.com/office/drawing/2014/main" id="{77BAF281-E6EE-4F95-B283-A11AF5CC1B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0</xdr:row>
      <xdr:rowOff>144780</xdr:rowOff>
    </xdr:from>
    <xdr:to>
      <xdr:col>19</xdr:col>
      <xdr:colOff>541020</xdr:colOff>
      <xdr:row>4</xdr:row>
      <xdr:rowOff>99060</xdr:rowOff>
    </xdr:to>
    <xdr:sp macro="" textlink="">
      <xdr:nvSpPr>
        <xdr:cNvPr id="14" name="TextBox 13">
          <a:extLst>
            <a:ext uri="{FF2B5EF4-FFF2-40B4-BE49-F238E27FC236}">
              <a16:creationId xmlns:a16="http://schemas.microsoft.com/office/drawing/2014/main" id="{FC997E04-245D-4E94-B08F-7FB028B6D9A7}"/>
            </a:ext>
          </a:extLst>
        </xdr:cNvPr>
        <xdr:cNvSpPr txBox="1"/>
      </xdr:nvSpPr>
      <xdr:spPr>
        <a:xfrm>
          <a:off x="1828800" y="144780"/>
          <a:ext cx="1029462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latin typeface="Berlin Sans FB Demi" panose="020E0802020502020306" pitchFamily="34" charset="0"/>
            </a:rPr>
            <a:t>Sales Dashboard</a:t>
          </a:r>
        </a:p>
      </xdr:txBody>
    </xdr:sp>
    <xdr:clientData/>
  </xdr:twoCellAnchor>
  <xdr:twoCellAnchor>
    <xdr:from>
      <xdr:col>3</xdr:col>
      <xdr:colOff>0</xdr:colOff>
      <xdr:row>6</xdr:row>
      <xdr:rowOff>144780</xdr:rowOff>
    </xdr:from>
    <xdr:to>
      <xdr:col>8</xdr:col>
      <xdr:colOff>320040</xdr:colOff>
      <xdr:row>12</xdr:row>
      <xdr:rowOff>127500</xdr:rowOff>
    </xdr:to>
    <xdr:sp macro="" textlink="">
      <xdr:nvSpPr>
        <xdr:cNvPr id="17" name="TextBox 16">
          <a:extLst>
            <a:ext uri="{FF2B5EF4-FFF2-40B4-BE49-F238E27FC236}">
              <a16:creationId xmlns:a16="http://schemas.microsoft.com/office/drawing/2014/main" id="{B95D0D53-5A27-4AB9-8086-EC509CA1C5A1}"/>
            </a:ext>
          </a:extLst>
        </xdr:cNvPr>
        <xdr:cNvSpPr txBox="1"/>
      </xdr:nvSpPr>
      <xdr:spPr>
        <a:xfrm>
          <a:off x="1828800" y="1242060"/>
          <a:ext cx="3368040" cy="1080000"/>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i="0" u="none" strike="noStrike">
              <a:solidFill>
                <a:schemeClr val="dk1"/>
              </a:solidFill>
              <a:effectLst/>
              <a:latin typeface="Baskerville Old Face" panose="02020602080505020303" pitchFamily="18" charset="0"/>
              <a:ea typeface="+mn-ea"/>
              <a:cs typeface="+mn-cs"/>
            </a:rPr>
            <a:t>Total</a:t>
          </a:r>
          <a:r>
            <a:rPr lang="en-IN" sz="2400" b="1" i="0" u="none" strike="noStrike" baseline="0">
              <a:solidFill>
                <a:schemeClr val="dk1"/>
              </a:solidFill>
              <a:effectLst/>
              <a:latin typeface="Baskerville Old Face" panose="02020602080505020303" pitchFamily="18" charset="0"/>
              <a:ea typeface="+mn-ea"/>
              <a:cs typeface="+mn-cs"/>
            </a:rPr>
            <a:t> </a:t>
          </a:r>
          <a:r>
            <a:rPr lang="en-IN" sz="2400" b="1" i="0" u="none" strike="noStrike">
              <a:solidFill>
                <a:schemeClr val="dk1"/>
              </a:solidFill>
              <a:effectLst/>
              <a:latin typeface="Baskerville Old Face" panose="02020602080505020303" pitchFamily="18" charset="0"/>
              <a:ea typeface="+mn-ea"/>
              <a:cs typeface="+mn-cs"/>
            </a:rPr>
            <a:t>Revenue</a:t>
          </a:r>
          <a:endParaRPr lang="en-IN" sz="2400">
            <a:latin typeface="Baskerville Old Face" panose="02020602080505020303" pitchFamily="18" charset="0"/>
          </a:endParaRPr>
        </a:p>
      </xdr:txBody>
    </xdr:sp>
    <xdr:clientData/>
  </xdr:twoCellAnchor>
  <xdr:twoCellAnchor>
    <xdr:from>
      <xdr:col>3</xdr:col>
      <xdr:colOff>38100</xdr:colOff>
      <xdr:row>9</xdr:row>
      <xdr:rowOff>99060</xdr:rowOff>
    </xdr:from>
    <xdr:to>
      <xdr:col>8</xdr:col>
      <xdr:colOff>259080</xdr:colOff>
      <xdr:row>12</xdr:row>
      <xdr:rowOff>53340</xdr:rowOff>
    </xdr:to>
    <xdr:sp macro="" textlink="'Q13'!J5">
      <xdr:nvSpPr>
        <xdr:cNvPr id="16" name="TextBox 15">
          <a:extLst>
            <a:ext uri="{FF2B5EF4-FFF2-40B4-BE49-F238E27FC236}">
              <a16:creationId xmlns:a16="http://schemas.microsoft.com/office/drawing/2014/main" id="{2B0BB30A-8C9B-4B7C-8129-25C5D73EE2F4}"/>
            </a:ext>
          </a:extLst>
        </xdr:cNvPr>
        <xdr:cNvSpPr txBox="1"/>
      </xdr:nvSpPr>
      <xdr:spPr>
        <a:xfrm>
          <a:off x="1866900" y="1744980"/>
          <a:ext cx="3268980" cy="5029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614B100-4CFC-46BA-AEEB-CEDFF3B19EE3}" type="TxLink">
            <a:rPr lang="en-US" sz="2400" b="0" i="0" u="none" strike="noStrike">
              <a:solidFill>
                <a:srgbClr val="000000"/>
              </a:solidFill>
              <a:latin typeface="Bernard MT Condensed" panose="02050806060905020404" pitchFamily="18" charset="0"/>
              <a:cs typeface="Calibri"/>
            </a:rPr>
            <a:pPr algn="ctr"/>
            <a:t>11354117.5</a:t>
          </a:fld>
          <a:endParaRPr lang="en-IN" sz="2400">
            <a:latin typeface="Bernard MT Condensed" panose="02050806060905020404" pitchFamily="18" charset="0"/>
          </a:endParaRPr>
        </a:p>
      </xdr:txBody>
    </xdr:sp>
    <xdr:clientData/>
  </xdr:twoCellAnchor>
  <xdr:twoCellAnchor>
    <xdr:from>
      <xdr:col>8</xdr:col>
      <xdr:colOff>502920</xdr:colOff>
      <xdr:row>6</xdr:row>
      <xdr:rowOff>137160</xdr:rowOff>
    </xdr:from>
    <xdr:to>
      <xdr:col>14</xdr:col>
      <xdr:colOff>350520</xdr:colOff>
      <xdr:row>12</xdr:row>
      <xdr:rowOff>119880</xdr:rowOff>
    </xdr:to>
    <xdr:sp macro="" textlink="">
      <xdr:nvSpPr>
        <xdr:cNvPr id="18" name="TextBox 17">
          <a:extLst>
            <a:ext uri="{FF2B5EF4-FFF2-40B4-BE49-F238E27FC236}">
              <a16:creationId xmlns:a16="http://schemas.microsoft.com/office/drawing/2014/main" id="{4C6CD037-D22E-4A10-9D93-2AA45E9BBD7E}"/>
            </a:ext>
          </a:extLst>
        </xdr:cNvPr>
        <xdr:cNvSpPr txBox="1"/>
      </xdr:nvSpPr>
      <xdr:spPr>
        <a:xfrm>
          <a:off x="5379720" y="1234440"/>
          <a:ext cx="3505200" cy="1080000"/>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i="0" u="none" strike="noStrike">
              <a:solidFill>
                <a:schemeClr val="dk1"/>
              </a:solidFill>
              <a:effectLst/>
              <a:latin typeface="Baskerville Old Face" panose="02020602080505020303" pitchFamily="18" charset="0"/>
              <a:ea typeface="+mn-ea"/>
              <a:cs typeface="+mn-cs"/>
            </a:rPr>
            <a:t>Average</a:t>
          </a:r>
          <a:r>
            <a:rPr lang="en-IN" sz="2400" b="1" i="0" u="none" strike="noStrike" baseline="0">
              <a:solidFill>
                <a:schemeClr val="dk1"/>
              </a:solidFill>
              <a:effectLst/>
              <a:latin typeface="Baskerville Old Face" panose="02020602080505020303" pitchFamily="18" charset="0"/>
              <a:ea typeface="+mn-ea"/>
              <a:cs typeface="+mn-cs"/>
            </a:rPr>
            <a:t> </a:t>
          </a:r>
          <a:r>
            <a:rPr lang="en-IN" sz="2400" b="1" i="0" u="none" strike="noStrike">
              <a:solidFill>
                <a:schemeClr val="dk1"/>
              </a:solidFill>
              <a:effectLst/>
              <a:latin typeface="Baskerville Old Face" panose="02020602080505020303" pitchFamily="18" charset="0"/>
              <a:ea typeface="+mn-ea"/>
              <a:cs typeface="+mn-cs"/>
            </a:rPr>
            <a:t>Payment</a:t>
          </a:r>
          <a:endParaRPr lang="en-IN" sz="2400">
            <a:latin typeface="Baskerville Old Face" panose="02020602080505020303" pitchFamily="18" charset="0"/>
          </a:endParaRPr>
        </a:p>
      </xdr:txBody>
    </xdr:sp>
    <xdr:clientData/>
  </xdr:twoCellAnchor>
  <xdr:twoCellAnchor>
    <xdr:from>
      <xdr:col>8</xdr:col>
      <xdr:colOff>487680</xdr:colOff>
      <xdr:row>9</xdr:row>
      <xdr:rowOff>99060</xdr:rowOff>
    </xdr:from>
    <xdr:to>
      <xdr:col>14</xdr:col>
      <xdr:colOff>289560</xdr:colOff>
      <xdr:row>12</xdr:row>
      <xdr:rowOff>45720</xdr:rowOff>
    </xdr:to>
    <xdr:sp macro="" textlink="'Q13'!J7">
      <xdr:nvSpPr>
        <xdr:cNvPr id="19" name="TextBox 18">
          <a:extLst>
            <a:ext uri="{FF2B5EF4-FFF2-40B4-BE49-F238E27FC236}">
              <a16:creationId xmlns:a16="http://schemas.microsoft.com/office/drawing/2014/main" id="{5873C1F4-C112-4D3C-B4FD-2731B0AA1FF2}"/>
            </a:ext>
          </a:extLst>
        </xdr:cNvPr>
        <xdr:cNvSpPr txBox="1"/>
      </xdr:nvSpPr>
      <xdr:spPr>
        <a:xfrm>
          <a:off x="5364480" y="1744980"/>
          <a:ext cx="345948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9627B8-8BA5-487B-AA72-60EB9E62E5B4}" type="TxLink">
            <a:rPr lang="en-US" sz="2400" b="0" i="0" u="none" strike="noStrike">
              <a:solidFill>
                <a:srgbClr val="000000"/>
              </a:solidFill>
              <a:latin typeface="Bernard MT Condensed" panose="02050806060905020404" pitchFamily="18" charset="0"/>
              <a:cs typeface="Calibri"/>
            </a:rPr>
            <a:pPr algn="ctr"/>
            <a:t>13395.29</a:t>
          </a:fld>
          <a:endParaRPr lang="en-IN" sz="2400">
            <a:latin typeface="Bernard MT Condensed" panose="02050806060905020404" pitchFamily="18" charset="0"/>
          </a:endParaRPr>
        </a:p>
      </xdr:txBody>
    </xdr:sp>
    <xdr:clientData/>
  </xdr:twoCellAnchor>
  <xdr:twoCellAnchor>
    <xdr:from>
      <xdr:col>14</xdr:col>
      <xdr:colOff>594360</xdr:colOff>
      <xdr:row>6</xdr:row>
      <xdr:rowOff>152400</xdr:rowOff>
    </xdr:from>
    <xdr:to>
      <xdr:col>19</xdr:col>
      <xdr:colOff>502920</xdr:colOff>
      <xdr:row>12</xdr:row>
      <xdr:rowOff>135120</xdr:rowOff>
    </xdr:to>
    <xdr:sp macro="" textlink="">
      <xdr:nvSpPr>
        <xdr:cNvPr id="21" name="TextBox 20">
          <a:extLst>
            <a:ext uri="{FF2B5EF4-FFF2-40B4-BE49-F238E27FC236}">
              <a16:creationId xmlns:a16="http://schemas.microsoft.com/office/drawing/2014/main" id="{486A0783-7622-4E05-B62C-2287DF10A06A}"/>
            </a:ext>
          </a:extLst>
        </xdr:cNvPr>
        <xdr:cNvSpPr txBox="1"/>
      </xdr:nvSpPr>
      <xdr:spPr>
        <a:xfrm>
          <a:off x="9128760" y="1249680"/>
          <a:ext cx="2956560" cy="1080000"/>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latin typeface="Baskerville Old Face" panose="02020602080505020303" pitchFamily="18" charset="0"/>
            </a:rPr>
            <a:t>%Target Achieved</a:t>
          </a:r>
        </a:p>
      </xdr:txBody>
    </xdr:sp>
    <xdr:clientData/>
  </xdr:twoCellAnchor>
  <xdr:twoCellAnchor>
    <xdr:from>
      <xdr:col>14</xdr:col>
      <xdr:colOff>594360</xdr:colOff>
      <xdr:row>9</xdr:row>
      <xdr:rowOff>45720</xdr:rowOff>
    </xdr:from>
    <xdr:to>
      <xdr:col>19</xdr:col>
      <xdr:colOff>457200</xdr:colOff>
      <xdr:row>12</xdr:row>
      <xdr:rowOff>60960</xdr:rowOff>
    </xdr:to>
    <xdr:sp macro="" textlink="'Q13'!J9">
      <xdr:nvSpPr>
        <xdr:cNvPr id="20" name="TextBox 19">
          <a:extLst>
            <a:ext uri="{FF2B5EF4-FFF2-40B4-BE49-F238E27FC236}">
              <a16:creationId xmlns:a16="http://schemas.microsoft.com/office/drawing/2014/main" id="{63F6BBE3-7C5A-42E3-AF81-E79ED45EAF2C}"/>
            </a:ext>
          </a:extLst>
        </xdr:cNvPr>
        <xdr:cNvSpPr txBox="1"/>
      </xdr:nvSpPr>
      <xdr:spPr>
        <a:xfrm>
          <a:off x="9128760" y="1691640"/>
          <a:ext cx="2910840" cy="563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966D66-EBC2-4FB9-9E97-FB37C436BFA1}" type="TxLink">
            <a:rPr lang="en-US" sz="2400" b="0" i="0" u="none" strike="noStrike">
              <a:solidFill>
                <a:srgbClr val="000000"/>
              </a:solidFill>
              <a:latin typeface="Bernard MT Condensed" panose="02050806060905020404" pitchFamily="18" charset="0"/>
              <a:cs typeface="Calibri"/>
            </a:rPr>
            <a:pPr algn="ctr"/>
            <a:t>20.30%</a:t>
          </a:fld>
          <a:endParaRPr lang="en-IN" sz="2400">
            <a:latin typeface="Bernard MT Condensed" panose="02050806060905020404" pitchFamily="18" charset="0"/>
          </a:endParaRPr>
        </a:p>
      </xdr:txBody>
    </xdr:sp>
    <xdr:clientData/>
  </xdr:twoCellAnchor>
  <xdr:twoCellAnchor>
    <xdr:from>
      <xdr:col>0</xdr:col>
      <xdr:colOff>0</xdr:colOff>
      <xdr:row>1</xdr:row>
      <xdr:rowOff>137160</xdr:rowOff>
    </xdr:from>
    <xdr:to>
      <xdr:col>3</xdr:col>
      <xdr:colOff>121920</xdr:colOff>
      <xdr:row>5</xdr:row>
      <xdr:rowOff>99060</xdr:rowOff>
    </xdr:to>
    <xdr:sp macro="" textlink="">
      <xdr:nvSpPr>
        <xdr:cNvPr id="22" name="TextBox 21">
          <a:extLst>
            <a:ext uri="{FF2B5EF4-FFF2-40B4-BE49-F238E27FC236}">
              <a16:creationId xmlns:a16="http://schemas.microsoft.com/office/drawing/2014/main" id="{B10B2F15-C6C5-4055-BCF7-37940FAE37F2}"/>
            </a:ext>
          </a:extLst>
        </xdr:cNvPr>
        <xdr:cNvSpPr txBox="1"/>
      </xdr:nvSpPr>
      <xdr:spPr>
        <a:xfrm>
          <a:off x="0" y="320040"/>
          <a:ext cx="1950720" cy="693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b="1" i="1" u="none">
              <a:latin typeface="Berlin Sans FB Demi" panose="020E0802020502020306" pitchFamily="34" charset="0"/>
            </a:rPr>
            <a:t>edtech</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495300</xdr:colOff>
      <xdr:row>17</xdr:row>
      <xdr:rowOff>106680</xdr:rowOff>
    </xdr:from>
    <xdr:to>
      <xdr:col>3</xdr:col>
      <xdr:colOff>403860</xdr:colOff>
      <xdr:row>33</xdr:row>
      <xdr:rowOff>129540</xdr:rowOff>
    </xdr:to>
    <xdr:graphicFrame macro="">
      <xdr:nvGraphicFramePr>
        <xdr:cNvPr id="8" name="Chart 7">
          <a:extLst>
            <a:ext uri="{FF2B5EF4-FFF2-40B4-BE49-F238E27FC236}">
              <a16:creationId xmlns:a16="http://schemas.microsoft.com/office/drawing/2014/main" id="{C279C92F-38EC-45E1-9141-0F7662C2C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137160</xdr:colOff>
      <xdr:row>17</xdr:row>
      <xdr:rowOff>91440</xdr:rowOff>
    </xdr:from>
    <xdr:to>
      <xdr:col>6</xdr:col>
      <xdr:colOff>312420</xdr:colOff>
      <xdr:row>33</xdr:row>
      <xdr:rowOff>95250</xdr:rowOff>
    </xdr:to>
    <xdr:graphicFrame macro="">
      <xdr:nvGraphicFramePr>
        <xdr:cNvPr id="9" name="Chart 8">
          <a:extLst>
            <a:ext uri="{FF2B5EF4-FFF2-40B4-BE49-F238E27FC236}">
              <a16:creationId xmlns:a16="http://schemas.microsoft.com/office/drawing/2014/main" id="{15DE606E-0AE4-4782-9E9C-CA6D2E19B9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0</xdr:colOff>
      <xdr:row>2</xdr:row>
      <xdr:rowOff>137160</xdr:rowOff>
    </xdr:from>
    <xdr:to>
      <xdr:col>13</xdr:col>
      <xdr:colOff>495300</xdr:colOff>
      <xdr:row>10</xdr:row>
      <xdr:rowOff>91440</xdr:rowOff>
    </xdr:to>
    <mc:AlternateContent xmlns:mc="http://schemas.openxmlformats.org/markup-compatibility/2006" xmlns:a14="http://schemas.microsoft.com/office/drawing/2010/main">
      <mc:Choice Requires="a14">
        <xdr:graphicFrame macro="">
          <xdr:nvGraphicFramePr>
            <xdr:cNvPr id="12" name="CourseName 1">
              <a:extLst>
                <a:ext uri="{FF2B5EF4-FFF2-40B4-BE49-F238E27FC236}">
                  <a16:creationId xmlns:a16="http://schemas.microsoft.com/office/drawing/2014/main" id="{347A4201-639E-4423-B1FA-832FE70981D5}"/>
                </a:ext>
              </a:extLst>
            </xdr:cNvPr>
            <xdr:cNvGraphicFramePr/>
          </xdr:nvGraphicFramePr>
          <xdr:xfrm>
            <a:off x="0" y="0"/>
            <a:ext cx="0" cy="0"/>
          </xdr:xfrm>
          <a:graphic>
            <a:graphicData uri="http://schemas.microsoft.com/office/drawing/2010/slicer">
              <sle:slicer xmlns:sle="http://schemas.microsoft.com/office/drawing/2010/slicer" name="CourseName 1"/>
            </a:graphicData>
          </a:graphic>
        </xdr:graphicFrame>
      </mc:Choice>
      <mc:Fallback xmlns="">
        <xdr:sp macro="" textlink="">
          <xdr:nvSpPr>
            <xdr:cNvPr id="0" name=""/>
            <xdr:cNvSpPr>
              <a:spLocks noTextEdit="1"/>
            </xdr:cNvSpPr>
          </xdr:nvSpPr>
          <xdr:spPr>
            <a:xfrm>
              <a:off x="11925300" y="502920"/>
              <a:ext cx="171450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15240</xdr:colOff>
      <xdr:row>11</xdr:row>
      <xdr:rowOff>53340</xdr:rowOff>
    </xdr:from>
    <xdr:to>
      <xdr:col>13</xdr:col>
      <xdr:colOff>509640</xdr:colOff>
      <xdr:row>17</xdr:row>
      <xdr:rowOff>144780</xdr:rowOff>
    </xdr:to>
    <mc:AlternateContent xmlns:mc="http://schemas.openxmlformats.org/markup-compatibility/2006" xmlns:a14="http://schemas.microsoft.com/office/drawing/2010/main">
      <mc:Choice Requires="a14">
        <xdr:graphicFrame macro="">
          <xdr:nvGraphicFramePr>
            <xdr:cNvPr id="13" name="Platform 1">
              <a:extLst>
                <a:ext uri="{FF2B5EF4-FFF2-40B4-BE49-F238E27FC236}">
                  <a16:creationId xmlns:a16="http://schemas.microsoft.com/office/drawing/2014/main" id="{C5358210-2321-4394-92D7-6C6A5DFF7500}"/>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11940540" y="2065020"/>
              <a:ext cx="17136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76200</xdr:colOff>
      <xdr:row>18</xdr:row>
      <xdr:rowOff>30480</xdr:rowOff>
    </xdr:from>
    <xdr:to>
      <xdr:col>13</xdr:col>
      <xdr:colOff>570600</xdr:colOff>
      <xdr:row>24</xdr:row>
      <xdr:rowOff>137160</xdr:rowOff>
    </xdr:to>
    <mc:AlternateContent xmlns:mc="http://schemas.openxmlformats.org/markup-compatibility/2006" xmlns:a14="http://schemas.microsoft.com/office/drawing/2010/main">
      <mc:Choice Requires="a14">
        <xdr:graphicFrame macro="">
          <xdr:nvGraphicFramePr>
            <xdr:cNvPr id="14" name="MentorName 1">
              <a:extLst>
                <a:ext uri="{FF2B5EF4-FFF2-40B4-BE49-F238E27FC236}">
                  <a16:creationId xmlns:a16="http://schemas.microsoft.com/office/drawing/2014/main" id="{F104AE49-22F0-48D7-BBE5-677464F9E4D9}"/>
                </a:ext>
              </a:extLst>
            </xdr:cNvPr>
            <xdr:cNvGraphicFramePr/>
          </xdr:nvGraphicFramePr>
          <xdr:xfrm>
            <a:off x="0" y="0"/>
            <a:ext cx="0" cy="0"/>
          </xdr:xfrm>
          <a:graphic>
            <a:graphicData uri="http://schemas.microsoft.com/office/drawing/2010/slicer">
              <sle:slicer xmlns:sle="http://schemas.microsoft.com/office/drawing/2010/slicer" name="MentorName 1"/>
            </a:graphicData>
          </a:graphic>
        </xdr:graphicFrame>
      </mc:Choice>
      <mc:Fallback xmlns="">
        <xdr:sp macro="" textlink="">
          <xdr:nvSpPr>
            <xdr:cNvPr id="0" name=""/>
            <xdr:cNvSpPr>
              <a:spLocks noTextEdit="1"/>
            </xdr:cNvSpPr>
          </xdr:nvSpPr>
          <xdr:spPr>
            <a:xfrm>
              <a:off x="12001500" y="3322320"/>
              <a:ext cx="171360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S" refreshedDate="46285.759677546295" createdVersion="7" refreshedVersion="7" minRefreshableVersion="3" recordCount="1000" xr:uid="{5E018CB3-E2E7-4977-BECD-6957DFFE49B3}">
  <cacheSource type="worksheet">
    <worksheetSource ref="B1:O1001" sheet="Q5_Q6_Q8"/>
  </cacheSource>
  <cacheFields count="14">
    <cacheField name="StudentName" numFmtId="0">
      <sharedItems/>
    </cacheField>
    <cacheField name="CourseID" numFmtId="0">
      <sharedItems count="4">
        <s v="C201"/>
        <s v="C203"/>
        <s v="C202"/>
        <s v="C204"/>
      </sharedItems>
    </cacheField>
    <cacheField name="CourseName" numFmtId="0">
      <sharedItems count="4">
        <s v="Data Analytics"/>
        <s v="Full Stack Dev"/>
        <s v="Data Science"/>
        <s v="UI UX Design"/>
      </sharedItems>
    </cacheField>
    <cacheField name="BatchID" numFmtId="0">
      <sharedItems/>
    </cacheField>
    <cacheField name="MentorName" numFmtId="0">
      <sharedItems/>
    </cacheField>
    <cacheField name="Platform" numFmtId="0">
      <sharedItems count="3">
        <s v="Web"/>
        <s v="Tablet"/>
        <s v="Mobile"/>
      </sharedItems>
    </cacheField>
    <cacheField name="PaymentAmount" numFmtId="0">
      <sharedItems containsSemiMixedTypes="0" containsString="0" containsNumber="1" containsInteger="1" minValue="7015" maxValue="18991"/>
    </cacheField>
    <cacheField name="DiscountCode" numFmtId="0">
      <sharedItems containsBlank="1"/>
    </cacheField>
    <cacheField name="DiscountPercent" numFmtId="0">
      <sharedItems containsString="0" containsBlank="1" containsNumber="1" minValue="0.1" maxValue="0.3"/>
    </cacheField>
    <cacheField name="TargetRevenue" numFmtId="0">
      <sharedItems containsSemiMixedTypes="0" containsString="0" containsNumber="1" containsInteger="1" minValue="9000" maxValue="17000"/>
    </cacheField>
    <cacheField name="PaymentDate" numFmtId="14">
      <sharedItems containsSemiMixedTypes="0" containsNonDate="0" containsDate="1" containsString="0" minDate="2024-01-01T00:00:00" maxDate="2024-03-02T00:00:00"/>
    </cacheField>
    <cacheField name="New_DiscountPercent" numFmtId="0">
      <sharedItems containsSemiMixedTypes="0" containsString="0" containsNumber="1" containsInteger="1" minValue="0" maxValue="30"/>
    </cacheField>
    <cacheField name="Total Net Revenue" numFmtId="0">
      <sharedItems containsSemiMixedTypes="0" containsString="0" containsNumber="1" minValue="4953.8999999999996" maxValue="18973" count="994">
        <n v="10331.200000000001"/>
        <n v="10909.8"/>
        <n v="12461.85"/>
        <n v="11711.7"/>
        <n v="10777.2"/>
        <n v="15476.4"/>
        <n v="13891.2"/>
        <n v="13094.1"/>
        <n v="11100.6"/>
        <n v="11349.6"/>
        <n v="11129.3"/>
        <n v="9550.1"/>
        <n v="16620"/>
        <n v="10264.6"/>
        <n v="9087"/>
        <n v="15244"/>
        <n v="6824.65"/>
        <n v="10603.6"/>
        <n v="10210.9"/>
        <n v="11967.15"/>
        <n v="9417.1"/>
        <n v="13588.1"/>
        <n v="7525"/>
        <n v="15160"/>
        <n v="9625.7000000000007"/>
        <n v="5083.3999999999996"/>
        <n v="10161"/>
        <n v="16140"/>
        <n v="7001.1"/>
        <n v="16684.2"/>
        <n v="12050.1"/>
        <n v="8140"/>
        <n v="8220.35"/>
        <n v="10376.799999999999"/>
        <n v="12086"/>
        <n v="7101.9"/>
        <n v="10374.25"/>
        <n v="11589.6"/>
        <n v="10206.799999999999"/>
        <n v="12167.75"/>
        <n v="8383.9"/>
        <n v="15038"/>
        <n v="10468.799999999999"/>
        <n v="10874.9"/>
        <n v="14234.4"/>
        <n v="13812.8"/>
        <n v="9670.5"/>
        <n v="10777.9"/>
        <n v="14036"/>
        <n v="12561.6"/>
        <n v="13408"/>
        <n v="11719.8"/>
        <n v="8632.7999999999993"/>
        <n v="9811.2000000000007"/>
        <n v="11442"/>
        <n v="5902.4"/>
        <n v="11791"/>
        <n v="14086"/>
        <n v="13371.35"/>
        <n v="7468.95"/>
        <n v="11507.4"/>
        <n v="10420.200000000001"/>
        <n v="13266"/>
        <n v="16722"/>
        <n v="11370.8"/>
        <n v="14213.6"/>
        <n v="11144.35"/>
        <n v="11442.4"/>
        <n v="12865"/>
        <n v="13024"/>
        <n v="10812"/>
        <n v="14282"/>
        <n v="15855.05"/>
        <n v="6190.1"/>
        <n v="11185.3"/>
        <n v="13862.65"/>
        <n v="11114.4"/>
        <n v="12204"/>
        <n v="8416.7999999999993"/>
        <n v="7850.6"/>
        <n v="11118"/>
        <n v="8612.7999999999993"/>
        <n v="6399.9"/>
        <n v="5986.4"/>
        <n v="14429.7"/>
        <n v="11052.9"/>
        <n v="9581.6"/>
        <n v="9898.7000000000007"/>
        <n v="12933"/>
        <n v="6214.35"/>
        <n v="12309.7"/>
        <n v="10296.299999999999"/>
        <n v="15432"/>
        <n v="6562.85"/>
        <n v="6598.2"/>
        <n v="15073"/>
        <n v="7339.5"/>
        <n v="15814.25"/>
        <n v="12988"/>
        <n v="13915"/>
        <n v="11866.4"/>
        <n v="16408"/>
        <n v="11378.5"/>
        <n v="10555.2"/>
        <n v="9350"/>
        <n v="8213.7999999999993"/>
        <n v="9286.2000000000007"/>
        <n v="8164"/>
        <n v="10320.299999999999"/>
        <n v="11120.9"/>
        <n v="6735.4"/>
        <n v="14729.65"/>
        <n v="11774.7"/>
        <n v="11768.25"/>
        <n v="13879"/>
        <n v="14633.6"/>
        <n v="11508"/>
        <n v="13141.1"/>
        <n v="14491.65"/>
        <n v="10130.4"/>
        <n v="9731.2000000000007"/>
        <n v="8785"/>
        <n v="5942.4"/>
        <n v="8782.2000000000007"/>
        <n v="18973"/>
        <n v="12322.8"/>
        <n v="5483.1"/>
        <n v="6050.3"/>
        <n v="13262"/>
        <n v="12326.4"/>
        <n v="16701"/>
        <n v="10464.799999999999"/>
        <n v="9324"/>
        <n v="6288.1"/>
        <n v="7884.8"/>
        <n v="8937"/>
        <n v="11098.45"/>
        <n v="5649.6"/>
        <n v="10528.1"/>
        <n v="9489.2000000000007"/>
        <n v="5824"/>
        <n v="10262.700000000001"/>
        <n v="16434.900000000001"/>
        <n v="7383.95"/>
        <n v="14566"/>
        <n v="6221.6"/>
        <n v="11390.4"/>
        <n v="16024"/>
        <n v="7277.7"/>
        <n v="14511.6"/>
        <n v="10787.7"/>
        <n v="12280.1"/>
        <n v="12282.3"/>
        <n v="11284.2"/>
        <n v="8687.85"/>
        <n v="13273.4"/>
        <n v="12071.2"/>
        <n v="10238"/>
        <n v="10546.9"/>
        <n v="15237.9"/>
        <n v="15258"/>
        <n v="9787.5"/>
        <n v="13591"/>
        <n v="7632"/>
        <n v="4993.8"/>
        <n v="10628.4"/>
        <n v="14368.5"/>
        <n v="8183.8"/>
        <n v="14256"/>
        <n v="9876"/>
        <n v="9948.4"/>
        <n v="12188"/>
        <n v="14038"/>
        <n v="11986.7"/>
        <n v="12076.8"/>
        <n v="12371.4"/>
        <n v="11346.3"/>
        <n v="16207"/>
        <n v="12466.1"/>
        <n v="8388"/>
        <n v="10306.799999999999"/>
        <n v="7381"/>
        <n v="14791.7"/>
        <n v="15854"/>
        <n v="12096"/>
        <n v="13023"/>
        <n v="15926"/>
        <n v="11785.5"/>
        <n v="12594.4"/>
        <n v="14382"/>
        <n v="9916.7999999999993"/>
        <n v="16756.2"/>
        <n v="13814"/>
        <n v="5226.2"/>
        <n v="5748.8"/>
        <n v="12114.4"/>
        <n v="18059"/>
        <n v="10011.4"/>
        <n v="14195.7"/>
        <n v="9622"/>
        <n v="9718.7999999999993"/>
        <n v="11594"/>
        <n v="13091.2"/>
        <n v="10997"/>
        <n v="9638.4"/>
        <n v="11815"/>
        <n v="15120.9"/>
        <n v="13974.85"/>
        <n v="7284.2"/>
        <n v="13574"/>
        <n v="8939.7000000000007"/>
        <n v="10024.700000000001"/>
        <n v="12793"/>
        <n v="12586"/>
        <n v="8588.2999999999993"/>
        <n v="8914.7999999999993"/>
        <n v="11027.8"/>
        <n v="9757.7999999999993"/>
        <n v="15635.75"/>
        <n v="5939.5"/>
        <n v="6870.6"/>
        <n v="13276.15"/>
        <n v="9331.2000000000007"/>
        <n v="8877.4"/>
        <n v="10210"/>
        <n v="15111.3"/>
        <n v="13371.2"/>
        <n v="9077.6"/>
        <n v="13117"/>
        <n v="7436.1"/>
        <n v="12965"/>
        <n v="10263.4"/>
        <n v="12323.2"/>
        <n v="4953.8999999999996"/>
        <n v="7409.7"/>
        <n v="8027.4"/>
        <n v="11482.2"/>
        <n v="6247.5"/>
        <n v="14603"/>
        <n v="11688.3"/>
        <n v="12065.2"/>
        <n v="6196.8"/>
        <n v="5743.2"/>
        <n v="11857.3"/>
        <n v="10182.200000000001"/>
        <n v="16801"/>
        <n v="9252.9"/>
        <n v="5742.1"/>
        <n v="17939"/>
        <n v="12994.1"/>
        <n v="9564.1"/>
        <n v="13777"/>
        <n v="10682.8"/>
        <n v="9112.5"/>
        <n v="12912.8"/>
        <n v="12529.85"/>
        <n v="12254.2"/>
        <n v="10280.799999999999"/>
        <n v="12080.7"/>
        <n v="15038.4"/>
        <n v="11969"/>
        <n v="15755.4"/>
        <n v="8816.2000000000007"/>
        <n v="9883.2999999999993"/>
        <n v="13257"/>
        <n v="9856.7999999999993"/>
        <n v="13529.45"/>
        <n v="13646.4"/>
        <n v="12489.9"/>
        <n v="13502.25"/>
        <n v="7683.15"/>
        <n v="8218"/>
        <n v="10321.6"/>
        <n v="12967.5"/>
        <n v="13045.6"/>
        <n v="5044.8999999999996"/>
        <n v="9200.4"/>
        <n v="9129.4"/>
        <n v="6698.85"/>
        <n v="17754"/>
        <n v="10485.299999999999"/>
        <n v="11440.8"/>
        <n v="12860.5"/>
        <n v="9469.6"/>
        <n v="10747.4"/>
        <n v="13127"/>
        <n v="11665"/>
        <n v="15633.2"/>
        <n v="14720.4"/>
        <n v="13566.85"/>
        <n v="12024.95"/>
        <n v="12010.5"/>
        <n v="14262.4"/>
        <n v="7912"/>
        <n v="11580.1"/>
        <n v="12713.4"/>
        <n v="8344.7000000000007"/>
        <n v="12298"/>
        <n v="15105.35"/>
        <n v="14560.2"/>
        <n v="13452.95"/>
        <n v="15328.9"/>
        <n v="11410"/>
        <n v="13557.5"/>
        <n v="7067.2"/>
        <n v="11008.35"/>
        <n v="14242.5"/>
        <n v="9531.9"/>
        <n v="12432.1"/>
        <n v="6683.2"/>
        <n v="12611.9"/>
        <n v="14674"/>
        <n v="12312"/>
        <n v="11964"/>
        <n v="10532.2"/>
        <n v="9034.2000000000007"/>
        <n v="13126.4"/>
        <n v="10933.55"/>
        <n v="8096"/>
        <n v="10417.4"/>
        <n v="10903.8"/>
        <n v="14228.8"/>
        <n v="11085.6"/>
        <n v="10713.5"/>
        <n v="15631.2"/>
        <n v="15824"/>
        <n v="13645"/>
        <n v="8326.6"/>
        <n v="14117.65"/>
        <n v="12544.3"/>
        <n v="8144.5"/>
        <n v="13066.2"/>
        <n v="13003.2"/>
        <n v="7100.1"/>
        <n v="11360.25"/>
        <n v="15048.4"/>
        <n v="14882.4"/>
        <n v="9749"/>
        <n v="6832.8"/>
        <n v="11591"/>
        <n v="7549"/>
        <n v="12928.3"/>
        <n v="11695.15"/>
        <n v="12537.5"/>
        <n v="15070.4"/>
        <n v="7905.6"/>
        <n v="12029.5"/>
        <n v="6246.1"/>
        <n v="14831.2"/>
        <n v="17949"/>
        <n v="14730.4"/>
        <n v="17628"/>
        <n v="17238"/>
        <n v="14283.9"/>
        <n v="11116.8"/>
        <n v="8170.2"/>
        <n v="9259"/>
        <n v="17057"/>
        <n v="10389.6"/>
        <n v="16528"/>
        <n v="12309.3"/>
        <n v="8647.2000000000007"/>
        <n v="8385.2999999999993"/>
        <n v="9062.9"/>
        <n v="12107.2"/>
        <n v="15081"/>
        <n v="14418"/>
        <n v="16413.3"/>
        <n v="13891.5"/>
        <n v="8119"/>
        <n v="9399"/>
        <n v="10735.2"/>
        <n v="11229.3"/>
        <n v="6787.8"/>
        <n v="7181.65"/>
        <n v="16694"/>
        <n v="13807"/>
        <n v="12207.2"/>
        <n v="12824"/>
        <n v="11022.3"/>
        <n v="7448.55"/>
        <n v="14950"/>
        <n v="5978"/>
        <n v="14811.25"/>
        <n v="12858"/>
        <n v="8799"/>
        <n v="11302"/>
        <n v="7406.05"/>
        <n v="10305.4"/>
        <n v="14649"/>
        <n v="6447.2"/>
        <n v="10961.6"/>
        <n v="16210"/>
        <n v="10292"/>
        <n v="9853"/>
        <n v="10834.6"/>
        <n v="9956.9"/>
        <n v="7663.2"/>
        <n v="7612"/>
        <n v="5489.4"/>
        <n v="8935.5"/>
        <n v="9912.7000000000007"/>
        <n v="8441"/>
        <n v="14201.6"/>
        <n v="14272"/>
        <n v="11760"/>
        <n v="9746.4"/>
        <n v="9808.2000000000007"/>
        <n v="9027"/>
        <n v="8383.5"/>
        <n v="12041.4"/>
        <n v="8410.5"/>
        <n v="14285.95"/>
        <n v="8453.2000000000007"/>
        <n v="8772"/>
        <n v="8171.2"/>
        <n v="11178.35"/>
        <n v="16065.85"/>
        <n v="10508"/>
        <n v="11514.4"/>
        <n v="6713"/>
        <n v="7352.5"/>
        <n v="15644.7"/>
        <n v="10304"/>
        <n v="6318.2"/>
        <n v="17318"/>
        <n v="15210"/>
        <n v="14924"/>
        <n v="12376.7"/>
        <n v="9800.7999999999993"/>
        <n v="9855.2000000000007"/>
        <n v="7566.3"/>
        <n v="11312.1"/>
        <n v="12561"/>
        <n v="9588"/>
        <n v="9497.6"/>
        <n v="6815.7"/>
        <n v="11209.8"/>
        <n v="13010.9"/>
        <n v="12281.4"/>
        <n v="11987"/>
        <n v="11546.4"/>
        <n v="12064.5"/>
        <n v="11197.05"/>
        <n v="7821.7"/>
        <n v="15192"/>
        <n v="11991.2"/>
        <n v="8543.7000000000007"/>
        <n v="10405.799999999999"/>
        <n v="12649.7"/>
        <n v="12730.5"/>
        <n v="12127.5"/>
        <n v="12750.3"/>
        <n v="10809"/>
        <n v="10054.4"/>
        <n v="14685"/>
        <n v="9344.7000000000007"/>
        <n v="17265"/>
        <n v="14040"/>
        <n v="8091.2"/>
        <n v="13143.6"/>
        <n v="5940"/>
        <n v="7331.4"/>
        <n v="9891.9"/>
        <n v="11410.4"/>
        <n v="10139.5"/>
        <n v="14360.4"/>
        <n v="13841"/>
        <n v="11827.9"/>
        <n v="11775.9"/>
        <n v="11211.2"/>
        <n v="18899"/>
        <n v="11433.6"/>
        <n v="11271.6"/>
        <n v="15696"/>
        <n v="12165.6"/>
        <n v="9798"/>
        <n v="11694.4"/>
        <n v="10783.95"/>
        <n v="13443.6"/>
        <n v="11869.4"/>
        <n v="10574.2"/>
        <n v="13994.4"/>
        <n v="11866.5"/>
        <n v="6772.8"/>
        <n v="12508.3"/>
        <n v="9254"/>
        <n v="11606.4"/>
        <n v="13116"/>
        <n v="13921.6"/>
        <n v="18858"/>
        <n v="17999"/>
        <n v="15164"/>
        <n v="9674"/>
        <n v="13161.4"/>
        <n v="15584.4"/>
        <n v="11494"/>
        <n v="12686.4"/>
        <n v="15197"/>
        <n v="10572.3"/>
        <n v="6338.4"/>
        <n v="11762.1"/>
        <n v="8316"/>
        <n v="8688"/>
        <n v="9472.7999999999993"/>
        <n v="14374.8"/>
        <n v="7015"/>
        <n v="6277.6"/>
        <n v="8928"/>
        <n v="8929.9"/>
        <n v="12801"/>
        <n v="16272.9"/>
        <n v="7249"/>
        <n v="7401.6"/>
        <n v="12986.3"/>
        <n v="12784.8"/>
        <n v="11026.4"/>
        <n v="15356"/>
        <n v="16880.400000000001"/>
        <n v="6465.95"/>
        <n v="10652.6"/>
        <n v="7639.8"/>
        <n v="11502.2"/>
        <n v="11675.7"/>
        <n v="11391.1"/>
        <n v="15990"/>
        <n v="15879.6"/>
        <n v="7386.4"/>
        <n v="13075"/>
        <n v="13885.2"/>
        <n v="9185.4"/>
        <n v="5700"/>
        <n v="6480.6"/>
        <n v="14550.3"/>
        <n v="11020"/>
        <n v="12586.4"/>
        <n v="10707.9"/>
        <n v="11816"/>
        <n v="6366.5"/>
        <n v="15275.7"/>
        <n v="12538.4"/>
        <n v="9593.5"/>
        <n v="13062"/>
        <n v="12273.6"/>
        <n v="14214"/>
        <n v="11018.7"/>
        <n v="13214.6"/>
        <n v="11705.4"/>
        <n v="12936.15"/>
        <n v="10553"/>
        <n v="13403"/>
        <n v="12771"/>
        <n v="11019"/>
        <n v="12794.4"/>
        <n v="7713"/>
        <n v="14202"/>
        <n v="9822.4"/>
        <n v="11354.7"/>
        <n v="16403"/>
        <n v="9534.4"/>
        <n v="12297.6"/>
        <n v="15688.8"/>
        <n v="13707"/>
        <n v="14256.9"/>
        <n v="12367.5"/>
        <n v="8737.4"/>
        <n v="7130.2"/>
        <n v="14090.4"/>
        <n v="6346.8"/>
        <n v="6576.3"/>
        <n v="11610.9"/>
        <n v="13280"/>
        <n v="11720"/>
        <n v="12836.6"/>
        <n v="9825"/>
        <n v="12577.5"/>
        <n v="12993.1"/>
        <n v="8426.4"/>
        <n v="8581.2999999999993"/>
        <n v="11170.7"/>
        <n v="13770"/>
        <n v="14070"/>
        <n v="8390.2000000000007"/>
        <n v="10120.799999999999"/>
        <n v="7464.6"/>
        <n v="10324.1"/>
        <n v="11259.95"/>
        <n v="8275.2000000000007"/>
        <n v="9932"/>
        <n v="10079.299999999999"/>
        <n v="12575"/>
        <n v="11883"/>
        <n v="15975.75"/>
        <n v="7551"/>
        <n v="11881.3"/>
        <n v="10698.1"/>
        <n v="8097.6"/>
        <n v="14186.5"/>
        <n v="15227.75"/>
        <n v="9668.4"/>
        <n v="9525.6"/>
        <n v="17337"/>
        <n v="13892.4"/>
        <n v="9221.1"/>
        <n v="16469"/>
        <n v="10073.6"/>
        <n v="18794"/>
        <n v="12632.2"/>
        <n v="6934.2"/>
        <n v="10270.4"/>
        <n v="11290.5"/>
        <n v="12925.5"/>
        <n v="12099.6"/>
        <n v="14819.4"/>
        <n v="12087"/>
        <n v="8494.4"/>
        <n v="17172"/>
        <n v="11060"/>
        <n v="11305.8"/>
        <n v="14540.1"/>
        <n v="15393.6"/>
        <n v="11796"/>
        <n v="15598"/>
        <n v="11122.2"/>
        <n v="10684"/>
        <n v="6141.1"/>
        <n v="12707.5"/>
        <n v="13430.85"/>
        <n v="18134"/>
        <n v="10320"/>
        <n v="12441.8"/>
        <n v="11343.25"/>
        <n v="10525.2"/>
        <n v="9468.2000000000007"/>
        <n v="12825.9"/>
        <n v="17378"/>
        <n v="7986.3"/>
        <n v="12266.8"/>
        <n v="10513.3"/>
        <n v="6848.1"/>
        <n v="8333.1"/>
        <n v="8962.7999999999993"/>
        <n v="13157.15"/>
        <n v="6481.3"/>
        <n v="6885.6"/>
        <n v="15381"/>
        <n v="11841.6"/>
        <n v="9252.25"/>
        <n v="10118"/>
        <n v="13469.1"/>
        <n v="5014.1000000000004"/>
        <n v="14644.65"/>
        <n v="9611.1"/>
        <n v="10042.9"/>
        <n v="10142.4"/>
        <n v="10950.8"/>
        <n v="10725.4"/>
        <n v="7660"/>
        <n v="9818.35"/>
        <n v="11822.4"/>
        <n v="10754.8"/>
        <n v="6158.4"/>
        <n v="11645.85"/>
        <n v="12224.8"/>
        <n v="13192"/>
        <n v="11006.65"/>
        <n v="10653.05"/>
        <n v="9524.7000000000007"/>
        <n v="11400.2"/>
        <n v="13736"/>
        <n v="16240.5"/>
        <n v="10371.9"/>
        <n v="8426.6"/>
        <n v="13301.6"/>
        <n v="9272"/>
        <n v="14008.5"/>
        <n v="8848"/>
        <n v="10818.9"/>
        <n v="5535.6"/>
        <n v="6393.8"/>
        <n v="8834.4"/>
        <n v="14527.35"/>
        <n v="10781.1"/>
        <n v="7361"/>
        <n v="12727.9"/>
        <n v="15155.2"/>
        <n v="12665.7"/>
        <n v="13242.6"/>
        <n v="17306"/>
        <n v="15871.2"/>
        <n v="11676"/>
        <n v="15474.6"/>
        <n v="9631.2999999999993"/>
        <n v="9063.5499999999993"/>
        <n v="9568.7999999999993"/>
        <n v="9966.4"/>
        <n v="13062.6"/>
        <n v="13291"/>
        <n v="16147"/>
        <n v="11015.15"/>
        <n v="9899.1"/>
        <n v="14208.8"/>
        <n v="13401.1"/>
        <n v="7753"/>
        <n v="13476.8"/>
        <n v="11434.4"/>
        <n v="7749.45"/>
        <n v="8938.6"/>
        <n v="11655.9"/>
        <n v="12098.1"/>
        <n v="10891.9"/>
        <n v="11693.45"/>
        <n v="8173"/>
        <n v="11547.25"/>
        <n v="9053.7999999999993"/>
        <n v="16111"/>
        <n v="9448.2000000000007"/>
        <n v="12261.6"/>
        <n v="10998"/>
        <n v="11372.4"/>
        <n v="16163"/>
        <n v="8722.7000000000007"/>
        <n v="16125.35"/>
        <n v="9004.0499999999993"/>
        <n v="14337"/>
        <n v="6338.7"/>
        <n v="11871.9"/>
        <n v="7187.6"/>
        <n v="11633.1"/>
        <n v="12596"/>
        <n v="8611.35"/>
        <n v="12024.6"/>
        <n v="12452"/>
        <n v="6860.7"/>
        <n v="14929"/>
        <n v="9022.2999999999993"/>
        <n v="9216.9"/>
        <n v="9598.2000000000007"/>
        <n v="15192.8"/>
        <n v="11598.3"/>
        <n v="7583.8"/>
        <n v="8750"/>
        <n v="10702.8"/>
        <n v="15654.6"/>
        <n v="11854.1"/>
        <n v="10517.9"/>
        <n v="10735.5"/>
        <n v="7160.3"/>
        <n v="9973.6"/>
        <n v="6975.95"/>
        <n v="13999"/>
        <n v="8988"/>
        <n v="17072"/>
        <n v="16157.7"/>
        <n v="7681.45"/>
        <n v="13906.8"/>
        <n v="11544.3"/>
        <n v="14694"/>
        <n v="15732.9"/>
        <n v="5073.6000000000004"/>
        <n v="13674.8"/>
        <n v="13857.3"/>
        <n v="7752"/>
        <n v="6552.7"/>
        <n v="9252"/>
        <n v="10376.1"/>
        <n v="11734.1"/>
        <n v="8428"/>
        <n v="12996"/>
        <n v="10853.5"/>
        <n v="14736.45"/>
        <n v="5659.5"/>
        <n v="13336"/>
        <n v="12708"/>
        <n v="10330.049999999999"/>
        <n v="12335.4"/>
        <n v="8554.7000000000007"/>
        <n v="9523.2000000000007"/>
        <n v="8160.3"/>
        <n v="7338"/>
        <n v="9055"/>
        <n v="12998"/>
        <n v="14181"/>
        <n v="9613.7999999999993"/>
        <n v="12706.4"/>
        <n v="5746.4"/>
        <n v="12626.1"/>
        <n v="16464.599999999999"/>
        <n v="11362.4"/>
        <n v="14391.2"/>
        <n v="12741.3"/>
        <n v="14499.9"/>
        <n v="10300.5"/>
        <n v="14075.15"/>
        <n v="6210.4"/>
        <n v="9273.6"/>
        <n v="8708.7000000000007"/>
        <n v="18599"/>
        <n v="18674"/>
        <n v="8459.2000000000007"/>
        <n v="12348"/>
        <n v="11421.6"/>
        <n v="12597.85"/>
        <n v="9987.2000000000007"/>
        <n v="13242"/>
        <n v="12430.4"/>
        <n v="13553.25"/>
        <n v="15194"/>
        <n v="11405.7"/>
        <n v="11282.4"/>
        <n v="8508"/>
        <n v="10464.299999999999"/>
        <n v="12483.9"/>
        <n v="7298.1"/>
        <n v="10235.4"/>
        <n v="8559.9"/>
        <n v="8465.15"/>
        <n v="11561.4"/>
        <n v="9861.6"/>
        <n v="10217.9"/>
        <n v="8712"/>
        <n v="12454.4"/>
        <n v="8582.7000000000007"/>
        <n v="14944"/>
        <n v="18503"/>
        <n v="9701"/>
        <n v="11051.7"/>
        <n v="7857.5"/>
        <n v="9255.4"/>
        <n v="10326.4"/>
        <n v="11227.5"/>
        <n v="18106"/>
        <n v="12491.5"/>
        <n v="10114.200000000001"/>
        <n v="10133.9"/>
        <n v="12286.4"/>
        <n v="9038"/>
        <n v="9905.4"/>
        <n v="13698"/>
        <n v="9678.2000000000007"/>
        <n v="14693.4"/>
        <n v="15770.7"/>
        <n v="18752"/>
        <n v="10953.1"/>
        <n v="6992.1"/>
        <n v="9350.6"/>
        <n v="11350.4"/>
        <n v="9721.6"/>
        <n v="8522"/>
        <n v="16393.5"/>
        <n v="9100.1"/>
        <n v="7123.2"/>
        <n v="11556"/>
        <n v="12591.9"/>
        <n v="7096.6"/>
        <n v="12656.8"/>
        <n v="12892.8"/>
        <n v="9935.2000000000007"/>
        <n v="12805.1"/>
        <n v="7713.9"/>
        <n v="13578"/>
        <n v="15566.9"/>
        <n v="10329"/>
        <n v="6449.8"/>
        <n v="5847.1"/>
        <n v="13960"/>
        <n v="15372"/>
        <n v="8603"/>
        <n v="7395.2"/>
        <n v="16765"/>
        <n v="9621.15"/>
        <n v="10367"/>
        <n v="13033.9"/>
        <n v="13725.9"/>
        <n v="11776.75"/>
        <n v="7415.1"/>
        <n v="13060.25"/>
        <n v="7235.2"/>
        <n v="15963"/>
        <n v="16562"/>
        <n v="13275"/>
        <n v="6011.2"/>
        <n v="10810"/>
        <n v="6764"/>
        <n v="11023.65"/>
        <n v="11885.3"/>
        <n v="9909.2000000000007"/>
        <n v="13533.3"/>
        <n v="15471.9"/>
        <n v="6106.8"/>
        <n v="9848.2999999999993"/>
        <n v="13894.4"/>
        <n v="16174"/>
        <n v="10165.4"/>
        <n v="10807.75"/>
        <n v="11551.2"/>
        <n v="7041.6"/>
        <n v="16284.6"/>
        <n v="8547.6"/>
        <n v="9172"/>
        <n v="9298.15"/>
        <n v="12960.5"/>
        <n v="13602"/>
        <n v="11324"/>
        <n v="12379.5"/>
        <n v="9807"/>
        <n v="12832.45"/>
        <n v="12510"/>
        <n v="10654.4"/>
        <n v="12334.5"/>
        <n v="6443.2"/>
        <n v="8572.2000000000007"/>
        <n v="9499"/>
        <n v="10959.9"/>
        <n v="12994.8"/>
        <n v="8706.6"/>
        <n v="8350"/>
        <n v="9411.2999999999993"/>
        <n v="7924.55"/>
        <n v="17034.3"/>
        <n v="14122.4"/>
        <n v="9850"/>
        <n v="13434.4"/>
        <n v="14003"/>
        <n v="17063.099999999999"/>
        <n v="12387.2"/>
        <n v="8529.75"/>
        <n v="13210.2"/>
        <n v="11280.6"/>
        <n v="13344.15"/>
        <n v="12982.05"/>
        <n v="13778"/>
        <n v="10743.2"/>
        <n v="12496.4"/>
        <n v="9697.65"/>
        <n v="9623.2000000000007"/>
        <n v="14268"/>
        <n v="12783.2"/>
        <n v="13402.8"/>
        <n v="13827.2"/>
        <n v="11262.4"/>
        <n v="9168.7999999999993"/>
        <n v="9701.1"/>
        <n v="13913.65"/>
        <n v="6131.9"/>
        <n v="9832"/>
        <n v="12440.4"/>
        <n v="18021"/>
        <n v="11685.6"/>
        <n v="8810.2000000000007"/>
        <n v="8279.6"/>
        <n v="15488"/>
        <n v="13295.7"/>
        <n v="10402.4"/>
        <n v="7002.4"/>
        <n v="13211.1"/>
        <n v="7431.55"/>
        <n v="10489"/>
        <n v="6568.8"/>
        <n v="9880"/>
        <n v="15580"/>
        <n v="15834.6"/>
        <n v="4993.1000000000004"/>
        <n v="10224.9"/>
        <n v="16497"/>
        <n v="16098.3"/>
        <n v="11889"/>
        <n v="8710.7999999999993"/>
        <n v="16414"/>
        <n v="12561.3"/>
        <n v="15771"/>
        <n v="8171.8"/>
        <n v="9809.1"/>
        <n v="11536.2"/>
        <n v="13375"/>
        <n v="15175.9"/>
        <n v="7475.3"/>
        <n v="12736.8"/>
        <n v="8427.75"/>
        <n v="7817.6"/>
        <n v="15572.7"/>
        <n v="11996"/>
        <n v="15882"/>
        <n v="9349.2000000000007"/>
        <n v="11148.3"/>
        <n v="11034.9"/>
        <n v="11102.4"/>
        <n v="9640.7000000000007"/>
        <n v="9805.6"/>
        <n v="12605"/>
        <n v="13261"/>
        <n v="12702"/>
        <n v="8858.7000000000007"/>
        <n v="11135.7"/>
      </sharedItems>
    </cacheField>
    <cacheField name="Net Revenue" numFmtId="0" formula="PaymentAmount*(1-DiscountPercent/100)"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S" refreshedDate="46285.759677893519" createdVersion="7" refreshedVersion="7" minRefreshableVersion="3" recordCount="1000" xr:uid="{00000000-000A-0000-FFFF-FFFF06000000}">
  <cacheSource type="worksheet">
    <worksheetSource ref="A1:L1001" sheet="edtech_dataset"/>
  </cacheSource>
  <cacheFields count="13">
    <cacheField name="StudentID" numFmtId="0">
      <sharedItems/>
    </cacheField>
    <cacheField name="StudentName" numFmtId="0">
      <sharedItems/>
    </cacheField>
    <cacheField name="CourseID" numFmtId="0">
      <sharedItems count="4">
        <s v="C201"/>
        <s v="C203"/>
        <s v="C202"/>
        <s v="C204"/>
      </sharedItems>
    </cacheField>
    <cacheField name="CourseName" numFmtId="0">
      <sharedItems count="4">
        <s v="Data Analytics"/>
        <s v="Full Stack Dev"/>
        <s v="Data Science"/>
        <s v="UI UX Design"/>
      </sharedItems>
    </cacheField>
    <cacheField name="BatchID" numFmtId="0">
      <sharedItems/>
    </cacheField>
    <cacheField name="MentorName" numFmtId="0">
      <sharedItems/>
    </cacheField>
    <cacheField name="Platform" numFmtId="0">
      <sharedItems count="3">
        <s v="Web"/>
        <s v="Tablet"/>
        <s v="Mobile"/>
      </sharedItems>
    </cacheField>
    <cacheField name="PaymentAmount" numFmtId="0">
      <sharedItems containsSemiMixedTypes="0" containsString="0" containsNumber="1" containsInteger="1" minValue="7015" maxValue="18991"/>
    </cacheField>
    <cacheField name="DiscountCode" numFmtId="0">
      <sharedItems containsBlank="1"/>
    </cacheField>
    <cacheField name="DiscountPercent" numFmtId="0">
      <sharedItems containsString="0" containsBlank="1" containsNumber="1" minValue="0.1" maxValue="0.3"/>
    </cacheField>
    <cacheField name="TargetRevenue" numFmtId="0">
      <sharedItems containsSemiMixedTypes="0" containsString="0" containsNumber="1" containsInteger="1" minValue="9000" maxValue="17000"/>
    </cacheField>
    <cacheField name="PaymentDate" numFmtId="14">
      <sharedItems containsSemiMixedTypes="0" containsNonDate="0" containsDate="1" containsString="0" minDate="2024-01-01T00:00:00" maxDate="2024-03-02T00:00:00"/>
    </cacheField>
    <cacheField name="Net Revenue" numFmtId="0" formula="PaymentAmount*(1-DiscountPercent)"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S" refreshedDate="46285.867386226855" createdVersion="7" refreshedVersion="7" minRefreshableVersion="3" recordCount="1000" xr:uid="{7F75ACFE-52A5-4923-B690-5EC830A25E56}">
  <cacheSource type="worksheet">
    <worksheetSource ref="A1:O1001" sheet="Q5_Q6_Q8"/>
  </cacheSource>
  <cacheFields count="16">
    <cacheField name="StudentID" numFmtId="0">
      <sharedItems count="1000">
        <s v="S1000"/>
        <s v="S1001"/>
        <s v="S1002"/>
        <s v="S1003"/>
        <s v="S1004"/>
        <s v="S1005"/>
        <s v="S1006"/>
        <s v="S1007"/>
        <s v="S1008"/>
        <s v="S1009"/>
        <s v="S1010"/>
        <s v="S1011"/>
        <s v="S1012"/>
        <s v="S1013"/>
        <s v="S1014"/>
        <s v="S1015"/>
        <s v="S1016"/>
        <s v="S1017"/>
        <s v="S1018"/>
        <s v="S1019"/>
        <s v="S1020"/>
        <s v="S1021"/>
        <s v="S1022"/>
        <s v="S1023"/>
        <s v="S1024"/>
        <s v="S1025"/>
        <s v="S1026"/>
        <s v="S1027"/>
        <s v="S1028"/>
        <s v="S1029"/>
        <s v="S1030"/>
        <s v="S1031"/>
        <s v="S1032"/>
        <s v="S1033"/>
        <s v="S1034"/>
        <s v="S1035"/>
        <s v="S1036"/>
        <s v="S1037"/>
        <s v="S1038"/>
        <s v="S1039"/>
        <s v="S1040"/>
        <s v="S1041"/>
        <s v="S1042"/>
        <s v="S1043"/>
        <s v="S1044"/>
        <s v="S1045"/>
        <s v="S1046"/>
        <s v="S1047"/>
        <s v="S1048"/>
        <s v="S1049"/>
        <s v="S1050"/>
        <s v="S1051"/>
        <s v="S1052"/>
        <s v="S1053"/>
        <s v="S1054"/>
        <s v="S1055"/>
        <s v="S1056"/>
        <s v="S1057"/>
        <s v="S1058"/>
        <s v="S1059"/>
        <s v="S1060"/>
        <s v="S1061"/>
        <s v="S1062"/>
        <s v="S1063"/>
        <s v="S1064"/>
        <s v="S1065"/>
        <s v="S1066"/>
        <s v="S1067"/>
        <s v="S1068"/>
        <s v="S1069"/>
        <s v="S1070"/>
        <s v="S1071"/>
        <s v="S1072"/>
        <s v="S1073"/>
        <s v="S1074"/>
        <s v="S1075"/>
        <s v="S1076"/>
        <s v="S1077"/>
        <s v="S1078"/>
        <s v="S1079"/>
        <s v="S1080"/>
        <s v="S1081"/>
        <s v="S1082"/>
        <s v="S1083"/>
        <s v="S1084"/>
        <s v="S1085"/>
        <s v="S1086"/>
        <s v="S1087"/>
        <s v="S1088"/>
        <s v="S1089"/>
        <s v="S1090"/>
        <s v="S1091"/>
        <s v="S1092"/>
        <s v="S1093"/>
        <s v="S1094"/>
        <s v="S1095"/>
        <s v="S1096"/>
        <s v="S1097"/>
        <s v="S1098"/>
        <s v="S1099"/>
        <s v="S1100"/>
        <s v="S1101"/>
        <s v="S1102"/>
        <s v="S1103"/>
        <s v="S1104"/>
        <s v="S1105"/>
        <s v="S1106"/>
        <s v="S1107"/>
        <s v="S1108"/>
        <s v="S1109"/>
        <s v="S1110"/>
        <s v="S1111"/>
        <s v="S1112"/>
        <s v="S1113"/>
        <s v="S1114"/>
        <s v="S1115"/>
        <s v="S1116"/>
        <s v="S1117"/>
        <s v="S1118"/>
        <s v="S1119"/>
        <s v="S1120"/>
        <s v="S1121"/>
        <s v="S1122"/>
        <s v="S1123"/>
        <s v="S1124"/>
        <s v="S1125"/>
        <s v="S1126"/>
        <s v="S1127"/>
        <s v="S1128"/>
        <s v="S1129"/>
        <s v="S1130"/>
        <s v="S1131"/>
        <s v="S1132"/>
        <s v="S1133"/>
        <s v="S1134"/>
        <s v="S1135"/>
        <s v="S1136"/>
        <s v="S1137"/>
        <s v="S1138"/>
        <s v="S1139"/>
        <s v="S1140"/>
        <s v="S1141"/>
        <s v="S1142"/>
        <s v="S1143"/>
        <s v="S1144"/>
        <s v="S1145"/>
        <s v="S1146"/>
        <s v="S1147"/>
        <s v="S1148"/>
        <s v="S1149"/>
        <s v="S1150"/>
        <s v="S1151"/>
        <s v="S1152"/>
        <s v="S1153"/>
        <s v="S1154"/>
        <s v="S1155"/>
        <s v="S1156"/>
        <s v="S1157"/>
        <s v="S1158"/>
        <s v="S1159"/>
        <s v="S1160"/>
        <s v="S1161"/>
        <s v="S1162"/>
        <s v="S1163"/>
        <s v="S1164"/>
        <s v="S1165"/>
        <s v="S1166"/>
        <s v="S1167"/>
        <s v="S1168"/>
        <s v="S1169"/>
        <s v="S1170"/>
        <s v="S1171"/>
        <s v="S1172"/>
        <s v="S1173"/>
        <s v="S1174"/>
        <s v="S1175"/>
        <s v="S1176"/>
        <s v="S1177"/>
        <s v="S1178"/>
        <s v="S1179"/>
        <s v="S1180"/>
        <s v="S1181"/>
        <s v="S1182"/>
        <s v="S1183"/>
        <s v="S1184"/>
        <s v="S1185"/>
        <s v="S1186"/>
        <s v="S1187"/>
        <s v="S1188"/>
        <s v="S1189"/>
        <s v="S1190"/>
        <s v="S1191"/>
        <s v="S1192"/>
        <s v="S1193"/>
        <s v="S1194"/>
        <s v="S1195"/>
        <s v="S1196"/>
        <s v="S1197"/>
        <s v="S1198"/>
        <s v="S1199"/>
        <s v="S1200"/>
        <s v="S1201"/>
        <s v="S1202"/>
        <s v="S1203"/>
        <s v="S1204"/>
        <s v="S1205"/>
        <s v="S1206"/>
        <s v="S1207"/>
        <s v="S1208"/>
        <s v="S1209"/>
        <s v="S1210"/>
        <s v="S1211"/>
        <s v="S1212"/>
        <s v="S1213"/>
        <s v="S1214"/>
        <s v="S1215"/>
        <s v="S1216"/>
        <s v="S1217"/>
        <s v="S1218"/>
        <s v="S1219"/>
        <s v="S1220"/>
        <s v="S1221"/>
        <s v="S1222"/>
        <s v="S1223"/>
        <s v="S1224"/>
        <s v="S1225"/>
        <s v="S1226"/>
        <s v="S1227"/>
        <s v="S1228"/>
        <s v="S1229"/>
        <s v="S1230"/>
        <s v="S1231"/>
        <s v="S1232"/>
        <s v="S1233"/>
        <s v="S1234"/>
        <s v="S1235"/>
        <s v="S1236"/>
        <s v="S1237"/>
        <s v="S1238"/>
        <s v="S1239"/>
        <s v="S1240"/>
        <s v="S1241"/>
        <s v="S1242"/>
        <s v="S1243"/>
        <s v="S1244"/>
        <s v="S1245"/>
        <s v="S1246"/>
        <s v="S1247"/>
        <s v="S1248"/>
        <s v="S1249"/>
        <s v="S1250"/>
        <s v="S1251"/>
        <s v="S1252"/>
        <s v="S1253"/>
        <s v="S1254"/>
        <s v="S1255"/>
        <s v="S1256"/>
        <s v="S1257"/>
        <s v="S1258"/>
        <s v="S1259"/>
        <s v="S1260"/>
        <s v="S1261"/>
        <s v="S1262"/>
        <s v="S1263"/>
        <s v="S1264"/>
        <s v="S1265"/>
        <s v="S1266"/>
        <s v="S1267"/>
        <s v="S1268"/>
        <s v="S1269"/>
        <s v="S1270"/>
        <s v="S1271"/>
        <s v="S1272"/>
        <s v="S1273"/>
        <s v="S1274"/>
        <s v="S1275"/>
        <s v="S1276"/>
        <s v="S1277"/>
        <s v="S1278"/>
        <s v="S1279"/>
        <s v="S1280"/>
        <s v="S1281"/>
        <s v="S1282"/>
        <s v="S1283"/>
        <s v="S1284"/>
        <s v="S1285"/>
        <s v="S1286"/>
        <s v="S1287"/>
        <s v="S1288"/>
        <s v="S1289"/>
        <s v="S1290"/>
        <s v="S1291"/>
        <s v="S1292"/>
        <s v="S1293"/>
        <s v="S1294"/>
        <s v="S1295"/>
        <s v="S1296"/>
        <s v="S1297"/>
        <s v="S1298"/>
        <s v="S1299"/>
        <s v="S1300"/>
        <s v="S1301"/>
        <s v="S1302"/>
        <s v="S1303"/>
        <s v="S1304"/>
        <s v="S1305"/>
        <s v="S1306"/>
        <s v="S1307"/>
        <s v="S1308"/>
        <s v="S1309"/>
        <s v="S1310"/>
        <s v="S1311"/>
        <s v="S1312"/>
        <s v="S1313"/>
        <s v="S1314"/>
        <s v="S1315"/>
        <s v="S1316"/>
        <s v="S1317"/>
        <s v="S1318"/>
        <s v="S1319"/>
        <s v="S1320"/>
        <s v="S1321"/>
        <s v="S1322"/>
        <s v="S1323"/>
        <s v="S1324"/>
        <s v="S1325"/>
        <s v="S1326"/>
        <s v="S1327"/>
        <s v="S1328"/>
        <s v="S1329"/>
        <s v="S1330"/>
        <s v="S1331"/>
        <s v="S1332"/>
        <s v="S1333"/>
        <s v="S1334"/>
        <s v="S1335"/>
        <s v="S1336"/>
        <s v="S1337"/>
        <s v="S1338"/>
        <s v="S1339"/>
        <s v="S1340"/>
        <s v="S1341"/>
        <s v="S1342"/>
        <s v="S1343"/>
        <s v="S1344"/>
        <s v="S1345"/>
        <s v="S1346"/>
        <s v="S1347"/>
        <s v="S1348"/>
        <s v="S1349"/>
        <s v="S1350"/>
        <s v="S1351"/>
        <s v="S1352"/>
        <s v="S1353"/>
        <s v="S1354"/>
        <s v="S1355"/>
        <s v="S1356"/>
        <s v="S1357"/>
        <s v="S1358"/>
        <s v="S1359"/>
        <s v="S1360"/>
        <s v="S1361"/>
        <s v="S1362"/>
        <s v="S1363"/>
        <s v="S1364"/>
        <s v="S1365"/>
        <s v="S1366"/>
        <s v="S1367"/>
        <s v="S1368"/>
        <s v="S1369"/>
        <s v="S1370"/>
        <s v="S1371"/>
        <s v="S1372"/>
        <s v="S1373"/>
        <s v="S1374"/>
        <s v="S1375"/>
        <s v="S1376"/>
        <s v="S1377"/>
        <s v="S1378"/>
        <s v="S1379"/>
        <s v="S1380"/>
        <s v="S1381"/>
        <s v="S1382"/>
        <s v="S1383"/>
        <s v="S1384"/>
        <s v="S1385"/>
        <s v="S1386"/>
        <s v="S1387"/>
        <s v="S1388"/>
        <s v="S1389"/>
        <s v="S1390"/>
        <s v="S1391"/>
        <s v="S1392"/>
        <s v="S1393"/>
        <s v="S1394"/>
        <s v="S1395"/>
        <s v="S1396"/>
        <s v="S1397"/>
        <s v="S1398"/>
        <s v="S1399"/>
        <s v="S1400"/>
        <s v="S1401"/>
        <s v="S1402"/>
        <s v="S1403"/>
        <s v="S1404"/>
        <s v="S1405"/>
        <s v="S1406"/>
        <s v="S1407"/>
        <s v="S1408"/>
        <s v="S1409"/>
        <s v="S1410"/>
        <s v="S1411"/>
        <s v="S1412"/>
        <s v="S1413"/>
        <s v="S1414"/>
        <s v="S1415"/>
        <s v="S1416"/>
        <s v="S1417"/>
        <s v="S1418"/>
        <s v="S1419"/>
        <s v="S1420"/>
        <s v="S1421"/>
        <s v="S1422"/>
        <s v="S1423"/>
        <s v="S1424"/>
        <s v="S1425"/>
        <s v="S1426"/>
        <s v="S1427"/>
        <s v="S1428"/>
        <s v="S1429"/>
        <s v="S1430"/>
        <s v="S1431"/>
        <s v="S1432"/>
        <s v="S1433"/>
        <s v="S1434"/>
        <s v="S1435"/>
        <s v="S1436"/>
        <s v="S1437"/>
        <s v="S1438"/>
        <s v="S1439"/>
        <s v="S1440"/>
        <s v="S1441"/>
        <s v="S1442"/>
        <s v="S1443"/>
        <s v="S1444"/>
        <s v="S1445"/>
        <s v="S1446"/>
        <s v="S1447"/>
        <s v="S1448"/>
        <s v="S1449"/>
        <s v="S1450"/>
        <s v="S1451"/>
        <s v="S1452"/>
        <s v="S1453"/>
        <s v="S1454"/>
        <s v="S1455"/>
        <s v="S1456"/>
        <s v="S1457"/>
        <s v="S1458"/>
        <s v="S1459"/>
        <s v="S1460"/>
        <s v="S1461"/>
        <s v="S1462"/>
        <s v="S1463"/>
        <s v="S1464"/>
        <s v="S1465"/>
        <s v="S1466"/>
        <s v="S1467"/>
        <s v="S1468"/>
        <s v="S1469"/>
        <s v="S1470"/>
        <s v="S1471"/>
        <s v="S1472"/>
        <s v="S1473"/>
        <s v="S1474"/>
        <s v="S1475"/>
        <s v="S1476"/>
        <s v="S1477"/>
        <s v="S1478"/>
        <s v="S1479"/>
        <s v="S1480"/>
        <s v="S1481"/>
        <s v="S1482"/>
        <s v="S1483"/>
        <s v="S1484"/>
        <s v="S1485"/>
        <s v="S1486"/>
        <s v="S1487"/>
        <s v="S1488"/>
        <s v="S1489"/>
        <s v="S1490"/>
        <s v="S1491"/>
        <s v="S1492"/>
        <s v="S1493"/>
        <s v="S1494"/>
        <s v="S1495"/>
        <s v="S1496"/>
        <s v="S1497"/>
        <s v="S1498"/>
        <s v="S1499"/>
        <s v="S1500"/>
        <s v="S1501"/>
        <s v="S1502"/>
        <s v="S1503"/>
        <s v="S1504"/>
        <s v="S1505"/>
        <s v="S1506"/>
        <s v="S1507"/>
        <s v="S1508"/>
        <s v="S1509"/>
        <s v="S1510"/>
        <s v="S1511"/>
        <s v="S1512"/>
        <s v="S1513"/>
        <s v="S1514"/>
        <s v="S1515"/>
        <s v="S1516"/>
        <s v="S1517"/>
        <s v="S1518"/>
        <s v="S1519"/>
        <s v="S1520"/>
        <s v="S1521"/>
        <s v="S1522"/>
        <s v="S1523"/>
        <s v="S1524"/>
        <s v="S1525"/>
        <s v="S1526"/>
        <s v="S1527"/>
        <s v="S1528"/>
        <s v="S1529"/>
        <s v="S1530"/>
        <s v="S1531"/>
        <s v="S1532"/>
        <s v="S1533"/>
        <s v="S1534"/>
        <s v="S1535"/>
        <s v="S1536"/>
        <s v="S1537"/>
        <s v="S1538"/>
        <s v="S1539"/>
        <s v="S1540"/>
        <s v="S1541"/>
        <s v="S1542"/>
        <s v="S1543"/>
        <s v="S1544"/>
        <s v="S1545"/>
        <s v="S1546"/>
        <s v="S1547"/>
        <s v="S1548"/>
        <s v="S1549"/>
        <s v="S1550"/>
        <s v="S1551"/>
        <s v="S1552"/>
        <s v="S1553"/>
        <s v="S1554"/>
        <s v="S1555"/>
        <s v="S1556"/>
        <s v="S1557"/>
        <s v="S1558"/>
        <s v="S1559"/>
        <s v="S1560"/>
        <s v="S1561"/>
        <s v="S1562"/>
        <s v="S1563"/>
        <s v="S1564"/>
        <s v="S1565"/>
        <s v="S1566"/>
        <s v="S1567"/>
        <s v="S1568"/>
        <s v="S1569"/>
        <s v="S1570"/>
        <s v="S1571"/>
        <s v="S1572"/>
        <s v="S1573"/>
        <s v="S1574"/>
        <s v="S1575"/>
        <s v="S1576"/>
        <s v="S1577"/>
        <s v="S1578"/>
        <s v="S1579"/>
        <s v="S1580"/>
        <s v="S1581"/>
        <s v="S1582"/>
        <s v="S1583"/>
        <s v="S1584"/>
        <s v="S1585"/>
        <s v="S1586"/>
        <s v="S1587"/>
        <s v="S1588"/>
        <s v="S1589"/>
        <s v="S1590"/>
        <s v="S1591"/>
        <s v="S1592"/>
        <s v="S1593"/>
        <s v="S1594"/>
        <s v="S1595"/>
        <s v="S1596"/>
        <s v="S1597"/>
        <s v="S1598"/>
        <s v="S1599"/>
        <s v="S1600"/>
        <s v="S1601"/>
        <s v="S1602"/>
        <s v="S1603"/>
        <s v="S1604"/>
        <s v="S1605"/>
        <s v="S1606"/>
        <s v="S1607"/>
        <s v="S1608"/>
        <s v="S1609"/>
        <s v="S1610"/>
        <s v="S1611"/>
        <s v="S1612"/>
        <s v="S1613"/>
        <s v="S1614"/>
        <s v="S1615"/>
        <s v="S1616"/>
        <s v="S1617"/>
        <s v="S1618"/>
        <s v="S1619"/>
        <s v="S1620"/>
        <s v="S1621"/>
        <s v="S1622"/>
        <s v="S1623"/>
        <s v="S1624"/>
        <s v="S1625"/>
        <s v="S1626"/>
        <s v="S1627"/>
        <s v="S1628"/>
        <s v="S1629"/>
        <s v="S1630"/>
        <s v="S1631"/>
        <s v="S1632"/>
        <s v="S1633"/>
        <s v="S1634"/>
        <s v="S1635"/>
        <s v="S1636"/>
        <s v="S1637"/>
        <s v="S1638"/>
        <s v="S1639"/>
        <s v="S1640"/>
        <s v="S1641"/>
        <s v="S1642"/>
        <s v="S1643"/>
        <s v="S1644"/>
        <s v="S1645"/>
        <s v="S1646"/>
        <s v="S1647"/>
        <s v="S1648"/>
        <s v="S1649"/>
        <s v="S1650"/>
        <s v="S1651"/>
        <s v="S1652"/>
        <s v="S1653"/>
        <s v="S1654"/>
        <s v="S1655"/>
        <s v="S1656"/>
        <s v="S1657"/>
        <s v="S1658"/>
        <s v="S1659"/>
        <s v="S1660"/>
        <s v="S1661"/>
        <s v="S1662"/>
        <s v="S1663"/>
        <s v="S1664"/>
        <s v="S1665"/>
        <s v="S1666"/>
        <s v="S1667"/>
        <s v="S1668"/>
        <s v="S1669"/>
        <s v="S1670"/>
        <s v="S1671"/>
        <s v="S1672"/>
        <s v="S1673"/>
        <s v="S1674"/>
        <s v="S1675"/>
        <s v="S1676"/>
        <s v="S1677"/>
        <s v="S1678"/>
        <s v="S1679"/>
        <s v="S1680"/>
        <s v="S1681"/>
        <s v="S1682"/>
        <s v="S1683"/>
        <s v="S1684"/>
        <s v="S1685"/>
        <s v="S1686"/>
        <s v="S1687"/>
        <s v="S1688"/>
        <s v="S1689"/>
        <s v="S1690"/>
        <s v="S1691"/>
        <s v="S1692"/>
        <s v="S1693"/>
        <s v="S1694"/>
        <s v="S1695"/>
        <s v="S1696"/>
        <s v="S1697"/>
        <s v="S1698"/>
        <s v="S1699"/>
        <s v="S1700"/>
        <s v="S1701"/>
        <s v="S1702"/>
        <s v="S1703"/>
        <s v="S1704"/>
        <s v="S1705"/>
        <s v="S1706"/>
        <s v="S1707"/>
        <s v="S1708"/>
        <s v="S1709"/>
        <s v="S1710"/>
        <s v="S1711"/>
        <s v="S1712"/>
        <s v="S1713"/>
        <s v="S1714"/>
        <s v="S1715"/>
        <s v="S1716"/>
        <s v="S1717"/>
        <s v="S1718"/>
        <s v="S1719"/>
        <s v="S1720"/>
        <s v="S1721"/>
        <s v="S1722"/>
        <s v="S1723"/>
        <s v="S1724"/>
        <s v="S1725"/>
        <s v="S1726"/>
        <s v="S1727"/>
        <s v="S1728"/>
        <s v="S1729"/>
        <s v="S1730"/>
        <s v="S1731"/>
        <s v="S1732"/>
        <s v="S1733"/>
        <s v="S1734"/>
        <s v="S1735"/>
        <s v="S1736"/>
        <s v="S1737"/>
        <s v="S1738"/>
        <s v="S1739"/>
        <s v="S1740"/>
        <s v="S1741"/>
        <s v="S1742"/>
        <s v="S1743"/>
        <s v="S1744"/>
        <s v="S1745"/>
        <s v="S1746"/>
        <s v="S1747"/>
        <s v="S1748"/>
        <s v="S1749"/>
        <s v="S1750"/>
        <s v="S1751"/>
        <s v="S1752"/>
        <s v="S1753"/>
        <s v="S1754"/>
        <s v="S1755"/>
        <s v="S1756"/>
        <s v="S1757"/>
        <s v="S1758"/>
        <s v="S1759"/>
        <s v="S1760"/>
        <s v="S1761"/>
        <s v="S1762"/>
        <s v="S1763"/>
        <s v="S1764"/>
        <s v="S1765"/>
        <s v="S1766"/>
        <s v="S1767"/>
        <s v="S1768"/>
        <s v="S1769"/>
        <s v="S1770"/>
        <s v="S1771"/>
        <s v="S1772"/>
        <s v="S1773"/>
        <s v="S1774"/>
        <s v="S1775"/>
        <s v="S1776"/>
        <s v="S1777"/>
        <s v="S1778"/>
        <s v="S1779"/>
        <s v="S1780"/>
        <s v="S1781"/>
        <s v="S1782"/>
        <s v="S1783"/>
        <s v="S1784"/>
        <s v="S1785"/>
        <s v="S1786"/>
        <s v="S1787"/>
        <s v="S1788"/>
        <s v="S1789"/>
        <s v="S1790"/>
        <s v="S1791"/>
        <s v="S1792"/>
        <s v="S1793"/>
        <s v="S1794"/>
        <s v="S1795"/>
        <s v="S1796"/>
        <s v="S1797"/>
        <s v="S1798"/>
        <s v="S1799"/>
        <s v="S1800"/>
        <s v="S1801"/>
        <s v="S1802"/>
        <s v="S1803"/>
        <s v="S1804"/>
        <s v="S1805"/>
        <s v="S1806"/>
        <s v="S1807"/>
        <s v="S1808"/>
        <s v="S1809"/>
        <s v="S1810"/>
        <s v="S1811"/>
        <s v="S1812"/>
        <s v="S1813"/>
        <s v="S1814"/>
        <s v="S1815"/>
        <s v="S1816"/>
        <s v="S1817"/>
        <s v="S1818"/>
        <s v="S1819"/>
        <s v="S1820"/>
        <s v="S1821"/>
        <s v="S1822"/>
        <s v="S1823"/>
        <s v="S1824"/>
        <s v="S1825"/>
        <s v="S1826"/>
        <s v="S1827"/>
        <s v="S1828"/>
        <s v="S1829"/>
        <s v="S1830"/>
        <s v="S1831"/>
        <s v="S1832"/>
        <s v="S1833"/>
        <s v="S1834"/>
        <s v="S1835"/>
        <s v="S1836"/>
        <s v="S1837"/>
        <s v="S1838"/>
        <s v="S1839"/>
        <s v="S1840"/>
        <s v="S1841"/>
        <s v="S1842"/>
        <s v="S1843"/>
        <s v="S1844"/>
        <s v="S1845"/>
        <s v="S1846"/>
        <s v="S1847"/>
        <s v="S1848"/>
        <s v="S1849"/>
        <s v="S1850"/>
        <s v="S1851"/>
        <s v="S1852"/>
        <s v="S1853"/>
        <s v="S1854"/>
        <s v="S1855"/>
        <s v="S1856"/>
        <s v="S1857"/>
        <s v="S1858"/>
        <s v="S1859"/>
        <s v="S1860"/>
        <s v="S1861"/>
        <s v="S1862"/>
        <s v="S1863"/>
        <s v="S1864"/>
        <s v="S1865"/>
        <s v="S1866"/>
        <s v="S1867"/>
        <s v="S1868"/>
        <s v="S1869"/>
        <s v="S1870"/>
        <s v="S1871"/>
        <s v="S1872"/>
        <s v="S1873"/>
        <s v="S1874"/>
        <s v="S1875"/>
        <s v="S1876"/>
        <s v="S1877"/>
        <s v="S1878"/>
        <s v="S1879"/>
        <s v="S1880"/>
        <s v="S1881"/>
        <s v="S1882"/>
        <s v="S1883"/>
        <s v="S1884"/>
        <s v="S1885"/>
        <s v="S1886"/>
        <s v="S1887"/>
        <s v="S1888"/>
        <s v="S1889"/>
        <s v="S1890"/>
        <s v="S1891"/>
        <s v="S1892"/>
        <s v="S1893"/>
        <s v="S1894"/>
        <s v="S1895"/>
        <s v="S1896"/>
        <s v="S1897"/>
        <s v="S1898"/>
        <s v="S1899"/>
        <s v="S1900"/>
        <s v="S1901"/>
        <s v="S1902"/>
        <s v="S1903"/>
        <s v="S1904"/>
        <s v="S1905"/>
        <s v="S1906"/>
        <s v="S1907"/>
        <s v="S1908"/>
        <s v="S1909"/>
        <s v="S1910"/>
        <s v="S1911"/>
        <s v="S1912"/>
        <s v="S1913"/>
        <s v="S1914"/>
        <s v="S1915"/>
        <s v="S1916"/>
        <s v="S1917"/>
        <s v="S1918"/>
        <s v="S1919"/>
        <s v="S1920"/>
        <s v="S1921"/>
        <s v="S1922"/>
        <s v="S1923"/>
        <s v="S1924"/>
        <s v="S1925"/>
        <s v="S1926"/>
        <s v="S1927"/>
        <s v="S1928"/>
        <s v="S1929"/>
        <s v="S1930"/>
        <s v="S1931"/>
        <s v="S1932"/>
        <s v="S1933"/>
        <s v="S1934"/>
        <s v="S1935"/>
        <s v="S1936"/>
        <s v="S1937"/>
        <s v="S1938"/>
        <s v="S1939"/>
        <s v="S1940"/>
        <s v="S1941"/>
        <s v="S1942"/>
        <s v="S1943"/>
        <s v="S1944"/>
        <s v="S1945"/>
        <s v="S1946"/>
        <s v="S1947"/>
        <s v="S1948"/>
        <s v="S1949"/>
        <s v="S1950"/>
        <s v="S1951"/>
        <s v="S1952"/>
        <s v="S1953"/>
        <s v="S1954"/>
        <s v="S1955"/>
        <s v="S1956"/>
        <s v="S1957"/>
        <s v="S1958"/>
        <s v="S1959"/>
        <s v="S1960"/>
        <s v="S1961"/>
        <s v="S1962"/>
        <s v="S1963"/>
        <s v="S1964"/>
        <s v="S1965"/>
        <s v="S1966"/>
        <s v="S1967"/>
        <s v="S1968"/>
        <s v="S1969"/>
        <s v="S1970"/>
        <s v="S1971"/>
        <s v="S1972"/>
        <s v="S1973"/>
        <s v="S1974"/>
        <s v="S1975"/>
        <s v="S1976"/>
        <s v="S1977"/>
        <s v="S1978"/>
        <s v="S1979"/>
        <s v="S1980"/>
        <s v="S1981"/>
        <s v="S1982"/>
        <s v="S1983"/>
        <s v="S1984"/>
        <s v="S1985"/>
        <s v="S1986"/>
        <s v="S1987"/>
        <s v="S1988"/>
        <s v="S1989"/>
        <s v="S1990"/>
        <s v="S1991"/>
        <s v="S1992"/>
        <s v="S1993"/>
        <s v="S1994"/>
        <s v="S1995"/>
        <s v="S1996"/>
        <s v="S1997"/>
        <s v="S1998"/>
        <s v="S1999"/>
      </sharedItems>
    </cacheField>
    <cacheField name="StudentName" numFmtId="0">
      <sharedItems/>
    </cacheField>
    <cacheField name="CourseID" numFmtId="0">
      <sharedItems/>
    </cacheField>
    <cacheField name="CourseName" numFmtId="0">
      <sharedItems count="4">
        <s v="Data Analytics"/>
        <s v="Full Stack Dev"/>
        <s v="Data Science"/>
        <s v="UI UX Design"/>
      </sharedItems>
    </cacheField>
    <cacheField name="BatchID" numFmtId="0">
      <sharedItems/>
    </cacheField>
    <cacheField name="MentorName" numFmtId="0">
      <sharedItems count="3">
        <s v="Priya"/>
        <s v="Saurabh"/>
        <s v="Amit"/>
      </sharedItems>
    </cacheField>
    <cacheField name="Platform" numFmtId="0">
      <sharedItems count="3">
        <s v="Web"/>
        <s v="Tablet"/>
        <s v="Mobile"/>
      </sharedItems>
    </cacheField>
    <cacheField name="PaymentAmount" numFmtId="0">
      <sharedItems containsSemiMixedTypes="0" containsString="0" containsNumber="1" containsInteger="1" minValue="7015" maxValue="18991"/>
    </cacheField>
    <cacheField name="DiscountCode" numFmtId="0">
      <sharedItems containsBlank="1" count="5">
        <s v="DISC20"/>
        <s v="DISC10"/>
        <s v="DISC15"/>
        <s v="DISC30"/>
        <m/>
      </sharedItems>
    </cacheField>
    <cacheField name="DiscountPercent" numFmtId="0">
      <sharedItems containsString="0" containsBlank="1" containsNumber="1" minValue="0.1" maxValue="0.3"/>
    </cacheField>
    <cacheField name="TargetRevenue" numFmtId="0">
      <sharedItems containsSemiMixedTypes="0" containsString="0" containsNumber="1" containsInteger="1" minValue="9000" maxValue="17000"/>
    </cacheField>
    <cacheField name="PaymentDate" numFmtId="14">
      <sharedItems containsSemiMixedTypes="0" containsNonDate="0" containsDate="1" containsString="0" minDate="2024-01-01T00:00:00" maxDate="2024-03-02T00:00:00" count="61">
        <d v="2024-02-17T00:00:00"/>
        <d v="2024-01-14T00:00:00"/>
        <d v="2024-01-27T00:00:00"/>
        <d v="2024-01-18T00:00:00"/>
        <d v="2024-02-24T00:00:00"/>
        <d v="2024-02-29T00:00:00"/>
        <d v="2024-02-15T00:00:00"/>
        <d v="2024-01-25T00:00:00"/>
        <d v="2024-02-14T00:00:00"/>
        <d v="2024-01-11T00:00:00"/>
        <d v="2024-02-23T00:00:00"/>
        <d v="2024-01-05T00:00:00"/>
        <d v="2024-01-10T00:00:00"/>
        <d v="2024-01-28T00:00:00"/>
        <d v="2024-01-06T00:00:00"/>
        <d v="2024-02-08T00:00:00"/>
        <d v="2024-02-25T00:00:00"/>
        <d v="2024-01-08T00:00:00"/>
        <d v="2024-02-02T00:00:00"/>
        <d v="2024-01-13T00:00:00"/>
        <d v="2024-02-01T00:00:00"/>
        <d v="2024-03-01T00:00:00"/>
        <d v="2024-01-29T00:00:00"/>
        <d v="2024-01-02T00:00:00"/>
        <d v="2024-01-15T00:00:00"/>
        <d v="2024-01-07T00:00:00"/>
        <d v="2024-02-13T00:00:00"/>
        <d v="2024-01-16T00:00:00"/>
        <d v="2024-01-19T00:00:00"/>
        <d v="2024-02-07T00:00:00"/>
        <d v="2024-01-31T00:00:00"/>
        <d v="2024-01-21T00:00:00"/>
        <d v="2024-01-26T00:00:00"/>
        <d v="2024-02-09T00:00:00"/>
        <d v="2024-01-03T00:00:00"/>
        <d v="2024-02-05T00:00:00"/>
        <d v="2024-02-04T00:00:00"/>
        <d v="2024-01-23T00:00:00"/>
        <d v="2024-02-20T00:00:00"/>
        <d v="2024-02-22T00:00:00"/>
        <d v="2024-01-22T00:00:00"/>
        <d v="2024-01-17T00:00:00"/>
        <d v="2024-02-03T00:00:00"/>
        <d v="2024-02-26T00:00:00"/>
        <d v="2024-01-30T00:00:00"/>
        <d v="2024-02-12T00:00:00"/>
        <d v="2024-02-18T00:00:00"/>
        <d v="2024-01-20T00:00:00"/>
        <d v="2024-02-27T00:00:00"/>
        <d v="2024-02-11T00:00:00"/>
        <d v="2024-02-21T00:00:00"/>
        <d v="2024-01-24T00:00:00"/>
        <d v="2024-02-06T00:00:00"/>
        <d v="2024-01-12T00:00:00"/>
        <d v="2024-01-01T00:00:00"/>
        <d v="2024-01-04T00:00:00"/>
        <d v="2024-02-10T00:00:00"/>
        <d v="2024-02-19T00:00:00"/>
        <d v="2024-02-28T00:00:00"/>
        <d v="2024-01-09T00:00:00"/>
        <d v="2024-02-16T00:00:00"/>
      </sharedItems>
      <fieldGroup par="15" base="11">
        <rangePr groupBy="days" startDate="2024-01-01T00:00:00" endDate="2024-03-02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3-2024"/>
        </groupItems>
      </fieldGroup>
    </cacheField>
    <cacheField name="Performance Status" numFmtId="0">
      <sharedItems count="2">
        <s v="Below Target"/>
        <s v="Target Achieved"/>
      </sharedItems>
    </cacheField>
    <cacheField name="New_DiscountPercent" numFmtId="0">
      <sharedItems containsSemiMixedTypes="0" containsString="0" containsNumber="1" containsInteger="1" minValue="0" maxValue="30"/>
    </cacheField>
    <cacheField name="Total Net Revenue" numFmtId="0">
      <sharedItems containsSemiMixedTypes="0" containsString="0" containsNumber="1" minValue="4953.8999999999996" maxValue="18973"/>
    </cacheField>
    <cacheField name="Months" numFmtId="0" databaseField="0">
      <fieldGroup base="11">
        <rangePr groupBy="months" startDate="2024-01-01T00:00:00" endDate="2024-03-02T00:00:00"/>
        <groupItems count="14">
          <s v="&lt;01-01-2024"/>
          <s v="Jan"/>
          <s v="Feb"/>
          <s v="Mar"/>
          <s v="Apr"/>
          <s v="May"/>
          <s v="Jun"/>
          <s v="Jul"/>
          <s v="Aug"/>
          <s v="Sep"/>
          <s v="Oct"/>
          <s v="Nov"/>
          <s v="Dec"/>
          <s v="&gt;02-03-2024"/>
        </groupItems>
      </fieldGroup>
    </cacheField>
  </cacheFields>
  <extLst>
    <ext xmlns:x14="http://schemas.microsoft.com/office/spreadsheetml/2009/9/main" uri="{725AE2AE-9491-48be-B2B4-4EB974FC3084}">
      <x14:pivotCacheDefinition pivotCacheId="1689300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Rohit Shah"/>
    <x v="0"/>
    <x v="0"/>
    <s v="B3"/>
    <s v="Priya"/>
    <x v="0"/>
    <n v="12914"/>
    <s v="DISC20"/>
    <n v="0.2"/>
    <n v="14000"/>
    <d v="2024-02-17T00:00:00"/>
    <n v="20"/>
    <x v="0"/>
  </r>
  <r>
    <s v="Riya Singh"/>
    <x v="0"/>
    <x v="0"/>
    <s v="B3"/>
    <s v="Priya"/>
    <x v="0"/>
    <n v="12122"/>
    <s v="DISC10"/>
    <n v="0.1"/>
    <n v="14000"/>
    <d v="2024-01-14T00:00:00"/>
    <n v="10"/>
    <x v="1"/>
  </r>
  <r>
    <s v="Sneha Gupta"/>
    <x v="0"/>
    <x v="0"/>
    <s v="B3"/>
    <s v="Saurabh"/>
    <x v="1"/>
    <n v="14661"/>
    <s v="DISC15"/>
    <m/>
    <n v="14000"/>
    <d v="2024-01-27T00:00:00"/>
    <n v="15"/>
    <x v="2"/>
  </r>
  <r>
    <s v="Sneha Iyer"/>
    <x v="1"/>
    <x v="1"/>
    <s v="B1"/>
    <s v="Saurabh"/>
    <x v="1"/>
    <n v="16731"/>
    <s v="DISC30"/>
    <n v="0.3"/>
    <n v="17000"/>
    <d v="2024-01-18T00:00:00"/>
    <n v="30"/>
    <x v="3"/>
  </r>
  <r>
    <s v="Karan Patil"/>
    <x v="1"/>
    <x v="1"/>
    <s v="B1"/>
    <s v="Saurabh"/>
    <x v="2"/>
    <n v="15396"/>
    <s v="DISC30"/>
    <n v="0.3"/>
    <n v="17000"/>
    <d v="2024-02-24T00:00:00"/>
    <n v="30"/>
    <x v="4"/>
  </r>
  <r>
    <s v="Pooja Joshi"/>
    <x v="1"/>
    <x v="1"/>
    <s v="B1"/>
    <s v="Amit"/>
    <x v="2"/>
    <n v="17196"/>
    <s v="DISC10"/>
    <n v="0.1"/>
    <n v="17000"/>
    <d v="2024-02-29T00:00:00"/>
    <n v="10"/>
    <x v="5"/>
  </r>
  <r>
    <s v="Rahul Shah"/>
    <x v="1"/>
    <x v="1"/>
    <s v="B3"/>
    <s v="Amit"/>
    <x v="2"/>
    <n v="17364"/>
    <s v="DISC20"/>
    <n v="0.2"/>
    <n v="17000"/>
    <d v="2024-02-15T00:00:00"/>
    <n v="20"/>
    <x v="6"/>
  </r>
  <r>
    <s v="Riya Kulkarni"/>
    <x v="2"/>
    <x v="2"/>
    <s v="B2"/>
    <s v="Saurabh"/>
    <x v="0"/>
    <n v="14549"/>
    <s v="DISC10"/>
    <n v="0.1"/>
    <n v="13000"/>
    <d v="2024-01-25T00:00:00"/>
    <n v="10"/>
    <x v="7"/>
  </r>
  <r>
    <s v="Aditya Iyer"/>
    <x v="1"/>
    <x v="1"/>
    <s v="B1"/>
    <s v="Priya"/>
    <x v="2"/>
    <n v="15858"/>
    <s v="DISC30"/>
    <n v="0.3"/>
    <n v="17000"/>
    <d v="2024-02-14T00:00:00"/>
    <n v="30"/>
    <x v="8"/>
  </r>
  <r>
    <s v="Kunal Singh"/>
    <x v="0"/>
    <x v="0"/>
    <s v="B3"/>
    <s v="Amit"/>
    <x v="0"/>
    <n v="14187"/>
    <s v="DISC20"/>
    <n v="0.2"/>
    <n v="14000"/>
    <d v="2024-01-11T00:00:00"/>
    <n v="20"/>
    <x v="9"/>
  </r>
  <r>
    <s v="Neha Verma"/>
    <x v="1"/>
    <x v="1"/>
    <s v="B3"/>
    <s v="Amit"/>
    <x v="1"/>
    <n v="15899"/>
    <s v="DISC30"/>
    <n v="0.3"/>
    <n v="17000"/>
    <d v="2024-02-23T00:00:00"/>
    <n v="30"/>
    <x v="10"/>
  </r>
  <r>
    <s v="Dev Patel"/>
    <x v="0"/>
    <x v="0"/>
    <s v="B1"/>
    <s v="Saurabh"/>
    <x v="2"/>
    <n v="13643"/>
    <s v="DISC30"/>
    <n v="0.3"/>
    <n v="14000"/>
    <d v="2024-01-05T00:00:00"/>
    <n v="30"/>
    <x v="11"/>
  </r>
  <r>
    <s v="Sneha Joshi"/>
    <x v="1"/>
    <x v="1"/>
    <s v="B1"/>
    <s v="Amit"/>
    <x v="2"/>
    <n v="16620"/>
    <m/>
    <m/>
    <n v="17000"/>
    <d v="2024-01-10T00:00:00"/>
    <n v="0"/>
    <x v="12"/>
  </r>
  <r>
    <s v="Aditya Mehta"/>
    <x v="2"/>
    <x v="2"/>
    <s v="B3"/>
    <s v="Amit"/>
    <x v="1"/>
    <n v="12076"/>
    <s v="DISC15"/>
    <m/>
    <n v="13000"/>
    <d v="2024-01-28T00:00:00"/>
    <n v="15"/>
    <x v="13"/>
  </r>
  <r>
    <s v="Kunal Joshi"/>
    <x v="3"/>
    <x v="3"/>
    <s v="B2"/>
    <s v="Saurabh"/>
    <x v="0"/>
    <n v="9087"/>
    <m/>
    <m/>
    <n v="9000"/>
    <d v="2024-01-06T00:00:00"/>
    <n v="0"/>
    <x v="14"/>
  </r>
  <r>
    <s v="Dev Kulkarni"/>
    <x v="0"/>
    <x v="0"/>
    <s v="B1"/>
    <s v="Amit"/>
    <x v="0"/>
    <n v="15244"/>
    <m/>
    <m/>
    <n v="14000"/>
    <d v="2024-02-08T00:00:00"/>
    <n v="0"/>
    <x v="15"/>
  </r>
  <r>
    <s v="Riya Verma"/>
    <x v="3"/>
    <x v="3"/>
    <s v="B3"/>
    <s v="Priya"/>
    <x v="1"/>
    <n v="8029"/>
    <s v="DISC15"/>
    <m/>
    <n v="9000"/>
    <d v="2024-02-25T00:00:00"/>
    <n v="15"/>
    <x v="16"/>
  </r>
  <r>
    <s v="Aarav Singh"/>
    <x v="0"/>
    <x v="0"/>
    <s v="B3"/>
    <s v="Amit"/>
    <x v="2"/>
    <n v="15148"/>
    <s v="DISC30"/>
    <n v="0.3"/>
    <n v="14000"/>
    <d v="2024-01-08T00:00:00"/>
    <n v="30"/>
    <x v="17"/>
  </r>
  <r>
    <s v="Aditya Verma"/>
    <x v="2"/>
    <x v="2"/>
    <s v="B2"/>
    <s v="Saurabh"/>
    <x v="1"/>
    <n v="14587"/>
    <s v="DISC30"/>
    <n v="0.3"/>
    <n v="13000"/>
    <d v="2024-02-02T00:00:00"/>
    <n v="30"/>
    <x v="18"/>
  </r>
  <r>
    <s v="Dev Mehta"/>
    <x v="0"/>
    <x v="0"/>
    <s v="B3"/>
    <s v="Priya"/>
    <x v="1"/>
    <n v="14079"/>
    <s v="DISC15"/>
    <m/>
    <n v="14000"/>
    <d v="2024-01-13T00:00:00"/>
    <n v="15"/>
    <x v="19"/>
  </r>
  <r>
    <s v="Karan Jain"/>
    <x v="2"/>
    <x v="2"/>
    <s v="B3"/>
    <s v="Amit"/>
    <x v="0"/>
    <n v="13453"/>
    <s v="DISC30"/>
    <n v="0.3"/>
    <n v="13000"/>
    <d v="2024-02-01T00:00:00"/>
    <n v="30"/>
    <x v="20"/>
  </r>
  <r>
    <s v="Aarav Shah"/>
    <x v="1"/>
    <x v="1"/>
    <s v="B2"/>
    <s v="Saurabh"/>
    <x v="0"/>
    <n v="15986"/>
    <s v="DISC15"/>
    <m/>
    <n v="17000"/>
    <d v="2024-03-01T00:00:00"/>
    <n v="15"/>
    <x v="21"/>
  </r>
  <r>
    <s v="Riya Shah"/>
    <x v="3"/>
    <x v="3"/>
    <s v="B1"/>
    <s v="Amit"/>
    <x v="0"/>
    <n v="7525"/>
    <m/>
    <m/>
    <n v="9000"/>
    <d v="2024-03-01T00:00:00"/>
    <n v="0"/>
    <x v="22"/>
  </r>
  <r>
    <s v="Manish Mehta"/>
    <x v="1"/>
    <x v="1"/>
    <s v="B3"/>
    <s v="Amit"/>
    <x v="2"/>
    <n v="18950"/>
    <s v="DISC20"/>
    <n v="0.2"/>
    <n v="17000"/>
    <d v="2024-02-29T00:00:00"/>
    <n v="20"/>
    <x v="23"/>
  </r>
  <r>
    <s v="Manish Patel"/>
    <x v="2"/>
    <x v="2"/>
    <s v="B3"/>
    <s v="Priya"/>
    <x v="2"/>
    <n v="13751"/>
    <s v="DISC30"/>
    <n v="0.3"/>
    <n v="13000"/>
    <d v="2024-01-29T00:00:00"/>
    <n v="30"/>
    <x v="24"/>
  </r>
  <r>
    <s v="Kunal Gupta"/>
    <x v="3"/>
    <x v="3"/>
    <s v="B1"/>
    <s v="Saurabh"/>
    <x v="0"/>
    <n v="7262"/>
    <s v="DISC30"/>
    <n v="0.3"/>
    <n v="9000"/>
    <d v="2024-01-02T00:00:00"/>
    <n v="30"/>
    <x v="25"/>
  </r>
  <r>
    <s v="Kavita Gupta"/>
    <x v="2"/>
    <x v="2"/>
    <s v="B3"/>
    <s v="Saurabh"/>
    <x v="0"/>
    <n v="11290"/>
    <s v="DISC10"/>
    <n v="0.1"/>
    <n v="13000"/>
    <d v="2024-01-15T00:00:00"/>
    <n v="10"/>
    <x v="26"/>
  </r>
  <r>
    <s v="Riya Kulkarni"/>
    <x v="1"/>
    <x v="1"/>
    <s v="B1"/>
    <s v="Amit"/>
    <x v="0"/>
    <n v="16140"/>
    <m/>
    <m/>
    <n v="17000"/>
    <d v="2024-01-14T00:00:00"/>
    <n v="0"/>
    <x v="27"/>
  </r>
  <r>
    <s v="Manish Mehta"/>
    <x v="3"/>
    <x v="3"/>
    <s v="B1"/>
    <s v="Priya"/>
    <x v="2"/>
    <n v="7779"/>
    <s v="DISC10"/>
    <n v="0.1"/>
    <n v="9000"/>
    <d v="2024-01-07T00:00:00"/>
    <n v="10"/>
    <x v="28"/>
  </r>
  <r>
    <s v="Rohit Verma"/>
    <x v="1"/>
    <x v="1"/>
    <s v="B2"/>
    <s v="Priya"/>
    <x v="2"/>
    <n v="18538"/>
    <s v="DISC10"/>
    <n v="0.1"/>
    <n v="17000"/>
    <d v="2024-02-13T00:00:00"/>
    <n v="10"/>
    <x v="29"/>
  </r>
  <r>
    <s v="Rohit Singh"/>
    <x v="0"/>
    <x v="0"/>
    <s v="B1"/>
    <s v="Priya"/>
    <x v="1"/>
    <n v="13389"/>
    <s v="DISC10"/>
    <n v="0.1"/>
    <n v="14000"/>
    <d v="2024-01-16T00:00:00"/>
    <n v="10"/>
    <x v="30"/>
  </r>
  <r>
    <s v="Sneha Patil"/>
    <x v="3"/>
    <x v="3"/>
    <s v="B1"/>
    <s v="Priya"/>
    <x v="0"/>
    <n v="8140"/>
    <m/>
    <m/>
    <n v="9000"/>
    <d v="2024-01-16T00:00:00"/>
    <n v="0"/>
    <x v="31"/>
  </r>
  <r>
    <s v="Meera Shah"/>
    <x v="3"/>
    <x v="3"/>
    <s v="B3"/>
    <s v="Saurabh"/>
    <x v="0"/>
    <n v="9671"/>
    <s v="DISC15"/>
    <m/>
    <n v="9000"/>
    <d v="2024-02-23T00:00:00"/>
    <n v="15"/>
    <x v="32"/>
  </r>
  <r>
    <s v="Aarav Shah"/>
    <x v="2"/>
    <x v="2"/>
    <s v="B1"/>
    <s v="Priya"/>
    <x v="2"/>
    <n v="12971"/>
    <s v="DISC20"/>
    <n v="0.2"/>
    <n v="13000"/>
    <d v="2024-02-25T00:00:00"/>
    <n v="20"/>
    <x v="33"/>
  </r>
  <r>
    <s v="Rahul Kulkarni"/>
    <x v="2"/>
    <x v="2"/>
    <s v="B2"/>
    <s v="Saurabh"/>
    <x v="2"/>
    <n v="12086"/>
    <m/>
    <m/>
    <n v="13000"/>
    <d v="2024-01-19T00:00:00"/>
    <n v="0"/>
    <x v="34"/>
  </r>
  <r>
    <s v="Rahul Desai"/>
    <x v="3"/>
    <x v="3"/>
    <s v="B1"/>
    <s v="Saurabh"/>
    <x v="2"/>
    <n v="7891"/>
    <s v="DISC10"/>
    <n v="0.1"/>
    <n v="9000"/>
    <d v="2024-02-07T00:00:00"/>
    <n v="10"/>
    <x v="35"/>
  </r>
  <r>
    <s v="Anjali Gupta"/>
    <x v="0"/>
    <x v="0"/>
    <s v="B3"/>
    <s v="Priya"/>
    <x v="0"/>
    <n v="12205"/>
    <s v="DISC15"/>
    <m/>
    <n v="14000"/>
    <d v="2024-01-31T00:00:00"/>
    <n v="15"/>
    <x v="36"/>
  </r>
  <r>
    <s v="Manish Nair"/>
    <x v="2"/>
    <x v="2"/>
    <s v="B1"/>
    <s v="Amit"/>
    <x v="0"/>
    <n v="14487"/>
    <s v="DISC20"/>
    <n v="0.2"/>
    <n v="13000"/>
    <d v="2024-01-05T00:00:00"/>
    <n v="20"/>
    <x v="37"/>
  </r>
  <r>
    <s v="Kavita Shah"/>
    <x v="2"/>
    <x v="2"/>
    <s v="B2"/>
    <s v="Saurabh"/>
    <x v="1"/>
    <n v="12008"/>
    <s v="DISC15"/>
    <m/>
    <n v="13000"/>
    <d v="2024-02-08T00:00:00"/>
    <n v="15"/>
    <x v="38"/>
  </r>
  <r>
    <s v="Aarav Joshi"/>
    <x v="0"/>
    <x v="0"/>
    <s v="B2"/>
    <s v="Amit"/>
    <x v="1"/>
    <n v="14315"/>
    <s v="DISC15"/>
    <m/>
    <n v="14000"/>
    <d v="2024-01-21T00:00:00"/>
    <n v="15"/>
    <x v="39"/>
  </r>
  <r>
    <s v="Kunal Rao"/>
    <x v="2"/>
    <x v="2"/>
    <s v="B3"/>
    <s v="Amit"/>
    <x v="2"/>
    <n v="11977"/>
    <s v="DISC30"/>
    <n v="0.3"/>
    <n v="13000"/>
    <d v="2024-01-26T00:00:00"/>
    <n v="30"/>
    <x v="40"/>
  </r>
  <r>
    <s v="Karan Singh"/>
    <x v="1"/>
    <x v="1"/>
    <s v="B2"/>
    <s v="Priya"/>
    <x v="0"/>
    <n v="15038"/>
    <m/>
    <m/>
    <n v="17000"/>
    <d v="2024-02-09T00:00:00"/>
    <n v="0"/>
    <x v="41"/>
  </r>
  <r>
    <s v="Kavita Shah"/>
    <x v="0"/>
    <x v="0"/>
    <s v="B3"/>
    <s v="Saurabh"/>
    <x v="1"/>
    <n v="13086"/>
    <s v="DISC20"/>
    <n v="0.2"/>
    <n v="14000"/>
    <d v="2024-02-29T00:00:00"/>
    <n v="20"/>
    <x v="42"/>
  </r>
  <r>
    <s v="Pooja Shah"/>
    <x v="2"/>
    <x v="2"/>
    <s v="B2"/>
    <s v="Priya"/>
    <x v="0"/>
    <n v="12794"/>
    <s v="DISC15"/>
    <m/>
    <n v="13000"/>
    <d v="2024-02-15T00:00:00"/>
    <n v="15"/>
    <x v="43"/>
  </r>
  <r>
    <s v="Aditya Joshi"/>
    <x v="0"/>
    <x v="0"/>
    <s v="B3"/>
    <s v="Amit"/>
    <x v="2"/>
    <n v="15816"/>
    <s v="DISC10"/>
    <n v="0.1"/>
    <n v="14000"/>
    <d v="2024-03-01T00:00:00"/>
    <n v="10"/>
    <x v="44"/>
  </r>
  <r>
    <s v="Kunal Mehta"/>
    <x v="1"/>
    <x v="1"/>
    <s v="B1"/>
    <s v="Saurabh"/>
    <x v="1"/>
    <n v="17266"/>
    <s v="DISC20"/>
    <n v="0.2"/>
    <n v="17000"/>
    <d v="2024-01-18T00:00:00"/>
    <n v="20"/>
    <x v="45"/>
  </r>
  <r>
    <s v="Aditya Joshi"/>
    <x v="2"/>
    <x v="2"/>
    <s v="B3"/>
    <s v="Priya"/>
    <x v="0"/>
    <n v="13815"/>
    <s v="DISC30"/>
    <n v="0.3"/>
    <n v="13000"/>
    <d v="2024-02-02T00:00:00"/>
    <n v="30"/>
    <x v="46"/>
  </r>
  <r>
    <s v="Neha Rao"/>
    <x v="0"/>
    <x v="0"/>
    <s v="B1"/>
    <s v="Amit"/>
    <x v="2"/>
    <n v="15397"/>
    <s v="DISC30"/>
    <n v="0.3"/>
    <n v="14000"/>
    <d v="2024-01-03T00:00:00"/>
    <n v="30"/>
    <x v="47"/>
  </r>
  <r>
    <s v="Aarav Jain"/>
    <x v="2"/>
    <x v="2"/>
    <s v="B3"/>
    <s v="Priya"/>
    <x v="0"/>
    <n v="14036"/>
    <m/>
    <m/>
    <n v="13000"/>
    <d v="2024-02-05T00:00:00"/>
    <n v="0"/>
    <x v="48"/>
  </r>
  <r>
    <s v="Anjali Verma"/>
    <x v="0"/>
    <x v="0"/>
    <s v="B1"/>
    <s v="Saurabh"/>
    <x v="1"/>
    <n v="15702"/>
    <s v="DISC20"/>
    <n v="0.2"/>
    <n v="14000"/>
    <d v="2024-02-04T00:00:00"/>
    <n v="20"/>
    <x v="49"/>
  </r>
  <r>
    <s v="Aarav Nair"/>
    <x v="1"/>
    <x v="1"/>
    <s v="B3"/>
    <s v="Amit"/>
    <x v="0"/>
    <n v="16760"/>
    <s v="DISC20"/>
    <n v="0.2"/>
    <n v="17000"/>
    <d v="2024-01-03T00:00:00"/>
    <n v="20"/>
    <x v="50"/>
  </r>
  <r>
    <s v="Aditya Jain"/>
    <x v="0"/>
    <x v="0"/>
    <s v="B2"/>
    <s v="Saurabh"/>
    <x v="1"/>
    <n v="13022"/>
    <s v="DISC10"/>
    <n v="0.1"/>
    <n v="14000"/>
    <d v="2024-01-23T00:00:00"/>
    <n v="10"/>
    <x v="51"/>
  </r>
  <r>
    <s v="Dev Gupta"/>
    <x v="3"/>
    <x v="3"/>
    <s v="B3"/>
    <s v="Amit"/>
    <x v="0"/>
    <n v="10791"/>
    <s v="DISC20"/>
    <n v="0.2"/>
    <n v="9000"/>
    <d v="2024-02-25T00:00:00"/>
    <n v="20"/>
    <x v="52"/>
  </r>
  <r>
    <s v="Karan Patel"/>
    <x v="2"/>
    <x v="2"/>
    <s v="B2"/>
    <s v="Saurabh"/>
    <x v="0"/>
    <n v="14016"/>
    <s v="DISC30"/>
    <n v="0.3"/>
    <n v="13000"/>
    <d v="2024-02-20T00:00:00"/>
    <n v="30"/>
    <x v="53"/>
  </r>
  <r>
    <s v="Kunal Verma"/>
    <x v="2"/>
    <x v="2"/>
    <s v="B2"/>
    <s v="Saurabh"/>
    <x v="1"/>
    <n v="11442"/>
    <m/>
    <m/>
    <n v="13000"/>
    <d v="2024-02-25T00:00:00"/>
    <n v="0"/>
    <x v="54"/>
  </r>
  <r>
    <s v="Aarav Nair"/>
    <x v="3"/>
    <x v="3"/>
    <s v="B1"/>
    <s v="Saurabh"/>
    <x v="2"/>
    <n v="8432"/>
    <s v="DISC30"/>
    <n v="0.3"/>
    <n v="9000"/>
    <d v="2024-02-22T00:00:00"/>
    <n v="30"/>
    <x v="55"/>
  </r>
  <r>
    <s v="Dev Nair"/>
    <x v="2"/>
    <x v="2"/>
    <s v="B1"/>
    <s v="Saurabh"/>
    <x v="1"/>
    <n v="11791"/>
    <m/>
    <m/>
    <n v="13000"/>
    <d v="2024-01-22T00:00:00"/>
    <n v="0"/>
    <x v="56"/>
  </r>
  <r>
    <s v="Aditya Nair"/>
    <x v="0"/>
    <x v="0"/>
    <s v="B2"/>
    <s v="Priya"/>
    <x v="1"/>
    <n v="14086"/>
    <m/>
    <m/>
    <n v="14000"/>
    <d v="2024-02-13T00:00:00"/>
    <n v="0"/>
    <x v="57"/>
  </r>
  <r>
    <s v="Meera Gupta"/>
    <x v="1"/>
    <x v="1"/>
    <s v="B1"/>
    <s v="Saurabh"/>
    <x v="2"/>
    <n v="15731"/>
    <s v="DISC15"/>
    <m/>
    <n v="17000"/>
    <d v="2024-01-17T00:00:00"/>
    <n v="15"/>
    <x v="58"/>
  </r>
  <r>
    <s v="Aarav Shah"/>
    <x v="3"/>
    <x v="3"/>
    <s v="B2"/>
    <s v="Amit"/>
    <x v="2"/>
    <n v="8787"/>
    <s v="DISC15"/>
    <m/>
    <n v="9000"/>
    <d v="2024-02-02T00:00:00"/>
    <n v="15"/>
    <x v="59"/>
  </r>
  <r>
    <s v="Riya Verma"/>
    <x v="2"/>
    <x v="2"/>
    <s v="B2"/>
    <s v="Saurabh"/>
    <x v="1"/>
    <n v="12786"/>
    <s v="DISC10"/>
    <n v="0.1"/>
    <n v="13000"/>
    <d v="2024-02-03T00:00:00"/>
    <n v="10"/>
    <x v="60"/>
  </r>
  <r>
    <s v="Kunal Patel"/>
    <x v="2"/>
    <x v="2"/>
    <s v="B2"/>
    <s v="Priya"/>
    <x v="0"/>
    <n v="14886"/>
    <s v="DISC30"/>
    <n v="0.3"/>
    <n v="13000"/>
    <d v="2024-02-09T00:00:00"/>
    <n v="30"/>
    <x v="61"/>
  </r>
  <r>
    <s v="Pooja Singh"/>
    <x v="0"/>
    <x v="0"/>
    <s v="B3"/>
    <s v="Priya"/>
    <x v="1"/>
    <n v="13266"/>
    <m/>
    <m/>
    <n v="14000"/>
    <d v="2024-01-21T00:00:00"/>
    <n v="0"/>
    <x v="62"/>
  </r>
  <r>
    <s v="Rahul Desai"/>
    <x v="1"/>
    <x v="1"/>
    <s v="B3"/>
    <s v="Saurabh"/>
    <x v="0"/>
    <n v="16722"/>
    <m/>
    <m/>
    <n v="17000"/>
    <d v="2024-02-13T00:00:00"/>
    <n v="0"/>
    <x v="63"/>
  </r>
  <r>
    <s v="Anjali Mehta"/>
    <x v="1"/>
    <x v="1"/>
    <s v="B2"/>
    <s v="Amit"/>
    <x v="0"/>
    <n v="16244"/>
    <s v="DISC30"/>
    <n v="0.3"/>
    <n v="17000"/>
    <d v="2024-01-14T00:00:00"/>
    <n v="30"/>
    <x v="64"/>
  </r>
  <r>
    <s v="Rahul Patel"/>
    <x v="1"/>
    <x v="1"/>
    <s v="B2"/>
    <s v="Priya"/>
    <x v="2"/>
    <n v="17767"/>
    <s v="DISC20"/>
    <n v="0.2"/>
    <n v="17000"/>
    <d v="2024-02-02T00:00:00"/>
    <n v="20"/>
    <x v="65"/>
  </r>
  <r>
    <s v="Neha Patel"/>
    <x v="2"/>
    <x v="2"/>
    <s v="B3"/>
    <s v="Saurabh"/>
    <x v="2"/>
    <n v="13111"/>
    <s v="DISC15"/>
    <m/>
    <n v="13000"/>
    <d v="2024-01-22T00:00:00"/>
    <n v="15"/>
    <x v="66"/>
  </r>
  <r>
    <s v="Riya Nair"/>
    <x v="2"/>
    <x v="2"/>
    <s v="B3"/>
    <s v="Priya"/>
    <x v="0"/>
    <n v="14303"/>
    <s v="DISC20"/>
    <n v="0.2"/>
    <n v="13000"/>
    <d v="2024-01-10T00:00:00"/>
    <n v="20"/>
    <x v="67"/>
  </r>
  <r>
    <s v="Aarav Kulkarni"/>
    <x v="2"/>
    <x v="2"/>
    <s v="B2"/>
    <s v="Amit"/>
    <x v="0"/>
    <n v="12865"/>
    <m/>
    <m/>
    <n v="13000"/>
    <d v="2024-02-26T00:00:00"/>
    <n v="0"/>
    <x v="68"/>
  </r>
  <r>
    <s v="Rohit Joshi"/>
    <x v="2"/>
    <x v="2"/>
    <s v="B3"/>
    <s v="Amit"/>
    <x v="2"/>
    <n v="13024"/>
    <m/>
    <m/>
    <n v="13000"/>
    <d v="2024-01-16T00:00:00"/>
    <n v="0"/>
    <x v="69"/>
  </r>
  <r>
    <s v="Karan Singh"/>
    <x v="0"/>
    <x v="0"/>
    <s v="B1"/>
    <s v="Priya"/>
    <x v="0"/>
    <n v="12720"/>
    <s v="DISC15"/>
    <m/>
    <n v="14000"/>
    <d v="2024-01-30T00:00:00"/>
    <n v="15"/>
    <x v="70"/>
  </r>
  <r>
    <s v="Aarav Gupta"/>
    <x v="2"/>
    <x v="2"/>
    <s v="B1"/>
    <s v="Priya"/>
    <x v="0"/>
    <n v="14282"/>
    <m/>
    <m/>
    <n v="13000"/>
    <d v="2024-02-12T00:00:00"/>
    <n v="0"/>
    <x v="71"/>
  </r>
  <r>
    <s v="Manish Gupta"/>
    <x v="1"/>
    <x v="1"/>
    <s v="B2"/>
    <s v="Amit"/>
    <x v="1"/>
    <n v="18653"/>
    <s v="DISC15"/>
    <m/>
    <n v="17000"/>
    <d v="2024-01-28T00:00:00"/>
    <n v="15"/>
    <x v="72"/>
  </r>
  <r>
    <s v="Meera Gupta"/>
    <x v="3"/>
    <x v="3"/>
    <s v="B1"/>
    <s v="Amit"/>
    <x v="2"/>
    <n v="8843"/>
    <s v="DISC30"/>
    <n v="0.3"/>
    <n v="9000"/>
    <d v="2024-02-18T00:00:00"/>
    <n v="30"/>
    <x v="73"/>
  </r>
  <r>
    <s v="Sneha Nair"/>
    <x v="1"/>
    <x v="1"/>
    <s v="B3"/>
    <s v="Priya"/>
    <x v="1"/>
    <n v="15979"/>
    <s v="DISC30"/>
    <n v="0.3"/>
    <n v="17000"/>
    <d v="2024-01-29T00:00:00"/>
    <n v="30"/>
    <x v="74"/>
  </r>
  <r>
    <s v="Riya Desai"/>
    <x v="1"/>
    <x v="1"/>
    <s v="B1"/>
    <s v="Priya"/>
    <x v="2"/>
    <n v="16309"/>
    <s v="DISC15"/>
    <m/>
    <n v="17000"/>
    <d v="2024-01-06T00:00:00"/>
    <n v="15"/>
    <x v="75"/>
  </r>
  <r>
    <s v="Karan Mehta"/>
    <x v="2"/>
    <x v="2"/>
    <s v="B2"/>
    <s v="Amit"/>
    <x v="0"/>
    <n v="13893"/>
    <s v="DISC20"/>
    <n v="0.2"/>
    <n v="13000"/>
    <d v="2024-01-05T00:00:00"/>
    <n v="20"/>
    <x v="76"/>
  </r>
  <r>
    <s v="Rahul Verma"/>
    <x v="1"/>
    <x v="1"/>
    <s v="B3"/>
    <s v="Priya"/>
    <x v="2"/>
    <n v="15255"/>
    <s v="DISC20"/>
    <n v="0.2"/>
    <n v="17000"/>
    <d v="2024-02-23T00:00:00"/>
    <n v="20"/>
    <x v="77"/>
  </r>
  <r>
    <s v="Rahul Verma"/>
    <x v="0"/>
    <x v="0"/>
    <s v="B3"/>
    <s v="Priya"/>
    <x v="2"/>
    <n v="12024"/>
    <s v="DISC30"/>
    <n v="0.3"/>
    <n v="14000"/>
    <d v="2024-01-20T00:00:00"/>
    <n v="30"/>
    <x v="78"/>
  </r>
  <r>
    <s v="Dev Verma"/>
    <x v="3"/>
    <x v="3"/>
    <s v="B3"/>
    <s v="Amit"/>
    <x v="1"/>
    <n v="9236"/>
    <s v="DISC15"/>
    <m/>
    <n v="9000"/>
    <d v="2024-02-27T00:00:00"/>
    <n v="15"/>
    <x v="79"/>
  </r>
  <r>
    <s v="Sneha Iyer"/>
    <x v="2"/>
    <x v="2"/>
    <s v="B2"/>
    <s v="Priya"/>
    <x v="2"/>
    <n v="11118"/>
    <m/>
    <m/>
    <n v="13000"/>
    <d v="2024-01-22T00:00:00"/>
    <n v="0"/>
    <x v="80"/>
  </r>
  <r>
    <s v="Rohit Singh"/>
    <x v="3"/>
    <x v="3"/>
    <s v="B3"/>
    <s v="Saurabh"/>
    <x v="2"/>
    <n v="10766"/>
    <s v="DISC20"/>
    <n v="0.2"/>
    <n v="9000"/>
    <d v="2024-02-09T00:00:00"/>
    <n v="20"/>
    <x v="81"/>
  </r>
  <r>
    <s v="Manish Kulkarni"/>
    <x v="3"/>
    <x v="3"/>
    <s v="B3"/>
    <s v="Amit"/>
    <x v="1"/>
    <n v="7111"/>
    <s v="DISC10"/>
    <n v="0.1"/>
    <n v="9000"/>
    <d v="2024-02-11T00:00:00"/>
    <n v="10"/>
    <x v="82"/>
  </r>
  <r>
    <s v="Rahul Mehta"/>
    <x v="3"/>
    <x v="3"/>
    <s v="B1"/>
    <s v="Saurabh"/>
    <x v="2"/>
    <n v="8552"/>
    <s v="DISC30"/>
    <n v="0.3"/>
    <n v="9000"/>
    <d v="2024-01-14T00:00:00"/>
    <n v="30"/>
    <x v="83"/>
  </r>
  <r>
    <s v="Neha Jain"/>
    <x v="1"/>
    <x v="1"/>
    <s v="B2"/>
    <s v="Priya"/>
    <x v="2"/>
    <n v="16033"/>
    <s v="DISC10"/>
    <n v="0.1"/>
    <n v="17000"/>
    <d v="2024-01-31T00:00:00"/>
    <n v="10"/>
    <x v="84"/>
  </r>
  <r>
    <s v="Aarav Desai"/>
    <x v="0"/>
    <x v="0"/>
    <s v="B2"/>
    <s v="Saurabh"/>
    <x v="1"/>
    <n v="12281"/>
    <s v="DISC10"/>
    <n v="0.1"/>
    <n v="14000"/>
    <d v="2024-02-18T00:00:00"/>
    <n v="10"/>
    <x v="85"/>
  </r>
  <r>
    <s v="Aarav Patil"/>
    <x v="2"/>
    <x v="2"/>
    <s v="B1"/>
    <s v="Amit"/>
    <x v="0"/>
    <n v="11977"/>
    <s v="DISC20"/>
    <n v="0.2"/>
    <n v="13000"/>
    <d v="2024-01-31T00:00:00"/>
    <n v="20"/>
    <x v="86"/>
  </r>
  <r>
    <s v="Rohit Shah"/>
    <x v="2"/>
    <x v="2"/>
    <s v="B2"/>
    <s v="Amit"/>
    <x v="2"/>
    <n v="14141"/>
    <s v="DISC30"/>
    <n v="0.3"/>
    <n v="13000"/>
    <d v="2024-01-11T00:00:00"/>
    <n v="30"/>
    <x v="87"/>
  </r>
  <r>
    <s v="Kavita Joshi"/>
    <x v="0"/>
    <x v="0"/>
    <s v="B1"/>
    <s v="Priya"/>
    <x v="0"/>
    <n v="14370"/>
    <s v="DISC10"/>
    <n v="0.1"/>
    <n v="14000"/>
    <d v="2024-02-29T00:00:00"/>
    <n v="10"/>
    <x v="88"/>
  </r>
  <r>
    <s v="Aditya Joshi"/>
    <x v="3"/>
    <x v="3"/>
    <s v="B2"/>
    <s v="Amit"/>
    <x v="0"/>
    <n v="7311"/>
    <s v="DISC15"/>
    <m/>
    <n v="9000"/>
    <d v="2024-02-14T00:00:00"/>
    <n v="15"/>
    <x v="89"/>
  </r>
  <r>
    <s v="Meera Singh"/>
    <x v="2"/>
    <x v="2"/>
    <s v="B1"/>
    <s v="Amit"/>
    <x v="2"/>
    <n v="14482"/>
    <s v="DISC15"/>
    <m/>
    <n v="13000"/>
    <d v="2024-02-21T00:00:00"/>
    <n v="15"/>
    <x v="90"/>
  </r>
  <r>
    <s v="Riya Patel"/>
    <x v="0"/>
    <x v="0"/>
    <s v="B2"/>
    <s v="Amit"/>
    <x v="2"/>
    <n v="14709"/>
    <s v="DISC30"/>
    <n v="0.3"/>
    <n v="14000"/>
    <d v="2024-01-05T00:00:00"/>
    <n v="30"/>
    <x v="91"/>
  </r>
  <r>
    <s v="Manish Singh"/>
    <x v="1"/>
    <x v="1"/>
    <s v="B1"/>
    <s v="Priya"/>
    <x v="2"/>
    <n v="15432"/>
    <m/>
    <m/>
    <n v="17000"/>
    <d v="2024-01-24T00:00:00"/>
    <n v="0"/>
    <x v="92"/>
  </r>
  <r>
    <s v="Rohit Nair"/>
    <x v="3"/>
    <x v="3"/>
    <s v="B3"/>
    <s v="Saurabh"/>
    <x v="2"/>
    <n v="7721"/>
    <s v="DISC15"/>
    <m/>
    <n v="9000"/>
    <d v="2024-02-11T00:00:00"/>
    <n v="15"/>
    <x v="93"/>
  </r>
  <r>
    <s v="Aditya Joshi"/>
    <x v="3"/>
    <x v="3"/>
    <s v="B2"/>
    <s v="Priya"/>
    <x v="1"/>
    <n v="9426"/>
    <s v="DISC30"/>
    <n v="0.3"/>
    <n v="9000"/>
    <d v="2024-01-21T00:00:00"/>
    <n v="30"/>
    <x v="94"/>
  </r>
  <r>
    <s v="Meera Patil"/>
    <x v="0"/>
    <x v="0"/>
    <s v="B2"/>
    <s v="Priya"/>
    <x v="0"/>
    <n v="15073"/>
    <m/>
    <m/>
    <n v="14000"/>
    <d v="2024-02-06T00:00:00"/>
    <n v="0"/>
    <x v="95"/>
  </r>
  <r>
    <s v="Kavita Singh"/>
    <x v="3"/>
    <x v="3"/>
    <s v="B2"/>
    <s v="Saurabh"/>
    <x v="2"/>
    <n v="10485"/>
    <s v="DISC30"/>
    <n v="0.3"/>
    <n v="9000"/>
    <d v="2024-01-12T00:00:00"/>
    <n v="30"/>
    <x v="96"/>
  </r>
  <r>
    <s v="Neha Patil"/>
    <x v="1"/>
    <x v="1"/>
    <s v="B2"/>
    <s v="Priya"/>
    <x v="2"/>
    <n v="18605"/>
    <s v="DISC15"/>
    <m/>
    <n v="17000"/>
    <d v="2024-02-14T00:00:00"/>
    <n v="15"/>
    <x v="97"/>
  </r>
  <r>
    <s v="Kunal Rao"/>
    <x v="0"/>
    <x v="0"/>
    <s v="B3"/>
    <s v="Saurabh"/>
    <x v="0"/>
    <n v="12988"/>
    <m/>
    <m/>
    <n v="14000"/>
    <d v="2024-02-01T00:00:00"/>
    <n v="0"/>
    <x v="98"/>
  </r>
  <r>
    <s v="Manish Patel"/>
    <x v="2"/>
    <x v="2"/>
    <s v="B3"/>
    <s v="Priya"/>
    <x v="1"/>
    <n v="13915"/>
    <m/>
    <m/>
    <n v="13000"/>
    <d v="2024-01-29T00:00:00"/>
    <n v="0"/>
    <x v="99"/>
  </r>
  <r>
    <s v="Dev Kulkarni"/>
    <x v="0"/>
    <x v="0"/>
    <s v="B2"/>
    <s v="Saurabh"/>
    <x v="2"/>
    <n v="14833"/>
    <s v="DISC20"/>
    <n v="0.2"/>
    <n v="14000"/>
    <d v="2024-01-20T00:00:00"/>
    <n v="20"/>
    <x v="100"/>
  </r>
  <r>
    <s v="Rohit Joshi"/>
    <x v="1"/>
    <x v="1"/>
    <s v="B2"/>
    <s v="Amit"/>
    <x v="1"/>
    <n v="16408"/>
    <m/>
    <m/>
    <n v="17000"/>
    <d v="2024-02-17T00:00:00"/>
    <n v="0"/>
    <x v="101"/>
  </r>
  <r>
    <s v="Manish Jain"/>
    <x v="1"/>
    <x v="1"/>
    <s v="B3"/>
    <s v="Priya"/>
    <x v="2"/>
    <n v="16255"/>
    <s v="DISC30"/>
    <n v="0.3"/>
    <n v="17000"/>
    <d v="2024-01-15T00:00:00"/>
    <n v="30"/>
    <x v="102"/>
  </r>
  <r>
    <s v="Riya Desai"/>
    <x v="2"/>
    <x v="2"/>
    <s v="B2"/>
    <s v="Saurabh"/>
    <x v="1"/>
    <n v="13194"/>
    <s v="DISC20"/>
    <n v="0.2"/>
    <n v="13000"/>
    <d v="2024-01-13T00:00:00"/>
    <n v="20"/>
    <x v="103"/>
  </r>
  <r>
    <s v="Sneha Desai"/>
    <x v="3"/>
    <x v="3"/>
    <s v="B2"/>
    <s v="Amit"/>
    <x v="1"/>
    <n v="11000"/>
    <s v="DISC15"/>
    <m/>
    <n v="9000"/>
    <d v="2024-02-08T00:00:00"/>
    <n v="15"/>
    <x v="104"/>
  </r>
  <r>
    <s v="Aditya Shah"/>
    <x v="2"/>
    <x v="2"/>
    <s v="B2"/>
    <s v="Saurabh"/>
    <x v="2"/>
    <n v="11734"/>
    <s v="DISC30"/>
    <n v="0.3"/>
    <n v="13000"/>
    <d v="2024-01-01T00:00:00"/>
    <n v="30"/>
    <x v="105"/>
  </r>
  <r>
    <s v="Anjali Gupta"/>
    <x v="2"/>
    <x v="2"/>
    <s v="B2"/>
    <s v="Saurabh"/>
    <x v="0"/>
    <n v="13266"/>
    <s v="DISC30"/>
    <n v="0.3"/>
    <n v="13000"/>
    <d v="2024-02-14T00:00:00"/>
    <n v="30"/>
    <x v="106"/>
  </r>
  <r>
    <s v="Karan Singh"/>
    <x v="3"/>
    <x v="3"/>
    <s v="B1"/>
    <s v="Saurabh"/>
    <x v="1"/>
    <n v="8164"/>
    <m/>
    <m/>
    <n v="9000"/>
    <d v="2024-01-31T00:00:00"/>
    <n v="0"/>
    <x v="107"/>
  </r>
  <r>
    <s v="Neha Jain"/>
    <x v="2"/>
    <x v="2"/>
    <s v="B1"/>
    <s v="Priya"/>
    <x v="2"/>
    <n v="11467"/>
    <s v="DISC10"/>
    <n v="0.1"/>
    <n v="13000"/>
    <d v="2024-01-26T00:00:00"/>
    <n v="10"/>
    <x v="108"/>
  </r>
  <r>
    <s v="Neha Shah"/>
    <x v="0"/>
    <x v="0"/>
    <s v="B1"/>
    <s v="Saurabh"/>
    <x v="1"/>
    <n v="15887"/>
    <s v="DISC30"/>
    <n v="0.3"/>
    <n v="14000"/>
    <d v="2024-01-06T00:00:00"/>
    <n v="30"/>
    <x v="109"/>
  </r>
  <r>
    <s v="Sneha Shah"/>
    <x v="3"/>
    <x v="3"/>
    <s v="B3"/>
    <s v="Amit"/>
    <x v="1"/>
    <n v="7924"/>
    <s v="DISC15"/>
    <m/>
    <n v="9000"/>
    <d v="2024-01-25T00:00:00"/>
    <n v="15"/>
    <x v="110"/>
  </r>
  <r>
    <s v="Neha Iyer"/>
    <x v="1"/>
    <x v="1"/>
    <s v="B3"/>
    <s v="Priya"/>
    <x v="2"/>
    <n v="17329"/>
    <s v="DISC15"/>
    <m/>
    <n v="17000"/>
    <d v="2024-01-04T00:00:00"/>
    <n v="15"/>
    <x v="111"/>
  </r>
  <r>
    <s v="Kavita Desai"/>
    <x v="0"/>
    <x v="0"/>
    <s v="B1"/>
    <s v="Amit"/>
    <x v="0"/>
    <n v="13083"/>
    <s v="DISC10"/>
    <n v="0.1"/>
    <n v="14000"/>
    <d v="2024-01-11T00:00:00"/>
    <n v="10"/>
    <x v="112"/>
  </r>
  <r>
    <s v="Sneha Mehta"/>
    <x v="0"/>
    <x v="0"/>
    <s v="B1"/>
    <s v="Saurabh"/>
    <x v="2"/>
    <n v="13845"/>
    <s v="DISC15"/>
    <m/>
    <n v="14000"/>
    <d v="2024-01-31T00:00:00"/>
    <n v="15"/>
    <x v="113"/>
  </r>
  <r>
    <s v="Aditya Kulkarni"/>
    <x v="2"/>
    <x v="2"/>
    <s v="B2"/>
    <s v="Amit"/>
    <x v="2"/>
    <n v="13879"/>
    <m/>
    <m/>
    <n v="13000"/>
    <d v="2024-01-05T00:00:00"/>
    <n v="0"/>
    <x v="114"/>
  </r>
  <r>
    <s v="Rohit Patil"/>
    <x v="1"/>
    <x v="1"/>
    <s v="B3"/>
    <s v="Amit"/>
    <x v="1"/>
    <n v="18292"/>
    <s v="DISC20"/>
    <n v="0.2"/>
    <n v="17000"/>
    <d v="2024-01-28T00:00:00"/>
    <n v="20"/>
    <x v="115"/>
  </r>
  <r>
    <s v="Riya Gupta"/>
    <x v="2"/>
    <x v="2"/>
    <s v="B3"/>
    <s v="Saurabh"/>
    <x v="2"/>
    <n v="14385"/>
    <s v="DISC20"/>
    <n v="0.2"/>
    <n v="13000"/>
    <d v="2024-01-05T00:00:00"/>
    <n v="20"/>
    <x v="116"/>
  </r>
  <r>
    <s v="Aarav Mehta"/>
    <x v="1"/>
    <x v="1"/>
    <s v="B3"/>
    <s v="Amit"/>
    <x v="1"/>
    <n v="18773"/>
    <s v="DISC30"/>
    <n v="0.3"/>
    <n v="17000"/>
    <d v="2024-01-29T00:00:00"/>
    <n v="30"/>
    <x v="117"/>
  </r>
  <r>
    <s v="Riya Iyer"/>
    <x v="1"/>
    <x v="1"/>
    <s v="B3"/>
    <s v="Priya"/>
    <x v="2"/>
    <n v="17049"/>
    <s v="DISC15"/>
    <m/>
    <n v="17000"/>
    <d v="2024-02-01T00:00:00"/>
    <n v="15"/>
    <x v="118"/>
  </r>
  <r>
    <s v="Neha Shah"/>
    <x v="0"/>
    <x v="0"/>
    <s v="B2"/>
    <s v="Amit"/>
    <x v="2"/>
    <n v="14472"/>
    <s v="DISC30"/>
    <n v="0.3"/>
    <n v="14000"/>
    <d v="2024-01-02T00:00:00"/>
    <n v="30"/>
    <x v="119"/>
  </r>
  <r>
    <s v="Riya Patil"/>
    <x v="0"/>
    <x v="0"/>
    <s v="B3"/>
    <s v="Priya"/>
    <x v="1"/>
    <n v="12164"/>
    <s v="DISC20"/>
    <n v="0.2"/>
    <n v="14000"/>
    <d v="2024-01-31T00:00:00"/>
    <n v="20"/>
    <x v="120"/>
  </r>
  <r>
    <s v="Manish Singh"/>
    <x v="3"/>
    <x v="3"/>
    <s v="B2"/>
    <s v="Saurabh"/>
    <x v="1"/>
    <n v="8785"/>
    <m/>
    <m/>
    <n v="9000"/>
    <d v="2024-01-06T00:00:00"/>
    <n v="0"/>
    <x v="121"/>
  </r>
  <r>
    <s v="Neha Jain"/>
    <x v="3"/>
    <x v="3"/>
    <s v="B2"/>
    <s v="Priya"/>
    <x v="1"/>
    <n v="7428"/>
    <s v="DISC20"/>
    <n v="0.2"/>
    <n v="9000"/>
    <d v="2024-01-22T00:00:00"/>
    <n v="20"/>
    <x v="122"/>
  </r>
  <r>
    <s v="Rahul Desai"/>
    <x v="3"/>
    <x v="3"/>
    <s v="B2"/>
    <s v="Amit"/>
    <x v="2"/>
    <n v="10332"/>
    <s v="DISC15"/>
    <m/>
    <n v="9000"/>
    <d v="2024-01-03T00:00:00"/>
    <n v="15"/>
    <x v="123"/>
  </r>
  <r>
    <s v="Neha Shah"/>
    <x v="1"/>
    <x v="1"/>
    <s v="B2"/>
    <s v="Priya"/>
    <x v="0"/>
    <n v="18973"/>
    <m/>
    <m/>
    <n v="17000"/>
    <d v="2024-02-25T00:00:00"/>
    <n v="0"/>
    <x v="124"/>
  </r>
  <r>
    <s v="Manish Nair"/>
    <x v="0"/>
    <x v="0"/>
    <s v="B3"/>
    <s v="Amit"/>
    <x v="2"/>
    <n v="13692"/>
    <s v="DISC10"/>
    <n v="0.1"/>
    <n v="14000"/>
    <d v="2024-01-13T00:00:00"/>
    <n v="10"/>
    <x v="125"/>
  </r>
  <r>
    <s v="Manish Jain"/>
    <x v="3"/>
    <x v="3"/>
    <s v="B3"/>
    <s v="Priya"/>
    <x v="0"/>
    <n v="7833"/>
    <s v="DISC30"/>
    <n v="0.3"/>
    <n v="9000"/>
    <d v="2024-02-05T00:00:00"/>
    <n v="30"/>
    <x v="126"/>
  </r>
  <r>
    <s v="Karan Rao"/>
    <x v="3"/>
    <x v="3"/>
    <s v="B3"/>
    <s v="Priya"/>
    <x v="0"/>
    <n v="7118"/>
    <s v="DISC15"/>
    <m/>
    <n v="9000"/>
    <d v="2024-02-21T00:00:00"/>
    <n v="15"/>
    <x v="127"/>
  </r>
  <r>
    <s v="Sneha Desai"/>
    <x v="2"/>
    <x v="2"/>
    <s v="B2"/>
    <s v="Amit"/>
    <x v="0"/>
    <n v="13262"/>
    <m/>
    <m/>
    <n v="13000"/>
    <d v="2024-01-06T00:00:00"/>
    <n v="0"/>
    <x v="128"/>
  </r>
  <r>
    <s v="Sneha Nair"/>
    <x v="0"/>
    <x v="0"/>
    <s v="B2"/>
    <s v="Saurabh"/>
    <x v="1"/>
    <n v="15408"/>
    <s v="DISC20"/>
    <n v="0.2"/>
    <n v="14000"/>
    <d v="2024-02-01T00:00:00"/>
    <n v="20"/>
    <x v="129"/>
  </r>
  <r>
    <s v="Kunal Desai"/>
    <x v="1"/>
    <x v="1"/>
    <s v="B3"/>
    <s v="Amit"/>
    <x v="2"/>
    <n v="16701"/>
    <m/>
    <m/>
    <n v="17000"/>
    <d v="2024-01-31T00:00:00"/>
    <n v="0"/>
    <x v="130"/>
  </r>
  <r>
    <s v="Sneha Iyer"/>
    <x v="2"/>
    <x v="2"/>
    <s v="B2"/>
    <s v="Saurabh"/>
    <x v="1"/>
    <n v="13081"/>
    <s v="DISC20"/>
    <n v="0.2"/>
    <n v="13000"/>
    <d v="2024-02-25T00:00:00"/>
    <n v="20"/>
    <x v="131"/>
  </r>
  <r>
    <s v="Riya Rao"/>
    <x v="3"/>
    <x v="3"/>
    <s v="B2"/>
    <s v="Amit"/>
    <x v="2"/>
    <n v="10360"/>
    <s v="DISC10"/>
    <n v="0.1"/>
    <n v="9000"/>
    <d v="2024-01-19T00:00:00"/>
    <n v="10"/>
    <x v="132"/>
  </r>
  <r>
    <s v="Anjali Rao"/>
    <x v="3"/>
    <x v="3"/>
    <s v="B1"/>
    <s v="Priya"/>
    <x v="1"/>
    <n v="8983"/>
    <s v="DISC30"/>
    <n v="0.3"/>
    <n v="9000"/>
    <d v="2024-01-22T00:00:00"/>
    <n v="30"/>
    <x v="133"/>
  </r>
  <r>
    <s v="Manish Patel"/>
    <x v="3"/>
    <x v="3"/>
    <s v="B2"/>
    <s v="Priya"/>
    <x v="0"/>
    <n v="9856"/>
    <s v="DISC20"/>
    <n v="0.2"/>
    <n v="9000"/>
    <d v="2024-02-06T00:00:00"/>
    <n v="20"/>
    <x v="134"/>
  </r>
  <r>
    <s v="Rahul Patil"/>
    <x v="3"/>
    <x v="3"/>
    <s v="B1"/>
    <s v="Priya"/>
    <x v="1"/>
    <n v="8937"/>
    <m/>
    <m/>
    <n v="9000"/>
    <d v="2024-01-25T00:00:00"/>
    <n v="0"/>
    <x v="135"/>
  </r>
  <r>
    <s v="Rohit Patel"/>
    <x v="2"/>
    <x v="2"/>
    <s v="B2"/>
    <s v="Saurabh"/>
    <x v="0"/>
    <n v="13057"/>
    <s v="DISC15"/>
    <m/>
    <n v="13000"/>
    <d v="2024-01-22T00:00:00"/>
    <n v="15"/>
    <x v="136"/>
  </r>
  <r>
    <s v="Meera Shah"/>
    <x v="3"/>
    <x v="3"/>
    <s v="B1"/>
    <s v="Amit"/>
    <x v="2"/>
    <n v="7062"/>
    <s v="DISC20"/>
    <n v="0.2"/>
    <n v="9000"/>
    <d v="2024-01-27T00:00:00"/>
    <n v="20"/>
    <x v="137"/>
  </r>
  <r>
    <s v="Meera Singh"/>
    <x v="2"/>
    <x v="2"/>
    <s v="B1"/>
    <s v="Priya"/>
    <x v="2"/>
    <n v="12386"/>
    <s v="DISC15"/>
    <m/>
    <n v="13000"/>
    <d v="2024-02-14T00:00:00"/>
    <n v="15"/>
    <x v="138"/>
  </r>
  <r>
    <s v="Rahul Singh"/>
    <x v="0"/>
    <x v="0"/>
    <s v="B2"/>
    <s v="Amit"/>
    <x v="1"/>
    <n v="13556"/>
    <s v="DISC30"/>
    <n v="0.3"/>
    <n v="14000"/>
    <d v="2024-02-10T00:00:00"/>
    <n v="30"/>
    <x v="139"/>
  </r>
  <r>
    <s v="Anjali Patel"/>
    <x v="3"/>
    <x v="3"/>
    <s v="B3"/>
    <s v="Saurabh"/>
    <x v="1"/>
    <n v="7280"/>
    <s v="DISC20"/>
    <n v="0.2"/>
    <n v="9000"/>
    <d v="2024-02-10T00:00:00"/>
    <n v="20"/>
    <x v="140"/>
  </r>
  <r>
    <s v="Rohit Rao"/>
    <x v="2"/>
    <x v="2"/>
    <s v="B3"/>
    <s v="Saurabh"/>
    <x v="2"/>
    <n v="11403"/>
    <s v="DISC10"/>
    <n v="0.1"/>
    <n v="13000"/>
    <d v="2024-01-29T00:00:00"/>
    <n v="10"/>
    <x v="141"/>
  </r>
  <r>
    <s v="Karan Desai"/>
    <x v="1"/>
    <x v="1"/>
    <s v="B1"/>
    <s v="Saurabh"/>
    <x v="2"/>
    <n v="18261"/>
    <s v="DISC10"/>
    <n v="0.1"/>
    <n v="17000"/>
    <d v="2024-01-19T00:00:00"/>
    <n v="10"/>
    <x v="142"/>
  </r>
  <r>
    <s v="Pooja Jain"/>
    <x v="3"/>
    <x v="3"/>
    <s v="B1"/>
    <s v="Saurabh"/>
    <x v="1"/>
    <n v="8687"/>
    <s v="DISC15"/>
    <m/>
    <n v="9000"/>
    <d v="2024-02-13T00:00:00"/>
    <n v="15"/>
    <x v="143"/>
  </r>
  <r>
    <s v="Dev Mehta"/>
    <x v="2"/>
    <x v="2"/>
    <s v="B1"/>
    <s v="Saurabh"/>
    <x v="1"/>
    <n v="14566"/>
    <m/>
    <m/>
    <n v="13000"/>
    <d v="2024-02-09T00:00:00"/>
    <n v="0"/>
    <x v="144"/>
  </r>
  <r>
    <s v="Rohit Patil"/>
    <x v="3"/>
    <x v="3"/>
    <s v="B3"/>
    <s v="Saurabh"/>
    <x v="0"/>
    <n v="8888"/>
    <s v="DISC30"/>
    <n v="0.3"/>
    <n v="9000"/>
    <d v="2024-01-30T00:00:00"/>
    <n v="30"/>
    <x v="145"/>
  </r>
  <r>
    <s v="Aditya Singh"/>
    <x v="0"/>
    <x v="0"/>
    <s v="B2"/>
    <s v="Priya"/>
    <x v="1"/>
    <n v="14238"/>
    <s v="DISC20"/>
    <n v="0.2"/>
    <n v="14000"/>
    <d v="2024-01-05T00:00:00"/>
    <n v="20"/>
    <x v="146"/>
  </r>
  <r>
    <s v="Neha Jain"/>
    <x v="1"/>
    <x v="1"/>
    <s v="B3"/>
    <s v="Priya"/>
    <x v="1"/>
    <n v="16024"/>
    <m/>
    <m/>
    <n v="17000"/>
    <d v="2024-02-24T00:00:00"/>
    <n v="0"/>
    <x v="147"/>
  </r>
  <r>
    <s v="Aditya Patil"/>
    <x v="3"/>
    <x v="3"/>
    <s v="B2"/>
    <s v="Saurabh"/>
    <x v="0"/>
    <n v="8562"/>
    <s v="DISC15"/>
    <m/>
    <n v="9000"/>
    <d v="2024-01-23T00:00:00"/>
    <n v="15"/>
    <x v="148"/>
  </r>
  <r>
    <s v="Kavita Rao"/>
    <x v="1"/>
    <x v="1"/>
    <s v="B1"/>
    <s v="Amit"/>
    <x v="2"/>
    <n v="16124"/>
    <s v="DISC10"/>
    <n v="0.1"/>
    <n v="17000"/>
    <d v="2024-02-06T00:00:00"/>
    <n v="10"/>
    <x v="149"/>
  </r>
  <r>
    <s v="Meera Singh"/>
    <x v="0"/>
    <x v="0"/>
    <s v="B3"/>
    <s v="Amit"/>
    <x v="2"/>
    <n v="15411"/>
    <s v="DISC30"/>
    <n v="0.3"/>
    <n v="14000"/>
    <d v="2024-02-19T00:00:00"/>
    <n v="30"/>
    <x v="150"/>
  </r>
  <r>
    <s v="Dev Patil"/>
    <x v="1"/>
    <x v="1"/>
    <s v="B1"/>
    <s v="Amit"/>
    <x v="0"/>
    <n v="17543"/>
    <s v="DISC30"/>
    <n v="0.3"/>
    <n v="17000"/>
    <d v="2024-02-13T00:00:00"/>
    <n v="30"/>
    <x v="151"/>
  </r>
  <r>
    <s v="Dev Desai"/>
    <x v="2"/>
    <x v="2"/>
    <s v="B3"/>
    <s v="Saurabh"/>
    <x v="1"/>
    <n v="13647"/>
    <s v="DISC10"/>
    <n v="0.1"/>
    <n v="13000"/>
    <d v="2024-01-20T00:00:00"/>
    <n v="10"/>
    <x v="152"/>
  </r>
  <r>
    <s v="Dev Iyer"/>
    <x v="0"/>
    <x v="0"/>
    <s v="B3"/>
    <s v="Priya"/>
    <x v="1"/>
    <n v="12538"/>
    <s v="DISC10"/>
    <n v="0.1"/>
    <n v="14000"/>
    <d v="2024-02-28T00:00:00"/>
    <n v="10"/>
    <x v="153"/>
  </r>
  <r>
    <s v="Aditya Jain"/>
    <x v="3"/>
    <x v="3"/>
    <s v="B1"/>
    <s v="Saurabh"/>
    <x v="0"/>
    <n v="10221"/>
    <s v="DISC15"/>
    <m/>
    <n v="9000"/>
    <d v="2024-02-26T00:00:00"/>
    <n v="15"/>
    <x v="154"/>
  </r>
  <r>
    <s v="Pooja Gupta"/>
    <x v="1"/>
    <x v="1"/>
    <s v="B1"/>
    <s v="Priya"/>
    <x v="2"/>
    <n v="18962"/>
    <s v="DISC30"/>
    <n v="0.3"/>
    <n v="17000"/>
    <d v="2024-02-17T00:00:00"/>
    <n v="30"/>
    <x v="155"/>
  </r>
  <r>
    <s v="Meera Jain"/>
    <x v="0"/>
    <x v="0"/>
    <s v="B2"/>
    <s v="Saurabh"/>
    <x v="0"/>
    <n v="15089"/>
    <s v="DISC20"/>
    <n v="0.2"/>
    <n v="14000"/>
    <d v="2024-02-25T00:00:00"/>
    <n v="20"/>
    <x v="156"/>
  </r>
  <r>
    <s v="Rohit Desai"/>
    <x v="3"/>
    <x v="3"/>
    <s v="B3"/>
    <s v="Priya"/>
    <x v="0"/>
    <n v="10238"/>
    <m/>
    <m/>
    <n v="9000"/>
    <d v="2024-01-01T00:00:00"/>
    <n v="0"/>
    <x v="157"/>
  </r>
  <r>
    <s v="Aditya Gupta"/>
    <x v="0"/>
    <x v="0"/>
    <s v="B2"/>
    <s v="Priya"/>
    <x v="1"/>
    <n v="15067"/>
    <s v="DISC30"/>
    <n v="0.3"/>
    <n v="14000"/>
    <d v="2024-02-07T00:00:00"/>
    <n v="30"/>
    <x v="158"/>
  </r>
  <r>
    <s v="Rahul Nair"/>
    <x v="1"/>
    <x v="1"/>
    <s v="B1"/>
    <s v="Amit"/>
    <x v="0"/>
    <n v="16931"/>
    <s v="DISC10"/>
    <n v="0.1"/>
    <n v="17000"/>
    <d v="2024-02-09T00:00:00"/>
    <n v="10"/>
    <x v="159"/>
  </r>
  <r>
    <s v="Kunal Gupta"/>
    <x v="1"/>
    <x v="1"/>
    <s v="B3"/>
    <s v="Saurabh"/>
    <x v="1"/>
    <n v="15258"/>
    <m/>
    <m/>
    <n v="17000"/>
    <d v="2024-02-28T00:00:00"/>
    <n v="0"/>
    <x v="160"/>
  </r>
  <r>
    <s v="Anjali Rao"/>
    <x v="3"/>
    <x v="3"/>
    <s v="B1"/>
    <s v="Saurabh"/>
    <x v="0"/>
    <n v="10875"/>
    <s v="DISC10"/>
    <n v="0.1"/>
    <n v="9000"/>
    <d v="2024-01-20T00:00:00"/>
    <n v="10"/>
    <x v="161"/>
  </r>
  <r>
    <s v="Neha Shah"/>
    <x v="0"/>
    <x v="0"/>
    <s v="B1"/>
    <s v="Amit"/>
    <x v="0"/>
    <n v="13591"/>
    <m/>
    <m/>
    <n v="14000"/>
    <d v="2024-01-24T00:00:00"/>
    <n v="0"/>
    <x v="162"/>
  </r>
  <r>
    <s v="Rohit Desai"/>
    <x v="3"/>
    <x v="3"/>
    <s v="B3"/>
    <s v="Amit"/>
    <x v="1"/>
    <n v="7632"/>
    <m/>
    <m/>
    <n v="9000"/>
    <d v="2024-02-11T00:00:00"/>
    <n v="0"/>
    <x v="163"/>
  </r>
  <r>
    <s v="Riya Nair"/>
    <x v="3"/>
    <x v="3"/>
    <s v="B3"/>
    <s v="Priya"/>
    <x v="2"/>
    <n v="7134"/>
    <s v="DISC30"/>
    <n v="0.3"/>
    <n v="9000"/>
    <d v="2024-01-14T00:00:00"/>
    <n v="30"/>
    <x v="164"/>
  </r>
  <r>
    <s v="Neha Iyer"/>
    <x v="2"/>
    <x v="2"/>
    <s v="B2"/>
    <s v="Saurabh"/>
    <x v="1"/>
    <n v="12504"/>
    <s v="DISC15"/>
    <m/>
    <n v="13000"/>
    <d v="2024-02-27T00:00:00"/>
    <n v="15"/>
    <x v="165"/>
  </r>
  <r>
    <s v="Rohit Jain"/>
    <x v="0"/>
    <x v="0"/>
    <s v="B2"/>
    <s v="Priya"/>
    <x v="0"/>
    <n v="15965"/>
    <s v="DISC10"/>
    <n v="0.1"/>
    <n v="14000"/>
    <d v="2024-03-01T00:00:00"/>
    <n v="10"/>
    <x v="166"/>
  </r>
  <r>
    <s v="Meera Nair"/>
    <x v="3"/>
    <x v="3"/>
    <s v="B1"/>
    <s v="Amit"/>
    <x v="0"/>
    <n v="9628"/>
    <s v="DISC15"/>
    <m/>
    <n v="9000"/>
    <d v="2024-01-02T00:00:00"/>
    <n v="15"/>
    <x v="167"/>
  </r>
  <r>
    <s v="Aarav Patel"/>
    <x v="1"/>
    <x v="1"/>
    <s v="B1"/>
    <s v="Saurabh"/>
    <x v="1"/>
    <n v="15840"/>
    <s v="DISC10"/>
    <n v="0.1"/>
    <n v="17000"/>
    <d v="2024-02-23T00:00:00"/>
    <n v="10"/>
    <x v="168"/>
  </r>
  <r>
    <s v="Dev Gupta"/>
    <x v="2"/>
    <x v="2"/>
    <s v="B3"/>
    <s v="Saurabh"/>
    <x v="0"/>
    <n v="12345"/>
    <s v="DISC20"/>
    <n v="0.2"/>
    <n v="13000"/>
    <d v="2024-02-20T00:00:00"/>
    <n v="20"/>
    <x v="169"/>
  </r>
  <r>
    <s v="Kunal Joshi"/>
    <x v="0"/>
    <x v="0"/>
    <s v="B2"/>
    <s v="Saurabh"/>
    <x v="0"/>
    <n v="14212"/>
    <s v="DISC30"/>
    <n v="0.3"/>
    <n v="14000"/>
    <d v="2024-02-21T00:00:00"/>
    <n v="30"/>
    <x v="170"/>
  </r>
  <r>
    <s v="Karan Shah"/>
    <x v="0"/>
    <x v="0"/>
    <s v="B1"/>
    <s v="Saurabh"/>
    <x v="2"/>
    <n v="15235"/>
    <s v="DISC20"/>
    <n v="0.2"/>
    <n v="14000"/>
    <d v="2024-02-07T00:00:00"/>
    <n v="20"/>
    <x v="171"/>
  </r>
  <r>
    <s v="Pooja Kulkarni"/>
    <x v="2"/>
    <x v="2"/>
    <s v="B2"/>
    <s v="Saurabh"/>
    <x v="0"/>
    <n v="14038"/>
    <m/>
    <m/>
    <n v="13000"/>
    <d v="2024-02-03T00:00:00"/>
    <n v="0"/>
    <x v="172"/>
  </r>
  <r>
    <s v="Riya Desai"/>
    <x v="0"/>
    <x v="0"/>
    <s v="B2"/>
    <s v="Priya"/>
    <x v="2"/>
    <n v="14102"/>
    <s v="DISC15"/>
    <m/>
    <n v="14000"/>
    <d v="2024-01-07T00:00:00"/>
    <n v="15"/>
    <x v="173"/>
  </r>
  <r>
    <s v="Neha Gupta"/>
    <x v="2"/>
    <x v="2"/>
    <s v="B3"/>
    <s v="Saurabh"/>
    <x v="1"/>
    <n v="14208"/>
    <s v="DISC15"/>
    <m/>
    <n v="13000"/>
    <d v="2024-01-20T00:00:00"/>
    <n v="15"/>
    <x v="174"/>
  </r>
  <r>
    <s v="Neha Singh"/>
    <x v="0"/>
    <x v="0"/>
    <s v="B1"/>
    <s v="Priya"/>
    <x v="2"/>
    <n v="13746"/>
    <s v="DISC10"/>
    <n v="0.1"/>
    <n v="14000"/>
    <d v="2024-02-01T00:00:00"/>
    <n v="10"/>
    <x v="175"/>
  </r>
  <r>
    <s v="Anjali Iyer"/>
    <x v="0"/>
    <x v="0"/>
    <s v="B1"/>
    <s v="Priya"/>
    <x v="1"/>
    <n v="12607"/>
    <s v="DISC10"/>
    <n v="0.1"/>
    <n v="14000"/>
    <d v="2024-01-09T00:00:00"/>
    <n v="10"/>
    <x v="176"/>
  </r>
  <r>
    <s v="Aditya Joshi"/>
    <x v="1"/>
    <x v="1"/>
    <s v="B2"/>
    <s v="Amit"/>
    <x v="1"/>
    <n v="16207"/>
    <m/>
    <m/>
    <n v="17000"/>
    <d v="2024-02-02T00:00:00"/>
    <n v="0"/>
    <x v="177"/>
  </r>
  <r>
    <s v="Kavita Verma"/>
    <x v="0"/>
    <x v="0"/>
    <s v="B3"/>
    <s v="Saurabh"/>
    <x v="1"/>
    <n v="14666"/>
    <s v="DISC15"/>
    <m/>
    <n v="14000"/>
    <d v="2024-02-16T00:00:00"/>
    <n v="15"/>
    <x v="178"/>
  </r>
  <r>
    <s v="Meera Patil"/>
    <x v="3"/>
    <x v="3"/>
    <s v="B2"/>
    <s v="Saurabh"/>
    <x v="2"/>
    <n v="8388"/>
    <m/>
    <m/>
    <n v="9000"/>
    <d v="2024-01-26T00:00:00"/>
    <n v="0"/>
    <x v="179"/>
  </r>
  <r>
    <s v="Rahul Desai"/>
    <x v="0"/>
    <x v="0"/>
    <s v="B2"/>
    <s v="Priya"/>
    <x v="2"/>
    <n v="14724"/>
    <s v="DISC30"/>
    <n v="0.3"/>
    <n v="14000"/>
    <d v="2024-01-24T00:00:00"/>
    <n v="30"/>
    <x v="180"/>
  </r>
  <r>
    <s v="Karan Singh"/>
    <x v="3"/>
    <x v="3"/>
    <s v="B1"/>
    <s v="Saurabh"/>
    <x v="0"/>
    <n v="7381"/>
    <m/>
    <m/>
    <n v="9000"/>
    <d v="2024-01-07T00:00:00"/>
    <n v="0"/>
    <x v="181"/>
  </r>
  <r>
    <s v="Anjali Desai"/>
    <x v="1"/>
    <x v="1"/>
    <s v="B1"/>
    <s v="Amit"/>
    <x v="0"/>
    <n v="17402"/>
    <s v="DISC15"/>
    <m/>
    <n v="17000"/>
    <d v="2024-02-05T00:00:00"/>
    <n v="15"/>
    <x v="182"/>
  </r>
  <r>
    <s v="Pooja Singh"/>
    <x v="0"/>
    <x v="0"/>
    <s v="B2"/>
    <s v="Priya"/>
    <x v="1"/>
    <n v="15854"/>
    <m/>
    <m/>
    <n v="14000"/>
    <d v="2024-02-25T00:00:00"/>
    <n v="0"/>
    <x v="183"/>
  </r>
  <r>
    <s v="Kunal Desai"/>
    <x v="0"/>
    <x v="0"/>
    <s v="B2"/>
    <s v="Amit"/>
    <x v="2"/>
    <n v="13440"/>
    <s v="DISC10"/>
    <n v="0.1"/>
    <n v="14000"/>
    <d v="2024-02-06T00:00:00"/>
    <n v="10"/>
    <x v="184"/>
  </r>
  <r>
    <s v="Manish Patil"/>
    <x v="2"/>
    <x v="2"/>
    <s v="B3"/>
    <s v="Priya"/>
    <x v="0"/>
    <n v="14470"/>
    <s v="DISC10"/>
    <n v="0.1"/>
    <n v="13000"/>
    <d v="2024-01-23T00:00:00"/>
    <n v="10"/>
    <x v="185"/>
  </r>
  <r>
    <s v="Meera Gupta"/>
    <x v="1"/>
    <x v="1"/>
    <s v="B1"/>
    <s v="Priya"/>
    <x v="1"/>
    <n v="15926"/>
    <m/>
    <m/>
    <n v="17000"/>
    <d v="2024-02-24T00:00:00"/>
    <n v="0"/>
    <x v="186"/>
  </r>
  <r>
    <s v="Manish Patel"/>
    <x v="0"/>
    <x v="0"/>
    <s v="B3"/>
    <s v="Amit"/>
    <x v="1"/>
    <n v="13095"/>
    <s v="DISC10"/>
    <n v="0.1"/>
    <n v="14000"/>
    <d v="2024-01-12T00:00:00"/>
    <n v="10"/>
    <x v="187"/>
  </r>
  <r>
    <s v="Aditya Desai"/>
    <x v="1"/>
    <x v="1"/>
    <s v="B2"/>
    <s v="Priya"/>
    <x v="0"/>
    <n v="15743"/>
    <s v="DISC20"/>
    <n v="0.2"/>
    <n v="17000"/>
    <d v="2024-02-06T00:00:00"/>
    <n v="20"/>
    <x v="188"/>
  </r>
  <r>
    <s v="Rohit Verma"/>
    <x v="0"/>
    <x v="0"/>
    <s v="B1"/>
    <s v="Amit"/>
    <x v="1"/>
    <n v="15980"/>
    <s v="DISC10"/>
    <n v="0.1"/>
    <n v="14000"/>
    <d v="2024-01-06T00:00:00"/>
    <n v="10"/>
    <x v="189"/>
  </r>
  <r>
    <s v="Anjali Gupta"/>
    <x v="2"/>
    <x v="2"/>
    <s v="B2"/>
    <s v="Priya"/>
    <x v="2"/>
    <n v="12396"/>
    <s v="DISC20"/>
    <n v="0.2"/>
    <n v="13000"/>
    <d v="2024-01-24T00:00:00"/>
    <n v="20"/>
    <x v="190"/>
  </r>
  <r>
    <s v="Aditya Desai"/>
    <x v="1"/>
    <x v="1"/>
    <s v="B3"/>
    <s v="Amit"/>
    <x v="0"/>
    <n v="18618"/>
    <s v="DISC10"/>
    <n v="0.1"/>
    <n v="17000"/>
    <d v="2024-01-10T00:00:00"/>
    <n v="10"/>
    <x v="191"/>
  </r>
  <r>
    <s v="Karan Patel"/>
    <x v="0"/>
    <x v="0"/>
    <s v="B3"/>
    <s v="Saurabh"/>
    <x v="2"/>
    <n v="13814"/>
    <m/>
    <m/>
    <n v="14000"/>
    <d v="2024-02-01T00:00:00"/>
    <n v="0"/>
    <x v="192"/>
  </r>
  <r>
    <s v="Kavita Iyer"/>
    <x v="3"/>
    <x v="3"/>
    <s v="B2"/>
    <s v="Saurabh"/>
    <x v="1"/>
    <n v="7466"/>
    <s v="DISC30"/>
    <n v="0.3"/>
    <n v="9000"/>
    <d v="2024-01-28T00:00:00"/>
    <n v="30"/>
    <x v="193"/>
  </r>
  <r>
    <s v="Riya Rao"/>
    <x v="3"/>
    <x v="3"/>
    <s v="B3"/>
    <s v="Amit"/>
    <x v="2"/>
    <n v="7186"/>
    <s v="DISC20"/>
    <n v="0.2"/>
    <n v="9000"/>
    <d v="2024-01-26T00:00:00"/>
    <n v="20"/>
    <x v="194"/>
  </r>
  <r>
    <s v="Kavita Kulkarni"/>
    <x v="0"/>
    <x v="0"/>
    <s v="B1"/>
    <s v="Priya"/>
    <x v="0"/>
    <n v="15143"/>
    <s v="DISC20"/>
    <n v="0.2"/>
    <n v="14000"/>
    <d v="2024-02-18T00:00:00"/>
    <n v="20"/>
    <x v="195"/>
  </r>
  <r>
    <s v="Aditya Rao"/>
    <x v="1"/>
    <x v="1"/>
    <s v="B1"/>
    <s v="Saurabh"/>
    <x v="2"/>
    <n v="18059"/>
    <m/>
    <m/>
    <n v="17000"/>
    <d v="2024-01-12T00:00:00"/>
    <n v="0"/>
    <x v="196"/>
  </r>
  <r>
    <s v="Karan Verma"/>
    <x v="2"/>
    <x v="2"/>
    <s v="B3"/>
    <s v="Amit"/>
    <x v="1"/>
    <n v="14302"/>
    <s v="DISC30"/>
    <n v="0.3"/>
    <n v="13000"/>
    <d v="2024-01-05T00:00:00"/>
    <n v="30"/>
    <x v="197"/>
  </r>
  <r>
    <s v="Rahul Nair"/>
    <x v="0"/>
    <x v="0"/>
    <s v="B2"/>
    <s v="Saurabh"/>
    <x v="2"/>
    <n v="15773"/>
    <s v="DISC10"/>
    <n v="0.1"/>
    <n v="14000"/>
    <d v="2024-02-25T00:00:00"/>
    <n v="10"/>
    <x v="198"/>
  </r>
  <r>
    <s v="Pooja Joshi"/>
    <x v="3"/>
    <x v="3"/>
    <s v="B3"/>
    <s v="Priya"/>
    <x v="1"/>
    <n v="9622"/>
    <m/>
    <m/>
    <n v="9000"/>
    <d v="2024-01-19T00:00:00"/>
    <n v="0"/>
    <x v="199"/>
  </r>
  <r>
    <s v="Riya Verma"/>
    <x v="0"/>
    <x v="0"/>
    <s v="B2"/>
    <s v="Saurabh"/>
    <x v="1"/>
    <n v="13884"/>
    <s v="DISC30"/>
    <n v="0.3"/>
    <n v="14000"/>
    <d v="2024-01-06T00:00:00"/>
    <n v="30"/>
    <x v="200"/>
  </r>
  <r>
    <s v="Rahul Nair"/>
    <x v="0"/>
    <x v="0"/>
    <s v="B1"/>
    <s v="Priya"/>
    <x v="1"/>
    <n v="13640"/>
    <s v="DISC15"/>
    <m/>
    <n v="14000"/>
    <d v="2024-01-06T00:00:00"/>
    <n v="15"/>
    <x v="201"/>
  </r>
  <r>
    <s v="Rahul Nair"/>
    <x v="1"/>
    <x v="1"/>
    <s v="B3"/>
    <s v="Priya"/>
    <x v="0"/>
    <n v="16364"/>
    <s v="DISC20"/>
    <n v="0.2"/>
    <n v="17000"/>
    <d v="2024-01-05T00:00:00"/>
    <n v="20"/>
    <x v="202"/>
  </r>
  <r>
    <s v="Manish Singh"/>
    <x v="0"/>
    <x v="0"/>
    <s v="B3"/>
    <s v="Amit"/>
    <x v="0"/>
    <n v="15710"/>
    <s v="DISC30"/>
    <n v="0.3"/>
    <n v="14000"/>
    <d v="2024-01-23T00:00:00"/>
    <n v="30"/>
    <x v="203"/>
  </r>
  <r>
    <s v="Anjali Nair"/>
    <x v="2"/>
    <x v="2"/>
    <s v="B1"/>
    <s v="Saurabh"/>
    <x v="0"/>
    <n v="12048"/>
    <s v="DISC20"/>
    <n v="0.2"/>
    <n v="13000"/>
    <d v="2024-01-12T00:00:00"/>
    <n v="20"/>
    <x v="204"/>
  </r>
  <r>
    <s v="Kavita Mehta"/>
    <x v="0"/>
    <x v="0"/>
    <s v="B1"/>
    <s v="Amit"/>
    <x v="2"/>
    <n v="13900"/>
    <s v="DISC15"/>
    <m/>
    <n v="14000"/>
    <d v="2024-02-18T00:00:00"/>
    <n v="15"/>
    <x v="205"/>
  </r>
  <r>
    <s v="Kavita Iyer"/>
    <x v="1"/>
    <x v="1"/>
    <s v="B3"/>
    <s v="Priya"/>
    <x v="0"/>
    <n v="16801"/>
    <s v="DISC10"/>
    <n v="0.1"/>
    <n v="17000"/>
    <d v="2024-01-31T00:00:00"/>
    <n v="10"/>
    <x v="206"/>
  </r>
  <r>
    <s v="Neha Singh"/>
    <x v="1"/>
    <x v="1"/>
    <s v="B2"/>
    <s v="Amit"/>
    <x v="0"/>
    <n v="16441"/>
    <s v="DISC15"/>
    <m/>
    <n v="17000"/>
    <d v="2024-01-05T00:00:00"/>
    <n v="15"/>
    <x v="207"/>
  </r>
  <r>
    <s v="Aditya Iyer"/>
    <x v="3"/>
    <x v="3"/>
    <s v="B1"/>
    <s v="Saurabh"/>
    <x v="2"/>
    <n v="10406"/>
    <s v="DISC30"/>
    <n v="0.3"/>
    <n v="9000"/>
    <d v="2024-01-05T00:00:00"/>
    <n v="30"/>
    <x v="208"/>
  </r>
  <r>
    <s v="Rohit Nair"/>
    <x v="0"/>
    <x v="0"/>
    <s v="B3"/>
    <s v="Amit"/>
    <x v="1"/>
    <n v="13574"/>
    <m/>
    <m/>
    <n v="14000"/>
    <d v="2024-02-07T00:00:00"/>
    <n v="0"/>
    <x v="209"/>
  </r>
  <r>
    <s v="Manish Patel"/>
    <x v="0"/>
    <x v="0"/>
    <s v="B2"/>
    <s v="Amit"/>
    <x v="1"/>
    <n v="12771"/>
    <s v="DISC30"/>
    <n v="0.3"/>
    <n v="14000"/>
    <d v="2024-02-08T00:00:00"/>
    <n v="30"/>
    <x v="210"/>
  </r>
  <r>
    <s v="Neha Gupta"/>
    <x v="2"/>
    <x v="2"/>
    <s v="B1"/>
    <s v="Priya"/>
    <x v="0"/>
    <n v="14321"/>
    <s v="DISC30"/>
    <n v="0.3"/>
    <n v="13000"/>
    <d v="2024-02-15T00:00:00"/>
    <n v="30"/>
    <x v="211"/>
  </r>
  <r>
    <s v="Riya Gupta"/>
    <x v="2"/>
    <x v="2"/>
    <s v="B1"/>
    <s v="Saurabh"/>
    <x v="1"/>
    <n v="12793"/>
    <m/>
    <m/>
    <n v="13000"/>
    <d v="2024-02-03T00:00:00"/>
    <n v="0"/>
    <x v="212"/>
  </r>
  <r>
    <s v="Manish Joshi"/>
    <x v="2"/>
    <x v="2"/>
    <s v="B2"/>
    <s v="Priya"/>
    <x v="2"/>
    <n v="12586"/>
    <m/>
    <m/>
    <n v="13000"/>
    <d v="2024-02-19T00:00:00"/>
    <n v="0"/>
    <x v="213"/>
  </r>
  <r>
    <s v="Pooja Singh"/>
    <x v="0"/>
    <x v="0"/>
    <s v="B3"/>
    <s v="Amit"/>
    <x v="2"/>
    <n v="12269"/>
    <s v="DISC30"/>
    <n v="0.3"/>
    <n v="14000"/>
    <d v="2024-01-07T00:00:00"/>
    <n v="30"/>
    <x v="214"/>
  </r>
  <r>
    <s v="Manish Singh"/>
    <x v="3"/>
    <x v="3"/>
    <s v="B2"/>
    <s v="Priya"/>
    <x v="1"/>
    <n v="10488"/>
    <s v="DISC15"/>
    <m/>
    <n v="9000"/>
    <d v="2024-02-25T00:00:00"/>
    <n v="15"/>
    <x v="215"/>
  </r>
  <r>
    <s v="Karan Jain"/>
    <x v="0"/>
    <x v="0"/>
    <s v="B3"/>
    <s v="Amit"/>
    <x v="0"/>
    <n v="15754"/>
    <s v="DISC30"/>
    <n v="0.3"/>
    <n v="14000"/>
    <d v="2024-01-20T00:00:00"/>
    <n v="30"/>
    <x v="216"/>
  </r>
  <r>
    <s v="Rohit Desai"/>
    <x v="3"/>
    <x v="3"/>
    <s v="B1"/>
    <s v="Amit"/>
    <x v="1"/>
    <n v="10842"/>
    <s v="DISC10"/>
    <n v="0.1"/>
    <n v="9000"/>
    <d v="2024-01-20T00:00:00"/>
    <n v="10"/>
    <x v="217"/>
  </r>
  <r>
    <s v="Manish Verma"/>
    <x v="1"/>
    <x v="1"/>
    <s v="B1"/>
    <s v="Amit"/>
    <x v="1"/>
    <n v="18395"/>
    <s v="DISC15"/>
    <m/>
    <n v="17000"/>
    <d v="2024-01-06T00:00:00"/>
    <n v="15"/>
    <x v="218"/>
  </r>
  <r>
    <s v="Rohit Singh"/>
    <x v="3"/>
    <x v="3"/>
    <s v="B3"/>
    <s v="Priya"/>
    <x v="0"/>
    <n v="8485"/>
    <s v="DISC30"/>
    <n v="0.3"/>
    <n v="9000"/>
    <d v="2024-01-12T00:00:00"/>
    <n v="30"/>
    <x v="219"/>
  </r>
  <r>
    <s v="Sneha Jain"/>
    <x v="3"/>
    <x v="3"/>
    <s v="B1"/>
    <s v="Saurabh"/>
    <x v="0"/>
    <n v="7634"/>
    <s v="DISC10"/>
    <n v="0.1"/>
    <n v="9000"/>
    <d v="2024-01-19T00:00:00"/>
    <n v="10"/>
    <x v="220"/>
  </r>
  <r>
    <s v="Meera Patel"/>
    <x v="0"/>
    <x v="0"/>
    <s v="B3"/>
    <s v="Amit"/>
    <x v="1"/>
    <n v="15619"/>
    <s v="DISC15"/>
    <m/>
    <n v="14000"/>
    <d v="2024-01-03T00:00:00"/>
    <n v="15"/>
    <x v="221"/>
  </r>
  <r>
    <s v="Rohit Jain"/>
    <x v="2"/>
    <x v="2"/>
    <s v="B3"/>
    <s v="Priya"/>
    <x v="0"/>
    <n v="11664"/>
    <s v="DISC20"/>
    <n v="0.2"/>
    <n v="13000"/>
    <d v="2024-02-23T00:00:00"/>
    <n v="20"/>
    <x v="222"/>
  </r>
  <r>
    <s v="Anjali Patel"/>
    <x v="2"/>
    <x v="2"/>
    <s v="B3"/>
    <s v="Priya"/>
    <x v="0"/>
    <n v="12682"/>
    <s v="DISC30"/>
    <n v="0.3"/>
    <n v="13000"/>
    <d v="2024-02-13T00:00:00"/>
    <n v="30"/>
    <x v="223"/>
  </r>
  <r>
    <s v="Anjali Patil"/>
    <x v="3"/>
    <x v="3"/>
    <s v="B3"/>
    <s v="Priya"/>
    <x v="1"/>
    <n v="10210"/>
    <m/>
    <m/>
    <n v="9000"/>
    <d v="2024-01-15T00:00:00"/>
    <n v="0"/>
    <x v="224"/>
  </r>
  <r>
    <s v="Manish Patil"/>
    <x v="1"/>
    <x v="1"/>
    <s v="B2"/>
    <s v="Saurabh"/>
    <x v="2"/>
    <n v="17778"/>
    <s v="DISC15"/>
    <m/>
    <n v="17000"/>
    <d v="2024-01-29T00:00:00"/>
    <n v="15"/>
    <x v="225"/>
  </r>
  <r>
    <s v="Neha Patel"/>
    <x v="1"/>
    <x v="1"/>
    <s v="B2"/>
    <s v="Amit"/>
    <x v="1"/>
    <n v="16714"/>
    <s v="DISC20"/>
    <n v="0.2"/>
    <n v="17000"/>
    <d v="2024-02-22T00:00:00"/>
    <n v="20"/>
    <x v="226"/>
  </r>
  <r>
    <s v="Sneha Patel"/>
    <x v="2"/>
    <x v="2"/>
    <s v="B2"/>
    <s v="Saurabh"/>
    <x v="1"/>
    <n v="12968"/>
    <s v="DISC30"/>
    <n v="0.3"/>
    <n v="13000"/>
    <d v="2024-02-05T00:00:00"/>
    <n v="30"/>
    <x v="227"/>
  </r>
  <r>
    <s v="Kunal Shah"/>
    <x v="0"/>
    <x v="0"/>
    <s v="B2"/>
    <s v="Saurabh"/>
    <x v="0"/>
    <n v="13117"/>
    <m/>
    <m/>
    <n v="14000"/>
    <d v="2024-02-27T00:00:00"/>
    <n v="0"/>
    <x v="228"/>
  </r>
  <r>
    <s v="Manish Mehta"/>
    <x v="3"/>
    <x v="3"/>
    <s v="B1"/>
    <s v="Saurabh"/>
    <x v="2"/>
    <n v="10623"/>
    <s v="DISC30"/>
    <n v="0.3"/>
    <n v="9000"/>
    <d v="2024-02-29T00:00:00"/>
    <n v="30"/>
    <x v="229"/>
  </r>
  <r>
    <s v="Aarav Verma"/>
    <x v="0"/>
    <x v="0"/>
    <s v="B2"/>
    <s v="Amit"/>
    <x v="2"/>
    <n v="12965"/>
    <m/>
    <m/>
    <n v="14000"/>
    <d v="2024-01-06T00:00:00"/>
    <n v="0"/>
    <x v="230"/>
  </r>
  <r>
    <s v="Pooja Patil"/>
    <x v="0"/>
    <x v="0"/>
    <s v="B2"/>
    <s v="Saurabh"/>
    <x v="1"/>
    <n v="14662"/>
    <s v="DISC30"/>
    <n v="0.3"/>
    <n v="14000"/>
    <d v="2024-02-20T00:00:00"/>
    <n v="30"/>
    <x v="231"/>
  </r>
  <r>
    <s v="Karan Mehta"/>
    <x v="0"/>
    <x v="0"/>
    <s v="B2"/>
    <s v="Priya"/>
    <x v="1"/>
    <n v="15404"/>
    <s v="DISC20"/>
    <n v="0.2"/>
    <n v="14000"/>
    <d v="2024-02-18T00:00:00"/>
    <n v="20"/>
    <x v="232"/>
  </r>
  <r>
    <s v="Anjali Iyer"/>
    <x v="3"/>
    <x v="3"/>
    <s v="B3"/>
    <s v="Saurabh"/>
    <x v="0"/>
    <n v="7077"/>
    <s v="DISC30"/>
    <n v="0.3"/>
    <n v="9000"/>
    <d v="2024-01-14T00:00:00"/>
    <n v="30"/>
    <x v="233"/>
  </r>
  <r>
    <s v="Meera Mehta"/>
    <x v="3"/>
    <x v="3"/>
    <s v="B1"/>
    <s v="Priya"/>
    <x v="0"/>
    <n v="8233"/>
    <s v="DISC10"/>
    <n v="0.1"/>
    <n v="9000"/>
    <d v="2024-01-04T00:00:00"/>
    <n v="10"/>
    <x v="234"/>
  </r>
  <r>
    <s v="Sneha Verma"/>
    <x v="3"/>
    <x v="3"/>
    <s v="B1"/>
    <s v="Saurabh"/>
    <x v="2"/>
    <n v="9444"/>
    <s v="DISC15"/>
    <m/>
    <n v="9000"/>
    <d v="2024-01-02T00:00:00"/>
    <n v="15"/>
    <x v="235"/>
  </r>
  <r>
    <s v="Rohit Gupta"/>
    <x v="2"/>
    <x v="2"/>
    <s v="B3"/>
    <s v="Saurabh"/>
    <x v="2"/>
    <n v="12758"/>
    <s v="DISC10"/>
    <n v="0.1"/>
    <n v="13000"/>
    <d v="2024-02-09T00:00:00"/>
    <n v="10"/>
    <x v="236"/>
  </r>
  <r>
    <s v="Pooja Patil"/>
    <x v="3"/>
    <x v="3"/>
    <s v="B1"/>
    <s v="Amit"/>
    <x v="1"/>
    <n v="7350"/>
    <s v="DISC15"/>
    <m/>
    <n v="9000"/>
    <d v="2024-01-24T00:00:00"/>
    <n v="15"/>
    <x v="237"/>
  </r>
  <r>
    <s v="Riya Gupta"/>
    <x v="0"/>
    <x v="0"/>
    <s v="B2"/>
    <s v="Priya"/>
    <x v="0"/>
    <n v="14603"/>
    <m/>
    <m/>
    <n v="14000"/>
    <d v="2024-01-24T00:00:00"/>
    <n v="0"/>
    <x v="238"/>
  </r>
  <r>
    <s v="Aditya Desai"/>
    <x v="0"/>
    <x v="0"/>
    <s v="B2"/>
    <s v="Saurabh"/>
    <x v="2"/>
    <n v="12987"/>
    <s v="DISC10"/>
    <n v="0.1"/>
    <n v="14000"/>
    <d v="2024-02-19T00:00:00"/>
    <n v="10"/>
    <x v="239"/>
  </r>
  <r>
    <s v="Kavita Desai"/>
    <x v="1"/>
    <x v="1"/>
    <s v="B1"/>
    <s v="Saurabh"/>
    <x v="2"/>
    <n v="17236"/>
    <s v="DISC30"/>
    <n v="0.3"/>
    <n v="17000"/>
    <d v="2024-02-22T00:00:00"/>
    <n v="30"/>
    <x v="240"/>
  </r>
  <r>
    <s v="Rohit Mehta"/>
    <x v="3"/>
    <x v="3"/>
    <s v="B3"/>
    <s v="Priya"/>
    <x v="1"/>
    <n v="7746"/>
    <s v="DISC20"/>
    <n v="0.2"/>
    <n v="9000"/>
    <d v="2024-01-05T00:00:00"/>
    <n v="20"/>
    <x v="241"/>
  </r>
  <r>
    <s v="Anjali Patel"/>
    <x v="3"/>
    <x v="3"/>
    <s v="B1"/>
    <s v="Priya"/>
    <x v="0"/>
    <n v="7179"/>
    <s v="DISC20"/>
    <n v="0.2"/>
    <n v="9000"/>
    <d v="2024-02-26T00:00:00"/>
    <n v="20"/>
    <x v="242"/>
  </r>
  <r>
    <s v="Aarav Jain"/>
    <x v="1"/>
    <x v="1"/>
    <s v="B3"/>
    <s v="Priya"/>
    <x v="1"/>
    <n v="16939"/>
    <s v="DISC30"/>
    <n v="0.3"/>
    <n v="17000"/>
    <d v="2024-01-03T00:00:00"/>
    <n v="30"/>
    <x v="243"/>
  </r>
  <r>
    <s v="Dev Singh"/>
    <x v="2"/>
    <x v="2"/>
    <s v="B2"/>
    <s v="Priya"/>
    <x v="0"/>
    <n v="14546"/>
    <s v="DISC30"/>
    <n v="0.3"/>
    <n v="13000"/>
    <d v="2024-01-18T00:00:00"/>
    <n v="30"/>
    <x v="244"/>
  </r>
  <r>
    <s v="Riya Patel"/>
    <x v="1"/>
    <x v="1"/>
    <s v="B2"/>
    <s v="Priya"/>
    <x v="1"/>
    <n v="16801"/>
    <m/>
    <m/>
    <n v="17000"/>
    <d v="2024-01-22T00:00:00"/>
    <n v="0"/>
    <x v="245"/>
  </r>
  <r>
    <s v="Karan Iyer"/>
    <x v="3"/>
    <x v="3"/>
    <s v="B2"/>
    <s v="Amit"/>
    <x v="2"/>
    <n v="10281"/>
    <s v="DISC10"/>
    <n v="0.1"/>
    <n v="9000"/>
    <d v="2024-02-16T00:00:00"/>
    <n v="10"/>
    <x v="246"/>
  </r>
  <r>
    <s v="Rahul Shah"/>
    <x v="3"/>
    <x v="3"/>
    <s v="B3"/>
    <s v="Saurabh"/>
    <x v="1"/>
    <n v="8203"/>
    <s v="DISC30"/>
    <n v="0.3"/>
    <n v="9000"/>
    <d v="2024-01-07T00:00:00"/>
    <n v="30"/>
    <x v="247"/>
  </r>
  <r>
    <s v="Riya Jain"/>
    <x v="1"/>
    <x v="1"/>
    <s v="B2"/>
    <s v="Priya"/>
    <x v="1"/>
    <n v="17939"/>
    <m/>
    <m/>
    <n v="17000"/>
    <d v="2024-01-11T00:00:00"/>
    <n v="0"/>
    <x v="248"/>
  </r>
  <r>
    <s v="Anjali Iyer"/>
    <x v="1"/>
    <x v="1"/>
    <s v="B2"/>
    <s v="Saurabh"/>
    <x v="1"/>
    <n v="18563"/>
    <s v="DISC30"/>
    <n v="0.3"/>
    <n v="17000"/>
    <d v="2024-02-09T00:00:00"/>
    <n v="30"/>
    <x v="249"/>
  </r>
  <r>
    <s v="Rahul Rao"/>
    <x v="0"/>
    <x v="0"/>
    <s v="B1"/>
    <s v="Amit"/>
    <x v="1"/>
    <n v="13663"/>
    <s v="DISC30"/>
    <n v="0.3"/>
    <n v="14000"/>
    <d v="2024-02-02T00:00:00"/>
    <n v="30"/>
    <x v="250"/>
  </r>
  <r>
    <s v="Dev Desai"/>
    <x v="2"/>
    <x v="2"/>
    <s v="B1"/>
    <s v="Saurabh"/>
    <x v="1"/>
    <n v="13777"/>
    <m/>
    <m/>
    <n v="13000"/>
    <d v="2024-01-03T00:00:00"/>
    <n v="0"/>
    <x v="251"/>
  </r>
  <r>
    <s v="Karan Shah"/>
    <x v="2"/>
    <x v="2"/>
    <s v="B3"/>
    <s v="Priya"/>
    <x v="2"/>
    <n v="12568"/>
    <s v="DISC15"/>
    <m/>
    <n v="13000"/>
    <d v="2024-01-03T00:00:00"/>
    <n v="15"/>
    <x v="252"/>
  </r>
  <r>
    <s v="Kavita Mehta"/>
    <x v="3"/>
    <x v="3"/>
    <s v="B2"/>
    <s v="Priya"/>
    <x v="2"/>
    <n v="10125"/>
    <s v="DISC10"/>
    <n v="0.1"/>
    <n v="9000"/>
    <d v="2024-02-06T00:00:00"/>
    <n v="10"/>
    <x v="253"/>
  </r>
  <r>
    <s v="Karan Gupta"/>
    <x v="1"/>
    <x v="1"/>
    <s v="B2"/>
    <s v="Priya"/>
    <x v="1"/>
    <n v="16141"/>
    <s v="DISC20"/>
    <n v="0.2"/>
    <n v="17000"/>
    <d v="2024-01-08T00:00:00"/>
    <n v="20"/>
    <x v="254"/>
  </r>
  <r>
    <s v="Aarav Desai"/>
    <x v="2"/>
    <x v="2"/>
    <s v="B2"/>
    <s v="Amit"/>
    <x v="2"/>
    <n v="14741"/>
    <s v="DISC15"/>
    <m/>
    <n v="13000"/>
    <d v="2024-01-08T00:00:00"/>
    <n v="15"/>
    <x v="255"/>
  </r>
  <r>
    <s v="Aditya Patel"/>
    <x v="1"/>
    <x v="1"/>
    <s v="B3"/>
    <s v="Priya"/>
    <x v="0"/>
    <n v="17506"/>
    <s v="DISC30"/>
    <n v="0.3"/>
    <n v="17000"/>
    <d v="2024-02-14T00:00:00"/>
    <n v="30"/>
    <x v="256"/>
  </r>
  <r>
    <s v="Kunal Iyer"/>
    <x v="2"/>
    <x v="2"/>
    <s v="B1"/>
    <s v="Saurabh"/>
    <x v="0"/>
    <n v="12851"/>
    <s v="DISC20"/>
    <n v="0.2"/>
    <n v="13000"/>
    <d v="2024-02-27T00:00:00"/>
    <n v="20"/>
    <x v="257"/>
  </r>
  <r>
    <s v="Anjali Iyer"/>
    <x v="0"/>
    <x v="0"/>
    <s v="B3"/>
    <s v="Priya"/>
    <x v="1"/>
    <n v="13423"/>
    <s v="DISC10"/>
    <n v="0.1"/>
    <n v="14000"/>
    <d v="2024-02-05T00:00:00"/>
    <n v="10"/>
    <x v="258"/>
  </r>
  <r>
    <s v="Manish Rao"/>
    <x v="1"/>
    <x v="1"/>
    <s v="B1"/>
    <s v="Amit"/>
    <x v="1"/>
    <n v="18798"/>
    <s v="DISC20"/>
    <n v="0.2"/>
    <n v="17000"/>
    <d v="2024-02-20T00:00:00"/>
    <n v="20"/>
    <x v="259"/>
  </r>
  <r>
    <s v="Pooja Gupta"/>
    <x v="2"/>
    <x v="2"/>
    <s v="B1"/>
    <s v="Saurabh"/>
    <x v="0"/>
    <n v="11969"/>
    <m/>
    <m/>
    <n v="13000"/>
    <d v="2024-01-02T00:00:00"/>
    <n v="0"/>
    <x v="260"/>
  </r>
  <r>
    <s v="Pooja Gupta"/>
    <x v="1"/>
    <x v="1"/>
    <s v="B2"/>
    <s v="Amit"/>
    <x v="0"/>
    <n v="17506"/>
    <s v="DISC10"/>
    <n v="0.1"/>
    <n v="17000"/>
    <d v="2024-01-05T00:00:00"/>
    <n v="10"/>
    <x v="261"/>
  </r>
  <r>
    <s v="Aditya Verma"/>
    <x v="3"/>
    <x v="3"/>
    <s v="B3"/>
    <s v="Priya"/>
    <x v="2"/>
    <n v="10372"/>
    <s v="DISC15"/>
    <m/>
    <n v="9000"/>
    <d v="2024-01-05T00:00:00"/>
    <n v="15"/>
    <x v="262"/>
  </r>
  <r>
    <s v="Karan Jain"/>
    <x v="0"/>
    <x v="0"/>
    <s v="B2"/>
    <s v="Priya"/>
    <x v="1"/>
    <n v="14119"/>
    <s v="DISC30"/>
    <n v="0.3"/>
    <n v="14000"/>
    <d v="2024-01-09T00:00:00"/>
    <n v="30"/>
    <x v="263"/>
  </r>
  <r>
    <s v="Kunal Nair"/>
    <x v="2"/>
    <x v="2"/>
    <s v="B1"/>
    <s v="Priya"/>
    <x v="1"/>
    <n v="14730"/>
    <s v="DISC10"/>
    <n v="0.1"/>
    <n v="13000"/>
    <d v="2024-02-23T00:00:00"/>
    <n v="10"/>
    <x v="264"/>
  </r>
  <r>
    <s v="Riya Gupta"/>
    <x v="2"/>
    <x v="2"/>
    <s v="B2"/>
    <s v="Saurabh"/>
    <x v="0"/>
    <n v="12321"/>
    <s v="DISC20"/>
    <n v="0.2"/>
    <n v="13000"/>
    <d v="2024-01-23T00:00:00"/>
    <n v="20"/>
    <x v="265"/>
  </r>
  <r>
    <s v="Manish Rao"/>
    <x v="0"/>
    <x v="0"/>
    <s v="B2"/>
    <s v="Saurabh"/>
    <x v="1"/>
    <n v="15917"/>
    <s v="DISC15"/>
    <m/>
    <n v="14000"/>
    <d v="2024-01-18T00:00:00"/>
    <n v="15"/>
    <x v="266"/>
  </r>
  <r>
    <s v="Karan Singh"/>
    <x v="1"/>
    <x v="1"/>
    <s v="B3"/>
    <s v="Amit"/>
    <x v="0"/>
    <n v="17058"/>
    <s v="DISC20"/>
    <n v="0.2"/>
    <n v="17000"/>
    <d v="2024-02-07T00:00:00"/>
    <n v="20"/>
    <x v="267"/>
  </r>
  <r>
    <s v="Kavita Mehta"/>
    <x v="2"/>
    <x v="2"/>
    <s v="B3"/>
    <s v="Amit"/>
    <x v="1"/>
    <n v="14694"/>
    <s v="DISC15"/>
    <m/>
    <n v="13000"/>
    <d v="2024-01-22T00:00:00"/>
    <n v="15"/>
    <x v="268"/>
  </r>
  <r>
    <s v="Meera Joshi"/>
    <x v="0"/>
    <x v="0"/>
    <s v="B1"/>
    <s v="Saurabh"/>
    <x v="0"/>
    <n v="15885"/>
    <s v="DISC15"/>
    <m/>
    <n v="14000"/>
    <d v="2024-01-17T00:00:00"/>
    <n v="15"/>
    <x v="269"/>
  </r>
  <r>
    <s v="Rohit Patil"/>
    <x v="3"/>
    <x v="3"/>
    <s v="B3"/>
    <s v="Amit"/>
    <x v="0"/>
    <n v="9039"/>
    <s v="DISC15"/>
    <m/>
    <n v="9000"/>
    <d v="2024-01-19T00:00:00"/>
    <n v="15"/>
    <x v="270"/>
  </r>
  <r>
    <s v="Rohit Rao"/>
    <x v="3"/>
    <x v="3"/>
    <s v="B1"/>
    <s v="Amit"/>
    <x v="2"/>
    <n v="8218"/>
    <m/>
    <m/>
    <n v="9000"/>
    <d v="2024-01-05T00:00:00"/>
    <n v="0"/>
    <x v="271"/>
  </r>
  <r>
    <s v="Anjali Kulkarni"/>
    <x v="2"/>
    <x v="2"/>
    <s v="B2"/>
    <s v="Priya"/>
    <x v="2"/>
    <n v="12902"/>
    <s v="DISC20"/>
    <n v="0.2"/>
    <n v="13000"/>
    <d v="2024-01-22T00:00:00"/>
    <n v="20"/>
    <x v="272"/>
  </r>
  <r>
    <s v="Kavita Mehta"/>
    <x v="1"/>
    <x v="1"/>
    <s v="B3"/>
    <s v="Priya"/>
    <x v="1"/>
    <n v="18525"/>
    <s v="DISC30"/>
    <n v="0.3"/>
    <n v="17000"/>
    <d v="2024-01-26T00:00:00"/>
    <n v="30"/>
    <x v="273"/>
  </r>
  <r>
    <s v="Karan Patel"/>
    <x v="1"/>
    <x v="1"/>
    <s v="B3"/>
    <s v="Amit"/>
    <x v="0"/>
    <n v="16307"/>
    <s v="DISC20"/>
    <n v="0.2"/>
    <n v="17000"/>
    <d v="2024-01-30T00:00:00"/>
    <n v="20"/>
    <x v="274"/>
  </r>
  <r>
    <s v="Riya Rao"/>
    <x v="3"/>
    <x v="3"/>
    <s v="B1"/>
    <s v="Saurabh"/>
    <x v="0"/>
    <n v="7207"/>
    <s v="DISC30"/>
    <n v="0.3"/>
    <n v="9000"/>
    <d v="2024-03-01T00:00:00"/>
    <n v="30"/>
    <x v="275"/>
  </r>
  <r>
    <s v="Rahul Nair"/>
    <x v="3"/>
    <x v="3"/>
    <s v="B1"/>
    <s v="Saurabh"/>
    <x v="2"/>
    <n v="10824"/>
    <s v="DISC15"/>
    <m/>
    <n v="9000"/>
    <d v="2024-02-16T00:00:00"/>
    <n v="15"/>
    <x v="276"/>
  </r>
  <r>
    <s v="Pooja Patil"/>
    <x v="2"/>
    <x v="2"/>
    <s v="B2"/>
    <s v="Amit"/>
    <x v="2"/>
    <n v="13042"/>
    <s v="DISC30"/>
    <n v="0.3"/>
    <n v="13000"/>
    <d v="2024-02-01T00:00:00"/>
    <n v="30"/>
    <x v="277"/>
  </r>
  <r>
    <s v="Aarav Shah"/>
    <x v="3"/>
    <x v="3"/>
    <s v="B3"/>
    <s v="Priya"/>
    <x v="0"/>
    <n v="7881"/>
    <s v="DISC15"/>
    <m/>
    <n v="9000"/>
    <d v="2024-01-23T00:00:00"/>
    <n v="15"/>
    <x v="278"/>
  </r>
  <r>
    <s v="Aarav Kulkarni"/>
    <x v="1"/>
    <x v="1"/>
    <s v="B2"/>
    <s v="Amit"/>
    <x v="1"/>
    <n v="17754"/>
    <m/>
    <m/>
    <n v="17000"/>
    <d v="2024-01-19T00:00:00"/>
    <n v="0"/>
    <x v="279"/>
  </r>
  <r>
    <s v="Manish Kulkarni"/>
    <x v="0"/>
    <x v="0"/>
    <s v="B2"/>
    <s v="Saurabh"/>
    <x v="2"/>
    <n v="14979"/>
    <s v="DISC30"/>
    <n v="0.3"/>
    <n v="14000"/>
    <d v="2024-02-18T00:00:00"/>
    <n v="30"/>
    <x v="280"/>
  </r>
  <r>
    <s v="Rahul Jain"/>
    <x v="0"/>
    <x v="0"/>
    <s v="B2"/>
    <s v="Saurabh"/>
    <x v="1"/>
    <n v="14301"/>
    <s v="DISC20"/>
    <n v="0.2"/>
    <n v="14000"/>
    <d v="2024-01-24T00:00:00"/>
    <n v="20"/>
    <x v="281"/>
  </r>
  <r>
    <s v="Manish Rao"/>
    <x v="0"/>
    <x v="0"/>
    <s v="B2"/>
    <s v="Amit"/>
    <x v="2"/>
    <n v="15130"/>
    <s v="DISC15"/>
    <m/>
    <n v="14000"/>
    <d v="2024-01-18T00:00:00"/>
    <n v="15"/>
    <x v="282"/>
  </r>
  <r>
    <s v="Meera Joshi"/>
    <x v="0"/>
    <x v="0"/>
    <s v="B1"/>
    <s v="Saurabh"/>
    <x v="2"/>
    <n v="13528"/>
    <s v="DISC30"/>
    <n v="0.3"/>
    <n v="14000"/>
    <d v="2024-02-05T00:00:00"/>
    <n v="30"/>
    <x v="283"/>
  </r>
  <r>
    <s v="Pooja Patel"/>
    <x v="2"/>
    <x v="2"/>
    <s v="B1"/>
    <s v="Amit"/>
    <x v="1"/>
    <n v="12644"/>
    <s v="DISC15"/>
    <m/>
    <n v="13000"/>
    <d v="2024-01-03T00:00:00"/>
    <n v="15"/>
    <x v="284"/>
  </r>
  <r>
    <s v="Aarav Kulkarni"/>
    <x v="2"/>
    <x v="2"/>
    <s v="B3"/>
    <s v="Priya"/>
    <x v="2"/>
    <n v="13127"/>
    <m/>
    <m/>
    <n v="13000"/>
    <d v="2024-01-10T00:00:00"/>
    <n v="0"/>
    <x v="285"/>
  </r>
  <r>
    <s v="Kavita Gupta"/>
    <x v="2"/>
    <x v="2"/>
    <s v="B2"/>
    <s v="Amit"/>
    <x v="2"/>
    <n v="11665"/>
    <m/>
    <m/>
    <n v="13000"/>
    <d v="2024-02-09T00:00:00"/>
    <n v="0"/>
    <x v="286"/>
  </r>
  <r>
    <s v="Anjali Nair"/>
    <x v="1"/>
    <x v="1"/>
    <s v="B3"/>
    <s v="Priya"/>
    <x v="1"/>
    <n v="18392"/>
    <s v="DISC15"/>
    <m/>
    <n v="17000"/>
    <d v="2024-02-04T00:00:00"/>
    <n v="15"/>
    <x v="287"/>
  </r>
  <r>
    <s v="Neha Desai"/>
    <x v="1"/>
    <x v="1"/>
    <s v="B2"/>
    <s v="Saurabh"/>
    <x v="2"/>
    <n v="16356"/>
    <s v="DISC10"/>
    <n v="0.1"/>
    <n v="17000"/>
    <d v="2024-01-27T00:00:00"/>
    <n v="10"/>
    <x v="288"/>
  </r>
  <r>
    <s v="Kavita Rao"/>
    <x v="0"/>
    <x v="0"/>
    <s v="B3"/>
    <s v="Priya"/>
    <x v="2"/>
    <n v="15961"/>
    <s v="DISC15"/>
    <m/>
    <n v="14000"/>
    <d v="2024-02-06T00:00:00"/>
    <n v="15"/>
    <x v="289"/>
  </r>
  <r>
    <s v="Sneha Desai"/>
    <x v="0"/>
    <x v="0"/>
    <s v="B3"/>
    <s v="Priya"/>
    <x v="0"/>
    <n v="14147"/>
    <s v="DISC15"/>
    <m/>
    <n v="14000"/>
    <d v="2024-02-19T00:00:00"/>
    <n v="15"/>
    <x v="290"/>
  </r>
  <r>
    <s v="Meera Verma"/>
    <x v="2"/>
    <x v="2"/>
    <s v="B3"/>
    <s v="Saurabh"/>
    <x v="0"/>
    <n v="13345"/>
    <s v="DISC10"/>
    <n v="0.1"/>
    <n v="13000"/>
    <d v="2024-01-13T00:00:00"/>
    <n v="10"/>
    <x v="291"/>
  </r>
  <r>
    <s v="Aarav Iyer"/>
    <x v="1"/>
    <x v="1"/>
    <s v="B2"/>
    <s v="Saurabh"/>
    <x v="2"/>
    <n v="17828"/>
    <s v="DISC20"/>
    <n v="0.2"/>
    <n v="17000"/>
    <d v="2024-01-27T00:00:00"/>
    <n v="20"/>
    <x v="292"/>
  </r>
  <r>
    <s v="Manish Patel"/>
    <x v="3"/>
    <x v="3"/>
    <s v="B3"/>
    <s v="Amit"/>
    <x v="0"/>
    <n v="9890"/>
    <s v="DISC20"/>
    <n v="0.2"/>
    <n v="9000"/>
    <d v="2024-02-03T00:00:00"/>
    <n v="20"/>
    <x v="293"/>
  </r>
  <r>
    <s v="Sneha Gupta"/>
    <x v="1"/>
    <x v="1"/>
    <s v="B3"/>
    <s v="Priya"/>
    <x v="1"/>
    <n v="16543"/>
    <s v="DISC30"/>
    <n v="0.3"/>
    <n v="17000"/>
    <d v="2024-01-12T00:00:00"/>
    <n v="30"/>
    <x v="294"/>
  </r>
  <r>
    <s v="Neha Gupta"/>
    <x v="1"/>
    <x v="1"/>
    <s v="B3"/>
    <s v="Priya"/>
    <x v="1"/>
    <n v="18162"/>
    <s v="DISC30"/>
    <n v="0.3"/>
    <n v="17000"/>
    <d v="2024-02-09T00:00:00"/>
    <n v="30"/>
    <x v="295"/>
  </r>
  <r>
    <s v="Neha Patil"/>
    <x v="2"/>
    <x v="2"/>
    <s v="B2"/>
    <s v="Amit"/>
    <x v="2"/>
    <n v="11921"/>
    <s v="DISC30"/>
    <n v="0.3"/>
    <n v="13000"/>
    <d v="2024-02-19T00:00:00"/>
    <n v="30"/>
    <x v="296"/>
  </r>
  <r>
    <s v="Aditya Desai"/>
    <x v="2"/>
    <x v="2"/>
    <s v="B3"/>
    <s v="Amit"/>
    <x v="2"/>
    <n v="12298"/>
    <m/>
    <m/>
    <n v="13000"/>
    <d v="2024-01-23T00:00:00"/>
    <n v="0"/>
    <x v="297"/>
  </r>
  <r>
    <s v="Manish Patel"/>
    <x v="1"/>
    <x v="1"/>
    <s v="B2"/>
    <s v="Saurabh"/>
    <x v="1"/>
    <n v="17771"/>
    <s v="DISC15"/>
    <m/>
    <n v="17000"/>
    <d v="2024-01-25T00:00:00"/>
    <n v="15"/>
    <x v="298"/>
  </r>
  <r>
    <s v="Kunal Verma"/>
    <x v="1"/>
    <x v="1"/>
    <s v="B1"/>
    <s v="Priya"/>
    <x v="0"/>
    <n v="16178"/>
    <s v="DISC10"/>
    <n v="0.1"/>
    <n v="17000"/>
    <d v="2024-01-23T00:00:00"/>
    <n v="10"/>
    <x v="299"/>
  </r>
  <r>
    <s v="Kunal Iyer"/>
    <x v="1"/>
    <x v="1"/>
    <s v="B3"/>
    <s v="Priya"/>
    <x v="0"/>
    <n v="15827"/>
    <s v="DISC15"/>
    <m/>
    <n v="17000"/>
    <d v="2024-01-18T00:00:00"/>
    <n v="15"/>
    <x v="300"/>
  </r>
  <r>
    <s v="Kunal Gupta"/>
    <x v="1"/>
    <x v="1"/>
    <s v="B1"/>
    <s v="Saurabh"/>
    <x v="1"/>
    <n v="18034"/>
    <s v="DISC15"/>
    <m/>
    <n v="17000"/>
    <d v="2024-01-16T00:00:00"/>
    <n v="15"/>
    <x v="301"/>
  </r>
  <r>
    <s v="Sneha Kulkarni"/>
    <x v="2"/>
    <x v="2"/>
    <s v="B3"/>
    <s v="Saurabh"/>
    <x v="0"/>
    <n v="11410"/>
    <m/>
    <m/>
    <n v="13000"/>
    <d v="2024-01-22T00:00:00"/>
    <n v="0"/>
    <x v="302"/>
  </r>
  <r>
    <s v="Anjali Iyer"/>
    <x v="0"/>
    <x v="0"/>
    <s v="B3"/>
    <s v="Saurabh"/>
    <x v="0"/>
    <n v="15950"/>
    <s v="DISC15"/>
    <m/>
    <n v="14000"/>
    <d v="2024-02-29T00:00:00"/>
    <n v="15"/>
    <x v="303"/>
  </r>
  <r>
    <s v="Karan Verma"/>
    <x v="3"/>
    <x v="3"/>
    <s v="B2"/>
    <s v="Amit"/>
    <x v="0"/>
    <n v="10096"/>
    <s v="DISC30"/>
    <n v="0.3"/>
    <n v="9000"/>
    <d v="2024-01-21T00:00:00"/>
    <n v="30"/>
    <x v="304"/>
  </r>
  <r>
    <s v="Aditya Singh"/>
    <x v="0"/>
    <x v="0"/>
    <s v="B1"/>
    <s v="Amit"/>
    <x v="1"/>
    <n v="12951"/>
    <s v="DISC15"/>
    <m/>
    <n v="14000"/>
    <d v="2024-02-17T00:00:00"/>
    <n v="15"/>
    <x v="305"/>
  </r>
  <r>
    <s v="Anjali Nair"/>
    <x v="0"/>
    <x v="0"/>
    <s v="B1"/>
    <s v="Priya"/>
    <x v="0"/>
    <n v="15825"/>
    <s v="DISC10"/>
    <n v="0.1"/>
    <n v="14000"/>
    <d v="2024-02-23T00:00:00"/>
    <n v="10"/>
    <x v="306"/>
  </r>
  <r>
    <s v="Rahul Patel"/>
    <x v="3"/>
    <x v="3"/>
    <s v="B1"/>
    <s v="Amit"/>
    <x v="2"/>
    <n v="10591"/>
    <s v="DISC10"/>
    <n v="0.1"/>
    <n v="9000"/>
    <d v="2024-01-01T00:00:00"/>
    <n v="10"/>
    <x v="307"/>
  </r>
  <r>
    <s v="Aditya Joshi"/>
    <x v="0"/>
    <x v="0"/>
    <s v="B2"/>
    <s v="Priya"/>
    <x v="2"/>
    <n v="14626"/>
    <s v="DISC15"/>
    <m/>
    <n v="14000"/>
    <d v="2024-02-03T00:00:00"/>
    <n v="15"/>
    <x v="308"/>
  </r>
  <r>
    <s v="Neha Mehta"/>
    <x v="3"/>
    <x v="3"/>
    <s v="B2"/>
    <s v="Saurabh"/>
    <x v="0"/>
    <n v="8354"/>
    <s v="DISC20"/>
    <n v="0.2"/>
    <n v="9000"/>
    <d v="2024-02-16T00:00:00"/>
    <n v="20"/>
    <x v="309"/>
  </r>
  <r>
    <s v="Neha Singh"/>
    <x v="1"/>
    <x v="1"/>
    <s v="B3"/>
    <s v="Saurabh"/>
    <x v="0"/>
    <n v="18017"/>
    <s v="DISC30"/>
    <n v="0.3"/>
    <n v="17000"/>
    <d v="2024-02-20T00:00:00"/>
    <n v="30"/>
    <x v="310"/>
  </r>
  <r>
    <s v="Aditya Joshi"/>
    <x v="2"/>
    <x v="2"/>
    <s v="B1"/>
    <s v="Amit"/>
    <x v="1"/>
    <n v="14674"/>
    <m/>
    <m/>
    <n v="13000"/>
    <d v="2024-02-22T00:00:00"/>
    <n v="0"/>
    <x v="311"/>
  </r>
  <r>
    <s v="Rahul Gupta"/>
    <x v="1"/>
    <x v="1"/>
    <s v="B1"/>
    <s v="Priya"/>
    <x v="1"/>
    <n v="15390"/>
    <s v="DISC20"/>
    <n v="0.2"/>
    <n v="17000"/>
    <d v="2024-01-09T00:00:00"/>
    <n v="20"/>
    <x v="312"/>
  </r>
  <r>
    <s v="Neha Jain"/>
    <x v="2"/>
    <x v="2"/>
    <s v="B1"/>
    <s v="Priya"/>
    <x v="2"/>
    <n v="11964"/>
    <m/>
    <m/>
    <n v="13000"/>
    <d v="2024-02-18T00:00:00"/>
    <n v="0"/>
    <x v="313"/>
  </r>
  <r>
    <s v="Aditya Jain"/>
    <x v="1"/>
    <x v="1"/>
    <s v="B3"/>
    <s v="Amit"/>
    <x v="1"/>
    <n v="15046"/>
    <s v="DISC30"/>
    <n v="0.3"/>
    <n v="17000"/>
    <d v="2024-02-11T00:00:00"/>
    <n v="30"/>
    <x v="314"/>
  </r>
  <r>
    <s v="Pooja Desai"/>
    <x v="2"/>
    <x v="2"/>
    <s v="B1"/>
    <s v="Amit"/>
    <x v="0"/>
    <n v="12906"/>
    <s v="DISC30"/>
    <n v="0.3"/>
    <n v="13000"/>
    <d v="2024-01-11T00:00:00"/>
    <n v="30"/>
    <x v="315"/>
  </r>
  <r>
    <s v="Rahul Singh"/>
    <x v="1"/>
    <x v="1"/>
    <s v="B3"/>
    <s v="Saurabh"/>
    <x v="1"/>
    <n v="18752"/>
    <s v="DISC30"/>
    <n v="0.3"/>
    <n v="17000"/>
    <d v="2024-01-24T00:00:00"/>
    <n v="30"/>
    <x v="316"/>
  </r>
  <r>
    <s v="Kavita Patil"/>
    <x v="2"/>
    <x v="2"/>
    <s v="B1"/>
    <s v="Priya"/>
    <x v="0"/>
    <n v="12863"/>
    <s v="DISC15"/>
    <m/>
    <n v="13000"/>
    <d v="2024-01-24T00:00:00"/>
    <n v="15"/>
    <x v="317"/>
  </r>
  <r>
    <s v="Rahul Desai"/>
    <x v="3"/>
    <x v="3"/>
    <s v="B3"/>
    <s v="Amit"/>
    <x v="0"/>
    <n v="10120"/>
    <s v="DISC20"/>
    <n v="0.2"/>
    <n v="9000"/>
    <d v="2024-02-13T00:00:00"/>
    <n v="20"/>
    <x v="318"/>
  </r>
  <r>
    <s v="Dev Joshi"/>
    <x v="0"/>
    <x v="0"/>
    <s v="B3"/>
    <s v="Priya"/>
    <x v="1"/>
    <n v="14882"/>
    <s v="DISC30"/>
    <n v="0.3"/>
    <n v="14000"/>
    <d v="2024-01-05T00:00:00"/>
    <n v="30"/>
    <x v="319"/>
  </r>
  <r>
    <s v="Kunal Joshi"/>
    <x v="0"/>
    <x v="0"/>
    <s v="B1"/>
    <s v="Amit"/>
    <x v="1"/>
    <n v="12828"/>
    <s v="DISC15"/>
    <m/>
    <n v="14000"/>
    <d v="2024-02-04T00:00:00"/>
    <n v="15"/>
    <x v="320"/>
  </r>
  <r>
    <s v="Karan Mehta"/>
    <x v="1"/>
    <x v="1"/>
    <s v="B3"/>
    <s v="Priya"/>
    <x v="0"/>
    <n v="17786"/>
    <s v="DISC20"/>
    <n v="0.2"/>
    <n v="17000"/>
    <d v="2024-02-15T00:00:00"/>
    <n v="20"/>
    <x v="321"/>
  </r>
  <r>
    <s v="Kavita Iyer"/>
    <x v="0"/>
    <x v="0"/>
    <s v="B3"/>
    <s v="Priya"/>
    <x v="0"/>
    <n v="13857"/>
    <s v="DISC20"/>
    <n v="0.2"/>
    <n v="14000"/>
    <d v="2024-02-02T00:00:00"/>
    <n v="20"/>
    <x v="322"/>
  </r>
  <r>
    <s v="Rahul Iyer"/>
    <x v="0"/>
    <x v="0"/>
    <s v="B3"/>
    <s v="Priya"/>
    <x v="1"/>
    <n v="15305"/>
    <s v="DISC30"/>
    <n v="0.3"/>
    <n v="14000"/>
    <d v="2024-02-16T00:00:00"/>
    <n v="30"/>
    <x v="323"/>
  </r>
  <r>
    <s v="Aarav Verma"/>
    <x v="1"/>
    <x v="1"/>
    <s v="B1"/>
    <s v="Amit"/>
    <x v="0"/>
    <n v="17368"/>
    <s v="DISC10"/>
    <n v="0.1"/>
    <n v="17000"/>
    <d v="2024-01-03T00:00:00"/>
    <n v="10"/>
    <x v="324"/>
  </r>
  <r>
    <s v="Rahul Jain"/>
    <x v="0"/>
    <x v="0"/>
    <s v="B3"/>
    <s v="Saurabh"/>
    <x v="0"/>
    <n v="15824"/>
    <m/>
    <m/>
    <n v="14000"/>
    <d v="2024-01-03T00:00:00"/>
    <n v="0"/>
    <x v="325"/>
  </r>
  <r>
    <s v="Aditya Verma"/>
    <x v="2"/>
    <x v="2"/>
    <s v="B1"/>
    <s v="Amit"/>
    <x v="1"/>
    <n v="13645"/>
    <m/>
    <m/>
    <n v="13000"/>
    <d v="2024-01-24T00:00:00"/>
    <n v="0"/>
    <x v="326"/>
  </r>
  <r>
    <s v="Kunal Verma"/>
    <x v="3"/>
    <x v="3"/>
    <s v="B2"/>
    <s v="Priya"/>
    <x v="0"/>
    <n v="9796"/>
    <s v="DISC15"/>
    <m/>
    <n v="9000"/>
    <d v="2024-01-09T00:00:00"/>
    <n v="15"/>
    <x v="327"/>
  </r>
  <r>
    <s v="Rohit Nair"/>
    <x v="1"/>
    <x v="1"/>
    <s v="B1"/>
    <s v="Saurabh"/>
    <x v="1"/>
    <n v="16609"/>
    <s v="DISC15"/>
    <m/>
    <n v="17000"/>
    <d v="2024-01-09T00:00:00"/>
    <n v="15"/>
    <x v="328"/>
  </r>
  <r>
    <s v="Anjali Patil"/>
    <x v="0"/>
    <x v="0"/>
    <s v="B1"/>
    <s v="Priya"/>
    <x v="2"/>
    <n v="14758"/>
    <s v="DISC15"/>
    <m/>
    <n v="14000"/>
    <d v="2024-01-28T00:00:00"/>
    <n v="15"/>
    <x v="329"/>
  </r>
  <r>
    <s v="Manish Verma"/>
    <x v="2"/>
    <x v="2"/>
    <s v="B1"/>
    <s v="Priya"/>
    <x v="2"/>
    <n v="11635"/>
    <s v="DISC30"/>
    <n v="0.3"/>
    <n v="13000"/>
    <d v="2024-01-13T00:00:00"/>
    <n v="30"/>
    <x v="330"/>
  </r>
  <r>
    <s v="Kunal Desai"/>
    <x v="0"/>
    <x v="0"/>
    <s v="B1"/>
    <s v="Amit"/>
    <x v="2"/>
    <n v="14518"/>
    <s v="DISC10"/>
    <n v="0.1"/>
    <n v="14000"/>
    <d v="2024-01-16T00:00:00"/>
    <n v="10"/>
    <x v="331"/>
  </r>
  <r>
    <s v="Sneha Shah"/>
    <x v="0"/>
    <x v="0"/>
    <s v="B3"/>
    <s v="Saurabh"/>
    <x v="2"/>
    <n v="14448"/>
    <s v="DISC10"/>
    <n v="0.1"/>
    <n v="14000"/>
    <d v="2024-01-16T00:00:00"/>
    <n v="10"/>
    <x v="332"/>
  </r>
  <r>
    <s v="Anjali Kulkarni"/>
    <x v="3"/>
    <x v="3"/>
    <s v="B2"/>
    <s v="Saurabh"/>
    <x v="1"/>
    <n v="7889"/>
    <s v="DISC10"/>
    <n v="0.1"/>
    <n v="9000"/>
    <d v="2024-01-09T00:00:00"/>
    <n v="10"/>
    <x v="333"/>
  </r>
  <r>
    <s v="Manish Rao"/>
    <x v="2"/>
    <x v="2"/>
    <s v="B3"/>
    <s v="Amit"/>
    <x v="2"/>
    <n v="13365"/>
    <s v="DISC15"/>
    <m/>
    <n v="13000"/>
    <d v="2024-02-19T00:00:00"/>
    <n v="15"/>
    <x v="334"/>
  </r>
  <r>
    <s v="Rohit Nair"/>
    <x v="1"/>
    <x v="1"/>
    <s v="B1"/>
    <s v="Priya"/>
    <x v="0"/>
    <n v="17704"/>
    <s v="DISC15"/>
    <m/>
    <n v="17000"/>
    <d v="2024-01-15T00:00:00"/>
    <n v="15"/>
    <x v="335"/>
  </r>
  <r>
    <s v="Rahul Rao"/>
    <x v="1"/>
    <x v="1"/>
    <s v="B1"/>
    <s v="Amit"/>
    <x v="1"/>
    <n v="18603"/>
    <s v="DISC20"/>
    <n v="0.2"/>
    <n v="17000"/>
    <d v="2024-02-10T00:00:00"/>
    <n v="20"/>
    <x v="336"/>
  </r>
  <r>
    <s v="Rohit Verma"/>
    <x v="3"/>
    <x v="3"/>
    <s v="B1"/>
    <s v="Priya"/>
    <x v="1"/>
    <n v="9749"/>
    <m/>
    <m/>
    <n v="9000"/>
    <d v="2024-02-20T00:00:00"/>
    <n v="0"/>
    <x v="337"/>
  </r>
  <r>
    <s v="Manish Jain"/>
    <x v="3"/>
    <x v="3"/>
    <s v="B2"/>
    <s v="Saurabh"/>
    <x v="2"/>
    <n v="8541"/>
    <s v="DISC20"/>
    <n v="0.2"/>
    <n v="9000"/>
    <d v="2024-02-18T00:00:00"/>
    <n v="20"/>
    <x v="338"/>
  </r>
  <r>
    <s v="Manish Iyer"/>
    <x v="2"/>
    <x v="2"/>
    <s v="B1"/>
    <s v="Priya"/>
    <x v="1"/>
    <n v="11591"/>
    <m/>
    <m/>
    <n v="13000"/>
    <d v="2024-02-28T00:00:00"/>
    <n v="0"/>
    <x v="339"/>
  </r>
  <r>
    <s v="Aarav Gupta"/>
    <x v="3"/>
    <x v="3"/>
    <s v="B2"/>
    <s v="Amit"/>
    <x v="1"/>
    <n v="7549"/>
    <m/>
    <m/>
    <n v="9000"/>
    <d v="2024-01-16T00:00:00"/>
    <n v="0"/>
    <x v="340"/>
  </r>
  <r>
    <s v="Aditya Patil"/>
    <x v="1"/>
    <x v="1"/>
    <s v="B3"/>
    <s v="Saurabh"/>
    <x v="2"/>
    <n v="18469"/>
    <s v="DISC30"/>
    <n v="0.3"/>
    <n v="17000"/>
    <d v="2024-01-06T00:00:00"/>
    <n v="30"/>
    <x v="341"/>
  </r>
  <r>
    <s v="Manish Desai"/>
    <x v="2"/>
    <x v="2"/>
    <s v="B1"/>
    <s v="Priya"/>
    <x v="2"/>
    <n v="13759"/>
    <s v="DISC15"/>
    <m/>
    <n v="13000"/>
    <d v="2024-02-08T00:00:00"/>
    <n v="15"/>
    <x v="342"/>
  </r>
  <r>
    <s v="Aarav Nair"/>
    <x v="0"/>
    <x v="0"/>
    <s v="B1"/>
    <s v="Amit"/>
    <x v="1"/>
    <n v="14750"/>
    <s v="DISC15"/>
    <m/>
    <n v="14000"/>
    <d v="2024-01-14T00:00:00"/>
    <n v="15"/>
    <x v="343"/>
  </r>
  <r>
    <s v="Neha Patil"/>
    <x v="1"/>
    <x v="1"/>
    <s v="B2"/>
    <s v="Saurabh"/>
    <x v="0"/>
    <n v="18838"/>
    <s v="DISC20"/>
    <n v="0.2"/>
    <n v="17000"/>
    <d v="2024-02-17T00:00:00"/>
    <n v="20"/>
    <x v="344"/>
  </r>
  <r>
    <s v="Riya Desai"/>
    <x v="3"/>
    <x v="3"/>
    <s v="B1"/>
    <s v="Amit"/>
    <x v="1"/>
    <n v="9882"/>
    <s v="DISC20"/>
    <n v="0.2"/>
    <n v="9000"/>
    <d v="2024-01-26T00:00:00"/>
    <n v="20"/>
    <x v="345"/>
  </r>
  <r>
    <s v="Kunal Patil"/>
    <x v="1"/>
    <x v="1"/>
    <s v="B2"/>
    <s v="Priya"/>
    <x v="2"/>
    <n v="17185"/>
    <s v="DISC30"/>
    <n v="0.3"/>
    <n v="17000"/>
    <d v="2024-01-20T00:00:00"/>
    <n v="30"/>
    <x v="346"/>
  </r>
  <r>
    <s v="Aditya Jain"/>
    <x v="3"/>
    <x v="3"/>
    <s v="B2"/>
    <s v="Saurabh"/>
    <x v="1"/>
    <n v="8923"/>
    <s v="DISC30"/>
    <n v="0.3"/>
    <n v="9000"/>
    <d v="2024-02-28T00:00:00"/>
    <n v="30"/>
    <x v="347"/>
  </r>
  <r>
    <s v="Sneha Jain"/>
    <x v="1"/>
    <x v="1"/>
    <s v="B2"/>
    <s v="Saurabh"/>
    <x v="1"/>
    <n v="18539"/>
    <s v="DISC20"/>
    <n v="0.2"/>
    <n v="17000"/>
    <d v="2024-02-17T00:00:00"/>
    <n v="20"/>
    <x v="348"/>
  </r>
  <r>
    <s v="Karan Kulkarni"/>
    <x v="1"/>
    <x v="1"/>
    <s v="B3"/>
    <s v="Amit"/>
    <x v="1"/>
    <n v="17949"/>
    <m/>
    <m/>
    <n v="17000"/>
    <d v="2024-01-19T00:00:00"/>
    <n v="0"/>
    <x v="349"/>
  </r>
  <r>
    <s v="Karan Patil"/>
    <x v="1"/>
    <x v="1"/>
    <s v="B1"/>
    <s v="Priya"/>
    <x v="1"/>
    <n v="18413"/>
    <s v="DISC20"/>
    <n v="0.2"/>
    <n v="17000"/>
    <d v="2024-02-01T00:00:00"/>
    <n v="20"/>
    <x v="350"/>
  </r>
  <r>
    <s v="Manish Singh"/>
    <x v="1"/>
    <x v="1"/>
    <s v="B2"/>
    <s v="Priya"/>
    <x v="1"/>
    <n v="17628"/>
    <m/>
    <m/>
    <n v="17000"/>
    <d v="2024-01-30T00:00:00"/>
    <n v="0"/>
    <x v="351"/>
  </r>
  <r>
    <s v="Karan Desai"/>
    <x v="1"/>
    <x v="1"/>
    <s v="B1"/>
    <s v="Saurabh"/>
    <x v="1"/>
    <n v="17238"/>
    <m/>
    <m/>
    <n v="17000"/>
    <d v="2024-01-12T00:00:00"/>
    <n v="0"/>
    <x v="352"/>
  </r>
  <r>
    <s v="Kunal Gupta"/>
    <x v="0"/>
    <x v="0"/>
    <s v="B3"/>
    <s v="Saurabh"/>
    <x v="0"/>
    <n v="15871"/>
    <s v="DISC10"/>
    <n v="0.1"/>
    <n v="14000"/>
    <d v="2024-02-18T00:00:00"/>
    <n v="10"/>
    <x v="353"/>
  </r>
  <r>
    <s v="Aarav Verma"/>
    <x v="2"/>
    <x v="2"/>
    <s v="B3"/>
    <s v="Saurabh"/>
    <x v="0"/>
    <n v="13896"/>
    <s v="DISC20"/>
    <n v="0.2"/>
    <n v="13000"/>
    <d v="2024-01-01T00:00:00"/>
    <n v="20"/>
    <x v="354"/>
  </r>
  <r>
    <s v="Sneha Gupta"/>
    <x v="3"/>
    <x v="3"/>
    <s v="B2"/>
    <s v="Saurabh"/>
    <x v="1"/>
    <n v="9612"/>
    <s v="DISC15"/>
    <m/>
    <n v="9000"/>
    <d v="2024-02-28T00:00:00"/>
    <n v="15"/>
    <x v="355"/>
  </r>
  <r>
    <s v="Neha Singh"/>
    <x v="3"/>
    <x v="3"/>
    <s v="B1"/>
    <s v="Saurabh"/>
    <x v="1"/>
    <n v="9259"/>
    <m/>
    <m/>
    <n v="9000"/>
    <d v="2024-01-01T00:00:00"/>
    <n v="0"/>
    <x v="356"/>
  </r>
  <r>
    <s v="Aarav Gupta"/>
    <x v="1"/>
    <x v="1"/>
    <s v="B3"/>
    <s v="Priya"/>
    <x v="0"/>
    <n v="17057"/>
    <m/>
    <m/>
    <n v="17000"/>
    <d v="2024-02-21T00:00:00"/>
    <n v="0"/>
    <x v="357"/>
  </r>
  <r>
    <s v="Kunal Mehta"/>
    <x v="0"/>
    <x v="0"/>
    <s v="B1"/>
    <s v="Amit"/>
    <x v="0"/>
    <n v="12987"/>
    <s v="DISC20"/>
    <n v="0.2"/>
    <n v="14000"/>
    <d v="2024-02-09T00:00:00"/>
    <n v="20"/>
    <x v="358"/>
  </r>
  <r>
    <s v="Manish Rao"/>
    <x v="1"/>
    <x v="1"/>
    <s v="B2"/>
    <s v="Priya"/>
    <x v="0"/>
    <n v="16528"/>
    <m/>
    <m/>
    <n v="17000"/>
    <d v="2024-01-30T00:00:00"/>
    <n v="0"/>
    <x v="359"/>
  </r>
  <r>
    <s v="Kavita Patil"/>
    <x v="2"/>
    <x v="2"/>
    <s v="B2"/>
    <s v="Amit"/>
    <x v="0"/>
    <n v="13677"/>
    <s v="DISC10"/>
    <n v="0.1"/>
    <n v="13000"/>
    <d v="2024-01-06T00:00:00"/>
    <n v="10"/>
    <x v="360"/>
  </r>
  <r>
    <s v="Rahul Verma"/>
    <x v="3"/>
    <x v="3"/>
    <s v="B3"/>
    <s v="Priya"/>
    <x v="0"/>
    <n v="9608"/>
    <s v="DISC10"/>
    <n v="0.1"/>
    <n v="9000"/>
    <d v="2024-02-14T00:00:00"/>
    <n v="10"/>
    <x v="361"/>
  </r>
  <r>
    <s v="Karan Shah"/>
    <x v="3"/>
    <x v="3"/>
    <s v="B2"/>
    <s v="Amit"/>
    <x v="2"/>
    <n v="9317"/>
    <s v="DISC10"/>
    <n v="0.1"/>
    <n v="9000"/>
    <d v="2024-02-27T00:00:00"/>
    <n v="10"/>
    <x v="362"/>
  </r>
  <r>
    <s v="Manish Kulkarni"/>
    <x v="2"/>
    <x v="2"/>
    <s v="B1"/>
    <s v="Amit"/>
    <x v="1"/>
    <n v="12947"/>
    <s v="DISC30"/>
    <n v="0.3"/>
    <n v="13000"/>
    <d v="2024-01-03T00:00:00"/>
    <n v="30"/>
    <x v="363"/>
  </r>
  <r>
    <s v="Kunal Shah"/>
    <x v="1"/>
    <x v="1"/>
    <s v="B3"/>
    <s v="Amit"/>
    <x v="1"/>
    <n v="15134"/>
    <s v="DISC20"/>
    <n v="0.2"/>
    <n v="17000"/>
    <d v="2024-02-29T00:00:00"/>
    <n v="20"/>
    <x v="364"/>
  </r>
  <r>
    <s v="Meera Jain"/>
    <x v="0"/>
    <x v="0"/>
    <s v="B1"/>
    <s v="Amit"/>
    <x v="0"/>
    <n v="15081"/>
    <m/>
    <m/>
    <n v="14000"/>
    <d v="2024-02-29T00:00:00"/>
    <n v="0"/>
    <x v="365"/>
  </r>
  <r>
    <s v="Riya Rao"/>
    <x v="2"/>
    <x v="2"/>
    <s v="B3"/>
    <s v="Saurabh"/>
    <x v="1"/>
    <n v="14418"/>
    <m/>
    <m/>
    <n v="13000"/>
    <d v="2024-02-13T00:00:00"/>
    <n v="0"/>
    <x v="366"/>
  </r>
  <r>
    <s v="Kunal Gupta"/>
    <x v="1"/>
    <x v="1"/>
    <s v="B2"/>
    <s v="Amit"/>
    <x v="0"/>
    <n v="18237"/>
    <s v="DISC10"/>
    <n v="0.1"/>
    <n v="17000"/>
    <d v="2024-02-02T00:00:00"/>
    <n v="10"/>
    <x v="367"/>
  </r>
  <r>
    <s v="Anjali Jain"/>
    <x v="0"/>
    <x v="0"/>
    <s v="B1"/>
    <s v="Priya"/>
    <x v="0"/>
    <n v="15435"/>
    <s v="DISC10"/>
    <n v="0.1"/>
    <n v="14000"/>
    <d v="2024-01-22T00:00:00"/>
    <n v="10"/>
    <x v="368"/>
  </r>
  <r>
    <s v="Kavita Patel"/>
    <x v="3"/>
    <x v="3"/>
    <s v="B2"/>
    <s v="Saurabh"/>
    <x v="1"/>
    <n v="8119"/>
    <m/>
    <m/>
    <n v="9000"/>
    <d v="2024-02-01T00:00:00"/>
    <n v="0"/>
    <x v="369"/>
  </r>
  <r>
    <s v="Sneha Jain"/>
    <x v="3"/>
    <x v="3"/>
    <s v="B2"/>
    <s v="Saurabh"/>
    <x v="1"/>
    <n v="9399"/>
    <m/>
    <m/>
    <n v="9000"/>
    <d v="2024-01-06T00:00:00"/>
    <n v="0"/>
    <x v="370"/>
  </r>
  <r>
    <s v="Dev Joshi"/>
    <x v="1"/>
    <x v="1"/>
    <s v="B1"/>
    <s v="Amit"/>
    <x v="0"/>
    <n v="15336"/>
    <s v="DISC30"/>
    <n v="0.3"/>
    <n v="17000"/>
    <d v="2024-01-10T00:00:00"/>
    <n v="30"/>
    <x v="371"/>
  </r>
  <r>
    <s v="Rahul Desai"/>
    <x v="2"/>
    <x v="2"/>
    <s v="B3"/>
    <s v="Priya"/>
    <x v="2"/>
    <n v="12477"/>
    <s v="DISC10"/>
    <n v="0.1"/>
    <n v="13000"/>
    <d v="2024-01-06T00:00:00"/>
    <n v="10"/>
    <x v="372"/>
  </r>
  <r>
    <s v="Aarav Rao"/>
    <x v="3"/>
    <x v="3"/>
    <s v="B2"/>
    <s v="Priya"/>
    <x v="0"/>
    <n v="7542"/>
    <s v="DISC10"/>
    <n v="0.1"/>
    <n v="9000"/>
    <d v="2024-01-12T00:00:00"/>
    <n v="10"/>
    <x v="373"/>
  </r>
  <r>
    <s v="Rahul Iyer"/>
    <x v="3"/>
    <x v="3"/>
    <s v="B1"/>
    <s v="Saurabh"/>
    <x v="0"/>
    <n v="8449"/>
    <s v="DISC15"/>
    <m/>
    <n v="9000"/>
    <d v="2024-01-06T00:00:00"/>
    <n v="15"/>
    <x v="374"/>
  </r>
  <r>
    <s v="Kavita Joshi"/>
    <x v="1"/>
    <x v="1"/>
    <s v="B2"/>
    <s v="Saurabh"/>
    <x v="2"/>
    <n v="16694"/>
    <m/>
    <m/>
    <n v="17000"/>
    <d v="2024-02-19T00:00:00"/>
    <n v="0"/>
    <x v="375"/>
  </r>
  <r>
    <s v="Riya Desai"/>
    <x v="2"/>
    <x v="2"/>
    <s v="B3"/>
    <s v="Amit"/>
    <x v="0"/>
    <n v="13807"/>
    <m/>
    <m/>
    <n v="13000"/>
    <d v="2024-01-11T00:00:00"/>
    <n v="0"/>
    <x v="376"/>
  </r>
  <r>
    <s v="Karan Rao"/>
    <x v="1"/>
    <x v="1"/>
    <s v="B2"/>
    <s v="Priya"/>
    <x v="0"/>
    <n v="15259"/>
    <s v="DISC20"/>
    <n v="0.2"/>
    <n v="17000"/>
    <d v="2024-01-28T00:00:00"/>
    <n v="20"/>
    <x v="377"/>
  </r>
  <r>
    <s v="Aditya Verma"/>
    <x v="1"/>
    <x v="1"/>
    <s v="B2"/>
    <s v="Saurabh"/>
    <x v="2"/>
    <n v="16030"/>
    <s v="DISC20"/>
    <n v="0.2"/>
    <n v="17000"/>
    <d v="2024-02-16T00:00:00"/>
    <n v="20"/>
    <x v="378"/>
  </r>
  <r>
    <s v="Rohit Iyer"/>
    <x v="2"/>
    <x v="2"/>
    <s v="B2"/>
    <s v="Saurabh"/>
    <x v="0"/>
    <n v="12247"/>
    <s v="DISC10"/>
    <n v="0.1"/>
    <n v="13000"/>
    <d v="2024-03-01T00:00:00"/>
    <n v="10"/>
    <x v="379"/>
  </r>
  <r>
    <s v="Rahul Jain"/>
    <x v="3"/>
    <x v="3"/>
    <s v="B2"/>
    <s v="Priya"/>
    <x v="2"/>
    <n v="8763"/>
    <s v="DISC15"/>
    <m/>
    <n v="9000"/>
    <d v="2024-01-09T00:00:00"/>
    <n v="15"/>
    <x v="380"/>
  </r>
  <r>
    <s v="Aditya Jain"/>
    <x v="2"/>
    <x v="2"/>
    <s v="B2"/>
    <s v="Priya"/>
    <x v="0"/>
    <n v="14950"/>
    <m/>
    <m/>
    <n v="13000"/>
    <d v="2024-01-21T00:00:00"/>
    <n v="0"/>
    <x v="381"/>
  </r>
  <r>
    <s v="Aditya Desai"/>
    <x v="3"/>
    <x v="3"/>
    <s v="B3"/>
    <s v="Saurabh"/>
    <x v="2"/>
    <n v="8540"/>
    <s v="DISC30"/>
    <n v="0.3"/>
    <n v="9000"/>
    <d v="2024-02-22T00:00:00"/>
    <n v="30"/>
    <x v="382"/>
  </r>
  <r>
    <s v="Dev Verma"/>
    <x v="1"/>
    <x v="1"/>
    <s v="B1"/>
    <s v="Amit"/>
    <x v="0"/>
    <n v="17425"/>
    <s v="DISC15"/>
    <m/>
    <n v="17000"/>
    <d v="2024-01-12T00:00:00"/>
    <n v="15"/>
    <x v="383"/>
  </r>
  <r>
    <s v="Rohit Patel"/>
    <x v="0"/>
    <x v="0"/>
    <s v="B3"/>
    <s v="Priya"/>
    <x v="1"/>
    <n v="12858"/>
    <m/>
    <m/>
    <n v="14000"/>
    <d v="2024-02-21T00:00:00"/>
    <n v="0"/>
    <x v="384"/>
  </r>
  <r>
    <s v="Aditya Nair"/>
    <x v="0"/>
    <x v="0"/>
    <s v="B2"/>
    <s v="Amit"/>
    <x v="2"/>
    <n v="12570"/>
    <s v="DISC30"/>
    <n v="0.3"/>
    <n v="14000"/>
    <d v="2024-01-16T00:00:00"/>
    <n v="30"/>
    <x v="385"/>
  </r>
  <r>
    <s v="Aditya Singh"/>
    <x v="2"/>
    <x v="2"/>
    <s v="B3"/>
    <s v="Priya"/>
    <x v="2"/>
    <n v="11302"/>
    <m/>
    <m/>
    <n v="13000"/>
    <d v="2024-02-08T00:00:00"/>
    <n v="0"/>
    <x v="386"/>
  </r>
  <r>
    <s v="Neha Joshi"/>
    <x v="3"/>
    <x v="3"/>
    <s v="B3"/>
    <s v="Amit"/>
    <x v="1"/>
    <n v="8713"/>
    <s v="DISC15"/>
    <m/>
    <n v="9000"/>
    <d v="2024-01-03T00:00:00"/>
    <n v="15"/>
    <x v="387"/>
  </r>
  <r>
    <s v="Dev Jain"/>
    <x v="0"/>
    <x v="0"/>
    <s v="B1"/>
    <s v="Saurabh"/>
    <x v="1"/>
    <n v="14722"/>
    <s v="DISC30"/>
    <n v="0.3"/>
    <n v="14000"/>
    <d v="2024-01-11T00:00:00"/>
    <n v="30"/>
    <x v="388"/>
  </r>
  <r>
    <s v="Rohit Joshi"/>
    <x v="0"/>
    <x v="0"/>
    <s v="B3"/>
    <s v="Amit"/>
    <x v="1"/>
    <n v="14649"/>
    <m/>
    <m/>
    <n v="14000"/>
    <d v="2024-02-18T00:00:00"/>
    <n v="0"/>
    <x v="389"/>
  </r>
  <r>
    <s v="Pooja Patel"/>
    <x v="3"/>
    <x v="3"/>
    <s v="B1"/>
    <s v="Saurabh"/>
    <x v="0"/>
    <n v="8059"/>
    <s v="DISC20"/>
    <n v="0.2"/>
    <n v="9000"/>
    <d v="2024-02-02T00:00:00"/>
    <n v="20"/>
    <x v="390"/>
  </r>
  <r>
    <s v="Anjali Gupta"/>
    <x v="2"/>
    <x v="2"/>
    <s v="B2"/>
    <s v="Priya"/>
    <x v="2"/>
    <n v="12896"/>
    <s v="DISC15"/>
    <m/>
    <n v="13000"/>
    <d v="2024-02-14T00:00:00"/>
    <n v="15"/>
    <x v="391"/>
  </r>
  <r>
    <s v="Manish Mehta"/>
    <x v="1"/>
    <x v="1"/>
    <s v="B1"/>
    <s v="Priya"/>
    <x v="0"/>
    <n v="16210"/>
    <m/>
    <m/>
    <n v="17000"/>
    <d v="2024-02-28T00:00:00"/>
    <n v="0"/>
    <x v="392"/>
  </r>
  <r>
    <s v="Riya Shah"/>
    <x v="2"/>
    <x v="2"/>
    <s v="B2"/>
    <s v="Priya"/>
    <x v="2"/>
    <n v="12865"/>
    <s v="DISC20"/>
    <n v="0.2"/>
    <n v="13000"/>
    <d v="2024-02-03T00:00:00"/>
    <n v="20"/>
    <x v="393"/>
  </r>
  <r>
    <s v="Neha Jain"/>
    <x v="3"/>
    <x v="3"/>
    <s v="B1"/>
    <s v="Priya"/>
    <x v="1"/>
    <n v="9853"/>
    <m/>
    <m/>
    <n v="9000"/>
    <d v="2024-01-21T00:00:00"/>
    <n v="0"/>
    <x v="394"/>
  </r>
  <r>
    <s v="Riya Rao"/>
    <x v="0"/>
    <x v="0"/>
    <s v="B3"/>
    <s v="Saurabh"/>
    <x v="0"/>
    <n v="15478"/>
    <s v="DISC30"/>
    <n v="0.3"/>
    <n v="14000"/>
    <d v="2024-02-11T00:00:00"/>
    <n v="30"/>
    <x v="395"/>
  </r>
  <r>
    <s v="Riya Singh"/>
    <x v="2"/>
    <x v="2"/>
    <s v="B3"/>
    <s v="Saurabh"/>
    <x v="1"/>
    <n v="11714"/>
    <s v="DISC15"/>
    <m/>
    <n v="13000"/>
    <d v="2024-01-11T00:00:00"/>
    <n v="15"/>
    <x v="396"/>
  </r>
  <r>
    <s v="Pooja Gupta"/>
    <x v="3"/>
    <x v="3"/>
    <s v="B2"/>
    <s v="Saurabh"/>
    <x v="2"/>
    <n v="9579"/>
    <s v="DISC20"/>
    <n v="0.2"/>
    <n v="9000"/>
    <d v="2024-01-12T00:00:00"/>
    <n v="20"/>
    <x v="397"/>
  </r>
  <r>
    <s v="Rohit Singh"/>
    <x v="3"/>
    <x v="3"/>
    <s v="B2"/>
    <s v="Saurabh"/>
    <x v="1"/>
    <n v="9515"/>
    <s v="DISC20"/>
    <n v="0.2"/>
    <n v="9000"/>
    <d v="2024-01-29T00:00:00"/>
    <n v="20"/>
    <x v="398"/>
  </r>
  <r>
    <s v="Kavita Verma"/>
    <x v="3"/>
    <x v="3"/>
    <s v="B1"/>
    <s v="Amit"/>
    <x v="0"/>
    <n v="7842"/>
    <s v="DISC30"/>
    <n v="0.3"/>
    <n v="9000"/>
    <d v="2024-02-18T00:00:00"/>
    <n v="30"/>
    <x v="399"/>
  </r>
  <r>
    <s v="Anjali Patel"/>
    <x v="0"/>
    <x v="0"/>
    <s v="B3"/>
    <s v="Saurabh"/>
    <x v="1"/>
    <n v="12765"/>
    <s v="DISC30"/>
    <n v="0.3"/>
    <n v="14000"/>
    <d v="2024-01-21T00:00:00"/>
    <n v="30"/>
    <x v="400"/>
  </r>
  <r>
    <s v="Sneha Iyer"/>
    <x v="0"/>
    <x v="0"/>
    <s v="B2"/>
    <s v="Amit"/>
    <x v="2"/>
    <n v="14161"/>
    <s v="DISC30"/>
    <n v="0.3"/>
    <n v="14000"/>
    <d v="2024-02-08T00:00:00"/>
    <n v="30"/>
    <x v="401"/>
  </r>
  <r>
    <s v="Rahul Joshi"/>
    <x v="3"/>
    <x v="3"/>
    <s v="B3"/>
    <s v="Saurabh"/>
    <x v="2"/>
    <n v="8441"/>
    <m/>
    <m/>
    <n v="9000"/>
    <d v="2024-02-09T00:00:00"/>
    <n v="0"/>
    <x v="402"/>
  </r>
  <r>
    <s v="Karan Nair"/>
    <x v="1"/>
    <x v="1"/>
    <s v="B3"/>
    <s v="Amit"/>
    <x v="0"/>
    <n v="17752"/>
    <s v="DISC20"/>
    <n v="0.2"/>
    <n v="17000"/>
    <d v="2024-01-21T00:00:00"/>
    <n v="20"/>
    <x v="403"/>
  </r>
  <r>
    <s v="Riya Patil"/>
    <x v="1"/>
    <x v="1"/>
    <s v="B1"/>
    <s v="Saurabh"/>
    <x v="2"/>
    <n v="17840"/>
    <s v="DISC20"/>
    <n v="0.2"/>
    <n v="17000"/>
    <d v="2024-02-02T00:00:00"/>
    <n v="20"/>
    <x v="404"/>
  </r>
  <r>
    <s v="Rahul Verma"/>
    <x v="2"/>
    <x v="2"/>
    <s v="B3"/>
    <s v="Priya"/>
    <x v="2"/>
    <n v="11760"/>
    <m/>
    <m/>
    <n v="13000"/>
    <d v="2024-02-10T00:00:00"/>
    <n v="0"/>
    <x v="405"/>
  </r>
  <r>
    <s v="Manish Desai"/>
    <x v="2"/>
    <x v="2"/>
    <s v="B3"/>
    <s v="Saurabh"/>
    <x v="2"/>
    <n v="12183"/>
    <s v="DISC20"/>
    <n v="0.2"/>
    <n v="13000"/>
    <d v="2024-01-12T00:00:00"/>
    <n v="20"/>
    <x v="406"/>
  </r>
  <r>
    <s v="Pooja Nair"/>
    <x v="3"/>
    <x v="3"/>
    <s v="B3"/>
    <s v="Saurabh"/>
    <x v="2"/>
    <n v="10898"/>
    <s v="DISC10"/>
    <n v="0.1"/>
    <n v="9000"/>
    <d v="2024-02-01T00:00:00"/>
    <n v="10"/>
    <x v="407"/>
  </r>
  <r>
    <s v="Karan Patil"/>
    <x v="3"/>
    <x v="3"/>
    <s v="B3"/>
    <s v="Amit"/>
    <x v="1"/>
    <n v="9027"/>
    <m/>
    <m/>
    <n v="9000"/>
    <d v="2024-02-13T00:00:00"/>
    <n v="0"/>
    <x v="408"/>
  </r>
  <r>
    <s v="Neha Verma"/>
    <x v="3"/>
    <x v="3"/>
    <s v="B2"/>
    <s v="Saurabh"/>
    <x v="0"/>
    <n v="9315"/>
    <s v="DISC10"/>
    <n v="0.1"/>
    <n v="9000"/>
    <d v="2024-02-20T00:00:00"/>
    <n v="10"/>
    <x v="409"/>
  </r>
  <r>
    <s v="Dev Patil"/>
    <x v="1"/>
    <x v="1"/>
    <s v="B1"/>
    <s v="Priya"/>
    <x v="0"/>
    <n v="17202"/>
    <s v="DISC30"/>
    <n v="0.3"/>
    <n v="17000"/>
    <d v="2024-01-11T00:00:00"/>
    <n v="30"/>
    <x v="410"/>
  </r>
  <r>
    <s v="Dev Iyer"/>
    <x v="3"/>
    <x v="3"/>
    <s v="B3"/>
    <s v="Amit"/>
    <x v="0"/>
    <n v="9345"/>
    <s v="DISC10"/>
    <n v="0.1"/>
    <n v="9000"/>
    <d v="2024-01-18T00:00:00"/>
    <n v="10"/>
    <x v="411"/>
  </r>
  <r>
    <s v="Dev Gupta"/>
    <x v="1"/>
    <x v="1"/>
    <s v="B3"/>
    <s v="Saurabh"/>
    <x v="1"/>
    <n v="16807"/>
    <s v="DISC15"/>
    <m/>
    <n v="17000"/>
    <d v="2024-01-14T00:00:00"/>
    <n v="15"/>
    <x v="412"/>
  </r>
  <r>
    <s v="Rahul Shah"/>
    <x v="2"/>
    <x v="2"/>
    <s v="B2"/>
    <s v="Saurabh"/>
    <x v="2"/>
    <n v="12076"/>
    <s v="DISC30"/>
    <n v="0.3"/>
    <n v="13000"/>
    <d v="2024-02-25T00:00:00"/>
    <n v="30"/>
    <x v="413"/>
  </r>
  <r>
    <s v="Meera Shah"/>
    <x v="3"/>
    <x v="3"/>
    <s v="B1"/>
    <s v="Saurabh"/>
    <x v="0"/>
    <n v="10320"/>
    <s v="DISC15"/>
    <m/>
    <n v="9000"/>
    <d v="2024-02-14T00:00:00"/>
    <n v="15"/>
    <x v="414"/>
  </r>
  <r>
    <s v="Pooja Nair"/>
    <x v="3"/>
    <x v="3"/>
    <s v="B1"/>
    <s v="Amit"/>
    <x v="0"/>
    <n v="10214"/>
    <s v="DISC20"/>
    <n v="0.2"/>
    <n v="9000"/>
    <d v="2024-02-22T00:00:00"/>
    <n v="20"/>
    <x v="415"/>
  </r>
  <r>
    <s v="Sneha Patel"/>
    <x v="0"/>
    <x v="0"/>
    <s v="B3"/>
    <s v="Priya"/>
    <x v="1"/>
    <n v="13151"/>
    <s v="DISC15"/>
    <m/>
    <n v="14000"/>
    <d v="2024-02-04T00:00:00"/>
    <n v="15"/>
    <x v="416"/>
  </r>
  <r>
    <s v="Karan Jain"/>
    <x v="1"/>
    <x v="1"/>
    <s v="B2"/>
    <s v="Amit"/>
    <x v="2"/>
    <n v="18901"/>
    <s v="DISC15"/>
    <m/>
    <n v="17000"/>
    <d v="2024-02-27T00:00:00"/>
    <n v="15"/>
    <x v="417"/>
  </r>
  <r>
    <s v="Rohit Nair"/>
    <x v="0"/>
    <x v="0"/>
    <s v="B1"/>
    <s v="Priya"/>
    <x v="0"/>
    <n v="13135"/>
    <s v="DISC20"/>
    <n v="0.2"/>
    <n v="14000"/>
    <d v="2024-02-14T00:00:00"/>
    <n v="20"/>
    <x v="418"/>
  </r>
  <r>
    <s v="Meera Mehta"/>
    <x v="2"/>
    <x v="2"/>
    <s v="B1"/>
    <s v="Amit"/>
    <x v="2"/>
    <n v="14393"/>
    <s v="DISC20"/>
    <n v="0.2"/>
    <n v="13000"/>
    <d v="2024-02-18T00:00:00"/>
    <n v="20"/>
    <x v="419"/>
  </r>
  <r>
    <s v="Meera Singh"/>
    <x v="3"/>
    <x v="3"/>
    <s v="B2"/>
    <s v="Saurabh"/>
    <x v="1"/>
    <n v="9590"/>
    <s v="DISC30"/>
    <n v="0.3"/>
    <n v="9000"/>
    <d v="2024-02-10T00:00:00"/>
    <n v="30"/>
    <x v="420"/>
  </r>
  <r>
    <s v="Rahul Verma"/>
    <x v="3"/>
    <x v="3"/>
    <s v="B1"/>
    <s v="Amit"/>
    <x v="0"/>
    <n v="8650"/>
    <s v="DISC15"/>
    <m/>
    <n v="9000"/>
    <d v="2024-02-17T00:00:00"/>
    <n v="15"/>
    <x v="421"/>
  </r>
  <r>
    <s v="Aditya Desai"/>
    <x v="1"/>
    <x v="1"/>
    <s v="B2"/>
    <s v="Priya"/>
    <x v="2"/>
    <n v="17383"/>
    <s v="DISC10"/>
    <n v="0.1"/>
    <n v="17000"/>
    <d v="2024-02-25T00:00:00"/>
    <n v="10"/>
    <x v="422"/>
  </r>
  <r>
    <s v="Dev Nair"/>
    <x v="0"/>
    <x v="0"/>
    <s v="B3"/>
    <s v="Priya"/>
    <x v="1"/>
    <n v="14720"/>
    <s v="DISC30"/>
    <n v="0.3"/>
    <n v="14000"/>
    <d v="2024-02-24T00:00:00"/>
    <n v="30"/>
    <x v="423"/>
  </r>
  <r>
    <s v="Riya Patel"/>
    <x v="3"/>
    <x v="3"/>
    <s v="B1"/>
    <s v="Priya"/>
    <x v="0"/>
    <n v="9026"/>
    <s v="DISC30"/>
    <n v="0.3"/>
    <n v="9000"/>
    <d v="2024-01-21T00:00:00"/>
    <n v="30"/>
    <x v="424"/>
  </r>
  <r>
    <s v="Meera Rao"/>
    <x v="1"/>
    <x v="1"/>
    <s v="B3"/>
    <s v="Amit"/>
    <x v="0"/>
    <n v="17318"/>
    <m/>
    <m/>
    <n v="17000"/>
    <d v="2024-02-20T00:00:00"/>
    <n v="0"/>
    <x v="425"/>
  </r>
  <r>
    <s v="Pooja Singh"/>
    <x v="0"/>
    <x v="0"/>
    <s v="B1"/>
    <s v="Saurabh"/>
    <x v="1"/>
    <n v="15210"/>
    <m/>
    <m/>
    <n v="14000"/>
    <d v="2024-01-02T00:00:00"/>
    <n v="0"/>
    <x v="426"/>
  </r>
  <r>
    <s v="Riya Nair"/>
    <x v="2"/>
    <x v="2"/>
    <s v="B2"/>
    <s v="Priya"/>
    <x v="0"/>
    <n v="14924"/>
    <m/>
    <m/>
    <n v="13000"/>
    <d v="2024-01-13T00:00:00"/>
    <n v="0"/>
    <x v="427"/>
  </r>
  <r>
    <s v="Anjali Mehta"/>
    <x v="1"/>
    <x v="1"/>
    <s v="B1"/>
    <s v="Priya"/>
    <x v="0"/>
    <n v="17681"/>
    <s v="DISC30"/>
    <n v="0.3"/>
    <n v="17000"/>
    <d v="2024-01-17T00:00:00"/>
    <n v="30"/>
    <x v="428"/>
  </r>
  <r>
    <s v="Riya Jain"/>
    <x v="2"/>
    <x v="2"/>
    <s v="B1"/>
    <s v="Priya"/>
    <x v="1"/>
    <n v="12251"/>
    <s v="DISC20"/>
    <n v="0.2"/>
    <n v="13000"/>
    <d v="2024-01-28T00:00:00"/>
    <n v="20"/>
    <x v="429"/>
  </r>
  <r>
    <s v="Rohit Shah"/>
    <x v="0"/>
    <x v="0"/>
    <s v="B1"/>
    <s v="Saurabh"/>
    <x v="2"/>
    <n v="12319"/>
    <s v="DISC20"/>
    <n v="0.2"/>
    <n v="14000"/>
    <d v="2024-02-07T00:00:00"/>
    <n v="20"/>
    <x v="430"/>
  </r>
  <r>
    <s v="Sneha Gupta"/>
    <x v="3"/>
    <x v="3"/>
    <s v="B1"/>
    <s v="Saurabh"/>
    <x v="1"/>
    <n v="8407"/>
    <s v="DISC10"/>
    <n v="0.1"/>
    <n v="9000"/>
    <d v="2024-02-25T00:00:00"/>
    <n v="10"/>
    <x v="431"/>
  </r>
  <r>
    <s v="Rahul Desai"/>
    <x v="2"/>
    <x v="2"/>
    <s v="B2"/>
    <s v="Saurabh"/>
    <x v="0"/>
    <n v="12569"/>
    <s v="DISC10"/>
    <n v="0.1"/>
    <n v="13000"/>
    <d v="2024-02-16T00:00:00"/>
    <n v="10"/>
    <x v="432"/>
  </r>
  <r>
    <s v="Dev Shah"/>
    <x v="0"/>
    <x v="0"/>
    <s v="B2"/>
    <s v="Priya"/>
    <x v="2"/>
    <n v="12561"/>
    <m/>
    <m/>
    <n v="14000"/>
    <d v="2024-02-19T00:00:00"/>
    <n v="0"/>
    <x v="433"/>
  </r>
  <r>
    <s v="Meera Patel"/>
    <x v="2"/>
    <x v="2"/>
    <s v="B3"/>
    <s v="Amit"/>
    <x v="0"/>
    <n v="11280"/>
    <s v="DISC15"/>
    <m/>
    <n v="13000"/>
    <d v="2024-02-06T00:00:00"/>
    <n v="15"/>
    <x v="434"/>
  </r>
  <r>
    <s v="Aarav Joshi"/>
    <x v="2"/>
    <x v="2"/>
    <s v="B2"/>
    <s v="Priya"/>
    <x v="1"/>
    <n v="11872"/>
    <s v="DISC20"/>
    <n v="0.2"/>
    <n v="13000"/>
    <d v="2024-02-28T00:00:00"/>
    <n v="20"/>
    <x v="435"/>
  </r>
  <r>
    <s v="Rahul Joshi"/>
    <x v="3"/>
    <x v="3"/>
    <s v="B1"/>
    <s v="Saurabh"/>
    <x v="0"/>
    <n v="7573"/>
    <s v="DISC10"/>
    <n v="0.1"/>
    <n v="9000"/>
    <d v="2024-02-07T00:00:00"/>
    <n v="10"/>
    <x v="436"/>
  </r>
  <r>
    <s v="Anjali Verma"/>
    <x v="1"/>
    <x v="1"/>
    <s v="B2"/>
    <s v="Priya"/>
    <x v="0"/>
    <n v="16014"/>
    <s v="DISC30"/>
    <n v="0.3"/>
    <n v="17000"/>
    <d v="2024-02-11T00:00:00"/>
    <n v="30"/>
    <x v="437"/>
  </r>
  <r>
    <s v="Riya Patil"/>
    <x v="1"/>
    <x v="1"/>
    <s v="B3"/>
    <s v="Saurabh"/>
    <x v="1"/>
    <n v="18587"/>
    <s v="DISC30"/>
    <n v="0.3"/>
    <n v="17000"/>
    <d v="2024-01-14T00:00:00"/>
    <n v="30"/>
    <x v="438"/>
  </r>
  <r>
    <s v="Manish Joshi"/>
    <x v="2"/>
    <x v="2"/>
    <s v="B3"/>
    <s v="Priya"/>
    <x v="2"/>
    <n v="13646"/>
    <s v="DISC10"/>
    <n v="0.1"/>
    <n v="13000"/>
    <d v="2024-02-20T00:00:00"/>
    <n v="10"/>
    <x v="439"/>
  </r>
  <r>
    <s v="Kunal Patel"/>
    <x v="2"/>
    <x v="2"/>
    <s v="B2"/>
    <s v="Priya"/>
    <x v="0"/>
    <n v="11987"/>
    <m/>
    <m/>
    <n v="13000"/>
    <d v="2024-02-10T00:00:00"/>
    <n v="0"/>
    <x v="440"/>
  </r>
  <r>
    <s v="Kavita Shah"/>
    <x v="0"/>
    <x v="0"/>
    <s v="B2"/>
    <s v="Priya"/>
    <x v="0"/>
    <n v="13584"/>
    <s v="DISC15"/>
    <m/>
    <n v="14000"/>
    <d v="2024-01-27T00:00:00"/>
    <n v="15"/>
    <x v="441"/>
  </r>
  <r>
    <s v="Pooja Gupta"/>
    <x v="2"/>
    <x v="2"/>
    <s v="B2"/>
    <s v="Saurabh"/>
    <x v="0"/>
    <n v="13405"/>
    <s v="DISC10"/>
    <n v="0.1"/>
    <n v="13000"/>
    <d v="2024-01-01T00:00:00"/>
    <n v="10"/>
    <x v="442"/>
  </r>
  <r>
    <s v="Aditya Patil"/>
    <x v="0"/>
    <x v="0"/>
    <s v="B1"/>
    <s v="Priya"/>
    <x v="1"/>
    <n v="13173"/>
    <s v="DISC15"/>
    <m/>
    <n v="14000"/>
    <d v="2024-02-19T00:00:00"/>
    <n v="15"/>
    <x v="443"/>
  </r>
  <r>
    <s v="Rahul Verma"/>
    <x v="3"/>
    <x v="3"/>
    <s v="B1"/>
    <s v="Amit"/>
    <x v="1"/>
    <n v="9202"/>
    <s v="DISC15"/>
    <m/>
    <n v="9000"/>
    <d v="2024-01-10T00:00:00"/>
    <n v="15"/>
    <x v="444"/>
  </r>
  <r>
    <s v="Aditya Shah"/>
    <x v="1"/>
    <x v="1"/>
    <s v="B1"/>
    <s v="Amit"/>
    <x v="0"/>
    <n v="18990"/>
    <s v="DISC20"/>
    <n v="0.2"/>
    <n v="17000"/>
    <d v="2024-02-04T00:00:00"/>
    <n v="20"/>
    <x v="445"/>
  </r>
  <r>
    <s v="Pooja Verma"/>
    <x v="0"/>
    <x v="0"/>
    <s v="B2"/>
    <s v="Amit"/>
    <x v="2"/>
    <n v="14989"/>
    <s v="DISC20"/>
    <n v="0.2"/>
    <n v="14000"/>
    <d v="2024-01-04T00:00:00"/>
    <n v="20"/>
    <x v="446"/>
  </r>
  <r>
    <s v="Sneha Shah"/>
    <x v="3"/>
    <x v="3"/>
    <s v="B1"/>
    <s v="Priya"/>
    <x v="1"/>
    <n v="9493"/>
    <s v="DISC10"/>
    <n v="0.1"/>
    <n v="9000"/>
    <d v="2024-01-20T00:00:00"/>
    <n v="10"/>
    <x v="447"/>
  </r>
  <r>
    <s v="Rohit Desai"/>
    <x v="2"/>
    <x v="2"/>
    <s v="B1"/>
    <s v="Saurabh"/>
    <x v="1"/>
    <n v="11562"/>
    <s v="DISC10"/>
    <n v="0.1"/>
    <n v="13000"/>
    <d v="2024-01-11T00:00:00"/>
    <n v="10"/>
    <x v="448"/>
  </r>
  <r>
    <s v="Neha Jain"/>
    <x v="1"/>
    <x v="1"/>
    <s v="B1"/>
    <s v="Priya"/>
    <x v="0"/>
    <n v="18071"/>
    <s v="DISC30"/>
    <n v="0.3"/>
    <n v="17000"/>
    <d v="2024-02-16T00:00:00"/>
    <n v="30"/>
    <x v="449"/>
  </r>
  <r>
    <s v="Kunal Shah"/>
    <x v="0"/>
    <x v="0"/>
    <s v="B2"/>
    <s v="Priya"/>
    <x v="2"/>
    <n v="14145"/>
    <s v="DISC10"/>
    <n v="0.1"/>
    <n v="14000"/>
    <d v="2024-01-17T00:00:00"/>
    <n v="10"/>
    <x v="450"/>
  </r>
  <r>
    <s v="Anjali Joshi"/>
    <x v="0"/>
    <x v="0"/>
    <s v="B2"/>
    <s v="Priya"/>
    <x v="1"/>
    <n v="13475"/>
    <s v="DISC10"/>
    <n v="0.1"/>
    <n v="14000"/>
    <d v="2024-02-01T00:00:00"/>
    <n v="10"/>
    <x v="451"/>
  </r>
  <r>
    <s v="Meera Joshi"/>
    <x v="2"/>
    <x v="2"/>
    <s v="B2"/>
    <s v="Saurabh"/>
    <x v="2"/>
    <n v="14167"/>
    <s v="DISC10"/>
    <n v="0.1"/>
    <n v="13000"/>
    <d v="2024-02-27T00:00:00"/>
    <n v="10"/>
    <x v="452"/>
  </r>
  <r>
    <s v="Kavita Singh"/>
    <x v="0"/>
    <x v="0"/>
    <s v="B1"/>
    <s v="Amit"/>
    <x v="1"/>
    <n v="12010"/>
    <s v="DISC10"/>
    <n v="0.1"/>
    <n v="14000"/>
    <d v="2024-02-24T00:00:00"/>
    <n v="10"/>
    <x v="453"/>
  </r>
  <r>
    <s v="Meera Kulkarni"/>
    <x v="2"/>
    <x v="2"/>
    <s v="B1"/>
    <s v="Priya"/>
    <x v="2"/>
    <n v="12568"/>
    <s v="DISC20"/>
    <n v="0.2"/>
    <n v="13000"/>
    <d v="2024-01-12T00:00:00"/>
    <n v="20"/>
    <x v="454"/>
  </r>
  <r>
    <s v="Kunal Nair"/>
    <x v="0"/>
    <x v="0"/>
    <s v="B3"/>
    <s v="Amit"/>
    <x v="1"/>
    <n v="14685"/>
    <m/>
    <m/>
    <n v="14000"/>
    <d v="2024-01-15T00:00:00"/>
    <n v="0"/>
    <x v="455"/>
  </r>
  <r>
    <s v="Pooja Patil"/>
    <x v="3"/>
    <x v="3"/>
    <s v="B3"/>
    <s v="Priya"/>
    <x v="2"/>
    <n v="10383"/>
    <s v="DISC10"/>
    <n v="0.1"/>
    <n v="9000"/>
    <d v="2024-02-06T00:00:00"/>
    <n v="10"/>
    <x v="456"/>
  </r>
  <r>
    <s v="Pooja Shah"/>
    <x v="0"/>
    <x v="0"/>
    <s v="B1"/>
    <s v="Saurabh"/>
    <x v="1"/>
    <n v="12188"/>
    <m/>
    <m/>
    <n v="14000"/>
    <d v="2024-01-05T00:00:00"/>
    <n v="0"/>
    <x v="171"/>
  </r>
  <r>
    <s v="Kunal Iyer"/>
    <x v="1"/>
    <x v="1"/>
    <s v="B2"/>
    <s v="Priya"/>
    <x v="0"/>
    <n v="17265"/>
    <m/>
    <m/>
    <n v="17000"/>
    <d v="2024-01-01T00:00:00"/>
    <n v="0"/>
    <x v="457"/>
  </r>
  <r>
    <s v="Pooja Patil"/>
    <x v="1"/>
    <x v="1"/>
    <s v="B3"/>
    <s v="Priya"/>
    <x v="1"/>
    <n v="17550"/>
    <s v="DISC20"/>
    <n v="0.2"/>
    <n v="17000"/>
    <d v="2024-01-30T00:00:00"/>
    <n v="20"/>
    <x v="458"/>
  </r>
  <r>
    <s v="Pooja Joshi"/>
    <x v="3"/>
    <x v="3"/>
    <s v="B1"/>
    <s v="Amit"/>
    <x v="1"/>
    <n v="10114"/>
    <s v="DISC20"/>
    <n v="0.2"/>
    <n v="9000"/>
    <d v="2024-01-10T00:00:00"/>
    <n v="20"/>
    <x v="459"/>
  </r>
  <r>
    <s v="Aarav Verma"/>
    <x v="0"/>
    <x v="0"/>
    <s v="B1"/>
    <s v="Amit"/>
    <x v="2"/>
    <n v="14604"/>
    <s v="DISC10"/>
    <n v="0.1"/>
    <n v="14000"/>
    <d v="2024-03-01T00:00:00"/>
    <n v="10"/>
    <x v="460"/>
  </r>
  <r>
    <s v="Pooja Kulkarni"/>
    <x v="3"/>
    <x v="3"/>
    <s v="B3"/>
    <s v="Amit"/>
    <x v="2"/>
    <n v="7425"/>
    <s v="DISC20"/>
    <n v="0.2"/>
    <n v="9000"/>
    <d v="2024-02-03T00:00:00"/>
    <n v="20"/>
    <x v="461"/>
  </r>
  <r>
    <s v="Sneha Verma"/>
    <x v="3"/>
    <x v="3"/>
    <s v="B1"/>
    <s v="Saurabh"/>
    <x v="1"/>
    <n v="8146"/>
    <s v="DISC10"/>
    <n v="0.1"/>
    <n v="9000"/>
    <d v="2024-01-03T00:00:00"/>
    <n v="10"/>
    <x v="462"/>
  </r>
  <r>
    <s v="Kunal Patil"/>
    <x v="3"/>
    <x v="3"/>
    <s v="B3"/>
    <s v="Priya"/>
    <x v="2"/>
    <n v="10991"/>
    <s v="DISC10"/>
    <n v="0.1"/>
    <n v="9000"/>
    <d v="2024-02-07T00:00:00"/>
    <n v="10"/>
    <x v="463"/>
  </r>
  <r>
    <s v="Riya Gupta"/>
    <x v="2"/>
    <x v="2"/>
    <s v="B3"/>
    <s v="Priya"/>
    <x v="0"/>
    <n v="13424"/>
    <s v="DISC15"/>
    <m/>
    <n v="13000"/>
    <d v="2024-01-04T00:00:00"/>
    <n v="15"/>
    <x v="464"/>
  </r>
  <r>
    <s v="Rahul Singh"/>
    <x v="2"/>
    <x v="2"/>
    <s v="B1"/>
    <s v="Priya"/>
    <x v="2"/>
    <n v="14485"/>
    <s v="DISC30"/>
    <n v="0.3"/>
    <n v="13000"/>
    <d v="2024-02-29T00:00:00"/>
    <n v="30"/>
    <x v="465"/>
  </r>
  <r>
    <s v="Dev Verma"/>
    <x v="1"/>
    <x v="1"/>
    <s v="B2"/>
    <s v="Priya"/>
    <x v="2"/>
    <n v="15956"/>
    <s v="DISC10"/>
    <n v="0.1"/>
    <n v="17000"/>
    <d v="2024-03-01T00:00:00"/>
    <n v="10"/>
    <x v="466"/>
  </r>
  <r>
    <s v="Sneha Mehta"/>
    <x v="0"/>
    <x v="0"/>
    <s v="B1"/>
    <s v="Saurabh"/>
    <x v="0"/>
    <n v="13841"/>
    <m/>
    <m/>
    <n v="14000"/>
    <d v="2024-01-21T00:00:00"/>
    <n v="0"/>
    <x v="467"/>
  </r>
  <r>
    <s v="Rahul Shah"/>
    <x v="1"/>
    <x v="1"/>
    <s v="B1"/>
    <s v="Priya"/>
    <x v="2"/>
    <n v="16897"/>
    <s v="DISC30"/>
    <n v="0.3"/>
    <n v="17000"/>
    <d v="2024-02-24T00:00:00"/>
    <n v="30"/>
    <x v="468"/>
  </r>
  <r>
    <s v="Riya Shah"/>
    <x v="2"/>
    <x v="2"/>
    <s v="B3"/>
    <s v="Priya"/>
    <x v="1"/>
    <n v="13854"/>
    <s v="DISC15"/>
    <m/>
    <n v="13000"/>
    <d v="2024-01-03T00:00:00"/>
    <n v="15"/>
    <x v="469"/>
  </r>
  <r>
    <s v="Sneha Nair"/>
    <x v="1"/>
    <x v="1"/>
    <s v="B1"/>
    <s v="Saurabh"/>
    <x v="1"/>
    <n v="16016"/>
    <s v="DISC30"/>
    <n v="0.3"/>
    <n v="17000"/>
    <d v="2024-01-26T00:00:00"/>
    <n v="30"/>
    <x v="470"/>
  </r>
  <r>
    <s v="Manish Kulkarni"/>
    <x v="1"/>
    <x v="1"/>
    <s v="B2"/>
    <s v="Saurabh"/>
    <x v="0"/>
    <n v="18899"/>
    <m/>
    <m/>
    <n v="17000"/>
    <d v="2024-02-24T00:00:00"/>
    <n v="0"/>
    <x v="471"/>
  </r>
  <r>
    <s v="Neha Gupta"/>
    <x v="2"/>
    <x v="2"/>
    <s v="B1"/>
    <s v="Priya"/>
    <x v="0"/>
    <n v="14292"/>
    <s v="DISC20"/>
    <n v="0.2"/>
    <n v="13000"/>
    <d v="2024-01-08T00:00:00"/>
    <n v="20"/>
    <x v="472"/>
  </r>
  <r>
    <s v="Aarav Kulkarni"/>
    <x v="2"/>
    <x v="2"/>
    <s v="B1"/>
    <s v="Saurabh"/>
    <x v="2"/>
    <n v="12524"/>
    <s v="DISC10"/>
    <n v="0.1"/>
    <n v="13000"/>
    <d v="2024-02-07T00:00:00"/>
    <n v="10"/>
    <x v="473"/>
  </r>
  <r>
    <s v="Kavita Rao"/>
    <x v="0"/>
    <x v="0"/>
    <s v="B1"/>
    <s v="Saurabh"/>
    <x v="0"/>
    <n v="15696"/>
    <m/>
    <m/>
    <n v="14000"/>
    <d v="2024-02-21T00:00:00"/>
    <n v="0"/>
    <x v="474"/>
  </r>
  <r>
    <s v="Karan Shah"/>
    <x v="1"/>
    <x v="1"/>
    <s v="B1"/>
    <s v="Saurabh"/>
    <x v="2"/>
    <n v="15207"/>
    <s v="DISC20"/>
    <n v="0.2"/>
    <n v="17000"/>
    <d v="2024-02-29T00:00:00"/>
    <n v="20"/>
    <x v="475"/>
  </r>
  <r>
    <s v="Kavita Verma"/>
    <x v="3"/>
    <x v="3"/>
    <s v="B2"/>
    <s v="Saurabh"/>
    <x v="2"/>
    <n v="9798"/>
    <m/>
    <m/>
    <n v="9000"/>
    <d v="2024-01-12T00:00:00"/>
    <n v="0"/>
    <x v="476"/>
  </r>
  <r>
    <s v="Pooja Patil"/>
    <x v="2"/>
    <x v="2"/>
    <s v="B2"/>
    <s v="Priya"/>
    <x v="2"/>
    <n v="14618"/>
    <s v="DISC20"/>
    <n v="0.2"/>
    <n v="13000"/>
    <d v="2024-01-03T00:00:00"/>
    <n v="20"/>
    <x v="477"/>
  </r>
  <r>
    <s v="Kavita Joshi"/>
    <x v="2"/>
    <x v="2"/>
    <s v="B3"/>
    <s v="Priya"/>
    <x v="2"/>
    <n v="12687"/>
    <s v="DISC15"/>
    <m/>
    <n v="13000"/>
    <d v="2024-01-31T00:00:00"/>
    <n v="15"/>
    <x v="478"/>
  </r>
  <r>
    <s v="Aarav Shah"/>
    <x v="1"/>
    <x v="1"/>
    <s v="B2"/>
    <s v="Saurabh"/>
    <x v="2"/>
    <n v="15816"/>
    <s v="DISC15"/>
    <m/>
    <n v="17000"/>
    <d v="2024-01-16T00:00:00"/>
    <n v="15"/>
    <x v="479"/>
  </r>
  <r>
    <s v="Rohit Patel"/>
    <x v="0"/>
    <x v="0"/>
    <s v="B2"/>
    <s v="Amit"/>
    <x v="2"/>
    <n v="13964"/>
    <s v="DISC15"/>
    <m/>
    <n v="14000"/>
    <d v="2024-02-20T00:00:00"/>
    <n v="15"/>
    <x v="480"/>
  </r>
  <r>
    <s v="Neha Jain"/>
    <x v="1"/>
    <x v="1"/>
    <s v="B2"/>
    <s v="Priya"/>
    <x v="0"/>
    <n v="15106"/>
    <s v="DISC30"/>
    <n v="0.3"/>
    <n v="17000"/>
    <d v="2024-02-08T00:00:00"/>
    <n v="30"/>
    <x v="481"/>
  </r>
  <r>
    <s v="Sneha Kulkarni"/>
    <x v="1"/>
    <x v="1"/>
    <s v="B1"/>
    <s v="Priya"/>
    <x v="1"/>
    <n v="16464"/>
    <s v="DISC15"/>
    <m/>
    <n v="17000"/>
    <d v="2024-01-15T00:00:00"/>
    <n v="15"/>
    <x v="482"/>
  </r>
  <r>
    <s v="Karan Shah"/>
    <x v="2"/>
    <x v="2"/>
    <s v="B3"/>
    <s v="Saurabh"/>
    <x v="2"/>
    <n v="13185"/>
    <s v="DISC10"/>
    <n v="0.1"/>
    <n v="13000"/>
    <d v="2024-02-18T00:00:00"/>
    <n v="10"/>
    <x v="483"/>
  </r>
  <r>
    <s v="Sneha Joshi"/>
    <x v="3"/>
    <x v="3"/>
    <s v="B2"/>
    <s v="Saurabh"/>
    <x v="0"/>
    <n v="7968"/>
    <s v="DISC15"/>
    <m/>
    <n v="9000"/>
    <d v="2024-01-21T00:00:00"/>
    <n v="15"/>
    <x v="484"/>
  </r>
  <r>
    <s v="Dev Desai"/>
    <x v="1"/>
    <x v="1"/>
    <s v="B3"/>
    <s v="Saurabh"/>
    <x v="1"/>
    <n v="17869"/>
    <s v="DISC30"/>
    <n v="0.3"/>
    <n v="17000"/>
    <d v="2024-03-01T00:00:00"/>
    <n v="30"/>
    <x v="485"/>
  </r>
  <r>
    <s v="Kavita Joshi"/>
    <x v="2"/>
    <x v="2"/>
    <s v="B3"/>
    <s v="Saurabh"/>
    <x v="2"/>
    <n v="13220"/>
    <s v="DISC30"/>
    <n v="0.3"/>
    <n v="13000"/>
    <d v="2024-01-12T00:00:00"/>
    <n v="30"/>
    <x v="486"/>
  </r>
  <r>
    <s v="Neha Kulkarni"/>
    <x v="0"/>
    <x v="0"/>
    <s v="B1"/>
    <s v="Saurabh"/>
    <x v="1"/>
    <n v="12896"/>
    <s v="DISC10"/>
    <n v="0.1"/>
    <n v="14000"/>
    <d v="2024-02-03T00:00:00"/>
    <n v="10"/>
    <x v="487"/>
  </r>
  <r>
    <s v="Neha Kulkarni"/>
    <x v="1"/>
    <x v="1"/>
    <s v="B3"/>
    <s v="Saurabh"/>
    <x v="0"/>
    <n v="16395"/>
    <s v="DISC20"/>
    <n v="0.2"/>
    <n v="17000"/>
    <d v="2024-02-28T00:00:00"/>
    <n v="20"/>
    <x v="488"/>
  </r>
  <r>
    <s v="Dev Nair"/>
    <x v="1"/>
    <x v="1"/>
    <s v="B1"/>
    <s v="Saurabh"/>
    <x v="0"/>
    <n v="17402"/>
    <s v="DISC20"/>
    <n v="0.2"/>
    <n v="17000"/>
    <d v="2024-02-19T00:00:00"/>
    <n v="20"/>
    <x v="489"/>
  </r>
  <r>
    <s v="Riya Nair"/>
    <x v="1"/>
    <x v="1"/>
    <s v="B1"/>
    <s v="Priya"/>
    <x v="1"/>
    <n v="18858"/>
    <m/>
    <m/>
    <n v="17000"/>
    <d v="2024-02-07T00:00:00"/>
    <n v="0"/>
    <x v="490"/>
  </r>
  <r>
    <s v="Riya Jain"/>
    <x v="1"/>
    <x v="1"/>
    <s v="B2"/>
    <s v="Saurabh"/>
    <x v="0"/>
    <n v="17999"/>
    <m/>
    <m/>
    <n v="17000"/>
    <d v="2024-02-20T00:00:00"/>
    <n v="0"/>
    <x v="491"/>
  </r>
  <r>
    <s v="Rohit Iyer"/>
    <x v="1"/>
    <x v="1"/>
    <s v="B1"/>
    <s v="Amit"/>
    <x v="1"/>
    <n v="17840"/>
    <s v="DISC15"/>
    <m/>
    <n v="17000"/>
    <d v="2024-02-20T00:00:00"/>
    <n v="15"/>
    <x v="492"/>
  </r>
  <r>
    <s v="Pooja Patil"/>
    <x v="2"/>
    <x v="2"/>
    <s v="B2"/>
    <s v="Priya"/>
    <x v="1"/>
    <n v="13820"/>
    <s v="DISC30"/>
    <n v="0.3"/>
    <n v="13000"/>
    <d v="2024-01-09T00:00:00"/>
    <n v="30"/>
    <x v="493"/>
  </r>
  <r>
    <s v="Karan Desai"/>
    <x v="0"/>
    <x v="0"/>
    <s v="B3"/>
    <s v="Amit"/>
    <x v="2"/>
    <n v="15484"/>
    <s v="DISC15"/>
    <m/>
    <n v="14000"/>
    <d v="2024-01-03T00:00:00"/>
    <n v="15"/>
    <x v="494"/>
  </r>
  <r>
    <s v="Karan Joshi"/>
    <x v="1"/>
    <x v="1"/>
    <s v="B3"/>
    <s v="Saurabh"/>
    <x v="1"/>
    <n v="17316"/>
    <s v="DISC10"/>
    <n v="0.1"/>
    <n v="17000"/>
    <d v="2024-02-29T00:00:00"/>
    <n v="10"/>
    <x v="495"/>
  </r>
  <r>
    <s v="Neha Mehta"/>
    <x v="1"/>
    <x v="1"/>
    <s v="B3"/>
    <s v="Saurabh"/>
    <x v="0"/>
    <n v="16420"/>
    <s v="DISC30"/>
    <n v="0.3"/>
    <n v="17000"/>
    <d v="2024-01-11T00:00:00"/>
    <n v="30"/>
    <x v="496"/>
  </r>
  <r>
    <s v="Rohit Shah"/>
    <x v="1"/>
    <x v="1"/>
    <s v="B2"/>
    <s v="Saurabh"/>
    <x v="2"/>
    <n v="15858"/>
    <s v="DISC20"/>
    <n v="0.2"/>
    <n v="17000"/>
    <d v="2024-02-14T00:00:00"/>
    <n v="20"/>
    <x v="497"/>
  </r>
  <r>
    <s v="Riya Jain"/>
    <x v="1"/>
    <x v="1"/>
    <s v="B1"/>
    <s v="Amit"/>
    <x v="0"/>
    <n v="15197"/>
    <m/>
    <m/>
    <n v="17000"/>
    <d v="2024-01-29T00:00:00"/>
    <n v="0"/>
    <x v="498"/>
  </r>
  <r>
    <s v="Anjali Verma"/>
    <x v="2"/>
    <x v="2"/>
    <s v="B2"/>
    <s v="Priya"/>
    <x v="2"/>
    <n v="12438"/>
    <s v="DISC15"/>
    <m/>
    <n v="13000"/>
    <d v="2024-01-25T00:00:00"/>
    <n v="15"/>
    <x v="499"/>
  </r>
  <r>
    <s v="Riya Nair"/>
    <x v="3"/>
    <x v="3"/>
    <s v="B3"/>
    <s v="Amit"/>
    <x v="1"/>
    <n v="7923"/>
    <s v="DISC20"/>
    <n v="0.2"/>
    <n v="9000"/>
    <d v="2024-01-29T00:00:00"/>
    <n v="20"/>
    <x v="500"/>
  </r>
  <r>
    <s v="Riya Patel"/>
    <x v="0"/>
    <x v="0"/>
    <s v="B2"/>
    <s v="Saurabh"/>
    <x v="2"/>
    <n v="13069"/>
    <s v="DISC10"/>
    <n v="0.1"/>
    <n v="14000"/>
    <d v="2024-01-05T00:00:00"/>
    <n v="10"/>
    <x v="501"/>
  </r>
  <r>
    <s v="Pooja Mehta"/>
    <x v="3"/>
    <x v="3"/>
    <s v="B1"/>
    <s v="Amit"/>
    <x v="0"/>
    <n v="9240"/>
    <s v="DISC10"/>
    <n v="0.1"/>
    <n v="9000"/>
    <d v="2024-01-22T00:00:00"/>
    <n v="10"/>
    <x v="502"/>
  </r>
  <r>
    <s v="Kavita Joshi"/>
    <x v="3"/>
    <x v="3"/>
    <s v="B3"/>
    <s v="Saurabh"/>
    <x v="2"/>
    <n v="10860"/>
    <s v="DISC20"/>
    <n v="0.2"/>
    <n v="9000"/>
    <d v="2024-02-08T00:00:00"/>
    <n v="20"/>
    <x v="503"/>
  </r>
  <r>
    <s v="Kunal Verma"/>
    <x v="2"/>
    <x v="2"/>
    <s v="B1"/>
    <s v="Saurabh"/>
    <x v="2"/>
    <n v="11841"/>
    <s v="DISC20"/>
    <n v="0.2"/>
    <n v="13000"/>
    <d v="2024-01-27T00:00:00"/>
    <n v="20"/>
    <x v="504"/>
  </r>
  <r>
    <s v="Anjali Gupta"/>
    <x v="1"/>
    <x v="1"/>
    <s v="B3"/>
    <s v="Priya"/>
    <x v="2"/>
    <n v="15972"/>
    <s v="DISC10"/>
    <n v="0.1"/>
    <n v="17000"/>
    <d v="2024-01-04T00:00:00"/>
    <n v="10"/>
    <x v="505"/>
  </r>
  <r>
    <s v="Rahul Joshi"/>
    <x v="3"/>
    <x v="3"/>
    <s v="B1"/>
    <s v="Saurabh"/>
    <x v="2"/>
    <n v="7015"/>
    <m/>
    <m/>
    <n v="9000"/>
    <d v="2024-01-06T00:00:00"/>
    <n v="0"/>
    <x v="506"/>
  </r>
  <r>
    <s v="Aditya Nair"/>
    <x v="3"/>
    <x v="3"/>
    <s v="B1"/>
    <s v="Saurabh"/>
    <x v="0"/>
    <n v="7847"/>
    <s v="DISC20"/>
    <n v="0.2"/>
    <n v="9000"/>
    <d v="2024-02-10T00:00:00"/>
    <n v="20"/>
    <x v="507"/>
  </r>
  <r>
    <s v="Aditya Shah"/>
    <x v="3"/>
    <x v="3"/>
    <s v="B1"/>
    <s v="Priya"/>
    <x v="2"/>
    <n v="8928"/>
    <m/>
    <m/>
    <n v="9000"/>
    <d v="2024-02-27T00:00:00"/>
    <n v="0"/>
    <x v="508"/>
  </r>
  <r>
    <s v="Rohit Rao"/>
    <x v="0"/>
    <x v="0"/>
    <s v="B3"/>
    <s v="Amit"/>
    <x v="2"/>
    <n v="12757"/>
    <s v="DISC30"/>
    <n v="0.3"/>
    <n v="14000"/>
    <d v="2024-02-26T00:00:00"/>
    <n v="30"/>
    <x v="509"/>
  </r>
  <r>
    <s v="Rahul Jain"/>
    <x v="2"/>
    <x v="2"/>
    <s v="B2"/>
    <s v="Saurabh"/>
    <x v="2"/>
    <n v="12801"/>
    <m/>
    <m/>
    <n v="13000"/>
    <d v="2024-01-17T00:00:00"/>
    <n v="0"/>
    <x v="510"/>
  </r>
  <r>
    <s v="Sneha Nair"/>
    <x v="1"/>
    <x v="1"/>
    <s v="B3"/>
    <s v="Saurabh"/>
    <x v="0"/>
    <n v="18081"/>
    <s v="DISC10"/>
    <n v="0.1"/>
    <n v="17000"/>
    <d v="2024-01-06T00:00:00"/>
    <n v="10"/>
    <x v="511"/>
  </r>
  <r>
    <s v="Rohit Jain"/>
    <x v="3"/>
    <x v="3"/>
    <s v="B3"/>
    <s v="Saurabh"/>
    <x v="1"/>
    <n v="7249"/>
    <m/>
    <m/>
    <n v="9000"/>
    <d v="2024-02-22T00:00:00"/>
    <n v="0"/>
    <x v="512"/>
  </r>
  <r>
    <s v="Manish Verma"/>
    <x v="3"/>
    <x v="3"/>
    <s v="B3"/>
    <s v="Saurabh"/>
    <x v="2"/>
    <n v="8224"/>
    <s v="DISC10"/>
    <n v="0.1"/>
    <n v="9000"/>
    <d v="2024-01-26T00:00:00"/>
    <n v="10"/>
    <x v="513"/>
  </r>
  <r>
    <s v="Kunal Nair"/>
    <x v="0"/>
    <x v="0"/>
    <s v="B3"/>
    <s v="Amit"/>
    <x v="1"/>
    <n v="15278"/>
    <s v="DISC15"/>
    <m/>
    <n v="14000"/>
    <d v="2024-02-13T00:00:00"/>
    <n v="15"/>
    <x v="514"/>
  </r>
  <r>
    <s v="Kavita Mehta"/>
    <x v="0"/>
    <x v="0"/>
    <s v="B2"/>
    <s v="Saurabh"/>
    <x v="0"/>
    <n v="15981"/>
    <s v="DISC20"/>
    <n v="0.2"/>
    <n v="14000"/>
    <d v="2024-02-21T00:00:00"/>
    <n v="20"/>
    <x v="515"/>
  </r>
  <r>
    <s v="Sneha Mehta"/>
    <x v="0"/>
    <x v="0"/>
    <s v="B2"/>
    <s v="Saurabh"/>
    <x v="1"/>
    <n v="13783"/>
    <s v="DISC20"/>
    <n v="0.2"/>
    <n v="14000"/>
    <d v="2024-02-22T00:00:00"/>
    <n v="20"/>
    <x v="516"/>
  </r>
  <r>
    <s v="Rohit Mehta"/>
    <x v="1"/>
    <x v="1"/>
    <s v="B2"/>
    <s v="Amit"/>
    <x v="0"/>
    <n v="15356"/>
    <m/>
    <m/>
    <n v="17000"/>
    <d v="2024-02-05T00:00:00"/>
    <n v="0"/>
    <x v="517"/>
  </r>
  <r>
    <s v="Rahul Gupta"/>
    <x v="1"/>
    <x v="1"/>
    <s v="B2"/>
    <s v="Amit"/>
    <x v="2"/>
    <n v="18756"/>
    <s v="DISC10"/>
    <n v="0.1"/>
    <n v="17000"/>
    <d v="2024-02-20T00:00:00"/>
    <n v="10"/>
    <x v="518"/>
  </r>
  <r>
    <s v="Anjali Joshi"/>
    <x v="3"/>
    <x v="3"/>
    <s v="B1"/>
    <s v="Priya"/>
    <x v="0"/>
    <n v="7607"/>
    <s v="DISC15"/>
    <m/>
    <n v="9000"/>
    <d v="2024-02-07T00:00:00"/>
    <n v="15"/>
    <x v="519"/>
  </r>
  <r>
    <s v="Kavita Patel"/>
    <x v="0"/>
    <x v="0"/>
    <s v="B1"/>
    <s v="Amit"/>
    <x v="0"/>
    <n v="15218"/>
    <s v="DISC30"/>
    <n v="0.3"/>
    <n v="14000"/>
    <d v="2024-02-25T00:00:00"/>
    <n v="30"/>
    <x v="520"/>
  </r>
  <r>
    <s v="Manish Jain"/>
    <x v="3"/>
    <x v="3"/>
    <s v="B2"/>
    <s v="Priya"/>
    <x v="1"/>
    <n v="8988"/>
    <s v="DISC15"/>
    <m/>
    <n v="9000"/>
    <d v="2024-02-08T00:00:00"/>
    <n v="15"/>
    <x v="521"/>
  </r>
  <r>
    <s v="Neha Kulkarni"/>
    <x v="2"/>
    <x v="2"/>
    <s v="B2"/>
    <s v="Priya"/>
    <x v="0"/>
    <n v="13532"/>
    <s v="DISC15"/>
    <m/>
    <n v="13000"/>
    <d v="2024-02-13T00:00:00"/>
    <n v="15"/>
    <x v="522"/>
  </r>
  <r>
    <s v="Anjali Verma"/>
    <x v="0"/>
    <x v="0"/>
    <s v="B2"/>
    <s v="Priya"/>
    <x v="1"/>
    <n v="12973"/>
    <s v="DISC10"/>
    <n v="0.1"/>
    <n v="14000"/>
    <d v="2024-02-17T00:00:00"/>
    <n v="10"/>
    <x v="523"/>
  </r>
  <r>
    <s v="Neha Rao"/>
    <x v="1"/>
    <x v="1"/>
    <s v="B1"/>
    <s v="Priya"/>
    <x v="2"/>
    <n v="16273"/>
    <s v="DISC30"/>
    <n v="0.3"/>
    <n v="17000"/>
    <d v="2024-02-23T00:00:00"/>
    <n v="30"/>
    <x v="524"/>
  </r>
  <r>
    <s v="Neha Nair"/>
    <x v="0"/>
    <x v="0"/>
    <s v="B1"/>
    <s v="Saurabh"/>
    <x v="2"/>
    <n v="15990"/>
    <m/>
    <m/>
    <n v="14000"/>
    <d v="2024-02-19T00:00:00"/>
    <n v="0"/>
    <x v="525"/>
  </r>
  <r>
    <s v="Meera Jain"/>
    <x v="1"/>
    <x v="1"/>
    <s v="B3"/>
    <s v="Priya"/>
    <x v="1"/>
    <n v="17644"/>
    <s v="DISC10"/>
    <n v="0.1"/>
    <n v="17000"/>
    <d v="2024-01-13T00:00:00"/>
    <n v="10"/>
    <x v="526"/>
  </r>
  <r>
    <s v="Neha Patil"/>
    <x v="3"/>
    <x v="3"/>
    <s v="B3"/>
    <s v="Priya"/>
    <x v="1"/>
    <n v="10552"/>
    <s v="DISC30"/>
    <n v="0.3"/>
    <n v="9000"/>
    <d v="2024-02-22T00:00:00"/>
    <n v="30"/>
    <x v="527"/>
  </r>
  <r>
    <s v="Aarav Gupta"/>
    <x v="2"/>
    <x v="2"/>
    <s v="B1"/>
    <s v="Priya"/>
    <x v="1"/>
    <n v="13075"/>
    <m/>
    <m/>
    <n v="13000"/>
    <d v="2024-01-09T00:00:00"/>
    <n v="0"/>
    <x v="528"/>
  </r>
  <r>
    <s v="Dev Nair"/>
    <x v="0"/>
    <x v="0"/>
    <s v="B1"/>
    <s v="Saurabh"/>
    <x v="0"/>
    <n v="15428"/>
    <s v="DISC10"/>
    <n v="0.1"/>
    <n v="14000"/>
    <d v="2024-01-16T00:00:00"/>
    <n v="10"/>
    <x v="529"/>
  </r>
  <r>
    <s v="Aarav Iyer"/>
    <x v="0"/>
    <x v="0"/>
    <s v="B2"/>
    <s v="Amit"/>
    <x v="0"/>
    <n v="13122"/>
    <s v="DISC30"/>
    <n v="0.3"/>
    <n v="14000"/>
    <d v="2024-02-22T00:00:00"/>
    <n v="30"/>
    <x v="530"/>
  </r>
  <r>
    <s v="Neha Gupta"/>
    <x v="3"/>
    <x v="3"/>
    <s v="B3"/>
    <s v="Saurabh"/>
    <x v="1"/>
    <n v="7125"/>
    <s v="DISC20"/>
    <n v="0.2"/>
    <n v="9000"/>
    <d v="2024-01-24T00:00:00"/>
    <n v="20"/>
    <x v="531"/>
  </r>
  <r>
    <s v="Neha Joshi"/>
    <x v="3"/>
    <x v="3"/>
    <s v="B1"/>
    <s v="Priya"/>
    <x v="1"/>
    <n v="9258"/>
    <s v="DISC30"/>
    <n v="0.3"/>
    <n v="9000"/>
    <d v="2024-01-23T00:00:00"/>
    <n v="30"/>
    <x v="532"/>
  </r>
  <r>
    <s v="Karan Nair"/>
    <x v="1"/>
    <x v="1"/>
    <s v="B3"/>
    <s v="Amit"/>
    <x v="0"/>
    <n v="16167"/>
    <s v="DISC10"/>
    <n v="0.1"/>
    <n v="17000"/>
    <d v="2024-01-25T00:00:00"/>
    <n v="10"/>
    <x v="533"/>
  </r>
  <r>
    <s v="Aarav Mehta"/>
    <x v="2"/>
    <x v="2"/>
    <s v="B1"/>
    <s v="Amit"/>
    <x v="0"/>
    <n v="13775"/>
    <s v="DISC20"/>
    <n v="0.2"/>
    <n v="13000"/>
    <d v="2024-01-18T00:00:00"/>
    <n v="20"/>
    <x v="534"/>
  </r>
  <r>
    <s v="Rohit Verma"/>
    <x v="0"/>
    <x v="0"/>
    <s v="B3"/>
    <s v="Saurabh"/>
    <x v="2"/>
    <n v="15733"/>
    <s v="DISC20"/>
    <n v="0.2"/>
    <n v="14000"/>
    <d v="2024-02-11T00:00:00"/>
    <n v="20"/>
    <x v="535"/>
  </r>
  <r>
    <s v="Karan Joshi"/>
    <x v="0"/>
    <x v="0"/>
    <s v="B1"/>
    <s v="Priya"/>
    <x v="1"/>
    <n v="15297"/>
    <s v="DISC30"/>
    <n v="0.3"/>
    <n v="14000"/>
    <d v="2024-02-15T00:00:00"/>
    <n v="30"/>
    <x v="536"/>
  </r>
  <r>
    <s v="Anjali Singh"/>
    <x v="1"/>
    <x v="1"/>
    <s v="B2"/>
    <s v="Priya"/>
    <x v="2"/>
    <n v="16880"/>
    <s v="DISC30"/>
    <n v="0.3"/>
    <n v="17000"/>
    <d v="2024-01-14T00:00:00"/>
    <n v="30"/>
    <x v="537"/>
  </r>
  <r>
    <s v="Neha Rao"/>
    <x v="3"/>
    <x v="3"/>
    <s v="B3"/>
    <s v="Saurabh"/>
    <x v="0"/>
    <n v="9095"/>
    <s v="DISC30"/>
    <n v="0.3"/>
    <n v="9000"/>
    <d v="2024-02-05T00:00:00"/>
    <n v="30"/>
    <x v="538"/>
  </r>
  <r>
    <s v="Rohit Joshi"/>
    <x v="1"/>
    <x v="1"/>
    <s v="B2"/>
    <s v="Amit"/>
    <x v="0"/>
    <n v="16973"/>
    <s v="DISC10"/>
    <n v="0.1"/>
    <n v="17000"/>
    <d v="2024-01-22T00:00:00"/>
    <n v="10"/>
    <x v="539"/>
  </r>
  <r>
    <s v="Aditya Singh"/>
    <x v="1"/>
    <x v="1"/>
    <s v="B2"/>
    <s v="Priya"/>
    <x v="1"/>
    <n v="17912"/>
    <s v="DISC30"/>
    <n v="0.3"/>
    <n v="17000"/>
    <d v="2024-01-13T00:00:00"/>
    <n v="30"/>
    <x v="540"/>
  </r>
  <r>
    <s v="Karan Gupta"/>
    <x v="2"/>
    <x v="2"/>
    <s v="B1"/>
    <s v="Amit"/>
    <x v="2"/>
    <n v="13705"/>
    <s v="DISC30"/>
    <n v="0.3"/>
    <n v="13000"/>
    <d v="2024-02-13T00:00:00"/>
    <n v="30"/>
    <x v="541"/>
  </r>
  <r>
    <s v="Karan Desai"/>
    <x v="0"/>
    <x v="0"/>
    <s v="B3"/>
    <s v="Priya"/>
    <x v="2"/>
    <n v="13062"/>
    <m/>
    <m/>
    <n v="14000"/>
    <d v="2024-01-26T00:00:00"/>
    <n v="0"/>
    <x v="542"/>
  </r>
  <r>
    <s v="Rahul Desai"/>
    <x v="0"/>
    <x v="0"/>
    <s v="B3"/>
    <s v="Amit"/>
    <x v="1"/>
    <n v="15342"/>
    <s v="DISC20"/>
    <n v="0.2"/>
    <n v="14000"/>
    <d v="2024-01-22T00:00:00"/>
    <n v="20"/>
    <x v="543"/>
  </r>
  <r>
    <s v="Anjali Desai"/>
    <x v="2"/>
    <x v="2"/>
    <s v="B3"/>
    <s v="Amit"/>
    <x v="1"/>
    <n v="14214"/>
    <m/>
    <m/>
    <n v="13000"/>
    <d v="2024-02-28T00:00:00"/>
    <n v="0"/>
    <x v="544"/>
  </r>
  <r>
    <s v="Rohit Jain"/>
    <x v="1"/>
    <x v="1"/>
    <s v="B1"/>
    <s v="Amit"/>
    <x v="1"/>
    <n v="15741"/>
    <s v="DISC30"/>
    <n v="0.3"/>
    <n v="17000"/>
    <d v="2024-01-07T00:00:00"/>
    <n v="30"/>
    <x v="545"/>
  </r>
  <r>
    <s v="Neha Mehta"/>
    <x v="1"/>
    <x v="1"/>
    <s v="B3"/>
    <s v="Amit"/>
    <x v="0"/>
    <n v="18878"/>
    <s v="DISC30"/>
    <n v="0.3"/>
    <n v="17000"/>
    <d v="2024-02-11T00:00:00"/>
    <n v="30"/>
    <x v="546"/>
  </r>
  <r>
    <s v="Riya Patil"/>
    <x v="1"/>
    <x v="1"/>
    <s v="B1"/>
    <s v="Amit"/>
    <x v="2"/>
    <n v="16722"/>
    <s v="DISC30"/>
    <n v="0.3"/>
    <n v="17000"/>
    <d v="2024-01-24T00:00:00"/>
    <n v="30"/>
    <x v="547"/>
  </r>
  <r>
    <s v="Aditya Joshi"/>
    <x v="1"/>
    <x v="1"/>
    <s v="B2"/>
    <s v="Saurabh"/>
    <x v="2"/>
    <n v="15219"/>
    <s v="DISC15"/>
    <m/>
    <n v="17000"/>
    <d v="2024-02-07T00:00:00"/>
    <n v="15"/>
    <x v="548"/>
  </r>
  <r>
    <s v="Kavita Shah"/>
    <x v="3"/>
    <x v="3"/>
    <s v="B1"/>
    <s v="Amit"/>
    <x v="0"/>
    <n v="10553"/>
    <m/>
    <m/>
    <n v="9000"/>
    <d v="2024-02-03T00:00:00"/>
    <n v="0"/>
    <x v="549"/>
  </r>
  <r>
    <s v="Aditya Verma"/>
    <x v="0"/>
    <x v="0"/>
    <s v="B1"/>
    <s v="Saurabh"/>
    <x v="0"/>
    <n v="13403"/>
    <m/>
    <m/>
    <n v="14000"/>
    <d v="2024-02-06T00:00:00"/>
    <n v="0"/>
    <x v="550"/>
  </r>
  <r>
    <s v="Kunal Iyer"/>
    <x v="2"/>
    <x v="2"/>
    <s v="B2"/>
    <s v="Amit"/>
    <x v="0"/>
    <n v="14190"/>
    <s v="DISC10"/>
    <n v="0.1"/>
    <n v="13000"/>
    <d v="2024-02-01T00:00:00"/>
    <n v="10"/>
    <x v="551"/>
  </r>
  <r>
    <s v="Pooja Singh"/>
    <x v="2"/>
    <x v="2"/>
    <s v="B2"/>
    <s v="Amit"/>
    <x v="0"/>
    <n v="11019"/>
    <m/>
    <m/>
    <n v="13000"/>
    <d v="2024-01-18T00:00:00"/>
    <n v="0"/>
    <x v="552"/>
  </r>
  <r>
    <s v="Sneha Patel"/>
    <x v="2"/>
    <x v="2"/>
    <s v="B3"/>
    <s v="Saurabh"/>
    <x v="2"/>
    <n v="14216"/>
    <s v="DISC10"/>
    <n v="0.1"/>
    <n v="13000"/>
    <d v="2024-01-09T00:00:00"/>
    <n v="10"/>
    <x v="553"/>
  </r>
  <r>
    <s v="Kavita Verma"/>
    <x v="3"/>
    <x v="3"/>
    <s v="B2"/>
    <s v="Priya"/>
    <x v="2"/>
    <n v="8570"/>
    <s v="DISC10"/>
    <n v="0.1"/>
    <n v="9000"/>
    <d v="2024-01-03T00:00:00"/>
    <n v="10"/>
    <x v="554"/>
  </r>
  <r>
    <s v="Manish Patil"/>
    <x v="1"/>
    <x v="1"/>
    <s v="B1"/>
    <s v="Priya"/>
    <x v="1"/>
    <n v="15780"/>
    <s v="DISC10"/>
    <n v="0.1"/>
    <n v="17000"/>
    <d v="2024-02-13T00:00:00"/>
    <n v="10"/>
    <x v="555"/>
  </r>
  <r>
    <s v="Aarav Singh"/>
    <x v="2"/>
    <x v="2"/>
    <s v="B1"/>
    <s v="Amit"/>
    <x v="2"/>
    <n v="12278"/>
    <s v="DISC20"/>
    <n v="0.2"/>
    <n v="13000"/>
    <d v="2024-01-07T00:00:00"/>
    <n v="20"/>
    <x v="556"/>
  </r>
  <r>
    <s v="Rahul Gupta"/>
    <x v="1"/>
    <x v="1"/>
    <s v="B1"/>
    <s v="Saurabh"/>
    <x v="0"/>
    <n v="16221"/>
    <s v="DISC30"/>
    <n v="0.3"/>
    <n v="17000"/>
    <d v="2024-01-30T00:00:00"/>
    <n v="30"/>
    <x v="557"/>
  </r>
  <r>
    <s v="Anjali Gupta"/>
    <x v="1"/>
    <x v="1"/>
    <s v="B2"/>
    <s v="Amit"/>
    <x v="0"/>
    <n v="16403"/>
    <m/>
    <m/>
    <n v="17000"/>
    <d v="2024-01-23T00:00:00"/>
    <n v="0"/>
    <x v="558"/>
  </r>
  <r>
    <s v="Dev Patil"/>
    <x v="2"/>
    <x v="2"/>
    <s v="B2"/>
    <s v="Saurabh"/>
    <x v="0"/>
    <n v="11918"/>
    <s v="DISC20"/>
    <n v="0.2"/>
    <n v="13000"/>
    <d v="2024-01-14T00:00:00"/>
    <n v="20"/>
    <x v="559"/>
  </r>
  <r>
    <s v="Anjali Kulkarni"/>
    <x v="2"/>
    <x v="2"/>
    <s v="B1"/>
    <s v="Priya"/>
    <x v="1"/>
    <n v="13664"/>
    <s v="DISC10"/>
    <n v="0.1"/>
    <n v="13000"/>
    <d v="2024-01-25T00:00:00"/>
    <n v="10"/>
    <x v="560"/>
  </r>
  <r>
    <s v="Kunal Singh"/>
    <x v="1"/>
    <x v="1"/>
    <s v="B3"/>
    <s v="Amit"/>
    <x v="0"/>
    <n v="17432"/>
    <s v="DISC10"/>
    <n v="0.1"/>
    <n v="17000"/>
    <d v="2024-02-12T00:00:00"/>
    <n v="10"/>
    <x v="561"/>
  </r>
  <r>
    <s v="Riya Singh"/>
    <x v="0"/>
    <x v="0"/>
    <s v="B1"/>
    <s v="Amit"/>
    <x v="0"/>
    <n v="13707"/>
    <m/>
    <m/>
    <n v="14000"/>
    <d v="2024-01-25T00:00:00"/>
    <n v="0"/>
    <x v="562"/>
  </r>
  <r>
    <s v="Riya Gupta"/>
    <x v="1"/>
    <x v="1"/>
    <s v="B2"/>
    <s v="Amit"/>
    <x v="0"/>
    <n v="15841"/>
    <s v="DISC10"/>
    <n v="0.1"/>
    <n v="17000"/>
    <d v="2024-01-20T00:00:00"/>
    <n v="10"/>
    <x v="563"/>
  </r>
  <r>
    <s v="Rahul Singh"/>
    <x v="0"/>
    <x v="0"/>
    <s v="B3"/>
    <s v="Amit"/>
    <x v="2"/>
    <n v="14550"/>
    <s v="DISC15"/>
    <m/>
    <n v="14000"/>
    <d v="2024-02-14T00:00:00"/>
    <n v="15"/>
    <x v="564"/>
  </r>
  <r>
    <s v="Karan Verma"/>
    <x v="0"/>
    <x v="0"/>
    <s v="B3"/>
    <s v="Amit"/>
    <x v="1"/>
    <n v="12482"/>
    <s v="DISC30"/>
    <n v="0.3"/>
    <n v="14000"/>
    <d v="2024-01-08T00:00:00"/>
    <n v="30"/>
    <x v="565"/>
  </r>
  <r>
    <s v="Dev Shah"/>
    <x v="3"/>
    <x v="3"/>
    <s v="B1"/>
    <s v="Amit"/>
    <x v="0"/>
    <n v="10186"/>
    <s v="DISC30"/>
    <n v="0.3"/>
    <n v="9000"/>
    <d v="2024-02-23T00:00:00"/>
    <n v="30"/>
    <x v="566"/>
  </r>
  <r>
    <s v="Manish Patil"/>
    <x v="1"/>
    <x v="1"/>
    <s v="B3"/>
    <s v="Priya"/>
    <x v="2"/>
    <n v="15656"/>
    <s v="DISC10"/>
    <n v="0.1"/>
    <n v="17000"/>
    <d v="2024-02-05T00:00:00"/>
    <n v="10"/>
    <x v="567"/>
  </r>
  <r>
    <s v="Neha Patil"/>
    <x v="3"/>
    <x v="3"/>
    <s v="B2"/>
    <s v="Saurabh"/>
    <x v="0"/>
    <n v="7052"/>
    <s v="DISC10"/>
    <n v="0.1"/>
    <n v="9000"/>
    <d v="2024-02-28T00:00:00"/>
    <n v="10"/>
    <x v="568"/>
  </r>
  <r>
    <s v="Riya Nair"/>
    <x v="3"/>
    <x v="3"/>
    <s v="B1"/>
    <s v="Saurabh"/>
    <x v="1"/>
    <n v="7307"/>
    <s v="DISC10"/>
    <n v="0.1"/>
    <n v="9000"/>
    <d v="2024-02-27T00:00:00"/>
    <n v="10"/>
    <x v="569"/>
  </r>
  <r>
    <s v="Aditya Singh"/>
    <x v="2"/>
    <x v="2"/>
    <s v="B2"/>
    <s v="Priya"/>
    <x v="2"/>
    <n v="12901"/>
    <s v="DISC10"/>
    <n v="0.1"/>
    <n v="13000"/>
    <d v="2024-01-07T00:00:00"/>
    <n v="10"/>
    <x v="570"/>
  </r>
  <r>
    <s v="Meera Mehta"/>
    <x v="0"/>
    <x v="0"/>
    <s v="B2"/>
    <s v="Priya"/>
    <x v="1"/>
    <n v="13280"/>
    <m/>
    <m/>
    <n v="14000"/>
    <d v="2024-02-17T00:00:00"/>
    <n v="0"/>
    <x v="571"/>
  </r>
  <r>
    <s v="Riya Shah"/>
    <x v="0"/>
    <x v="0"/>
    <s v="B1"/>
    <s v="Saurabh"/>
    <x v="1"/>
    <n v="14650"/>
    <s v="DISC20"/>
    <n v="0.2"/>
    <n v="14000"/>
    <d v="2024-01-22T00:00:00"/>
    <n v="20"/>
    <x v="572"/>
  </r>
  <r>
    <s v="Pooja Iyer"/>
    <x v="1"/>
    <x v="1"/>
    <s v="B3"/>
    <s v="Saurabh"/>
    <x v="2"/>
    <n v="18338"/>
    <s v="DISC30"/>
    <n v="0.3"/>
    <n v="17000"/>
    <d v="2024-01-12T00:00:00"/>
    <n v="30"/>
    <x v="573"/>
  </r>
  <r>
    <s v="Riya Verma"/>
    <x v="3"/>
    <x v="3"/>
    <s v="B2"/>
    <s v="Priya"/>
    <x v="2"/>
    <n v="9825"/>
    <m/>
    <m/>
    <n v="9000"/>
    <d v="2024-02-21T00:00:00"/>
    <n v="0"/>
    <x v="574"/>
  </r>
  <r>
    <s v="Rahul Singh"/>
    <x v="2"/>
    <x v="2"/>
    <s v="B1"/>
    <s v="Saurabh"/>
    <x v="1"/>
    <n v="13975"/>
    <s v="DISC10"/>
    <n v="0.1"/>
    <n v="13000"/>
    <d v="2024-03-01T00:00:00"/>
    <n v="10"/>
    <x v="575"/>
  </r>
  <r>
    <s v="Meera Mehta"/>
    <x v="0"/>
    <x v="0"/>
    <s v="B2"/>
    <s v="Amit"/>
    <x v="2"/>
    <n v="15286"/>
    <s v="DISC15"/>
    <m/>
    <n v="14000"/>
    <d v="2024-02-13T00:00:00"/>
    <n v="15"/>
    <x v="576"/>
  </r>
  <r>
    <s v="Neha Mehta"/>
    <x v="3"/>
    <x v="3"/>
    <s v="B2"/>
    <s v="Amit"/>
    <x v="0"/>
    <n v="10533"/>
    <s v="DISC20"/>
    <n v="0.2"/>
    <n v="9000"/>
    <d v="2024-01-31T00:00:00"/>
    <n v="20"/>
    <x v="577"/>
  </r>
  <r>
    <s v="Kunal Iyer"/>
    <x v="0"/>
    <x v="0"/>
    <s v="B2"/>
    <s v="Priya"/>
    <x v="0"/>
    <n v="12259"/>
    <s v="DISC30"/>
    <n v="0.3"/>
    <n v="14000"/>
    <d v="2024-02-11T00:00:00"/>
    <n v="30"/>
    <x v="578"/>
  </r>
  <r>
    <s v="Pooja Kulkarni"/>
    <x v="2"/>
    <x v="2"/>
    <s v="B3"/>
    <s v="Priya"/>
    <x v="1"/>
    <n v="13142"/>
    <s v="DISC15"/>
    <m/>
    <n v="13000"/>
    <d v="2024-01-07T00:00:00"/>
    <n v="15"/>
    <x v="579"/>
  </r>
  <r>
    <s v="Rahul Singh"/>
    <x v="2"/>
    <x v="2"/>
    <s v="B2"/>
    <s v="Priya"/>
    <x v="1"/>
    <n v="13770"/>
    <m/>
    <m/>
    <n v="13000"/>
    <d v="2024-01-10T00:00:00"/>
    <n v="0"/>
    <x v="580"/>
  </r>
  <r>
    <s v="Meera Nair"/>
    <x v="0"/>
    <x v="0"/>
    <s v="B1"/>
    <s v="Amit"/>
    <x v="0"/>
    <n v="14070"/>
    <m/>
    <m/>
    <n v="14000"/>
    <d v="2024-02-24T00:00:00"/>
    <n v="0"/>
    <x v="581"/>
  </r>
  <r>
    <s v="Neha Nair"/>
    <x v="2"/>
    <x v="2"/>
    <s v="B1"/>
    <s v="Priya"/>
    <x v="2"/>
    <n v="11986"/>
    <s v="DISC30"/>
    <n v="0.3"/>
    <n v="13000"/>
    <d v="2024-01-18T00:00:00"/>
    <n v="30"/>
    <x v="582"/>
  </r>
  <r>
    <s v="Aarav Gupta"/>
    <x v="2"/>
    <x v="2"/>
    <s v="B3"/>
    <s v="Amit"/>
    <x v="2"/>
    <n v="12651"/>
    <s v="DISC20"/>
    <n v="0.2"/>
    <n v="13000"/>
    <d v="2024-01-06T00:00:00"/>
    <n v="20"/>
    <x v="583"/>
  </r>
  <r>
    <s v="Neha Iyer"/>
    <x v="3"/>
    <x v="3"/>
    <s v="B1"/>
    <s v="Priya"/>
    <x v="2"/>
    <n v="8294"/>
    <s v="DISC10"/>
    <n v="0.1"/>
    <n v="9000"/>
    <d v="2024-02-01T00:00:00"/>
    <n v="10"/>
    <x v="584"/>
  </r>
  <r>
    <s v="Anjali Singh"/>
    <x v="0"/>
    <x v="0"/>
    <s v="B1"/>
    <s v="Priya"/>
    <x v="2"/>
    <n v="12146"/>
    <s v="DISC15"/>
    <m/>
    <n v="14000"/>
    <d v="2024-02-05T00:00:00"/>
    <n v="15"/>
    <x v="585"/>
  </r>
  <r>
    <s v="Aarav Nair"/>
    <x v="0"/>
    <x v="0"/>
    <s v="B3"/>
    <s v="Amit"/>
    <x v="1"/>
    <n v="13247"/>
    <s v="DISC15"/>
    <m/>
    <n v="14000"/>
    <d v="2024-02-05T00:00:00"/>
    <n v="15"/>
    <x v="586"/>
  </r>
  <r>
    <s v="Sneha Singh"/>
    <x v="3"/>
    <x v="3"/>
    <s v="B2"/>
    <s v="Priya"/>
    <x v="0"/>
    <n v="10344"/>
    <s v="DISC20"/>
    <n v="0.2"/>
    <n v="9000"/>
    <d v="2024-02-24T00:00:00"/>
    <n v="20"/>
    <x v="587"/>
  </r>
  <r>
    <s v="Neha Jain"/>
    <x v="3"/>
    <x v="3"/>
    <s v="B3"/>
    <s v="Amit"/>
    <x v="2"/>
    <n v="9932"/>
    <m/>
    <m/>
    <n v="9000"/>
    <d v="2024-01-08T00:00:00"/>
    <n v="0"/>
    <x v="588"/>
  </r>
  <r>
    <s v="Riya Patel"/>
    <x v="2"/>
    <x v="2"/>
    <s v="B1"/>
    <s v="Priya"/>
    <x v="2"/>
    <n v="14399"/>
    <s v="DISC30"/>
    <n v="0.3"/>
    <n v="13000"/>
    <d v="2024-02-05T00:00:00"/>
    <n v="30"/>
    <x v="589"/>
  </r>
  <r>
    <s v="Manish Jain"/>
    <x v="0"/>
    <x v="0"/>
    <s v="B1"/>
    <s v="Saurabh"/>
    <x v="2"/>
    <n v="12575"/>
    <m/>
    <m/>
    <n v="14000"/>
    <d v="2024-01-07T00:00:00"/>
    <n v="0"/>
    <x v="590"/>
  </r>
  <r>
    <s v="Aditya Joshi"/>
    <x v="2"/>
    <x v="2"/>
    <s v="B1"/>
    <s v="Saurabh"/>
    <x v="2"/>
    <n v="11883"/>
    <m/>
    <m/>
    <n v="13000"/>
    <d v="2024-02-22T00:00:00"/>
    <n v="0"/>
    <x v="591"/>
  </r>
  <r>
    <s v="Dev Patil"/>
    <x v="1"/>
    <x v="1"/>
    <s v="B1"/>
    <s v="Priya"/>
    <x v="0"/>
    <n v="18795"/>
    <s v="DISC15"/>
    <m/>
    <n v="17000"/>
    <d v="2024-01-08T00:00:00"/>
    <n v="15"/>
    <x v="592"/>
  </r>
  <r>
    <s v="Dev Iyer"/>
    <x v="3"/>
    <x v="3"/>
    <s v="B3"/>
    <s v="Amit"/>
    <x v="1"/>
    <n v="7551"/>
    <m/>
    <m/>
    <n v="9000"/>
    <d v="2024-01-01T00:00:00"/>
    <n v="0"/>
    <x v="593"/>
  </r>
  <r>
    <s v="Manish Desai"/>
    <x v="0"/>
    <x v="0"/>
    <s v="B3"/>
    <s v="Priya"/>
    <x v="1"/>
    <n v="13978"/>
    <s v="DISC15"/>
    <m/>
    <n v="14000"/>
    <d v="2024-02-19T00:00:00"/>
    <n v="15"/>
    <x v="594"/>
  </r>
  <r>
    <s v="Kunal Mehta"/>
    <x v="2"/>
    <x v="2"/>
    <s v="B3"/>
    <s v="Saurabh"/>
    <x v="0"/>
    <n v="12586"/>
    <s v="DISC15"/>
    <m/>
    <n v="13000"/>
    <d v="2024-02-08T00:00:00"/>
    <n v="15"/>
    <x v="595"/>
  </r>
  <r>
    <s v="Kunal Jain"/>
    <x v="3"/>
    <x v="3"/>
    <s v="B2"/>
    <s v="Amit"/>
    <x v="1"/>
    <n v="10122"/>
    <s v="DISC20"/>
    <n v="0.2"/>
    <n v="9000"/>
    <d v="2024-01-18T00:00:00"/>
    <n v="20"/>
    <x v="596"/>
  </r>
  <r>
    <s v="Rahul Jain"/>
    <x v="1"/>
    <x v="1"/>
    <s v="B2"/>
    <s v="Saurabh"/>
    <x v="0"/>
    <n v="16690"/>
    <s v="DISC15"/>
    <m/>
    <n v="17000"/>
    <d v="2024-02-14T00:00:00"/>
    <n v="15"/>
    <x v="597"/>
  </r>
  <r>
    <s v="Kunal Desai"/>
    <x v="1"/>
    <x v="1"/>
    <s v="B3"/>
    <s v="Amit"/>
    <x v="2"/>
    <n v="17915"/>
    <s v="DISC15"/>
    <m/>
    <n v="17000"/>
    <d v="2024-02-10T00:00:00"/>
    <n v="15"/>
    <x v="598"/>
  </r>
  <r>
    <s v="Sneha Patil"/>
    <x v="2"/>
    <x v="2"/>
    <s v="B3"/>
    <s v="Amit"/>
    <x v="2"/>
    <n v="13812"/>
    <s v="DISC30"/>
    <n v="0.3"/>
    <n v="13000"/>
    <d v="2024-02-28T00:00:00"/>
    <n v="30"/>
    <x v="599"/>
  </r>
  <r>
    <s v="Rohit Mehta"/>
    <x v="2"/>
    <x v="2"/>
    <s v="B3"/>
    <s v="Amit"/>
    <x v="1"/>
    <n v="13608"/>
    <s v="DISC30"/>
    <n v="0.3"/>
    <n v="13000"/>
    <d v="2024-02-15T00:00:00"/>
    <n v="30"/>
    <x v="600"/>
  </r>
  <r>
    <s v="Riya Patel"/>
    <x v="1"/>
    <x v="1"/>
    <s v="B3"/>
    <s v="Priya"/>
    <x v="1"/>
    <n v="17337"/>
    <m/>
    <m/>
    <n v="17000"/>
    <d v="2024-02-13T00:00:00"/>
    <n v="0"/>
    <x v="601"/>
  </r>
  <r>
    <s v="Anjali Nair"/>
    <x v="1"/>
    <x v="1"/>
    <s v="B2"/>
    <s v="Saurabh"/>
    <x v="1"/>
    <n v="15436"/>
    <s v="DISC10"/>
    <n v="0.1"/>
    <n v="17000"/>
    <d v="2024-01-25T00:00:00"/>
    <n v="10"/>
    <x v="602"/>
  </r>
  <r>
    <s v="Karan Kulkarni"/>
    <x v="0"/>
    <x v="0"/>
    <s v="B1"/>
    <s v="Priya"/>
    <x v="0"/>
    <n v="13173"/>
    <s v="DISC30"/>
    <n v="0.3"/>
    <n v="14000"/>
    <d v="2024-01-10T00:00:00"/>
    <n v="30"/>
    <x v="603"/>
  </r>
  <r>
    <s v="Meera Kulkarni"/>
    <x v="1"/>
    <x v="1"/>
    <s v="B1"/>
    <s v="Amit"/>
    <x v="0"/>
    <n v="16469"/>
    <m/>
    <m/>
    <n v="17000"/>
    <d v="2024-01-07T00:00:00"/>
    <n v="0"/>
    <x v="604"/>
  </r>
  <r>
    <s v="Kavita Nair"/>
    <x v="2"/>
    <x v="2"/>
    <s v="B3"/>
    <s v="Amit"/>
    <x v="1"/>
    <n v="12592"/>
    <s v="DISC20"/>
    <n v="0.2"/>
    <n v="13000"/>
    <d v="2024-02-02T00:00:00"/>
    <n v="20"/>
    <x v="605"/>
  </r>
  <r>
    <s v="Dev Patel"/>
    <x v="1"/>
    <x v="1"/>
    <s v="B3"/>
    <s v="Amit"/>
    <x v="0"/>
    <n v="18794"/>
    <m/>
    <m/>
    <n v="17000"/>
    <d v="2024-01-25T00:00:00"/>
    <n v="0"/>
    <x v="606"/>
  </r>
  <r>
    <s v="Rahul Patel"/>
    <x v="1"/>
    <x v="1"/>
    <s v="B3"/>
    <s v="Saurabh"/>
    <x v="0"/>
    <n v="18046"/>
    <s v="DISC30"/>
    <n v="0.3"/>
    <n v="17000"/>
    <d v="2024-01-13T00:00:00"/>
    <n v="30"/>
    <x v="607"/>
  </r>
  <r>
    <s v="Kavita Nair"/>
    <x v="3"/>
    <x v="3"/>
    <s v="B1"/>
    <s v="Amit"/>
    <x v="1"/>
    <n v="9906"/>
    <s v="DISC30"/>
    <n v="0.3"/>
    <n v="9000"/>
    <d v="2024-02-18T00:00:00"/>
    <n v="30"/>
    <x v="608"/>
  </r>
  <r>
    <s v="Kavita Gupta"/>
    <x v="2"/>
    <x v="2"/>
    <s v="B3"/>
    <s v="Saurabh"/>
    <x v="2"/>
    <n v="12838"/>
    <s v="DISC20"/>
    <n v="0.2"/>
    <n v="13000"/>
    <d v="2024-02-13T00:00:00"/>
    <n v="20"/>
    <x v="609"/>
  </r>
  <r>
    <s v="Riya Mehta"/>
    <x v="2"/>
    <x v="2"/>
    <s v="B3"/>
    <s v="Amit"/>
    <x v="0"/>
    <n v="12545"/>
    <s v="DISC10"/>
    <n v="0.1"/>
    <n v="13000"/>
    <d v="2024-01-28T00:00:00"/>
    <n v="10"/>
    <x v="610"/>
  </r>
  <r>
    <s v="Aditya Gupta"/>
    <x v="1"/>
    <x v="1"/>
    <s v="B1"/>
    <s v="Saurabh"/>
    <x v="1"/>
    <n v="18465"/>
    <s v="DISC30"/>
    <n v="0.3"/>
    <n v="17000"/>
    <d v="2024-01-01T00:00:00"/>
    <n v="30"/>
    <x v="611"/>
  </r>
  <r>
    <s v="Pooja Iyer"/>
    <x v="2"/>
    <x v="2"/>
    <s v="B1"/>
    <s v="Saurabh"/>
    <x v="2"/>
    <n v="13444"/>
    <s v="DISC10"/>
    <n v="0.1"/>
    <n v="13000"/>
    <d v="2024-02-19T00:00:00"/>
    <n v="10"/>
    <x v="612"/>
  </r>
  <r>
    <s v="Kunal Singh"/>
    <x v="1"/>
    <x v="1"/>
    <s v="B2"/>
    <s v="Amit"/>
    <x v="1"/>
    <n v="16466"/>
    <s v="DISC10"/>
    <n v="0.1"/>
    <n v="17000"/>
    <d v="2024-02-20T00:00:00"/>
    <n v="10"/>
    <x v="613"/>
  </r>
  <r>
    <s v="Anjali Jain"/>
    <x v="2"/>
    <x v="2"/>
    <s v="B1"/>
    <s v="Amit"/>
    <x v="0"/>
    <n v="14220"/>
    <s v="DISC15"/>
    <m/>
    <n v="13000"/>
    <d v="2024-01-11T00:00:00"/>
    <n v="15"/>
    <x v="614"/>
  </r>
  <r>
    <s v="Rahul Gupta"/>
    <x v="3"/>
    <x v="3"/>
    <s v="B1"/>
    <s v="Priya"/>
    <x v="0"/>
    <n v="10618"/>
    <s v="DISC20"/>
    <n v="0.2"/>
    <n v="9000"/>
    <d v="2024-02-12T00:00:00"/>
    <n v="20"/>
    <x v="615"/>
  </r>
  <r>
    <s v="Pooja Jain"/>
    <x v="1"/>
    <x v="1"/>
    <s v="B2"/>
    <s v="Saurabh"/>
    <x v="1"/>
    <n v="17172"/>
    <m/>
    <m/>
    <n v="17000"/>
    <d v="2024-02-05T00:00:00"/>
    <n v="0"/>
    <x v="616"/>
  </r>
  <r>
    <s v="Meera Patel"/>
    <x v="0"/>
    <x v="0"/>
    <s v="B1"/>
    <s v="Amit"/>
    <x v="2"/>
    <n v="13825"/>
    <s v="DISC20"/>
    <n v="0.2"/>
    <n v="14000"/>
    <d v="2024-02-27T00:00:00"/>
    <n v="20"/>
    <x v="617"/>
  </r>
  <r>
    <s v="Rohit Joshi"/>
    <x v="2"/>
    <x v="2"/>
    <s v="B1"/>
    <s v="Amit"/>
    <x v="2"/>
    <n v="12562"/>
    <s v="DISC10"/>
    <n v="0.1"/>
    <n v="13000"/>
    <d v="2024-01-25T00:00:00"/>
    <n v="10"/>
    <x v="618"/>
  </r>
  <r>
    <s v="Aditya Gupta"/>
    <x v="1"/>
    <x v="1"/>
    <s v="B1"/>
    <s v="Amit"/>
    <x v="2"/>
    <n v="17106"/>
    <s v="DISC15"/>
    <m/>
    <n v="17000"/>
    <d v="2024-01-29T00:00:00"/>
    <n v="15"/>
    <x v="619"/>
  </r>
  <r>
    <s v="Neha Kulkarni"/>
    <x v="1"/>
    <x v="1"/>
    <s v="B3"/>
    <s v="Saurabh"/>
    <x v="2"/>
    <n v="17104"/>
    <s v="DISC10"/>
    <n v="0.1"/>
    <n v="17000"/>
    <d v="2024-03-01T00:00:00"/>
    <n v="10"/>
    <x v="620"/>
  </r>
  <r>
    <s v="Riya Mehta"/>
    <x v="0"/>
    <x v="0"/>
    <s v="B3"/>
    <s v="Saurabh"/>
    <x v="0"/>
    <n v="14745"/>
    <s v="DISC20"/>
    <n v="0.2"/>
    <n v="14000"/>
    <d v="2024-02-25T00:00:00"/>
    <n v="20"/>
    <x v="621"/>
  </r>
  <r>
    <s v="Rohit Verma"/>
    <x v="0"/>
    <x v="0"/>
    <s v="B1"/>
    <s v="Amit"/>
    <x v="1"/>
    <n v="15598"/>
    <m/>
    <m/>
    <n v="14000"/>
    <d v="2024-02-11T00:00:00"/>
    <n v="0"/>
    <x v="622"/>
  </r>
  <r>
    <s v="Meera Shah"/>
    <x v="2"/>
    <x v="2"/>
    <s v="B1"/>
    <s v="Priya"/>
    <x v="1"/>
    <n v="12358"/>
    <s v="DISC10"/>
    <n v="0.1"/>
    <n v="13000"/>
    <d v="2024-01-06T00:00:00"/>
    <n v="10"/>
    <x v="623"/>
  </r>
  <r>
    <s v="Riya Kulkarni"/>
    <x v="2"/>
    <x v="2"/>
    <s v="B2"/>
    <s v="Amit"/>
    <x v="0"/>
    <n v="13355"/>
    <s v="DISC20"/>
    <n v="0.2"/>
    <n v="13000"/>
    <d v="2024-02-28T00:00:00"/>
    <n v="20"/>
    <x v="624"/>
  </r>
  <r>
    <s v="Aditya Verma"/>
    <x v="3"/>
    <x v="3"/>
    <s v="B2"/>
    <s v="Amit"/>
    <x v="2"/>
    <n v="8773"/>
    <s v="DISC30"/>
    <n v="0.3"/>
    <n v="9000"/>
    <d v="2024-01-02T00:00:00"/>
    <n v="30"/>
    <x v="625"/>
  </r>
  <r>
    <s v="Rahul Singh"/>
    <x v="0"/>
    <x v="0"/>
    <s v="B3"/>
    <s v="Saurabh"/>
    <x v="1"/>
    <n v="14950"/>
    <s v="DISC15"/>
    <m/>
    <n v="14000"/>
    <d v="2024-01-05T00:00:00"/>
    <n v="15"/>
    <x v="626"/>
  </r>
  <r>
    <s v="Dev Desai"/>
    <x v="0"/>
    <x v="0"/>
    <s v="B3"/>
    <s v="Saurabh"/>
    <x v="2"/>
    <n v="15801"/>
    <s v="DISC15"/>
    <m/>
    <n v="14000"/>
    <d v="2024-01-07T00:00:00"/>
    <n v="15"/>
    <x v="627"/>
  </r>
  <r>
    <s v="Aditya Patel"/>
    <x v="1"/>
    <x v="1"/>
    <s v="B3"/>
    <s v="Saurabh"/>
    <x v="2"/>
    <n v="18134"/>
    <m/>
    <m/>
    <n v="17000"/>
    <d v="2024-01-25T00:00:00"/>
    <n v="0"/>
    <x v="628"/>
  </r>
  <r>
    <s v="Rahul Nair"/>
    <x v="0"/>
    <x v="0"/>
    <s v="B2"/>
    <s v="Saurabh"/>
    <x v="1"/>
    <n v="12900"/>
    <s v="DISC20"/>
    <n v="0.2"/>
    <n v="14000"/>
    <d v="2024-02-17T00:00:00"/>
    <n v="20"/>
    <x v="629"/>
  </r>
  <r>
    <s v="Rahul Patel"/>
    <x v="1"/>
    <x v="1"/>
    <s v="B3"/>
    <s v="Saurabh"/>
    <x v="2"/>
    <n v="17774"/>
    <s v="DISC30"/>
    <n v="0.3"/>
    <n v="17000"/>
    <d v="2024-03-01T00:00:00"/>
    <n v="30"/>
    <x v="630"/>
  </r>
  <r>
    <s v="Aarav Gupta"/>
    <x v="2"/>
    <x v="2"/>
    <s v="B1"/>
    <s v="Saurabh"/>
    <x v="0"/>
    <n v="13345"/>
    <s v="DISC15"/>
    <m/>
    <n v="13000"/>
    <d v="2024-01-26T00:00:00"/>
    <n v="15"/>
    <x v="631"/>
  </r>
  <r>
    <s v="Manish Gupta"/>
    <x v="0"/>
    <x v="0"/>
    <s v="B2"/>
    <s v="Saurabh"/>
    <x v="1"/>
    <n v="15036"/>
    <s v="DISC30"/>
    <n v="0.3"/>
    <n v="14000"/>
    <d v="2024-01-14T00:00:00"/>
    <n v="30"/>
    <x v="632"/>
  </r>
  <r>
    <s v="Rahul Singh"/>
    <x v="2"/>
    <x v="2"/>
    <s v="B1"/>
    <s v="Saurabh"/>
    <x v="0"/>
    <n v="13526"/>
    <s v="DISC30"/>
    <n v="0.3"/>
    <n v="13000"/>
    <d v="2024-01-13T00:00:00"/>
    <n v="30"/>
    <x v="633"/>
  </r>
  <r>
    <s v="Riya Mehta"/>
    <x v="0"/>
    <x v="0"/>
    <s v="B3"/>
    <s v="Priya"/>
    <x v="1"/>
    <n v="14251"/>
    <s v="DISC10"/>
    <n v="0.1"/>
    <n v="14000"/>
    <d v="2024-01-19T00:00:00"/>
    <n v="10"/>
    <x v="634"/>
  </r>
  <r>
    <s v="Rohit Shah"/>
    <x v="1"/>
    <x v="1"/>
    <s v="B1"/>
    <s v="Saurabh"/>
    <x v="1"/>
    <n v="17378"/>
    <m/>
    <m/>
    <n v="17000"/>
    <d v="2024-03-01T00:00:00"/>
    <n v="0"/>
    <x v="635"/>
  </r>
  <r>
    <s v="Pooja Jain"/>
    <x v="2"/>
    <x v="2"/>
    <s v="B3"/>
    <s v="Amit"/>
    <x v="0"/>
    <n v="11409"/>
    <s v="DISC30"/>
    <n v="0.3"/>
    <n v="13000"/>
    <d v="2024-02-09T00:00:00"/>
    <n v="30"/>
    <x v="636"/>
  </r>
  <r>
    <s v="Riya Patil"/>
    <x v="1"/>
    <x v="1"/>
    <s v="B2"/>
    <s v="Priya"/>
    <x v="2"/>
    <n v="17524"/>
    <s v="DISC30"/>
    <n v="0.3"/>
    <n v="17000"/>
    <d v="2024-02-14T00:00:00"/>
    <n v="30"/>
    <x v="637"/>
  </r>
  <r>
    <s v="Kavita Mehta"/>
    <x v="1"/>
    <x v="1"/>
    <s v="B2"/>
    <s v="Priya"/>
    <x v="0"/>
    <n v="15019"/>
    <s v="DISC30"/>
    <n v="0.3"/>
    <n v="17000"/>
    <d v="2024-01-16T00:00:00"/>
    <n v="30"/>
    <x v="638"/>
  </r>
  <r>
    <s v="Dev Patil"/>
    <x v="3"/>
    <x v="3"/>
    <s v="B2"/>
    <s v="Priya"/>
    <x v="0"/>
    <n v="9783"/>
    <s v="DISC30"/>
    <n v="0.3"/>
    <n v="9000"/>
    <d v="2024-02-26T00:00:00"/>
    <n v="30"/>
    <x v="639"/>
  </r>
  <r>
    <s v="Neha Iyer"/>
    <x v="3"/>
    <x v="3"/>
    <s v="B2"/>
    <s v="Priya"/>
    <x v="2"/>
    <n v="9259"/>
    <s v="DISC10"/>
    <n v="0.1"/>
    <n v="9000"/>
    <d v="2024-01-12T00:00:00"/>
    <n v="10"/>
    <x v="640"/>
  </r>
  <r>
    <s v="Rohit Joshi"/>
    <x v="0"/>
    <x v="0"/>
    <s v="B2"/>
    <s v="Saurabh"/>
    <x v="1"/>
    <n v="12804"/>
    <s v="DISC30"/>
    <n v="0.3"/>
    <n v="14000"/>
    <d v="2024-02-16T00:00:00"/>
    <n v="30"/>
    <x v="641"/>
  </r>
  <r>
    <s v="Kunal Singh"/>
    <x v="0"/>
    <x v="0"/>
    <s v="B3"/>
    <s v="Saurabh"/>
    <x v="0"/>
    <n v="15479"/>
    <s v="DISC15"/>
    <m/>
    <n v="14000"/>
    <d v="2024-02-10T00:00:00"/>
    <n v="15"/>
    <x v="642"/>
  </r>
  <r>
    <s v="Aarav Nair"/>
    <x v="3"/>
    <x v="3"/>
    <s v="B3"/>
    <s v="Saurabh"/>
    <x v="0"/>
    <n v="9259"/>
    <s v="DISC30"/>
    <n v="0.3"/>
    <n v="9000"/>
    <d v="2024-02-04T00:00:00"/>
    <n v="30"/>
    <x v="643"/>
  </r>
  <r>
    <s v="Kunal Gupta"/>
    <x v="3"/>
    <x v="3"/>
    <s v="B3"/>
    <s v="Saurabh"/>
    <x v="2"/>
    <n v="8607"/>
    <s v="DISC20"/>
    <n v="0.2"/>
    <n v="9000"/>
    <d v="2024-02-27T00:00:00"/>
    <n v="20"/>
    <x v="644"/>
  </r>
  <r>
    <s v="Dev Joshi"/>
    <x v="1"/>
    <x v="1"/>
    <s v="B1"/>
    <s v="Priya"/>
    <x v="1"/>
    <n v="17090"/>
    <s v="DISC10"/>
    <n v="0.1"/>
    <n v="17000"/>
    <d v="2024-01-26T00:00:00"/>
    <n v="10"/>
    <x v="645"/>
  </r>
  <r>
    <s v="Pooja Gupta"/>
    <x v="0"/>
    <x v="0"/>
    <s v="B3"/>
    <s v="Saurabh"/>
    <x v="1"/>
    <n v="14802"/>
    <s v="DISC20"/>
    <n v="0.2"/>
    <n v="14000"/>
    <d v="2024-02-18T00:00:00"/>
    <n v="20"/>
    <x v="646"/>
  </r>
  <r>
    <s v="Manish Mehta"/>
    <x v="3"/>
    <x v="3"/>
    <s v="B1"/>
    <s v="Saurabh"/>
    <x v="1"/>
    <n v="10885"/>
    <s v="DISC15"/>
    <m/>
    <n v="9000"/>
    <d v="2024-02-12T00:00:00"/>
    <n v="15"/>
    <x v="647"/>
  </r>
  <r>
    <s v="Meera Mehta"/>
    <x v="3"/>
    <x v="3"/>
    <s v="B2"/>
    <s v="Saurabh"/>
    <x v="0"/>
    <n v="10118"/>
    <m/>
    <m/>
    <n v="9000"/>
    <d v="2024-01-15T00:00:00"/>
    <n v="0"/>
    <x v="648"/>
  </r>
  <r>
    <s v="Riya Rao"/>
    <x v="1"/>
    <x v="1"/>
    <s v="B1"/>
    <s v="Saurabh"/>
    <x v="1"/>
    <n v="15846"/>
    <s v="DISC15"/>
    <m/>
    <n v="17000"/>
    <d v="2024-02-28T00:00:00"/>
    <n v="15"/>
    <x v="649"/>
  </r>
  <r>
    <s v="Dev Jain"/>
    <x v="3"/>
    <x v="3"/>
    <s v="B2"/>
    <s v="Priya"/>
    <x v="0"/>
    <n v="7163"/>
    <s v="DISC30"/>
    <n v="0.3"/>
    <n v="9000"/>
    <d v="2024-01-07T00:00:00"/>
    <n v="30"/>
    <x v="650"/>
  </r>
  <r>
    <s v="Anjali Gupta"/>
    <x v="1"/>
    <x v="1"/>
    <s v="B3"/>
    <s v="Priya"/>
    <x v="1"/>
    <n v="17229"/>
    <s v="DISC15"/>
    <m/>
    <n v="17000"/>
    <d v="2024-01-12T00:00:00"/>
    <n v="15"/>
    <x v="651"/>
  </r>
  <r>
    <s v="Rahul Singh"/>
    <x v="3"/>
    <x v="3"/>
    <s v="B2"/>
    <s v="Amit"/>
    <x v="1"/>
    <n v="10679"/>
    <s v="DISC10"/>
    <n v="0.1"/>
    <n v="9000"/>
    <d v="2024-02-03T00:00:00"/>
    <n v="10"/>
    <x v="652"/>
  </r>
  <r>
    <s v="Aditya Verma"/>
    <x v="2"/>
    <x v="2"/>
    <s v="B3"/>
    <s v="Priya"/>
    <x v="2"/>
    <n v="14347"/>
    <s v="DISC30"/>
    <n v="0.3"/>
    <n v="13000"/>
    <d v="2024-02-01T00:00:00"/>
    <n v="30"/>
    <x v="653"/>
  </r>
  <r>
    <s v="Dev Iyer"/>
    <x v="0"/>
    <x v="0"/>
    <s v="B3"/>
    <s v="Saurabh"/>
    <x v="2"/>
    <n v="12678"/>
    <s v="DISC20"/>
    <n v="0.2"/>
    <n v="14000"/>
    <d v="2024-01-05T00:00:00"/>
    <n v="20"/>
    <x v="654"/>
  </r>
  <r>
    <s v="Manish Singh"/>
    <x v="1"/>
    <x v="1"/>
    <s v="B1"/>
    <s v="Saurabh"/>
    <x v="0"/>
    <n v="15644"/>
    <s v="DISC30"/>
    <n v="0.3"/>
    <n v="17000"/>
    <d v="2024-02-08T00:00:00"/>
    <n v="30"/>
    <x v="655"/>
  </r>
  <r>
    <s v="Anjali Nair"/>
    <x v="0"/>
    <x v="0"/>
    <s v="B3"/>
    <s v="Saurabh"/>
    <x v="2"/>
    <n v="15322"/>
    <s v="DISC30"/>
    <n v="0.3"/>
    <n v="14000"/>
    <d v="2024-02-16T00:00:00"/>
    <n v="30"/>
    <x v="656"/>
  </r>
  <r>
    <s v="Riya Iyer"/>
    <x v="3"/>
    <x v="3"/>
    <s v="B2"/>
    <s v="Saurabh"/>
    <x v="1"/>
    <n v="7660"/>
    <m/>
    <m/>
    <n v="9000"/>
    <d v="2024-01-02T00:00:00"/>
    <n v="0"/>
    <x v="657"/>
  </r>
  <r>
    <s v="Sneha Kulkarni"/>
    <x v="2"/>
    <x v="2"/>
    <s v="B3"/>
    <s v="Amit"/>
    <x v="0"/>
    <n v="11551"/>
    <s v="DISC15"/>
    <m/>
    <n v="13000"/>
    <d v="2024-01-03T00:00:00"/>
    <n v="15"/>
    <x v="658"/>
  </r>
  <r>
    <s v="Kunal Joshi"/>
    <x v="2"/>
    <x v="2"/>
    <s v="B1"/>
    <s v="Saurabh"/>
    <x v="2"/>
    <n v="14778"/>
    <s v="DISC20"/>
    <n v="0.2"/>
    <n v="13000"/>
    <d v="2024-02-03T00:00:00"/>
    <n v="20"/>
    <x v="659"/>
  </r>
  <r>
    <s v="Rahul Joshi"/>
    <x v="0"/>
    <x v="0"/>
    <s v="B3"/>
    <s v="Amit"/>
    <x v="1"/>
    <n v="15364"/>
    <s v="DISC30"/>
    <n v="0.3"/>
    <n v="14000"/>
    <d v="2024-03-01T00:00:00"/>
    <n v="30"/>
    <x v="660"/>
  </r>
  <r>
    <s v="Riya Patil"/>
    <x v="3"/>
    <x v="3"/>
    <s v="B3"/>
    <s v="Priya"/>
    <x v="2"/>
    <n v="7698"/>
    <s v="DISC20"/>
    <n v="0.2"/>
    <n v="9000"/>
    <d v="2024-02-23T00:00:00"/>
    <n v="20"/>
    <x v="661"/>
  </r>
  <r>
    <s v="Rahul Joshi"/>
    <x v="2"/>
    <x v="2"/>
    <s v="B3"/>
    <s v="Saurabh"/>
    <x v="1"/>
    <n v="13701"/>
    <s v="DISC15"/>
    <m/>
    <n v="13000"/>
    <d v="2024-01-17T00:00:00"/>
    <n v="15"/>
    <x v="662"/>
  </r>
  <r>
    <s v="Karan Desai"/>
    <x v="1"/>
    <x v="1"/>
    <s v="B2"/>
    <s v="Amit"/>
    <x v="1"/>
    <n v="15281"/>
    <s v="DISC20"/>
    <n v="0.2"/>
    <n v="17000"/>
    <d v="2024-01-25T00:00:00"/>
    <n v="20"/>
    <x v="663"/>
  </r>
  <r>
    <s v="Rahul Mehta"/>
    <x v="0"/>
    <x v="0"/>
    <s v="B1"/>
    <s v="Saurabh"/>
    <x v="1"/>
    <n v="15520"/>
    <s v="DISC15"/>
    <m/>
    <n v="14000"/>
    <d v="2024-02-13T00:00:00"/>
    <n v="15"/>
    <x v="664"/>
  </r>
  <r>
    <s v="Rahul Nair"/>
    <x v="2"/>
    <x v="2"/>
    <s v="B3"/>
    <s v="Saurabh"/>
    <x v="0"/>
    <n v="12949"/>
    <s v="DISC15"/>
    <m/>
    <n v="13000"/>
    <d v="2024-02-08T00:00:00"/>
    <n v="15"/>
    <x v="665"/>
  </r>
  <r>
    <s v="Aarav Patel"/>
    <x v="0"/>
    <x v="0"/>
    <s v="B1"/>
    <s v="Priya"/>
    <x v="1"/>
    <n v="12533"/>
    <s v="DISC15"/>
    <m/>
    <n v="14000"/>
    <d v="2024-02-04T00:00:00"/>
    <n v="15"/>
    <x v="666"/>
  </r>
  <r>
    <s v="Meera Kulkarni"/>
    <x v="3"/>
    <x v="3"/>
    <s v="B3"/>
    <s v="Priya"/>
    <x v="2"/>
    <n v="10583"/>
    <s v="DISC10"/>
    <n v="0.1"/>
    <n v="9000"/>
    <d v="2024-02-14T00:00:00"/>
    <n v="10"/>
    <x v="667"/>
  </r>
  <r>
    <s v="Manish Verma"/>
    <x v="2"/>
    <x v="2"/>
    <s v="B2"/>
    <s v="Priya"/>
    <x v="2"/>
    <n v="13412"/>
    <s v="DISC15"/>
    <m/>
    <n v="13000"/>
    <d v="2024-01-07T00:00:00"/>
    <n v="15"/>
    <x v="668"/>
  </r>
  <r>
    <s v="Rahul Mehta"/>
    <x v="1"/>
    <x v="1"/>
    <s v="B2"/>
    <s v="Saurabh"/>
    <x v="0"/>
    <n v="16160"/>
    <s v="DISC15"/>
    <m/>
    <n v="17000"/>
    <d v="2024-02-26T00:00:00"/>
    <n v="15"/>
    <x v="669"/>
  </r>
  <r>
    <s v="Manish Verma"/>
    <x v="1"/>
    <x v="1"/>
    <s v="B1"/>
    <s v="Saurabh"/>
    <x v="1"/>
    <n v="18045"/>
    <s v="DISC10"/>
    <n v="0.1"/>
    <n v="17000"/>
    <d v="2024-02-06T00:00:00"/>
    <n v="10"/>
    <x v="670"/>
  </r>
  <r>
    <s v="Manish Shah"/>
    <x v="0"/>
    <x v="0"/>
    <s v="B2"/>
    <s v="Amit"/>
    <x v="0"/>
    <n v="14817"/>
    <s v="DISC30"/>
    <n v="0.3"/>
    <n v="14000"/>
    <d v="2024-01-27T00:00:00"/>
    <n v="30"/>
    <x v="671"/>
  </r>
  <r>
    <s v="Pooja Shah"/>
    <x v="2"/>
    <x v="2"/>
    <s v="B2"/>
    <s v="Amit"/>
    <x v="1"/>
    <n v="12038"/>
    <s v="DISC30"/>
    <n v="0.3"/>
    <n v="13000"/>
    <d v="2024-02-24T00:00:00"/>
    <n v="30"/>
    <x v="672"/>
  </r>
  <r>
    <s v="Manish Verma"/>
    <x v="1"/>
    <x v="1"/>
    <s v="B3"/>
    <s v="Priya"/>
    <x v="1"/>
    <n v="16627"/>
    <s v="DISC20"/>
    <n v="0.2"/>
    <n v="17000"/>
    <d v="2024-01-27T00:00:00"/>
    <n v="20"/>
    <x v="673"/>
  </r>
  <r>
    <s v="Manish Patel"/>
    <x v="3"/>
    <x v="3"/>
    <s v="B1"/>
    <s v="Priya"/>
    <x v="1"/>
    <n v="9272"/>
    <m/>
    <m/>
    <n v="9000"/>
    <d v="2024-01-17T00:00:00"/>
    <n v="0"/>
    <x v="674"/>
  </r>
  <r>
    <s v="Aditya Joshi"/>
    <x v="1"/>
    <x v="1"/>
    <s v="B3"/>
    <s v="Priya"/>
    <x v="1"/>
    <n v="15565"/>
    <s v="DISC10"/>
    <n v="0.1"/>
    <n v="17000"/>
    <d v="2024-02-17T00:00:00"/>
    <n v="10"/>
    <x v="675"/>
  </r>
  <r>
    <s v="Sneha Iyer"/>
    <x v="2"/>
    <x v="2"/>
    <s v="B1"/>
    <s v="Saurabh"/>
    <x v="1"/>
    <n v="12640"/>
    <s v="DISC30"/>
    <n v="0.3"/>
    <n v="13000"/>
    <d v="2024-02-21T00:00:00"/>
    <n v="30"/>
    <x v="676"/>
  </r>
  <r>
    <s v="Manish Joshi"/>
    <x v="0"/>
    <x v="0"/>
    <s v="B1"/>
    <s v="Priya"/>
    <x v="1"/>
    <n v="12021"/>
    <s v="DISC10"/>
    <n v="0.1"/>
    <n v="14000"/>
    <d v="2024-02-22T00:00:00"/>
    <n v="10"/>
    <x v="677"/>
  </r>
  <r>
    <s v="Karan Iyer"/>
    <x v="3"/>
    <x v="3"/>
    <s v="B1"/>
    <s v="Saurabh"/>
    <x v="2"/>
    <n v="7908"/>
    <s v="DISC30"/>
    <n v="0.3"/>
    <n v="9000"/>
    <d v="2024-01-06T00:00:00"/>
    <n v="30"/>
    <x v="678"/>
  </r>
  <r>
    <s v="Kavita Kulkarni"/>
    <x v="3"/>
    <x v="3"/>
    <s v="B2"/>
    <s v="Amit"/>
    <x v="1"/>
    <n v="9134"/>
    <s v="DISC30"/>
    <n v="0.3"/>
    <n v="9000"/>
    <d v="2024-02-15T00:00:00"/>
    <n v="30"/>
    <x v="679"/>
  </r>
  <r>
    <s v="Kavita Kulkarni"/>
    <x v="2"/>
    <x v="2"/>
    <s v="B3"/>
    <s v="Priya"/>
    <x v="2"/>
    <n v="11043"/>
    <s v="DISC20"/>
    <n v="0.2"/>
    <n v="13000"/>
    <d v="2024-02-24T00:00:00"/>
    <n v="20"/>
    <x v="680"/>
  </r>
  <r>
    <s v="Rohit Patel"/>
    <x v="1"/>
    <x v="1"/>
    <s v="B1"/>
    <s v="Saurabh"/>
    <x v="1"/>
    <n v="17091"/>
    <s v="DISC15"/>
    <m/>
    <n v="17000"/>
    <d v="2024-02-14T00:00:00"/>
    <n v="15"/>
    <x v="681"/>
  </r>
  <r>
    <s v="Sneha Joshi"/>
    <x v="2"/>
    <x v="2"/>
    <s v="B3"/>
    <s v="Saurabh"/>
    <x v="2"/>
    <n v="11979"/>
    <s v="DISC10"/>
    <n v="0.1"/>
    <n v="13000"/>
    <d v="2024-01-11T00:00:00"/>
    <n v="10"/>
    <x v="682"/>
  </r>
  <r>
    <s v="Riya Rao"/>
    <x v="3"/>
    <x v="3"/>
    <s v="B2"/>
    <s v="Amit"/>
    <x v="2"/>
    <n v="8660"/>
    <s v="DISC15"/>
    <m/>
    <n v="9000"/>
    <d v="2024-01-13T00:00:00"/>
    <n v="15"/>
    <x v="683"/>
  </r>
  <r>
    <s v="Manish Kulkarni"/>
    <x v="0"/>
    <x v="0"/>
    <s v="B1"/>
    <s v="Amit"/>
    <x v="2"/>
    <n v="14974"/>
    <s v="DISC15"/>
    <m/>
    <n v="14000"/>
    <d v="2024-02-28T00:00:00"/>
    <n v="15"/>
    <x v="684"/>
  </r>
  <r>
    <s v="Kavita Jain"/>
    <x v="1"/>
    <x v="1"/>
    <s v="B2"/>
    <s v="Saurabh"/>
    <x v="1"/>
    <n v="18944"/>
    <s v="DISC20"/>
    <n v="0.2"/>
    <n v="17000"/>
    <d v="2024-01-30T00:00:00"/>
    <n v="20"/>
    <x v="685"/>
  </r>
  <r>
    <s v="Kunal Verma"/>
    <x v="0"/>
    <x v="0"/>
    <s v="B2"/>
    <s v="Saurabh"/>
    <x v="2"/>
    <n v="14073"/>
    <s v="DISC10"/>
    <n v="0.1"/>
    <n v="14000"/>
    <d v="2024-02-05T00:00:00"/>
    <n v="10"/>
    <x v="686"/>
  </r>
  <r>
    <s v="Riya Gupta"/>
    <x v="1"/>
    <x v="1"/>
    <s v="B2"/>
    <s v="Saurabh"/>
    <x v="1"/>
    <n v="18918"/>
    <s v="DISC30"/>
    <n v="0.3"/>
    <n v="17000"/>
    <d v="2024-02-26T00:00:00"/>
    <n v="30"/>
    <x v="687"/>
  </r>
  <r>
    <s v="Manish Nair"/>
    <x v="1"/>
    <x v="1"/>
    <s v="B3"/>
    <s v="Priya"/>
    <x v="2"/>
    <n v="17306"/>
    <m/>
    <m/>
    <n v="17000"/>
    <d v="2024-02-19T00:00:00"/>
    <n v="0"/>
    <x v="688"/>
  </r>
  <r>
    <s v="Sneha Patel"/>
    <x v="1"/>
    <x v="1"/>
    <s v="B2"/>
    <s v="Amit"/>
    <x v="2"/>
    <n v="18672"/>
    <s v="DISC15"/>
    <m/>
    <n v="17000"/>
    <d v="2024-02-25T00:00:00"/>
    <n v="15"/>
    <x v="689"/>
  </r>
  <r>
    <s v="Aarav Iyer"/>
    <x v="0"/>
    <x v="0"/>
    <s v="B2"/>
    <s v="Saurabh"/>
    <x v="2"/>
    <n v="14595"/>
    <s v="DISC20"/>
    <n v="0.2"/>
    <n v="14000"/>
    <d v="2024-02-13T00:00:00"/>
    <n v="20"/>
    <x v="690"/>
  </r>
  <r>
    <s v="Anjali Patil"/>
    <x v="1"/>
    <x v="1"/>
    <s v="B2"/>
    <s v="Priya"/>
    <x v="1"/>
    <n v="17194"/>
    <s v="DISC10"/>
    <n v="0.1"/>
    <n v="17000"/>
    <d v="2024-02-14T00:00:00"/>
    <n v="10"/>
    <x v="691"/>
  </r>
  <r>
    <s v="Meera Rao"/>
    <x v="2"/>
    <x v="2"/>
    <s v="B2"/>
    <s v="Saurabh"/>
    <x v="2"/>
    <n v="13759"/>
    <s v="DISC30"/>
    <n v="0.3"/>
    <n v="13000"/>
    <d v="2024-01-05T00:00:00"/>
    <n v="30"/>
    <x v="692"/>
  </r>
  <r>
    <s v="Manish Mehta"/>
    <x v="3"/>
    <x v="3"/>
    <s v="B2"/>
    <s v="Priya"/>
    <x v="0"/>
    <n v="10663"/>
    <s v="DISC15"/>
    <m/>
    <n v="9000"/>
    <d v="2024-01-18T00:00:00"/>
    <n v="15"/>
    <x v="693"/>
  </r>
  <r>
    <s v="Karan Desai"/>
    <x v="2"/>
    <x v="2"/>
    <s v="B2"/>
    <s v="Amit"/>
    <x v="0"/>
    <n v="11961"/>
    <s v="DISC20"/>
    <n v="0.2"/>
    <n v="13000"/>
    <d v="2024-02-25T00:00:00"/>
    <n v="20"/>
    <x v="694"/>
  </r>
  <r>
    <s v="Aditya Patil"/>
    <x v="2"/>
    <x v="2"/>
    <s v="B1"/>
    <s v="Saurabh"/>
    <x v="1"/>
    <n v="12458"/>
    <s v="DISC20"/>
    <n v="0.2"/>
    <n v="13000"/>
    <d v="2024-02-19T00:00:00"/>
    <n v="20"/>
    <x v="695"/>
  </r>
  <r>
    <s v="Riya Shah"/>
    <x v="0"/>
    <x v="0"/>
    <s v="B3"/>
    <s v="Amit"/>
    <x v="2"/>
    <n v="14514"/>
    <s v="DISC10"/>
    <n v="0.1"/>
    <n v="14000"/>
    <d v="2024-02-18T00:00:00"/>
    <n v="10"/>
    <x v="696"/>
  </r>
  <r>
    <s v="Meera Gupta"/>
    <x v="0"/>
    <x v="0"/>
    <s v="B2"/>
    <s v="Priya"/>
    <x v="1"/>
    <n v="13291"/>
    <m/>
    <m/>
    <n v="14000"/>
    <d v="2024-02-27T00:00:00"/>
    <n v="0"/>
    <x v="697"/>
  </r>
  <r>
    <s v="Kunal Joshi"/>
    <x v="1"/>
    <x v="1"/>
    <s v="B2"/>
    <s v="Saurabh"/>
    <x v="1"/>
    <n v="16147"/>
    <m/>
    <m/>
    <n v="17000"/>
    <d v="2024-01-15T00:00:00"/>
    <n v="0"/>
    <x v="698"/>
  </r>
  <r>
    <s v="Dev Joshi"/>
    <x v="2"/>
    <x v="2"/>
    <s v="B1"/>
    <s v="Amit"/>
    <x v="2"/>
    <n v="12959"/>
    <s v="DISC15"/>
    <m/>
    <n v="13000"/>
    <d v="2024-01-03T00:00:00"/>
    <n v="15"/>
    <x v="699"/>
  </r>
  <r>
    <s v="Manish Jain"/>
    <x v="3"/>
    <x v="3"/>
    <s v="B3"/>
    <s v="Saurabh"/>
    <x v="2"/>
    <n v="10999"/>
    <s v="DISC10"/>
    <n v="0.1"/>
    <n v="9000"/>
    <d v="2024-02-14T00:00:00"/>
    <n v="10"/>
    <x v="700"/>
  </r>
  <r>
    <s v="Manish Iyer"/>
    <x v="1"/>
    <x v="1"/>
    <s v="B3"/>
    <s v="Saurabh"/>
    <x v="0"/>
    <n v="17761"/>
    <s v="DISC20"/>
    <n v="0.2"/>
    <n v="17000"/>
    <d v="2024-01-25T00:00:00"/>
    <n v="20"/>
    <x v="701"/>
  </r>
  <r>
    <s v="Kavita Shah"/>
    <x v="1"/>
    <x v="1"/>
    <s v="B2"/>
    <s v="Amit"/>
    <x v="2"/>
    <n v="15766"/>
    <s v="DISC15"/>
    <m/>
    <n v="17000"/>
    <d v="2024-01-17T00:00:00"/>
    <n v="15"/>
    <x v="702"/>
  </r>
  <r>
    <s v="Sneha Rao"/>
    <x v="3"/>
    <x v="3"/>
    <s v="B3"/>
    <s v="Priya"/>
    <x v="2"/>
    <n v="7753"/>
    <m/>
    <m/>
    <n v="9000"/>
    <d v="2024-01-28T00:00:00"/>
    <n v="0"/>
    <x v="703"/>
  </r>
  <r>
    <s v="Sneha Verma"/>
    <x v="1"/>
    <x v="1"/>
    <s v="B2"/>
    <s v="Priya"/>
    <x v="2"/>
    <n v="16846"/>
    <s v="DISC20"/>
    <n v="0.2"/>
    <n v="17000"/>
    <d v="2024-02-06T00:00:00"/>
    <n v="20"/>
    <x v="704"/>
  </r>
  <r>
    <s v="Karan Joshi"/>
    <x v="2"/>
    <x v="2"/>
    <s v="B1"/>
    <s v="Amit"/>
    <x v="2"/>
    <n v="14293"/>
    <s v="DISC20"/>
    <n v="0.2"/>
    <n v="13000"/>
    <d v="2024-02-05T00:00:00"/>
    <n v="20"/>
    <x v="705"/>
  </r>
  <r>
    <s v="Rahul Nair"/>
    <x v="3"/>
    <x v="3"/>
    <s v="B1"/>
    <s v="Saurabh"/>
    <x v="1"/>
    <n v="7612"/>
    <m/>
    <m/>
    <n v="9000"/>
    <d v="2024-02-21T00:00:00"/>
    <n v="0"/>
    <x v="398"/>
  </r>
  <r>
    <s v="Aarav Mehta"/>
    <x v="3"/>
    <x v="3"/>
    <s v="B2"/>
    <s v="Saurabh"/>
    <x v="1"/>
    <n v="9117"/>
    <s v="DISC15"/>
    <m/>
    <n v="9000"/>
    <d v="2024-02-16T00:00:00"/>
    <n v="15"/>
    <x v="706"/>
  </r>
  <r>
    <s v="Pooja Patel"/>
    <x v="3"/>
    <x v="3"/>
    <s v="B2"/>
    <s v="Priya"/>
    <x v="1"/>
    <n v="10516"/>
    <s v="DISC15"/>
    <m/>
    <n v="9000"/>
    <d v="2024-01-04T00:00:00"/>
    <n v="15"/>
    <x v="707"/>
  </r>
  <r>
    <s v="Rahul Shah"/>
    <x v="2"/>
    <x v="2"/>
    <s v="B1"/>
    <s v="Saurabh"/>
    <x v="2"/>
    <n v="12951"/>
    <s v="DISC10"/>
    <n v="0.1"/>
    <n v="13000"/>
    <d v="2024-01-29T00:00:00"/>
    <n v="10"/>
    <x v="708"/>
  </r>
  <r>
    <s v="Anjali Jain"/>
    <x v="1"/>
    <x v="1"/>
    <s v="B2"/>
    <s v="Priya"/>
    <x v="1"/>
    <n v="17283"/>
    <s v="DISC30"/>
    <n v="0.3"/>
    <n v="17000"/>
    <d v="2024-01-23T00:00:00"/>
    <n v="30"/>
    <x v="709"/>
  </r>
  <r>
    <s v="Aarav Verma"/>
    <x v="0"/>
    <x v="0"/>
    <s v="B2"/>
    <s v="Amit"/>
    <x v="1"/>
    <n v="12814"/>
    <s v="DISC15"/>
    <m/>
    <n v="14000"/>
    <d v="2024-02-06T00:00:00"/>
    <n v="15"/>
    <x v="710"/>
  </r>
  <r>
    <s v="Rohit Singh"/>
    <x v="2"/>
    <x v="2"/>
    <s v="B2"/>
    <s v="Priya"/>
    <x v="2"/>
    <n v="13757"/>
    <s v="DISC15"/>
    <m/>
    <n v="13000"/>
    <d v="2024-02-01T00:00:00"/>
    <n v="15"/>
    <x v="711"/>
  </r>
  <r>
    <s v="Dev Desai"/>
    <x v="3"/>
    <x v="3"/>
    <s v="B1"/>
    <s v="Priya"/>
    <x v="1"/>
    <n v="8173"/>
    <m/>
    <m/>
    <n v="9000"/>
    <d v="2024-02-10T00:00:00"/>
    <n v="0"/>
    <x v="712"/>
  </r>
  <r>
    <s v="Karan Nair"/>
    <x v="2"/>
    <x v="2"/>
    <s v="B3"/>
    <s v="Priya"/>
    <x v="2"/>
    <n v="13585"/>
    <s v="DISC15"/>
    <m/>
    <n v="13000"/>
    <d v="2024-02-06T00:00:00"/>
    <n v="15"/>
    <x v="713"/>
  </r>
  <r>
    <s v="Rahul Nair"/>
    <x v="0"/>
    <x v="0"/>
    <s v="B1"/>
    <s v="Saurabh"/>
    <x v="2"/>
    <n v="12934"/>
    <s v="DISC30"/>
    <n v="0.3"/>
    <n v="14000"/>
    <d v="2024-01-21T00:00:00"/>
    <n v="30"/>
    <x v="714"/>
  </r>
  <r>
    <s v="Rohit Rao"/>
    <x v="1"/>
    <x v="1"/>
    <s v="B3"/>
    <s v="Amit"/>
    <x v="2"/>
    <n v="16111"/>
    <m/>
    <m/>
    <n v="17000"/>
    <d v="2024-02-19T00:00:00"/>
    <n v="0"/>
    <x v="715"/>
  </r>
  <r>
    <s v="Meera Jain"/>
    <x v="3"/>
    <x v="3"/>
    <s v="B2"/>
    <s v="Saurabh"/>
    <x v="0"/>
    <n v="10498"/>
    <s v="DISC10"/>
    <n v="0.1"/>
    <n v="9000"/>
    <d v="2024-01-09T00:00:00"/>
    <n v="10"/>
    <x v="716"/>
  </r>
  <r>
    <s v="Anjali Patil"/>
    <x v="1"/>
    <x v="1"/>
    <s v="B3"/>
    <s v="Amit"/>
    <x v="1"/>
    <n v="15327"/>
    <s v="DISC20"/>
    <n v="0.2"/>
    <n v="17000"/>
    <d v="2024-01-11T00:00:00"/>
    <n v="20"/>
    <x v="717"/>
  </r>
  <r>
    <s v="Rahul Shah"/>
    <x v="0"/>
    <x v="0"/>
    <s v="B1"/>
    <s v="Priya"/>
    <x v="1"/>
    <n v="12220"/>
    <s v="DISC10"/>
    <n v="0.1"/>
    <n v="14000"/>
    <d v="2024-02-19T00:00:00"/>
    <n v="10"/>
    <x v="718"/>
  </r>
  <r>
    <s v="Rahul Gupta"/>
    <x v="0"/>
    <x v="0"/>
    <s v="B1"/>
    <s v="Priya"/>
    <x v="1"/>
    <n v="12636"/>
    <s v="DISC10"/>
    <n v="0.1"/>
    <n v="14000"/>
    <d v="2024-02-11T00:00:00"/>
    <n v="10"/>
    <x v="719"/>
  </r>
  <r>
    <s v="Kunal Verma"/>
    <x v="1"/>
    <x v="1"/>
    <s v="B1"/>
    <s v="Saurabh"/>
    <x v="1"/>
    <n v="16163"/>
    <m/>
    <m/>
    <n v="17000"/>
    <d v="2024-02-10T00:00:00"/>
    <n v="0"/>
    <x v="720"/>
  </r>
  <r>
    <s v="Karan Mehta"/>
    <x v="2"/>
    <x v="2"/>
    <s v="B1"/>
    <s v="Saurabh"/>
    <x v="1"/>
    <n v="12461"/>
    <s v="DISC30"/>
    <n v="0.3"/>
    <n v="13000"/>
    <d v="2024-02-25T00:00:00"/>
    <n v="30"/>
    <x v="721"/>
  </r>
  <r>
    <s v="Neha Iyer"/>
    <x v="1"/>
    <x v="1"/>
    <s v="B3"/>
    <s v="Priya"/>
    <x v="0"/>
    <n v="18971"/>
    <s v="DISC15"/>
    <m/>
    <n v="17000"/>
    <d v="2024-01-12T00:00:00"/>
    <n v="15"/>
    <x v="722"/>
  </r>
  <r>
    <s v="Kavita Joshi"/>
    <x v="3"/>
    <x v="3"/>
    <s v="B3"/>
    <s v="Amit"/>
    <x v="1"/>
    <n v="10593"/>
    <s v="DISC15"/>
    <m/>
    <n v="9000"/>
    <d v="2024-01-28T00:00:00"/>
    <n v="15"/>
    <x v="723"/>
  </r>
  <r>
    <s v="Manish Singh"/>
    <x v="1"/>
    <x v="1"/>
    <s v="B2"/>
    <s v="Priya"/>
    <x v="1"/>
    <n v="15930"/>
    <s v="DISC10"/>
    <n v="0.1"/>
    <n v="17000"/>
    <d v="2024-01-29T00:00:00"/>
    <n v="10"/>
    <x v="724"/>
  </r>
  <r>
    <s v="Aditya Jain"/>
    <x v="3"/>
    <x v="3"/>
    <s v="B2"/>
    <s v="Saurabh"/>
    <x v="2"/>
    <n v="7043"/>
    <s v="DISC10"/>
    <n v="0.1"/>
    <n v="9000"/>
    <d v="2024-02-03T00:00:00"/>
    <n v="10"/>
    <x v="725"/>
  </r>
  <r>
    <s v="Meera Patel"/>
    <x v="2"/>
    <x v="2"/>
    <s v="B2"/>
    <s v="Priya"/>
    <x v="2"/>
    <n v="13191"/>
    <s v="DISC10"/>
    <n v="0.1"/>
    <n v="13000"/>
    <d v="2024-02-14T00:00:00"/>
    <n v="10"/>
    <x v="726"/>
  </r>
  <r>
    <s v="Kunal Iyer"/>
    <x v="3"/>
    <x v="3"/>
    <s v="B2"/>
    <s v="Saurabh"/>
    <x v="2"/>
    <n v="10268"/>
    <s v="DISC30"/>
    <n v="0.3"/>
    <n v="9000"/>
    <d v="2024-02-08T00:00:00"/>
    <n v="30"/>
    <x v="727"/>
  </r>
  <r>
    <s v="Sneha Patel"/>
    <x v="0"/>
    <x v="0"/>
    <s v="B3"/>
    <s v="Priya"/>
    <x v="0"/>
    <n v="13686"/>
    <s v="DISC15"/>
    <m/>
    <n v="14000"/>
    <d v="2024-01-28T00:00:00"/>
    <n v="15"/>
    <x v="728"/>
  </r>
  <r>
    <s v="Rahul Patil"/>
    <x v="2"/>
    <x v="2"/>
    <s v="B3"/>
    <s v="Amit"/>
    <x v="1"/>
    <n v="12596"/>
    <m/>
    <m/>
    <n v="13000"/>
    <d v="2024-01-15T00:00:00"/>
    <n v="0"/>
    <x v="729"/>
  </r>
  <r>
    <s v="Aditya Shah"/>
    <x v="3"/>
    <x v="3"/>
    <s v="B3"/>
    <s v="Saurabh"/>
    <x v="1"/>
    <n v="10131"/>
    <s v="DISC15"/>
    <m/>
    <n v="9000"/>
    <d v="2024-02-21T00:00:00"/>
    <n v="15"/>
    <x v="730"/>
  </r>
  <r>
    <s v="Anjali Singh"/>
    <x v="1"/>
    <x v="1"/>
    <s v="B2"/>
    <s v="Amit"/>
    <x v="1"/>
    <n v="17178"/>
    <s v="DISC30"/>
    <n v="0.3"/>
    <n v="17000"/>
    <d v="2024-01-27T00:00:00"/>
    <n v="30"/>
    <x v="731"/>
  </r>
  <r>
    <s v="Sneha Nair"/>
    <x v="0"/>
    <x v="0"/>
    <s v="B1"/>
    <s v="Saurabh"/>
    <x v="2"/>
    <n v="12452"/>
    <m/>
    <m/>
    <n v="14000"/>
    <d v="2024-02-09T00:00:00"/>
    <n v="0"/>
    <x v="732"/>
  </r>
  <r>
    <s v="Neha Rao"/>
    <x v="3"/>
    <x v="3"/>
    <s v="B1"/>
    <s v="Priya"/>
    <x v="0"/>
    <n v="7623"/>
    <s v="DISC10"/>
    <n v="0.1"/>
    <n v="9000"/>
    <d v="2024-02-04T00:00:00"/>
    <n v="10"/>
    <x v="733"/>
  </r>
  <r>
    <s v="Aarav Mehta"/>
    <x v="0"/>
    <x v="0"/>
    <s v="B2"/>
    <s v="Priya"/>
    <x v="0"/>
    <n v="14929"/>
    <m/>
    <m/>
    <n v="14000"/>
    <d v="2024-02-16T00:00:00"/>
    <n v="0"/>
    <x v="734"/>
  </r>
  <r>
    <s v="Aarav Patil"/>
    <x v="0"/>
    <x v="0"/>
    <s v="B1"/>
    <s v="Saurabh"/>
    <x v="2"/>
    <n v="12889"/>
    <s v="DISC30"/>
    <n v="0.3"/>
    <n v="14000"/>
    <d v="2024-01-27T00:00:00"/>
    <n v="30"/>
    <x v="735"/>
  </r>
  <r>
    <s v="Aditya Patel"/>
    <x v="3"/>
    <x v="3"/>
    <s v="B2"/>
    <s v="Priya"/>
    <x v="1"/>
    <n v="10241"/>
    <s v="DISC10"/>
    <n v="0.1"/>
    <n v="9000"/>
    <d v="2024-01-22T00:00:00"/>
    <n v="10"/>
    <x v="736"/>
  </r>
  <r>
    <s v="Riya Nair"/>
    <x v="2"/>
    <x v="2"/>
    <s v="B1"/>
    <s v="Priya"/>
    <x v="2"/>
    <n v="11292"/>
    <s v="DISC15"/>
    <m/>
    <n v="13000"/>
    <d v="2024-01-31T00:00:00"/>
    <n v="15"/>
    <x v="737"/>
  </r>
  <r>
    <s v="Karan Patil"/>
    <x v="1"/>
    <x v="1"/>
    <s v="B2"/>
    <s v="Saurabh"/>
    <x v="0"/>
    <n v="18991"/>
    <s v="DISC20"/>
    <n v="0.2"/>
    <n v="17000"/>
    <d v="2024-01-25T00:00:00"/>
    <n v="20"/>
    <x v="738"/>
  </r>
  <r>
    <s v="Dev Iyer"/>
    <x v="2"/>
    <x v="2"/>
    <s v="B3"/>
    <s v="Saurabh"/>
    <x v="0"/>
    <n v="12887"/>
    <s v="DISC10"/>
    <n v="0.1"/>
    <n v="13000"/>
    <d v="2024-02-03T00:00:00"/>
    <n v="10"/>
    <x v="739"/>
  </r>
  <r>
    <s v="Rohit Patil"/>
    <x v="3"/>
    <x v="3"/>
    <s v="B2"/>
    <s v="Amit"/>
    <x v="2"/>
    <n v="10834"/>
    <s v="DISC30"/>
    <n v="0.3"/>
    <n v="9000"/>
    <d v="2024-01-11T00:00:00"/>
    <n v="30"/>
    <x v="740"/>
  </r>
  <r>
    <s v="Rohit Desai"/>
    <x v="0"/>
    <x v="0"/>
    <s v="B3"/>
    <s v="Amit"/>
    <x v="1"/>
    <n v="12500"/>
    <s v="DISC30"/>
    <n v="0.3"/>
    <n v="14000"/>
    <d v="2024-01-31T00:00:00"/>
    <n v="30"/>
    <x v="741"/>
  </r>
  <r>
    <s v="Rohit Rao"/>
    <x v="2"/>
    <x v="2"/>
    <s v="B2"/>
    <s v="Saurabh"/>
    <x v="1"/>
    <n v="11892"/>
    <s v="DISC10"/>
    <n v="0.1"/>
    <n v="13000"/>
    <d v="2024-01-16T00:00:00"/>
    <n v="10"/>
    <x v="742"/>
  </r>
  <r>
    <s v="Rohit Verma"/>
    <x v="1"/>
    <x v="1"/>
    <s v="B1"/>
    <s v="Saurabh"/>
    <x v="2"/>
    <n v="17394"/>
    <s v="DISC10"/>
    <n v="0.1"/>
    <n v="17000"/>
    <d v="2024-01-26T00:00:00"/>
    <n v="10"/>
    <x v="743"/>
  </r>
  <r>
    <s v="Dev Patil"/>
    <x v="0"/>
    <x v="0"/>
    <s v="B1"/>
    <s v="Amit"/>
    <x v="1"/>
    <n v="13946"/>
    <s v="DISC15"/>
    <m/>
    <n v="14000"/>
    <d v="2024-01-10T00:00:00"/>
    <n v="15"/>
    <x v="744"/>
  </r>
  <r>
    <s v="Pooja Patel"/>
    <x v="0"/>
    <x v="0"/>
    <s v="B1"/>
    <s v="Saurabh"/>
    <x v="2"/>
    <n v="12374"/>
    <s v="DISC15"/>
    <m/>
    <n v="14000"/>
    <d v="2024-01-22T00:00:00"/>
    <n v="15"/>
    <x v="745"/>
  </r>
  <r>
    <s v="Kunal Patel"/>
    <x v="0"/>
    <x v="0"/>
    <s v="B1"/>
    <s v="Priya"/>
    <x v="1"/>
    <n v="12630"/>
    <s v="DISC15"/>
    <m/>
    <n v="14000"/>
    <d v="2024-02-20T00:00:00"/>
    <n v="15"/>
    <x v="746"/>
  </r>
  <r>
    <s v="Riya Mehta"/>
    <x v="3"/>
    <x v="3"/>
    <s v="B1"/>
    <s v="Priya"/>
    <x v="1"/>
    <n v="10229"/>
    <s v="DISC30"/>
    <n v="0.3"/>
    <n v="9000"/>
    <d v="2024-02-21T00:00:00"/>
    <n v="30"/>
    <x v="747"/>
  </r>
  <r>
    <s v="Kunal Iyer"/>
    <x v="2"/>
    <x v="2"/>
    <s v="B1"/>
    <s v="Amit"/>
    <x v="2"/>
    <n v="12467"/>
    <s v="DISC20"/>
    <n v="0.2"/>
    <n v="13000"/>
    <d v="2024-01-17T00:00:00"/>
    <n v="20"/>
    <x v="748"/>
  </r>
  <r>
    <s v="Kunal Kulkarni"/>
    <x v="3"/>
    <x v="3"/>
    <s v="B3"/>
    <s v="Priya"/>
    <x v="1"/>
    <n v="8207"/>
    <s v="DISC15"/>
    <m/>
    <n v="9000"/>
    <d v="2024-02-14T00:00:00"/>
    <n v="15"/>
    <x v="749"/>
  </r>
  <r>
    <s v="Neha Patil"/>
    <x v="2"/>
    <x v="2"/>
    <s v="B3"/>
    <s v="Priya"/>
    <x v="2"/>
    <n v="13999"/>
    <m/>
    <m/>
    <n v="13000"/>
    <d v="2024-01-18T00:00:00"/>
    <n v="0"/>
    <x v="750"/>
  </r>
  <r>
    <s v="Meera Nair"/>
    <x v="2"/>
    <x v="2"/>
    <s v="B1"/>
    <s v="Amit"/>
    <x v="0"/>
    <n v="12840"/>
    <s v="DISC30"/>
    <n v="0.3"/>
    <n v="13000"/>
    <d v="2024-02-22T00:00:00"/>
    <n v="30"/>
    <x v="751"/>
  </r>
  <r>
    <s v="Aditya Gupta"/>
    <x v="1"/>
    <x v="1"/>
    <s v="B2"/>
    <s v="Saurabh"/>
    <x v="1"/>
    <n v="17072"/>
    <m/>
    <m/>
    <n v="17000"/>
    <d v="2024-02-16T00:00:00"/>
    <n v="0"/>
    <x v="752"/>
  </r>
  <r>
    <s v="Karan Kulkarni"/>
    <x v="1"/>
    <x v="1"/>
    <s v="B3"/>
    <s v="Saurabh"/>
    <x v="2"/>
    <n v="17953"/>
    <s v="DISC10"/>
    <n v="0.1"/>
    <n v="17000"/>
    <d v="2024-02-12T00:00:00"/>
    <n v="10"/>
    <x v="753"/>
  </r>
  <r>
    <s v="Manish Nair"/>
    <x v="3"/>
    <x v="3"/>
    <s v="B1"/>
    <s v="Amit"/>
    <x v="1"/>
    <n v="9037"/>
    <s v="DISC15"/>
    <m/>
    <n v="9000"/>
    <d v="2024-01-10T00:00:00"/>
    <n v="15"/>
    <x v="754"/>
  </r>
  <r>
    <s v="Kavita Rao"/>
    <x v="1"/>
    <x v="1"/>
    <s v="B2"/>
    <s v="Amit"/>
    <x v="2"/>
    <n v="15452"/>
    <s v="DISC10"/>
    <n v="0.1"/>
    <n v="17000"/>
    <d v="2024-02-03T00:00:00"/>
    <n v="10"/>
    <x v="755"/>
  </r>
  <r>
    <s v="Rohit Shah"/>
    <x v="0"/>
    <x v="0"/>
    <s v="B1"/>
    <s v="Saurabh"/>
    <x v="0"/>
    <n v="12827"/>
    <s v="DISC10"/>
    <n v="0.1"/>
    <n v="14000"/>
    <d v="2024-02-01T00:00:00"/>
    <n v="10"/>
    <x v="756"/>
  </r>
  <r>
    <s v="Sneha Shah"/>
    <x v="0"/>
    <x v="0"/>
    <s v="B3"/>
    <s v="Amit"/>
    <x v="2"/>
    <n v="14694"/>
    <m/>
    <m/>
    <n v="14000"/>
    <d v="2024-02-03T00:00:00"/>
    <n v="0"/>
    <x v="757"/>
  </r>
  <r>
    <s v="Kavita Desai"/>
    <x v="1"/>
    <x v="1"/>
    <s v="B1"/>
    <s v="Priya"/>
    <x v="0"/>
    <n v="17481"/>
    <s v="DISC10"/>
    <n v="0.1"/>
    <n v="17000"/>
    <d v="2024-01-01T00:00:00"/>
    <n v="10"/>
    <x v="758"/>
  </r>
  <r>
    <s v="Kunal Patil"/>
    <x v="3"/>
    <x v="3"/>
    <s v="B1"/>
    <s v="Priya"/>
    <x v="1"/>
    <n v="7248"/>
    <s v="DISC30"/>
    <n v="0.3"/>
    <n v="9000"/>
    <d v="2024-02-05T00:00:00"/>
    <n v="30"/>
    <x v="759"/>
  </r>
  <r>
    <s v="Anjali Verma"/>
    <x v="1"/>
    <x v="1"/>
    <s v="B3"/>
    <s v="Saurabh"/>
    <x v="1"/>
    <n v="16088"/>
    <s v="DISC15"/>
    <m/>
    <n v="17000"/>
    <d v="2024-01-03T00:00:00"/>
    <n v="15"/>
    <x v="760"/>
  </r>
  <r>
    <s v="Anjali Shah"/>
    <x v="1"/>
    <x v="1"/>
    <s v="B1"/>
    <s v="Saurabh"/>
    <x v="1"/>
    <n v="15397"/>
    <s v="DISC10"/>
    <n v="0.1"/>
    <n v="17000"/>
    <d v="2024-02-16T00:00:00"/>
    <n v="10"/>
    <x v="761"/>
  </r>
  <r>
    <s v="Sneha Gupta"/>
    <x v="3"/>
    <x v="3"/>
    <s v="B1"/>
    <s v="Saurabh"/>
    <x v="1"/>
    <n v="9690"/>
    <s v="DISC20"/>
    <n v="0.2"/>
    <n v="9000"/>
    <d v="2024-02-06T00:00:00"/>
    <n v="20"/>
    <x v="762"/>
  </r>
  <r>
    <s v="Rohit Mehta"/>
    <x v="3"/>
    <x v="3"/>
    <s v="B3"/>
    <s v="Saurabh"/>
    <x v="1"/>
    <n v="9361"/>
    <s v="DISC30"/>
    <n v="0.3"/>
    <n v="9000"/>
    <d v="2024-02-13T00:00:00"/>
    <n v="30"/>
    <x v="763"/>
  </r>
  <r>
    <s v="Neha Desai"/>
    <x v="3"/>
    <x v="3"/>
    <s v="B1"/>
    <s v="Saurabh"/>
    <x v="0"/>
    <n v="9252"/>
    <m/>
    <m/>
    <n v="9000"/>
    <d v="2024-02-02T00:00:00"/>
    <n v="0"/>
    <x v="764"/>
  </r>
  <r>
    <s v="Pooja Singh"/>
    <x v="2"/>
    <x v="2"/>
    <s v="B3"/>
    <s v="Amit"/>
    <x v="2"/>
    <n v="14823"/>
    <s v="DISC30"/>
    <n v="0.3"/>
    <n v="13000"/>
    <d v="2024-02-27T00:00:00"/>
    <n v="30"/>
    <x v="765"/>
  </r>
  <r>
    <s v="Pooja Gupta"/>
    <x v="1"/>
    <x v="1"/>
    <s v="B2"/>
    <s v="Priya"/>
    <x v="1"/>
    <n v="16763"/>
    <s v="DISC30"/>
    <n v="0.3"/>
    <n v="17000"/>
    <d v="2024-02-08T00:00:00"/>
    <n v="30"/>
    <x v="766"/>
  </r>
  <r>
    <s v="Sneha Joshi"/>
    <x v="2"/>
    <x v="2"/>
    <s v="B2"/>
    <s v="Amit"/>
    <x v="1"/>
    <n v="12040"/>
    <s v="DISC30"/>
    <n v="0.3"/>
    <n v="13000"/>
    <d v="2024-01-29T00:00:00"/>
    <n v="30"/>
    <x v="767"/>
  </r>
  <r>
    <s v="Neha Verma"/>
    <x v="0"/>
    <x v="0"/>
    <s v="B3"/>
    <s v="Saurabh"/>
    <x v="2"/>
    <n v="14440"/>
    <s v="DISC10"/>
    <n v="0.1"/>
    <n v="14000"/>
    <d v="2024-02-03T00:00:00"/>
    <n v="10"/>
    <x v="768"/>
  </r>
  <r>
    <s v="Karan Rao"/>
    <x v="0"/>
    <x v="0"/>
    <s v="B2"/>
    <s v="Saurabh"/>
    <x v="0"/>
    <n v="15505"/>
    <s v="DISC30"/>
    <n v="0.3"/>
    <n v="14000"/>
    <d v="2024-01-02T00:00:00"/>
    <n v="30"/>
    <x v="769"/>
  </r>
  <r>
    <s v="Dev Nair"/>
    <x v="1"/>
    <x v="1"/>
    <s v="B3"/>
    <s v="Amit"/>
    <x v="1"/>
    <n v="17337"/>
    <s v="DISC15"/>
    <m/>
    <n v="17000"/>
    <d v="2024-01-10T00:00:00"/>
    <n v="15"/>
    <x v="770"/>
  </r>
  <r>
    <s v="Riya Kulkarni"/>
    <x v="3"/>
    <x v="3"/>
    <s v="B2"/>
    <s v="Saurabh"/>
    <x v="0"/>
    <n v="8085"/>
    <s v="DISC30"/>
    <n v="0.3"/>
    <n v="9000"/>
    <d v="2024-02-26T00:00:00"/>
    <n v="30"/>
    <x v="771"/>
  </r>
  <r>
    <s v="Kavita Patil"/>
    <x v="2"/>
    <x v="2"/>
    <s v="B2"/>
    <s v="Priya"/>
    <x v="0"/>
    <n v="13336"/>
    <m/>
    <m/>
    <n v="13000"/>
    <d v="2024-02-06T00:00:00"/>
    <n v="0"/>
    <x v="772"/>
  </r>
  <r>
    <s v="Kunal Patil"/>
    <x v="0"/>
    <x v="0"/>
    <s v="B3"/>
    <s v="Priya"/>
    <x v="2"/>
    <n v="12708"/>
    <m/>
    <m/>
    <n v="14000"/>
    <d v="2024-02-22T00:00:00"/>
    <n v="0"/>
    <x v="773"/>
  </r>
  <r>
    <s v="Kunal Desai"/>
    <x v="0"/>
    <x v="0"/>
    <s v="B3"/>
    <s v="Amit"/>
    <x v="2"/>
    <n v="12153"/>
    <s v="DISC15"/>
    <m/>
    <n v="14000"/>
    <d v="2024-01-25T00:00:00"/>
    <n v="15"/>
    <x v="774"/>
  </r>
  <r>
    <s v="Riya Patel"/>
    <x v="0"/>
    <x v="0"/>
    <s v="B2"/>
    <s v="Priya"/>
    <x v="2"/>
    <n v="13706"/>
    <s v="DISC10"/>
    <n v="0.1"/>
    <n v="14000"/>
    <d v="2024-02-25T00:00:00"/>
    <n v="10"/>
    <x v="775"/>
  </r>
  <r>
    <s v="Dev Patil"/>
    <x v="0"/>
    <x v="0"/>
    <s v="B3"/>
    <s v="Amit"/>
    <x v="2"/>
    <n v="12221"/>
    <s v="DISC30"/>
    <n v="0.3"/>
    <n v="14000"/>
    <d v="2024-02-03T00:00:00"/>
    <n v="30"/>
    <x v="776"/>
  </r>
  <r>
    <s v="Aarav Jain"/>
    <x v="2"/>
    <x v="2"/>
    <s v="B2"/>
    <s v="Amit"/>
    <x v="1"/>
    <n v="11904"/>
    <s v="DISC20"/>
    <n v="0.2"/>
    <n v="13000"/>
    <d v="2024-01-04T00:00:00"/>
    <n v="20"/>
    <x v="777"/>
  </r>
  <r>
    <s v="Rohit Desai"/>
    <x v="3"/>
    <x v="3"/>
    <s v="B2"/>
    <s v="Amit"/>
    <x v="1"/>
    <n v="9067"/>
    <s v="DISC10"/>
    <n v="0.1"/>
    <n v="9000"/>
    <d v="2024-01-15T00:00:00"/>
    <n v="10"/>
    <x v="778"/>
  </r>
  <r>
    <s v="Rahul Rao"/>
    <x v="3"/>
    <x v="3"/>
    <s v="B1"/>
    <s v="Saurabh"/>
    <x v="2"/>
    <n v="7338"/>
    <m/>
    <m/>
    <n v="9000"/>
    <d v="2024-02-06T00:00:00"/>
    <n v="0"/>
    <x v="779"/>
  </r>
  <r>
    <s v="Anjali Kulkarni"/>
    <x v="3"/>
    <x v="3"/>
    <s v="B2"/>
    <s v="Saurabh"/>
    <x v="2"/>
    <n v="9055"/>
    <m/>
    <m/>
    <n v="9000"/>
    <d v="2024-02-19T00:00:00"/>
    <n v="0"/>
    <x v="780"/>
  </r>
  <r>
    <s v="Anjali Mehta"/>
    <x v="2"/>
    <x v="2"/>
    <s v="B2"/>
    <s v="Amit"/>
    <x v="0"/>
    <n v="12998"/>
    <m/>
    <m/>
    <n v="13000"/>
    <d v="2024-02-11T00:00:00"/>
    <n v="0"/>
    <x v="781"/>
  </r>
  <r>
    <s v="Kavita Patil"/>
    <x v="2"/>
    <x v="2"/>
    <s v="B1"/>
    <s v="Saurabh"/>
    <x v="2"/>
    <n v="14181"/>
    <m/>
    <m/>
    <n v="13000"/>
    <d v="2024-01-21T00:00:00"/>
    <n v="0"/>
    <x v="782"/>
  </r>
  <r>
    <s v="Rohit Joshi"/>
    <x v="0"/>
    <x v="0"/>
    <s v="B1"/>
    <s v="Amit"/>
    <x v="2"/>
    <n v="13734"/>
    <s v="DISC30"/>
    <n v="0.3"/>
    <n v="14000"/>
    <d v="2024-01-23T00:00:00"/>
    <n v="30"/>
    <x v="783"/>
  </r>
  <r>
    <s v="Sneha Jain"/>
    <x v="1"/>
    <x v="1"/>
    <s v="B3"/>
    <s v="Amit"/>
    <x v="0"/>
    <n v="18152"/>
    <s v="DISC30"/>
    <n v="0.3"/>
    <n v="17000"/>
    <d v="2024-01-11T00:00:00"/>
    <n v="30"/>
    <x v="784"/>
  </r>
  <r>
    <s v="Pooja Joshi"/>
    <x v="3"/>
    <x v="3"/>
    <s v="B3"/>
    <s v="Saurabh"/>
    <x v="2"/>
    <n v="7183"/>
    <s v="DISC20"/>
    <n v="0.2"/>
    <n v="9000"/>
    <d v="2024-01-13T00:00:00"/>
    <n v="20"/>
    <x v="785"/>
  </r>
  <r>
    <s v="Rohit Jain"/>
    <x v="2"/>
    <x v="2"/>
    <s v="B3"/>
    <s v="Saurabh"/>
    <x v="0"/>
    <n v="14029"/>
    <s v="DISC10"/>
    <n v="0.1"/>
    <n v="13000"/>
    <d v="2024-01-16T00:00:00"/>
    <n v="10"/>
    <x v="786"/>
  </r>
  <r>
    <s v="Kavita Mehta"/>
    <x v="1"/>
    <x v="1"/>
    <s v="B1"/>
    <s v="Priya"/>
    <x v="1"/>
    <n v="18294"/>
    <s v="DISC10"/>
    <n v="0.1"/>
    <n v="17000"/>
    <d v="2024-01-20T00:00:00"/>
    <n v="10"/>
    <x v="787"/>
  </r>
  <r>
    <s v="Neha Iyer"/>
    <x v="0"/>
    <x v="0"/>
    <s v="B2"/>
    <s v="Saurabh"/>
    <x v="1"/>
    <n v="14203"/>
    <s v="DISC20"/>
    <n v="0.2"/>
    <n v="14000"/>
    <d v="2024-01-14T00:00:00"/>
    <n v="20"/>
    <x v="788"/>
  </r>
  <r>
    <s v="Manish Gupta"/>
    <x v="1"/>
    <x v="1"/>
    <s v="B3"/>
    <s v="Priya"/>
    <x v="1"/>
    <n v="17989"/>
    <s v="DISC20"/>
    <n v="0.2"/>
    <n v="17000"/>
    <d v="2024-02-14T00:00:00"/>
    <n v="20"/>
    <x v="789"/>
  </r>
  <r>
    <s v="Anjali Singh"/>
    <x v="0"/>
    <x v="0"/>
    <s v="B2"/>
    <s v="Amit"/>
    <x v="1"/>
    <n v="14157"/>
    <s v="DISC10"/>
    <n v="0.1"/>
    <n v="14000"/>
    <d v="2024-01-17T00:00:00"/>
    <n v="10"/>
    <x v="790"/>
  </r>
  <r>
    <s v="Karan Kulkarni"/>
    <x v="1"/>
    <x v="1"/>
    <s v="B1"/>
    <s v="Amit"/>
    <x v="1"/>
    <n v="16111"/>
    <s v="DISC10"/>
    <n v="0.1"/>
    <n v="17000"/>
    <d v="2024-01-30T00:00:00"/>
    <n v="10"/>
    <x v="791"/>
  </r>
  <r>
    <s v="Rohit Kulkarni"/>
    <x v="0"/>
    <x v="0"/>
    <s v="B2"/>
    <s v="Amit"/>
    <x v="2"/>
    <n v="14715"/>
    <s v="DISC30"/>
    <n v="0.3"/>
    <n v="14000"/>
    <d v="2024-02-25T00:00:00"/>
    <n v="30"/>
    <x v="792"/>
  </r>
  <r>
    <s v="Riya Kulkarni"/>
    <x v="1"/>
    <x v="1"/>
    <s v="B3"/>
    <s v="Priya"/>
    <x v="0"/>
    <n v="16559"/>
    <s v="DISC15"/>
    <m/>
    <n v="17000"/>
    <d v="2024-02-15T00:00:00"/>
    <n v="15"/>
    <x v="793"/>
  </r>
  <r>
    <s v="Riya Jain"/>
    <x v="3"/>
    <x v="3"/>
    <s v="B3"/>
    <s v="Amit"/>
    <x v="0"/>
    <n v="7763"/>
    <s v="DISC20"/>
    <n v="0.2"/>
    <n v="9000"/>
    <d v="2024-02-02T00:00:00"/>
    <n v="20"/>
    <x v="794"/>
  </r>
  <r>
    <s v="Neha Gupta"/>
    <x v="0"/>
    <x v="0"/>
    <s v="B1"/>
    <s v="Saurabh"/>
    <x v="1"/>
    <n v="13248"/>
    <s v="DISC30"/>
    <n v="0.3"/>
    <n v="14000"/>
    <d v="2024-02-01T00:00:00"/>
    <n v="30"/>
    <x v="795"/>
  </r>
  <r>
    <s v="Rahul Desai"/>
    <x v="2"/>
    <x v="2"/>
    <s v="B1"/>
    <s v="Priya"/>
    <x v="1"/>
    <n v="12441"/>
    <s v="DISC30"/>
    <n v="0.3"/>
    <n v="13000"/>
    <d v="2024-02-10T00:00:00"/>
    <n v="30"/>
    <x v="796"/>
  </r>
  <r>
    <s v="Aditya Patil"/>
    <x v="1"/>
    <x v="1"/>
    <s v="B1"/>
    <s v="Amit"/>
    <x v="2"/>
    <n v="18599"/>
    <m/>
    <m/>
    <n v="17000"/>
    <d v="2024-02-26T00:00:00"/>
    <n v="0"/>
    <x v="797"/>
  </r>
  <r>
    <s v="Meera Kulkarni"/>
    <x v="1"/>
    <x v="1"/>
    <s v="B1"/>
    <s v="Saurabh"/>
    <x v="2"/>
    <n v="18674"/>
    <m/>
    <m/>
    <n v="17000"/>
    <d v="2024-02-12T00:00:00"/>
    <n v="0"/>
    <x v="798"/>
  </r>
  <r>
    <s v="Karan Shah"/>
    <x v="3"/>
    <x v="3"/>
    <s v="B3"/>
    <s v="Amit"/>
    <x v="1"/>
    <n v="10574"/>
    <s v="DISC20"/>
    <n v="0.2"/>
    <n v="9000"/>
    <d v="2024-01-27T00:00:00"/>
    <n v="20"/>
    <x v="799"/>
  </r>
  <r>
    <s v="Sneha Joshi"/>
    <x v="2"/>
    <x v="2"/>
    <s v="B2"/>
    <s v="Priya"/>
    <x v="1"/>
    <n v="12348"/>
    <m/>
    <m/>
    <n v="13000"/>
    <d v="2024-02-04T00:00:00"/>
    <n v="0"/>
    <x v="800"/>
  </r>
  <r>
    <s v="Karan Patil"/>
    <x v="2"/>
    <x v="2"/>
    <s v="B3"/>
    <s v="Amit"/>
    <x v="1"/>
    <n v="14277"/>
    <s v="DISC20"/>
    <n v="0.2"/>
    <n v="13000"/>
    <d v="2024-02-25T00:00:00"/>
    <n v="20"/>
    <x v="801"/>
  </r>
  <r>
    <s v="Karan Rao"/>
    <x v="2"/>
    <x v="2"/>
    <s v="B2"/>
    <s v="Saurabh"/>
    <x v="1"/>
    <n v="14821"/>
    <s v="DISC15"/>
    <m/>
    <n v="13000"/>
    <d v="2024-02-28T00:00:00"/>
    <n v="15"/>
    <x v="802"/>
  </r>
  <r>
    <s v="Karan Jain"/>
    <x v="0"/>
    <x v="0"/>
    <s v="B3"/>
    <s v="Amit"/>
    <x v="1"/>
    <n v="12484"/>
    <s v="DISC20"/>
    <n v="0.2"/>
    <n v="14000"/>
    <d v="2024-01-21T00:00:00"/>
    <n v="20"/>
    <x v="803"/>
  </r>
  <r>
    <s v="Meera Mehta"/>
    <x v="0"/>
    <x v="0"/>
    <s v="B2"/>
    <s v="Priya"/>
    <x v="2"/>
    <n v="13242"/>
    <m/>
    <m/>
    <n v="14000"/>
    <d v="2024-02-17T00:00:00"/>
    <n v="0"/>
    <x v="804"/>
  </r>
  <r>
    <s v="Kunal Nair"/>
    <x v="1"/>
    <x v="1"/>
    <s v="B1"/>
    <s v="Saurabh"/>
    <x v="0"/>
    <n v="15538"/>
    <s v="DISC20"/>
    <n v="0.2"/>
    <n v="17000"/>
    <d v="2024-01-02T00:00:00"/>
    <n v="20"/>
    <x v="805"/>
  </r>
  <r>
    <s v="Dev Joshi"/>
    <x v="1"/>
    <x v="1"/>
    <s v="B3"/>
    <s v="Amit"/>
    <x v="1"/>
    <n v="15945"/>
    <s v="DISC15"/>
    <m/>
    <n v="17000"/>
    <d v="2024-01-15T00:00:00"/>
    <n v="15"/>
    <x v="806"/>
  </r>
  <r>
    <s v="Sneha Singh"/>
    <x v="0"/>
    <x v="0"/>
    <s v="B2"/>
    <s v="Saurabh"/>
    <x v="1"/>
    <n v="15194"/>
    <m/>
    <m/>
    <n v="14000"/>
    <d v="2024-01-09T00:00:00"/>
    <n v="0"/>
    <x v="807"/>
  </r>
  <r>
    <s v="Manish Nair"/>
    <x v="3"/>
    <x v="3"/>
    <s v="B3"/>
    <s v="Amit"/>
    <x v="2"/>
    <n v="7753"/>
    <m/>
    <m/>
    <n v="9000"/>
    <d v="2024-02-01T00:00:00"/>
    <n v="0"/>
    <x v="703"/>
  </r>
  <r>
    <s v="Neha Mehta"/>
    <x v="2"/>
    <x v="2"/>
    <s v="B1"/>
    <s v="Saurabh"/>
    <x v="0"/>
    <n v="12673"/>
    <s v="DISC10"/>
    <n v="0.1"/>
    <n v="13000"/>
    <d v="2024-02-29T00:00:00"/>
    <n v="10"/>
    <x v="808"/>
  </r>
  <r>
    <s v="Aditya Verma"/>
    <x v="2"/>
    <x v="2"/>
    <s v="B3"/>
    <s v="Amit"/>
    <x v="0"/>
    <n v="14103"/>
    <s v="DISC20"/>
    <n v="0.2"/>
    <n v="13000"/>
    <d v="2024-01-05T00:00:00"/>
    <n v="20"/>
    <x v="809"/>
  </r>
  <r>
    <s v="Karan Iyer"/>
    <x v="3"/>
    <x v="3"/>
    <s v="B3"/>
    <s v="Priya"/>
    <x v="2"/>
    <n v="10635"/>
    <s v="DISC20"/>
    <n v="0.2"/>
    <n v="9000"/>
    <d v="2024-01-28T00:00:00"/>
    <n v="20"/>
    <x v="810"/>
  </r>
  <r>
    <s v="Rahul Patel"/>
    <x v="0"/>
    <x v="0"/>
    <s v="B3"/>
    <s v="Amit"/>
    <x v="2"/>
    <n v="14949"/>
    <s v="DISC30"/>
    <n v="0.3"/>
    <n v="14000"/>
    <d v="2024-01-26T00:00:00"/>
    <n v="30"/>
    <x v="811"/>
  </r>
  <r>
    <s v="Kavita Desai"/>
    <x v="0"/>
    <x v="0"/>
    <s v="B3"/>
    <s v="Saurabh"/>
    <x v="2"/>
    <n v="13871"/>
    <s v="DISC10"/>
    <n v="0.1"/>
    <n v="14000"/>
    <d v="2024-02-26T00:00:00"/>
    <n v="10"/>
    <x v="812"/>
  </r>
  <r>
    <s v="Sneha Gupta"/>
    <x v="3"/>
    <x v="3"/>
    <s v="B3"/>
    <s v="Saurabh"/>
    <x v="1"/>
    <n v="8586"/>
    <s v="DISC15"/>
    <m/>
    <n v="9000"/>
    <d v="2024-02-18T00:00:00"/>
    <n v="15"/>
    <x v="813"/>
  </r>
  <r>
    <s v="Rohit Kulkarni"/>
    <x v="2"/>
    <x v="2"/>
    <s v="B2"/>
    <s v="Priya"/>
    <x v="2"/>
    <n v="14622"/>
    <s v="DISC30"/>
    <n v="0.3"/>
    <n v="13000"/>
    <d v="2024-02-19T00:00:00"/>
    <n v="30"/>
    <x v="814"/>
  </r>
  <r>
    <s v="Meera Rao"/>
    <x v="3"/>
    <x v="3"/>
    <s v="B1"/>
    <s v="Priya"/>
    <x v="2"/>
    <n v="9511"/>
    <s v="DISC10"/>
    <n v="0.1"/>
    <n v="9000"/>
    <d v="2024-02-14T00:00:00"/>
    <n v="10"/>
    <x v="815"/>
  </r>
  <r>
    <s v="Manish Mehta"/>
    <x v="3"/>
    <x v="3"/>
    <s v="B3"/>
    <s v="Priya"/>
    <x v="0"/>
    <n v="9959"/>
    <s v="DISC15"/>
    <m/>
    <n v="9000"/>
    <d v="2024-01-08T00:00:00"/>
    <n v="15"/>
    <x v="816"/>
  </r>
  <r>
    <s v="Karan Patel"/>
    <x v="2"/>
    <x v="2"/>
    <s v="B2"/>
    <s v="Priya"/>
    <x v="2"/>
    <n v="12846"/>
    <s v="DISC10"/>
    <n v="0.1"/>
    <n v="13000"/>
    <d v="2024-01-12T00:00:00"/>
    <n v="10"/>
    <x v="817"/>
  </r>
  <r>
    <s v="Neha Joshi"/>
    <x v="2"/>
    <x v="2"/>
    <s v="B2"/>
    <s v="Saurabh"/>
    <x v="2"/>
    <n v="12327"/>
    <s v="DISC20"/>
    <n v="0.2"/>
    <n v="13000"/>
    <d v="2024-02-15T00:00:00"/>
    <n v="20"/>
    <x v="818"/>
  </r>
  <r>
    <s v="Anjali Shah"/>
    <x v="0"/>
    <x v="0"/>
    <s v="B1"/>
    <s v="Amit"/>
    <x v="2"/>
    <n v="14597"/>
    <s v="DISC30"/>
    <n v="0.3"/>
    <n v="14000"/>
    <d v="2024-01-06T00:00:00"/>
    <n v="30"/>
    <x v="819"/>
  </r>
  <r>
    <s v="Manish Desai"/>
    <x v="3"/>
    <x v="3"/>
    <s v="B3"/>
    <s v="Amit"/>
    <x v="1"/>
    <n v="10890"/>
    <s v="DISC20"/>
    <n v="0.2"/>
    <n v="9000"/>
    <d v="2024-01-25T00:00:00"/>
    <n v="20"/>
    <x v="820"/>
  </r>
  <r>
    <s v="Manish Verma"/>
    <x v="0"/>
    <x v="0"/>
    <s v="B1"/>
    <s v="Priya"/>
    <x v="1"/>
    <n v="15568"/>
    <s v="DISC20"/>
    <n v="0.2"/>
    <n v="14000"/>
    <d v="2024-01-11T00:00:00"/>
    <n v="20"/>
    <x v="821"/>
  </r>
  <r>
    <s v="Meera Mehta"/>
    <x v="2"/>
    <x v="2"/>
    <s v="B3"/>
    <s v="Saurabh"/>
    <x v="2"/>
    <n v="12261"/>
    <s v="DISC30"/>
    <n v="0.3"/>
    <n v="13000"/>
    <d v="2024-02-16T00:00:00"/>
    <n v="30"/>
    <x v="822"/>
  </r>
  <r>
    <s v="Dev Iyer"/>
    <x v="1"/>
    <x v="1"/>
    <s v="B3"/>
    <s v="Saurabh"/>
    <x v="0"/>
    <n v="18680"/>
    <s v="DISC20"/>
    <n v="0.2"/>
    <n v="17000"/>
    <d v="2024-01-13T00:00:00"/>
    <n v="20"/>
    <x v="823"/>
  </r>
  <r>
    <s v="Aarav Joshi"/>
    <x v="1"/>
    <x v="1"/>
    <s v="B1"/>
    <s v="Priya"/>
    <x v="2"/>
    <n v="18503"/>
    <m/>
    <m/>
    <n v="17000"/>
    <d v="2024-02-04T00:00:00"/>
    <n v="0"/>
    <x v="824"/>
  </r>
  <r>
    <s v="Dev Kulkarni"/>
    <x v="3"/>
    <x v="3"/>
    <s v="B1"/>
    <s v="Saurabh"/>
    <x v="1"/>
    <n v="9701"/>
    <m/>
    <m/>
    <n v="9000"/>
    <d v="2024-01-30T00:00:00"/>
    <n v="0"/>
    <x v="825"/>
  </r>
  <r>
    <s v="Rahul Iyer"/>
    <x v="0"/>
    <x v="0"/>
    <s v="B3"/>
    <s v="Amit"/>
    <x v="0"/>
    <n v="13002"/>
    <s v="DISC15"/>
    <m/>
    <n v="14000"/>
    <d v="2024-01-18T00:00:00"/>
    <n v="15"/>
    <x v="826"/>
  </r>
  <r>
    <s v="Kavita Singh"/>
    <x v="2"/>
    <x v="2"/>
    <s v="B1"/>
    <s v="Saurabh"/>
    <x v="0"/>
    <n v="11225"/>
    <s v="DISC30"/>
    <n v="0.3"/>
    <n v="13000"/>
    <d v="2024-01-03T00:00:00"/>
    <n v="30"/>
    <x v="827"/>
  </r>
  <r>
    <s v="Karan Nair"/>
    <x v="0"/>
    <x v="0"/>
    <s v="B3"/>
    <s v="Amit"/>
    <x v="1"/>
    <n v="13222"/>
    <s v="DISC30"/>
    <n v="0.3"/>
    <n v="14000"/>
    <d v="2024-02-28T00:00:00"/>
    <n v="30"/>
    <x v="828"/>
  </r>
  <r>
    <s v="Riya Kulkarni"/>
    <x v="0"/>
    <x v="0"/>
    <s v="B2"/>
    <s v="Saurabh"/>
    <x v="0"/>
    <n v="14752"/>
    <s v="DISC30"/>
    <n v="0.3"/>
    <n v="14000"/>
    <d v="2024-02-09T00:00:00"/>
    <n v="30"/>
    <x v="829"/>
  </r>
  <r>
    <s v="Rohit Desai"/>
    <x v="2"/>
    <x v="2"/>
    <s v="B2"/>
    <s v="Amit"/>
    <x v="1"/>
    <n v="12475"/>
    <s v="DISC10"/>
    <n v="0.1"/>
    <n v="13000"/>
    <d v="2024-01-06T00:00:00"/>
    <n v="10"/>
    <x v="830"/>
  </r>
  <r>
    <s v="Dev Rao"/>
    <x v="1"/>
    <x v="1"/>
    <s v="B2"/>
    <s v="Priya"/>
    <x v="0"/>
    <n v="18106"/>
    <m/>
    <m/>
    <n v="17000"/>
    <d v="2024-02-23T00:00:00"/>
    <n v="0"/>
    <x v="831"/>
  </r>
  <r>
    <s v="Manish Shah"/>
    <x v="1"/>
    <x v="1"/>
    <s v="B2"/>
    <s v="Saurabh"/>
    <x v="0"/>
    <n v="17845"/>
    <s v="DISC30"/>
    <n v="0.3"/>
    <n v="17000"/>
    <d v="2024-01-22T00:00:00"/>
    <n v="30"/>
    <x v="832"/>
  </r>
  <r>
    <s v="Manish Verma"/>
    <x v="2"/>
    <x v="2"/>
    <s v="B3"/>
    <s v="Saurabh"/>
    <x v="1"/>
    <n v="11238"/>
    <s v="DISC10"/>
    <n v="0.1"/>
    <n v="13000"/>
    <d v="2024-02-06T00:00:00"/>
    <n v="10"/>
    <x v="833"/>
  </r>
  <r>
    <s v="Anjali Singh"/>
    <x v="0"/>
    <x v="0"/>
    <s v="B2"/>
    <s v="Amit"/>
    <x v="1"/>
    <n v="14477"/>
    <s v="DISC30"/>
    <n v="0.3"/>
    <n v="14000"/>
    <d v="2024-01-28T00:00:00"/>
    <n v="30"/>
    <x v="834"/>
  </r>
  <r>
    <s v="Kavita Nair"/>
    <x v="1"/>
    <x v="1"/>
    <s v="B2"/>
    <s v="Amit"/>
    <x v="1"/>
    <n v="17552"/>
    <s v="DISC30"/>
    <n v="0.3"/>
    <n v="17000"/>
    <d v="2024-02-29T00:00:00"/>
    <n v="30"/>
    <x v="835"/>
  </r>
  <r>
    <s v="Karan Joshi"/>
    <x v="3"/>
    <x v="3"/>
    <s v="B3"/>
    <s v="Amit"/>
    <x v="1"/>
    <n v="9038"/>
    <m/>
    <m/>
    <n v="9000"/>
    <d v="2024-02-21T00:00:00"/>
    <n v="0"/>
    <x v="836"/>
  </r>
  <r>
    <s v="Karan Joshi"/>
    <x v="2"/>
    <x v="2"/>
    <s v="B3"/>
    <s v="Priya"/>
    <x v="0"/>
    <n v="11006"/>
    <s v="DISC10"/>
    <n v="0.1"/>
    <n v="13000"/>
    <d v="2024-01-02T00:00:00"/>
    <n v="10"/>
    <x v="837"/>
  </r>
  <r>
    <s v="Neha Singh"/>
    <x v="0"/>
    <x v="0"/>
    <s v="B3"/>
    <s v="Saurabh"/>
    <x v="1"/>
    <n v="13698"/>
    <m/>
    <m/>
    <n v="14000"/>
    <d v="2024-01-03T00:00:00"/>
    <n v="0"/>
    <x v="838"/>
  </r>
  <r>
    <s v="Pooja Jain"/>
    <x v="2"/>
    <x v="2"/>
    <s v="B1"/>
    <s v="Amit"/>
    <x v="0"/>
    <n v="13826"/>
    <s v="DISC30"/>
    <n v="0.3"/>
    <n v="13000"/>
    <d v="2024-01-17T00:00:00"/>
    <n v="30"/>
    <x v="839"/>
  </r>
  <r>
    <s v="Dev Shah"/>
    <x v="1"/>
    <x v="1"/>
    <s v="B2"/>
    <s v="Amit"/>
    <x v="1"/>
    <n v="16326"/>
    <s v="DISC10"/>
    <n v="0.1"/>
    <n v="17000"/>
    <d v="2024-01-08T00:00:00"/>
    <n v="10"/>
    <x v="840"/>
  </r>
  <r>
    <s v="Rohit Jain"/>
    <x v="1"/>
    <x v="1"/>
    <s v="B2"/>
    <s v="Amit"/>
    <x v="1"/>
    <n v="17523"/>
    <s v="DISC10"/>
    <n v="0.1"/>
    <n v="17000"/>
    <d v="2024-02-23T00:00:00"/>
    <n v="10"/>
    <x v="841"/>
  </r>
  <r>
    <s v="Karan Patil"/>
    <x v="1"/>
    <x v="1"/>
    <s v="B2"/>
    <s v="Amit"/>
    <x v="2"/>
    <n v="18752"/>
    <m/>
    <m/>
    <n v="17000"/>
    <d v="2024-02-21T00:00:00"/>
    <n v="0"/>
    <x v="842"/>
  </r>
  <r>
    <s v="Aarav Singh"/>
    <x v="2"/>
    <x v="2"/>
    <s v="B2"/>
    <s v="Saurabh"/>
    <x v="1"/>
    <n v="12886"/>
    <s v="DISC15"/>
    <m/>
    <n v="13000"/>
    <d v="2024-02-27T00:00:00"/>
    <n v="15"/>
    <x v="843"/>
  </r>
  <r>
    <s v="Pooja Iyer"/>
    <x v="3"/>
    <x v="3"/>
    <s v="B3"/>
    <s v="Saurabh"/>
    <x v="1"/>
    <n v="8226"/>
    <s v="DISC15"/>
    <m/>
    <n v="9000"/>
    <d v="2024-02-16T00:00:00"/>
    <n v="15"/>
    <x v="844"/>
  </r>
  <r>
    <s v="Rohit Jain"/>
    <x v="0"/>
    <x v="0"/>
    <s v="B1"/>
    <s v="Amit"/>
    <x v="1"/>
    <n v="13358"/>
    <s v="DISC30"/>
    <n v="0.3"/>
    <n v="14000"/>
    <d v="2024-01-05T00:00:00"/>
    <n v="30"/>
    <x v="845"/>
  </r>
  <r>
    <s v="Karan Rao"/>
    <x v="0"/>
    <x v="0"/>
    <s v="B2"/>
    <s v="Priya"/>
    <x v="1"/>
    <n v="14188"/>
    <s v="DISC20"/>
    <n v="0.2"/>
    <n v="14000"/>
    <d v="2024-02-06T00:00:00"/>
    <n v="20"/>
    <x v="846"/>
  </r>
  <r>
    <s v="Kavita Verma"/>
    <x v="2"/>
    <x v="2"/>
    <s v="B3"/>
    <s v="Saurabh"/>
    <x v="2"/>
    <n v="13888"/>
    <s v="DISC30"/>
    <n v="0.3"/>
    <n v="13000"/>
    <d v="2024-02-15T00:00:00"/>
    <n v="30"/>
    <x v="847"/>
  </r>
  <r>
    <s v="Aarav Rao"/>
    <x v="3"/>
    <x v="3"/>
    <s v="B1"/>
    <s v="Priya"/>
    <x v="0"/>
    <n v="8522"/>
    <m/>
    <m/>
    <n v="9000"/>
    <d v="2024-02-23T00:00:00"/>
    <n v="0"/>
    <x v="848"/>
  </r>
  <r>
    <s v="Aditya Patil"/>
    <x v="1"/>
    <x v="1"/>
    <s v="B1"/>
    <s v="Saurabh"/>
    <x v="2"/>
    <n v="18215"/>
    <s v="DISC10"/>
    <n v="0.1"/>
    <n v="17000"/>
    <d v="2024-02-19T00:00:00"/>
    <n v="10"/>
    <x v="849"/>
  </r>
  <r>
    <s v="Sneha Shah"/>
    <x v="3"/>
    <x v="3"/>
    <s v="B3"/>
    <s v="Saurabh"/>
    <x v="2"/>
    <n v="10706"/>
    <s v="DISC15"/>
    <m/>
    <n v="9000"/>
    <d v="2024-01-10T00:00:00"/>
    <n v="15"/>
    <x v="850"/>
  </r>
  <r>
    <s v="Sneha Jain"/>
    <x v="3"/>
    <x v="3"/>
    <s v="B3"/>
    <s v="Amit"/>
    <x v="2"/>
    <n v="10176"/>
    <s v="DISC30"/>
    <n v="0.3"/>
    <n v="9000"/>
    <d v="2024-01-10T00:00:00"/>
    <n v="30"/>
    <x v="851"/>
  </r>
  <r>
    <s v="Dev Nair"/>
    <x v="0"/>
    <x v="0"/>
    <s v="B3"/>
    <s v="Amit"/>
    <x v="0"/>
    <n v="12840"/>
    <s v="DISC10"/>
    <n v="0.1"/>
    <n v="14000"/>
    <d v="2024-01-30T00:00:00"/>
    <n v="10"/>
    <x v="852"/>
  </r>
  <r>
    <s v="Rahul Desai"/>
    <x v="0"/>
    <x v="0"/>
    <s v="B1"/>
    <s v="Priya"/>
    <x v="0"/>
    <n v="14814"/>
    <s v="DISC15"/>
    <m/>
    <n v="14000"/>
    <d v="2024-02-25T00:00:00"/>
    <n v="15"/>
    <x v="853"/>
  </r>
  <r>
    <s v="Riya Jain"/>
    <x v="3"/>
    <x v="3"/>
    <s v="B1"/>
    <s v="Saurabh"/>
    <x v="1"/>
    <n v="10138"/>
    <s v="DISC30"/>
    <n v="0.3"/>
    <n v="9000"/>
    <d v="2024-01-02T00:00:00"/>
    <n v="30"/>
    <x v="854"/>
  </r>
  <r>
    <s v="Kavita Patel"/>
    <x v="1"/>
    <x v="1"/>
    <s v="B3"/>
    <s v="Saurabh"/>
    <x v="2"/>
    <n v="15821"/>
    <s v="DISC20"/>
    <n v="0.2"/>
    <n v="17000"/>
    <d v="2024-01-19T00:00:00"/>
    <n v="20"/>
    <x v="855"/>
  </r>
  <r>
    <s v="Aditya Gupta"/>
    <x v="1"/>
    <x v="1"/>
    <s v="B2"/>
    <s v="Amit"/>
    <x v="0"/>
    <n v="16116"/>
    <s v="DISC20"/>
    <n v="0.2"/>
    <n v="17000"/>
    <d v="2024-01-11T00:00:00"/>
    <n v="20"/>
    <x v="856"/>
  </r>
  <r>
    <s v="Aditya Shah"/>
    <x v="0"/>
    <x v="0"/>
    <s v="B3"/>
    <s v="Amit"/>
    <x v="1"/>
    <n v="12419"/>
    <s v="DISC20"/>
    <n v="0.2"/>
    <n v="14000"/>
    <d v="2024-02-04T00:00:00"/>
    <n v="20"/>
    <x v="857"/>
  </r>
  <r>
    <s v="Pooja Gupta"/>
    <x v="1"/>
    <x v="1"/>
    <s v="B2"/>
    <s v="Saurabh"/>
    <x v="1"/>
    <n v="18293"/>
    <s v="DISC30"/>
    <n v="0.3"/>
    <n v="17000"/>
    <d v="2024-02-06T00:00:00"/>
    <n v="30"/>
    <x v="858"/>
  </r>
  <r>
    <s v="Sneha Mehta"/>
    <x v="0"/>
    <x v="0"/>
    <s v="B2"/>
    <s v="Amit"/>
    <x v="2"/>
    <n v="14214"/>
    <m/>
    <m/>
    <n v="14000"/>
    <d v="2024-01-04T00:00:00"/>
    <n v="0"/>
    <x v="544"/>
  </r>
  <r>
    <s v="Karan Kulkarni"/>
    <x v="3"/>
    <x v="3"/>
    <s v="B3"/>
    <s v="Saurabh"/>
    <x v="0"/>
    <n v="8571"/>
    <s v="DISC10"/>
    <n v="0.1"/>
    <n v="9000"/>
    <d v="2024-01-06T00:00:00"/>
    <n v="10"/>
    <x v="859"/>
  </r>
  <r>
    <s v="Rahul Verma"/>
    <x v="2"/>
    <x v="2"/>
    <s v="B3"/>
    <s v="Amit"/>
    <x v="1"/>
    <n v="13578"/>
    <m/>
    <m/>
    <n v="13000"/>
    <d v="2024-02-09T00:00:00"/>
    <n v="0"/>
    <x v="860"/>
  </r>
  <r>
    <s v="Pooja Rao"/>
    <x v="1"/>
    <x v="1"/>
    <s v="B1"/>
    <s v="Amit"/>
    <x v="1"/>
    <n v="18314"/>
    <s v="DISC15"/>
    <m/>
    <n v="17000"/>
    <d v="2024-01-06T00:00:00"/>
    <n v="15"/>
    <x v="861"/>
  </r>
  <r>
    <s v="Kunal Patel"/>
    <x v="3"/>
    <x v="3"/>
    <s v="B3"/>
    <s v="Saurabh"/>
    <x v="0"/>
    <n v="10329"/>
    <m/>
    <m/>
    <n v="9000"/>
    <d v="2024-01-07T00:00:00"/>
    <n v="0"/>
    <x v="862"/>
  </r>
  <r>
    <s v="Neha Rao"/>
    <x v="3"/>
    <x v="3"/>
    <s v="B2"/>
    <s v="Saurabh"/>
    <x v="0"/>
    <n v="7588"/>
    <s v="DISC15"/>
    <m/>
    <n v="9000"/>
    <d v="2024-01-17T00:00:00"/>
    <n v="15"/>
    <x v="863"/>
  </r>
  <r>
    <s v="Kunal Jain"/>
    <x v="3"/>
    <x v="3"/>
    <s v="B1"/>
    <s v="Amit"/>
    <x v="1"/>
    <n v="8353"/>
    <s v="DISC30"/>
    <n v="0.3"/>
    <n v="9000"/>
    <d v="2024-01-30T00:00:00"/>
    <n v="30"/>
    <x v="864"/>
  </r>
  <r>
    <s v="Neha Kulkarni"/>
    <x v="0"/>
    <x v="0"/>
    <s v="B2"/>
    <s v="Saurabh"/>
    <x v="2"/>
    <n v="13960"/>
    <m/>
    <m/>
    <n v="14000"/>
    <d v="2024-02-24T00:00:00"/>
    <n v="0"/>
    <x v="865"/>
  </r>
  <r>
    <s v="Karan Rao"/>
    <x v="1"/>
    <x v="1"/>
    <s v="B3"/>
    <s v="Amit"/>
    <x v="0"/>
    <n v="17080"/>
    <s v="DISC10"/>
    <n v="0.1"/>
    <n v="17000"/>
    <d v="2024-01-26T00:00:00"/>
    <n v="10"/>
    <x v="866"/>
  </r>
  <r>
    <s v="Meera Desai"/>
    <x v="0"/>
    <x v="0"/>
    <s v="B2"/>
    <s v="Amit"/>
    <x v="1"/>
    <n v="12290"/>
    <s v="DISC30"/>
    <n v="0.3"/>
    <n v="14000"/>
    <d v="2024-02-04T00:00:00"/>
    <n v="30"/>
    <x v="867"/>
  </r>
  <r>
    <s v="Neha Verma"/>
    <x v="3"/>
    <x v="3"/>
    <s v="B1"/>
    <s v="Amit"/>
    <x v="0"/>
    <n v="9244"/>
    <s v="DISC20"/>
    <n v="0.2"/>
    <n v="9000"/>
    <d v="2024-01-31T00:00:00"/>
    <n v="20"/>
    <x v="868"/>
  </r>
  <r>
    <s v="Rahul Shah"/>
    <x v="1"/>
    <x v="1"/>
    <s v="B1"/>
    <s v="Amit"/>
    <x v="1"/>
    <n v="16765"/>
    <m/>
    <m/>
    <n v="17000"/>
    <d v="2024-02-06T00:00:00"/>
    <n v="0"/>
    <x v="869"/>
  </r>
  <r>
    <s v="Dev Jain"/>
    <x v="2"/>
    <x v="2"/>
    <s v="B1"/>
    <s v="Amit"/>
    <x v="1"/>
    <n v="11319"/>
    <s v="DISC15"/>
    <m/>
    <n v="13000"/>
    <d v="2024-02-23T00:00:00"/>
    <n v="15"/>
    <x v="870"/>
  </r>
  <r>
    <s v="Neha Shah"/>
    <x v="3"/>
    <x v="3"/>
    <s v="B2"/>
    <s v="Amit"/>
    <x v="0"/>
    <n v="10367"/>
    <m/>
    <m/>
    <n v="9000"/>
    <d v="2024-01-12T00:00:00"/>
    <n v="0"/>
    <x v="871"/>
  </r>
  <r>
    <s v="Aditya Verma"/>
    <x v="0"/>
    <x v="0"/>
    <s v="B3"/>
    <s v="Saurabh"/>
    <x v="1"/>
    <n v="15334"/>
    <s v="DISC15"/>
    <m/>
    <n v="14000"/>
    <d v="2024-02-19T00:00:00"/>
    <n v="15"/>
    <x v="872"/>
  </r>
  <r>
    <s v="Meera Verma"/>
    <x v="1"/>
    <x v="1"/>
    <s v="B2"/>
    <s v="Amit"/>
    <x v="1"/>
    <n v="15251"/>
    <s v="DISC10"/>
    <n v="0.1"/>
    <n v="17000"/>
    <d v="2024-01-14T00:00:00"/>
    <n v="10"/>
    <x v="873"/>
  </r>
  <r>
    <s v="Meera Mehta"/>
    <x v="0"/>
    <x v="0"/>
    <s v="B1"/>
    <s v="Amit"/>
    <x v="0"/>
    <n v="13855"/>
    <s v="DISC15"/>
    <m/>
    <n v="14000"/>
    <d v="2024-01-19T00:00:00"/>
    <n v="15"/>
    <x v="874"/>
  </r>
  <r>
    <s v="Rahul Joshi"/>
    <x v="3"/>
    <x v="3"/>
    <s v="B1"/>
    <s v="Saurabh"/>
    <x v="1"/>
    <n v="10593"/>
    <s v="DISC30"/>
    <n v="0.3"/>
    <n v="9000"/>
    <d v="2024-01-20T00:00:00"/>
    <n v="30"/>
    <x v="875"/>
  </r>
  <r>
    <s v="Kavita Patel"/>
    <x v="1"/>
    <x v="1"/>
    <s v="B2"/>
    <s v="Amit"/>
    <x v="2"/>
    <n v="15365"/>
    <s v="DISC15"/>
    <m/>
    <n v="17000"/>
    <d v="2024-01-01T00:00:00"/>
    <n v="15"/>
    <x v="876"/>
  </r>
  <r>
    <s v="Kavita Gupta"/>
    <x v="3"/>
    <x v="3"/>
    <s v="B1"/>
    <s v="Priya"/>
    <x v="0"/>
    <n v="8512"/>
    <s v="DISC15"/>
    <m/>
    <n v="9000"/>
    <d v="2024-01-04T00:00:00"/>
    <n v="15"/>
    <x v="877"/>
  </r>
  <r>
    <s v="Aarav Desai"/>
    <x v="1"/>
    <x v="1"/>
    <s v="B1"/>
    <s v="Priya"/>
    <x v="0"/>
    <n v="15963"/>
    <m/>
    <m/>
    <n v="17000"/>
    <d v="2024-02-14T00:00:00"/>
    <n v="0"/>
    <x v="878"/>
  </r>
  <r>
    <s v="Kavita Verma"/>
    <x v="1"/>
    <x v="1"/>
    <s v="B3"/>
    <s v="Priya"/>
    <x v="2"/>
    <n v="16562"/>
    <m/>
    <m/>
    <n v="17000"/>
    <d v="2024-02-04T00:00:00"/>
    <n v="0"/>
    <x v="879"/>
  </r>
  <r>
    <s v="Sneha Singh"/>
    <x v="2"/>
    <x v="2"/>
    <s v="B2"/>
    <s v="Saurabh"/>
    <x v="0"/>
    <n v="13275"/>
    <m/>
    <m/>
    <n v="13000"/>
    <d v="2024-02-23T00:00:00"/>
    <n v="0"/>
    <x v="880"/>
  </r>
  <r>
    <s v="Kunal Jain"/>
    <x v="3"/>
    <x v="3"/>
    <s v="B1"/>
    <s v="Priya"/>
    <x v="1"/>
    <n v="7514"/>
    <s v="DISC20"/>
    <n v="0.2"/>
    <n v="9000"/>
    <d v="2024-01-01T00:00:00"/>
    <n v="20"/>
    <x v="881"/>
  </r>
  <r>
    <s v="Riya Singh"/>
    <x v="0"/>
    <x v="0"/>
    <s v="B1"/>
    <s v="Amit"/>
    <x v="2"/>
    <n v="14694"/>
    <m/>
    <m/>
    <n v="14000"/>
    <d v="2024-01-09T00:00:00"/>
    <n v="0"/>
    <x v="757"/>
  </r>
  <r>
    <s v="Riya Mehta"/>
    <x v="3"/>
    <x v="3"/>
    <s v="B2"/>
    <s v="Amit"/>
    <x v="1"/>
    <n v="10810"/>
    <m/>
    <m/>
    <n v="9000"/>
    <d v="2024-02-09T00:00:00"/>
    <n v="0"/>
    <x v="882"/>
  </r>
  <r>
    <s v="Karan Iyer"/>
    <x v="3"/>
    <x v="3"/>
    <s v="B3"/>
    <s v="Priya"/>
    <x v="2"/>
    <n v="8455"/>
    <s v="DISC20"/>
    <n v="0.2"/>
    <n v="9000"/>
    <d v="2024-01-12T00:00:00"/>
    <n v="20"/>
    <x v="883"/>
  </r>
  <r>
    <s v="Rahul Joshi"/>
    <x v="0"/>
    <x v="0"/>
    <s v="B3"/>
    <s v="Priya"/>
    <x v="1"/>
    <n v="12969"/>
    <s v="DISC15"/>
    <m/>
    <n v="14000"/>
    <d v="2024-01-18T00:00:00"/>
    <n v="15"/>
    <x v="884"/>
  </r>
  <r>
    <s v="Rahul Gupta"/>
    <x v="1"/>
    <x v="1"/>
    <s v="B1"/>
    <s v="Saurabh"/>
    <x v="1"/>
    <n v="16979"/>
    <s v="DISC30"/>
    <n v="0.3"/>
    <n v="17000"/>
    <d v="2024-01-08T00:00:00"/>
    <n v="30"/>
    <x v="885"/>
  </r>
  <r>
    <s v="Kavita Iyer"/>
    <x v="0"/>
    <x v="0"/>
    <s v="B1"/>
    <s v="Amit"/>
    <x v="1"/>
    <n v="14156"/>
    <s v="DISC30"/>
    <n v="0.3"/>
    <n v="14000"/>
    <d v="2024-01-30T00:00:00"/>
    <n v="30"/>
    <x v="886"/>
  </r>
  <r>
    <s v="Manish Shah"/>
    <x v="0"/>
    <x v="0"/>
    <s v="B1"/>
    <s v="Priya"/>
    <x v="1"/>
    <n v="15037"/>
    <s v="DISC10"/>
    <n v="0.1"/>
    <n v="14000"/>
    <d v="2024-02-13T00:00:00"/>
    <n v="10"/>
    <x v="887"/>
  </r>
  <r>
    <s v="Rohit Gupta"/>
    <x v="1"/>
    <x v="1"/>
    <s v="B3"/>
    <s v="Saurabh"/>
    <x v="2"/>
    <n v="17191"/>
    <s v="DISC10"/>
    <n v="0.1"/>
    <n v="17000"/>
    <d v="2024-01-31T00:00:00"/>
    <n v="10"/>
    <x v="888"/>
  </r>
  <r>
    <s v="Neha Gupta"/>
    <x v="3"/>
    <x v="3"/>
    <s v="B3"/>
    <s v="Amit"/>
    <x v="2"/>
    <n v="8724"/>
    <s v="DISC30"/>
    <n v="0.3"/>
    <n v="9000"/>
    <d v="2024-02-21T00:00:00"/>
    <n v="30"/>
    <x v="889"/>
  </r>
  <r>
    <s v="Aditya Rao"/>
    <x v="2"/>
    <x v="2"/>
    <s v="B1"/>
    <s v="Amit"/>
    <x v="1"/>
    <n v="14069"/>
    <s v="DISC30"/>
    <n v="0.3"/>
    <n v="13000"/>
    <d v="2024-02-16T00:00:00"/>
    <n v="30"/>
    <x v="890"/>
  </r>
  <r>
    <s v="Dev Joshi"/>
    <x v="1"/>
    <x v="1"/>
    <s v="B1"/>
    <s v="Amit"/>
    <x v="2"/>
    <n v="17368"/>
    <s v="DISC20"/>
    <n v="0.2"/>
    <n v="17000"/>
    <d v="2024-02-06T00:00:00"/>
    <n v="20"/>
    <x v="891"/>
  </r>
  <r>
    <s v="Aarav Singh"/>
    <x v="1"/>
    <x v="1"/>
    <s v="B3"/>
    <s v="Amit"/>
    <x v="0"/>
    <n v="16174"/>
    <m/>
    <m/>
    <n v="17000"/>
    <d v="2024-01-06T00:00:00"/>
    <n v="0"/>
    <x v="892"/>
  </r>
  <r>
    <s v="Karan Gupta"/>
    <x v="0"/>
    <x v="0"/>
    <s v="B2"/>
    <s v="Priya"/>
    <x v="0"/>
    <n v="14522"/>
    <s v="DISC30"/>
    <n v="0.3"/>
    <n v="14000"/>
    <d v="2024-01-18T00:00:00"/>
    <n v="30"/>
    <x v="893"/>
  </r>
  <r>
    <s v="Meera Rao"/>
    <x v="0"/>
    <x v="0"/>
    <s v="B3"/>
    <s v="Saurabh"/>
    <x v="1"/>
    <n v="12715"/>
    <s v="DISC15"/>
    <m/>
    <n v="14000"/>
    <d v="2024-02-17T00:00:00"/>
    <n v="15"/>
    <x v="894"/>
  </r>
  <r>
    <s v="Karan Singh"/>
    <x v="3"/>
    <x v="3"/>
    <s v="B2"/>
    <s v="Saurabh"/>
    <x v="2"/>
    <n v="10205"/>
    <s v="DISC20"/>
    <n v="0.2"/>
    <n v="9000"/>
    <d v="2024-02-01T00:00:00"/>
    <n v="20"/>
    <x v="107"/>
  </r>
  <r>
    <s v="Karan Patel"/>
    <x v="0"/>
    <x v="0"/>
    <s v="B2"/>
    <s v="Saurabh"/>
    <x v="0"/>
    <n v="14439"/>
    <s v="DISC20"/>
    <n v="0.2"/>
    <n v="14000"/>
    <d v="2024-02-23T00:00:00"/>
    <n v="20"/>
    <x v="895"/>
  </r>
  <r>
    <s v="Neha Patel"/>
    <x v="3"/>
    <x v="3"/>
    <s v="B2"/>
    <s v="Saurabh"/>
    <x v="1"/>
    <n v="8802"/>
    <s v="DISC20"/>
    <n v="0.2"/>
    <n v="9000"/>
    <d v="2024-01-14T00:00:00"/>
    <n v="20"/>
    <x v="896"/>
  </r>
  <r>
    <s v="Kavita Desai"/>
    <x v="1"/>
    <x v="1"/>
    <s v="B1"/>
    <s v="Amit"/>
    <x v="2"/>
    <n v="18094"/>
    <s v="DISC10"/>
    <n v="0.1"/>
    <n v="17000"/>
    <d v="2024-01-04T00:00:00"/>
    <n v="10"/>
    <x v="897"/>
  </r>
  <r>
    <s v="Karan Iyer"/>
    <x v="3"/>
    <x v="3"/>
    <s v="B2"/>
    <s v="Priya"/>
    <x v="2"/>
    <n v="10056"/>
    <s v="DISC15"/>
    <m/>
    <n v="9000"/>
    <d v="2024-01-15T00:00:00"/>
    <n v="15"/>
    <x v="898"/>
  </r>
  <r>
    <s v="Rahul Singh"/>
    <x v="3"/>
    <x v="3"/>
    <s v="B2"/>
    <s v="Priya"/>
    <x v="0"/>
    <n v="9172"/>
    <m/>
    <m/>
    <n v="9000"/>
    <d v="2024-01-01T00:00:00"/>
    <n v="0"/>
    <x v="899"/>
  </r>
  <r>
    <s v="Aditya Patel"/>
    <x v="3"/>
    <x v="3"/>
    <s v="B2"/>
    <s v="Amit"/>
    <x v="2"/>
    <n v="10939"/>
    <s v="DISC15"/>
    <m/>
    <n v="9000"/>
    <d v="2024-02-13T00:00:00"/>
    <n v="15"/>
    <x v="900"/>
  </r>
  <r>
    <s v="Aarav Shah"/>
    <x v="1"/>
    <x v="1"/>
    <s v="B2"/>
    <s v="Amit"/>
    <x v="1"/>
    <n v="18515"/>
    <s v="DISC30"/>
    <n v="0.3"/>
    <n v="17000"/>
    <d v="2024-01-22T00:00:00"/>
    <n v="30"/>
    <x v="901"/>
  </r>
  <r>
    <s v="Aditya Rao"/>
    <x v="0"/>
    <x v="0"/>
    <s v="B2"/>
    <s v="Amit"/>
    <x v="1"/>
    <n v="13602"/>
    <m/>
    <m/>
    <n v="14000"/>
    <d v="2024-02-19T00:00:00"/>
    <n v="0"/>
    <x v="902"/>
  </r>
  <r>
    <s v="Rohit Desai"/>
    <x v="2"/>
    <x v="2"/>
    <s v="B3"/>
    <s v="Amit"/>
    <x v="1"/>
    <n v="14155"/>
    <s v="DISC20"/>
    <n v="0.2"/>
    <n v="13000"/>
    <d v="2024-02-03T00:00:00"/>
    <n v="20"/>
    <x v="903"/>
  </r>
  <r>
    <s v="Pooja Singh"/>
    <x v="2"/>
    <x v="2"/>
    <s v="B2"/>
    <s v="Amit"/>
    <x v="0"/>
    <n v="13755"/>
    <s v="DISC10"/>
    <n v="0.1"/>
    <n v="13000"/>
    <d v="2024-02-23T00:00:00"/>
    <n v="10"/>
    <x v="904"/>
  </r>
  <r>
    <s v="Riya Kulkarni"/>
    <x v="3"/>
    <x v="3"/>
    <s v="B1"/>
    <s v="Amit"/>
    <x v="0"/>
    <n v="9807"/>
    <m/>
    <m/>
    <n v="9000"/>
    <d v="2024-01-23T00:00:00"/>
    <n v="0"/>
    <x v="905"/>
  </r>
  <r>
    <s v="Sneha Desai"/>
    <x v="1"/>
    <x v="1"/>
    <s v="B2"/>
    <s v="Saurabh"/>
    <x v="0"/>
    <n v="15097"/>
    <s v="DISC15"/>
    <m/>
    <n v="17000"/>
    <d v="2024-01-06T00:00:00"/>
    <n v="15"/>
    <x v="906"/>
  </r>
  <r>
    <s v="Aarav Joshi"/>
    <x v="2"/>
    <x v="2"/>
    <s v="B3"/>
    <s v="Amit"/>
    <x v="0"/>
    <n v="13900"/>
    <s v="DISC10"/>
    <n v="0.1"/>
    <n v="13000"/>
    <d v="2024-01-06T00:00:00"/>
    <n v="10"/>
    <x v="907"/>
  </r>
  <r>
    <s v="Meera Joshi"/>
    <x v="2"/>
    <x v="2"/>
    <s v="B2"/>
    <s v="Amit"/>
    <x v="1"/>
    <n v="13318"/>
    <s v="DISC20"/>
    <n v="0.2"/>
    <n v="13000"/>
    <d v="2024-02-27T00:00:00"/>
    <n v="20"/>
    <x v="908"/>
  </r>
  <r>
    <s v="Riya Desai"/>
    <x v="2"/>
    <x v="2"/>
    <s v="B2"/>
    <s v="Priya"/>
    <x v="2"/>
    <n v="13705"/>
    <s v="DISC10"/>
    <n v="0.1"/>
    <n v="13000"/>
    <d v="2024-02-10T00:00:00"/>
    <n v="10"/>
    <x v="909"/>
  </r>
  <r>
    <s v="Neha Rao"/>
    <x v="3"/>
    <x v="3"/>
    <s v="B3"/>
    <s v="Amit"/>
    <x v="2"/>
    <n v="8054"/>
    <s v="DISC20"/>
    <n v="0.2"/>
    <n v="9000"/>
    <d v="2024-02-19T00:00:00"/>
    <n v="20"/>
    <x v="910"/>
  </r>
  <r>
    <s v="Riya Rao"/>
    <x v="0"/>
    <x v="0"/>
    <s v="B2"/>
    <s v="Priya"/>
    <x v="2"/>
    <n v="12246"/>
    <s v="DISC30"/>
    <n v="0.3"/>
    <n v="14000"/>
    <d v="2024-02-22T00:00:00"/>
    <n v="30"/>
    <x v="911"/>
  </r>
  <r>
    <s v="Aditya Mehta"/>
    <x v="3"/>
    <x v="3"/>
    <s v="B1"/>
    <s v="Priya"/>
    <x v="0"/>
    <n v="9499"/>
    <m/>
    <m/>
    <n v="9000"/>
    <d v="2024-01-12T00:00:00"/>
    <n v="0"/>
    <x v="912"/>
  </r>
  <r>
    <s v="Rohit Iyer"/>
    <x v="0"/>
    <x v="0"/>
    <s v="B1"/>
    <s v="Amit"/>
    <x v="2"/>
    <n v="12894"/>
    <s v="DISC15"/>
    <m/>
    <n v="14000"/>
    <d v="2024-02-11T00:00:00"/>
    <n v="15"/>
    <x v="913"/>
  </r>
  <r>
    <s v="Riya Iyer"/>
    <x v="1"/>
    <x v="1"/>
    <s v="B1"/>
    <s v="Saurabh"/>
    <x v="0"/>
    <n v="15288"/>
    <s v="DISC15"/>
    <m/>
    <n v="17000"/>
    <d v="2024-02-16T00:00:00"/>
    <n v="15"/>
    <x v="914"/>
  </r>
  <r>
    <s v="Aditya Patel"/>
    <x v="3"/>
    <x v="3"/>
    <s v="B1"/>
    <s v="Priya"/>
    <x v="0"/>
    <n v="9674"/>
    <s v="DISC10"/>
    <n v="0.1"/>
    <n v="9000"/>
    <d v="2024-02-29T00:00:00"/>
    <n v="10"/>
    <x v="915"/>
  </r>
  <r>
    <s v="Aarav Singh"/>
    <x v="3"/>
    <x v="3"/>
    <s v="B2"/>
    <s v="Saurabh"/>
    <x v="1"/>
    <n v="8350"/>
    <m/>
    <m/>
    <n v="9000"/>
    <d v="2024-02-06T00:00:00"/>
    <n v="0"/>
    <x v="916"/>
  </r>
  <r>
    <s v="Aarav Gupta"/>
    <x v="3"/>
    <x v="3"/>
    <s v="B2"/>
    <s v="Priya"/>
    <x v="2"/>
    <n v="10457"/>
    <s v="DISC10"/>
    <n v="0.1"/>
    <n v="9000"/>
    <d v="2024-02-04T00:00:00"/>
    <n v="10"/>
    <x v="917"/>
  </r>
  <r>
    <s v="Sneha Kulkarni"/>
    <x v="3"/>
    <x v="3"/>
    <s v="B3"/>
    <s v="Priya"/>
    <x v="0"/>
    <n v="9323"/>
    <s v="DISC15"/>
    <m/>
    <n v="9000"/>
    <d v="2024-02-29T00:00:00"/>
    <n v="15"/>
    <x v="918"/>
  </r>
  <r>
    <s v="Pooja Jain"/>
    <x v="1"/>
    <x v="1"/>
    <s v="B2"/>
    <s v="Saurabh"/>
    <x v="1"/>
    <n v="18927"/>
    <s v="DISC10"/>
    <n v="0.1"/>
    <n v="17000"/>
    <d v="2024-01-24T00:00:00"/>
    <n v="10"/>
    <x v="919"/>
  </r>
  <r>
    <s v="Manish Nair"/>
    <x v="1"/>
    <x v="1"/>
    <s v="B1"/>
    <s v="Priya"/>
    <x v="2"/>
    <n v="17653"/>
    <s v="DISC20"/>
    <n v="0.2"/>
    <n v="17000"/>
    <d v="2024-01-12T00:00:00"/>
    <n v="20"/>
    <x v="920"/>
  </r>
  <r>
    <s v="Manish Kulkarni"/>
    <x v="3"/>
    <x v="3"/>
    <s v="B3"/>
    <s v="Saurabh"/>
    <x v="2"/>
    <n v="9850"/>
    <m/>
    <m/>
    <n v="9000"/>
    <d v="2024-02-27T00:00:00"/>
    <n v="0"/>
    <x v="921"/>
  </r>
  <r>
    <s v="Riya Singh"/>
    <x v="1"/>
    <x v="1"/>
    <s v="B2"/>
    <s v="Saurabh"/>
    <x v="1"/>
    <n v="16793"/>
    <s v="DISC20"/>
    <n v="0.2"/>
    <n v="17000"/>
    <d v="2024-01-09T00:00:00"/>
    <n v="20"/>
    <x v="922"/>
  </r>
  <r>
    <s v="Aarav Patil"/>
    <x v="0"/>
    <x v="0"/>
    <s v="B3"/>
    <s v="Amit"/>
    <x v="0"/>
    <n v="14003"/>
    <m/>
    <m/>
    <n v="14000"/>
    <d v="2024-01-05T00:00:00"/>
    <n v="0"/>
    <x v="923"/>
  </r>
  <r>
    <s v="Dev Gupta"/>
    <x v="1"/>
    <x v="1"/>
    <s v="B2"/>
    <s v="Amit"/>
    <x v="2"/>
    <n v="18959"/>
    <s v="DISC10"/>
    <n v="0.1"/>
    <n v="17000"/>
    <d v="2024-01-03T00:00:00"/>
    <n v="10"/>
    <x v="924"/>
  </r>
  <r>
    <s v="Pooja Kulkarni"/>
    <x v="1"/>
    <x v="1"/>
    <s v="B3"/>
    <s v="Saurabh"/>
    <x v="2"/>
    <n v="15484"/>
    <s v="DISC20"/>
    <n v="0.2"/>
    <n v="17000"/>
    <d v="2024-02-21T00:00:00"/>
    <n v="20"/>
    <x v="925"/>
  </r>
  <r>
    <s v="Rohit Singh"/>
    <x v="3"/>
    <x v="3"/>
    <s v="B3"/>
    <s v="Amit"/>
    <x v="0"/>
    <n v="10035"/>
    <s v="DISC15"/>
    <m/>
    <n v="9000"/>
    <d v="2024-01-15T00:00:00"/>
    <n v="15"/>
    <x v="926"/>
  </r>
  <r>
    <s v="Kunal Shah"/>
    <x v="0"/>
    <x v="0"/>
    <s v="B3"/>
    <s v="Saurabh"/>
    <x v="2"/>
    <n v="14678"/>
    <s v="DISC10"/>
    <n v="0.1"/>
    <n v="14000"/>
    <d v="2024-01-31T00:00:00"/>
    <n v="10"/>
    <x v="927"/>
  </r>
  <r>
    <s v="Kunal Joshi"/>
    <x v="0"/>
    <x v="0"/>
    <s v="B1"/>
    <s v="Amit"/>
    <x v="1"/>
    <n v="12534"/>
    <s v="DISC10"/>
    <n v="0.1"/>
    <n v="14000"/>
    <d v="2024-01-12T00:00:00"/>
    <n v="10"/>
    <x v="928"/>
  </r>
  <r>
    <s v="Rohit Kulkarni"/>
    <x v="1"/>
    <x v="1"/>
    <s v="B1"/>
    <s v="Priya"/>
    <x v="1"/>
    <n v="15699"/>
    <s v="DISC15"/>
    <m/>
    <n v="17000"/>
    <d v="2024-01-05T00:00:00"/>
    <n v="15"/>
    <x v="929"/>
  </r>
  <r>
    <s v="Meera Nair"/>
    <x v="0"/>
    <x v="0"/>
    <s v="B1"/>
    <s v="Priya"/>
    <x v="1"/>
    <n v="15273"/>
    <s v="DISC15"/>
    <m/>
    <n v="14000"/>
    <d v="2024-01-15T00:00:00"/>
    <n v="15"/>
    <x v="930"/>
  </r>
  <r>
    <s v="Riya Patel"/>
    <x v="2"/>
    <x v="2"/>
    <s v="B2"/>
    <s v="Priya"/>
    <x v="1"/>
    <n v="13778"/>
    <m/>
    <m/>
    <n v="13000"/>
    <d v="2024-01-21T00:00:00"/>
    <n v="0"/>
    <x v="931"/>
  </r>
  <r>
    <s v="Riya Singh"/>
    <x v="2"/>
    <x v="2"/>
    <s v="B2"/>
    <s v="Saurabh"/>
    <x v="0"/>
    <n v="13429"/>
    <s v="DISC20"/>
    <n v="0.2"/>
    <n v="13000"/>
    <d v="2024-01-22T00:00:00"/>
    <n v="20"/>
    <x v="932"/>
  </r>
  <r>
    <s v="Riya Shah"/>
    <x v="1"/>
    <x v="1"/>
    <s v="B1"/>
    <s v="Priya"/>
    <x v="0"/>
    <n v="17852"/>
    <s v="DISC30"/>
    <n v="0.3"/>
    <n v="17000"/>
    <d v="2024-02-05T00:00:00"/>
    <n v="30"/>
    <x v="933"/>
  </r>
  <r>
    <s v="Karan Iyer"/>
    <x v="2"/>
    <x v="2"/>
    <s v="B3"/>
    <s v="Saurabh"/>
    <x v="0"/>
    <n v="11409"/>
    <s v="DISC15"/>
    <m/>
    <n v="13000"/>
    <d v="2024-01-25T00:00:00"/>
    <n v="15"/>
    <x v="934"/>
  </r>
  <r>
    <s v="Dev Mehta"/>
    <x v="0"/>
    <x v="0"/>
    <s v="B2"/>
    <s v="Saurabh"/>
    <x v="0"/>
    <n v="12029"/>
    <s v="DISC20"/>
    <n v="0.2"/>
    <n v="14000"/>
    <d v="2024-02-29T00:00:00"/>
    <n v="20"/>
    <x v="935"/>
  </r>
  <r>
    <s v="Riya Desai"/>
    <x v="1"/>
    <x v="1"/>
    <s v="B2"/>
    <s v="Amit"/>
    <x v="2"/>
    <n v="17835"/>
    <s v="DISC20"/>
    <n v="0.2"/>
    <n v="17000"/>
    <d v="2024-01-14T00:00:00"/>
    <n v="20"/>
    <x v="936"/>
  </r>
  <r>
    <s v="Karan Singh"/>
    <x v="1"/>
    <x v="1"/>
    <s v="B3"/>
    <s v="Priya"/>
    <x v="2"/>
    <n v="15979"/>
    <s v="DISC20"/>
    <n v="0.2"/>
    <n v="17000"/>
    <d v="2024-02-09T00:00:00"/>
    <n v="20"/>
    <x v="937"/>
  </r>
  <r>
    <s v="Anjali Kulkarni"/>
    <x v="2"/>
    <x v="2"/>
    <s v="B3"/>
    <s v="Priya"/>
    <x v="1"/>
    <n v="14892"/>
    <s v="DISC10"/>
    <n v="0.1"/>
    <n v="13000"/>
    <d v="2024-02-10T00:00:00"/>
    <n v="10"/>
    <x v="938"/>
  </r>
  <r>
    <s v="Meera Patel"/>
    <x v="1"/>
    <x v="1"/>
    <s v="B2"/>
    <s v="Priya"/>
    <x v="0"/>
    <n v="17284"/>
    <s v="DISC20"/>
    <n v="0.2"/>
    <n v="17000"/>
    <d v="2024-01-13T00:00:00"/>
    <n v="20"/>
    <x v="939"/>
  </r>
  <r>
    <s v="Riya Gupta"/>
    <x v="0"/>
    <x v="0"/>
    <s v="B3"/>
    <s v="Priya"/>
    <x v="1"/>
    <n v="14078"/>
    <s v="DISC20"/>
    <n v="0.2"/>
    <n v="14000"/>
    <d v="2024-01-30T00:00:00"/>
    <n v="20"/>
    <x v="940"/>
  </r>
  <r>
    <s v="Dev Singh"/>
    <x v="2"/>
    <x v="2"/>
    <s v="B2"/>
    <s v="Saurabh"/>
    <x v="0"/>
    <n v="11461"/>
    <s v="DISC20"/>
    <n v="0.2"/>
    <n v="13000"/>
    <d v="2024-02-13T00:00:00"/>
    <n v="20"/>
    <x v="941"/>
  </r>
  <r>
    <s v="Meera Iyer"/>
    <x v="3"/>
    <x v="3"/>
    <s v="B1"/>
    <s v="Saurabh"/>
    <x v="1"/>
    <n v="10779"/>
    <s v="DISC10"/>
    <n v="0.1"/>
    <n v="9000"/>
    <d v="2024-01-04T00:00:00"/>
    <n v="10"/>
    <x v="942"/>
  </r>
  <r>
    <s v="Rohit Jain"/>
    <x v="1"/>
    <x v="1"/>
    <s v="B1"/>
    <s v="Priya"/>
    <x v="2"/>
    <n v="16369"/>
    <s v="DISC15"/>
    <m/>
    <n v="17000"/>
    <d v="2024-02-21T00:00:00"/>
    <n v="15"/>
    <x v="943"/>
  </r>
  <r>
    <s v="Kunal Patel"/>
    <x v="3"/>
    <x v="3"/>
    <s v="B1"/>
    <s v="Saurabh"/>
    <x v="1"/>
    <n v="7214"/>
    <s v="DISC15"/>
    <m/>
    <n v="9000"/>
    <d v="2024-01-12T00:00:00"/>
    <n v="15"/>
    <x v="944"/>
  </r>
  <r>
    <s v="Karan Patel"/>
    <x v="0"/>
    <x v="0"/>
    <s v="B2"/>
    <s v="Amit"/>
    <x v="0"/>
    <n v="12290"/>
    <s v="DISC20"/>
    <n v="0.2"/>
    <n v="14000"/>
    <d v="2024-02-16T00:00:00"/>
    <n v="20"/>
    <x v="945"/>
  </r>
  <r>
    <s v="Neha Joshi"/>
    <x v="1"/>
    <x v="1"/>
    <s v="B2"/>
    <s v="Saurabh"/>
    <x v="1"/>
    <n v="17772"/>
    <s v="DISC30"/>
    <n v="0.3"/>
    <n v="17000"/>
    <d v="2024-01-15T00:00:00"/>
    <n v="30"/>
    <x v="946"/>
  </r>
  <r>
    <s v="Dev Shah"/>
    <x v="1"/>
    <x v="1"/>
    <s v="B1"/>
    <s v="Saurabh"/>
    <x v="0"/>
    <n v="18021"/>
    <m/>
    <m/>
    <n v="17000"/>
    <d v="2024-02-25T00:00:00"/>
    <n v="0"/>
    <x v="947"/>
  </r>
  <r>
    <s v="Sneha Verma"/>
    <x v="2"/>
    <x v="2"/>
    <s v="B1"/>
    <s v="Priya"/>
    <x v="1"/>
    <n v="12984"/>
    <s v="DISC10"/>
    <n v="0.1"/>
    <n v="13000"/>
    <d v="2024-02-26T00:00:00"/>
    <n v="10"/>
    <x v="948"/>
  </r>
  <r>
    <s v="Rahul Mehta"/>
    <x v="2"/>
    <x v="2"/>
    <s v="B3"/>
    <s v="Priya"/>
    <x v="0"/>
    <n v="12586"/>
    <s v="DISC30"/>
    <n v="0.3"/>
    <n v="13000"/>
    <d v="2024-01-09T00:00:00"/>
    <n v="30"/>
    <x v="949"/>
  </r>
  <r>
    <s v="Neha Desai"/>
    <x v="2"/>
    <x v="2"/>
    <s v="B3"/>
    <s v="Priya"/>
    <x v="2"/>
    <n v="11828"/>
    <s v="DISC30"/>
    <n v="0.3"/>
    <n v="13000"/>
    <d v="2024-01-09T00:00:00"/>
    <n v="30"/>
    <x v="950"/>
  </r>
  <r>
    <s v="Aarav Desai"/>
    <x v="0"/>
    <x v="0"/>
    <s v="B2"/>
    <s v="Saurabh"/>
    <x v="0"/>
    <n v="15488"/>
    <m/>
    <m/>
    <n v="14000"/>
    <d v="2024-01-30T00:00:00"/>
    <n v="0"/>
    <x v="951"/>
  </r>
  <r>
    <s v="Rahul Mehta"/>
    <x v="1"/>
    <x v="1"/>
    <s v="B1"/>
    <s v="Priya"/>
    <x v="1"/>
    <n v="15642"/>
    <s v="DISC15"/>
    <m/>
    <n v="17000"/>
    <d v="2024-02-27T00:00:00"/>
    <n v="15"/>
    <x v="952"/>
  </r>
  <r>
    <s v="Karan Joshi"/>
    <x v="2"/>
    <x v="2"/>
    <s v="B1"/>
    <s v="Priya"/>
    <x v="1"/>
    <n v="13003"/>
    <s v="DISC20"/>
    <n v="0.2"/>
    <n v="13000"/>
    <d v="2024-02-07T00:00:00"/>
    <n v="20"/>
    <x v="953"/>
  </r>
  <r>
    <s v="Neha Nair"/>
    <x v="3"/>
    <x v="3"/>
    <s v="B2"/>
    <s v="Saurabh"/>
    <x v="1"/>
    <n v="8753"/>
    <s v="DISC20"/>
    <n v="0.2"/>
    <n v="9000"/>
    <d v="2024-01-16T00:00:00"/>
    <n v="20"/>
    <x v="954"/>
  </r>
  <r>
    <s v="Pooja Verma"/>
    <x v="2"/>
    <x v="2"/>
    <s v="B3"/>
    <s v="Saurabh"/>
    <x v="1"/>
    <n v="14679"/>
    <s v="DISC10"/>
    <n v="0.1"/>
    <n v="13000"/>
    <d v="2024-01-27T00:00:00"/>
    <n v="10"/>
    <x v="955"/>
  </r>
  <r>
    <s v="Aarav Kulkarni"/>
    <x v="3"/>
    <x v="3"/>
    <s v="B3"/>
    <s v="Amit"/>
    <x v="0"/>
    <n v="8743"/>
    <s v="DISC15"/>
    <m/>
    <n v="9000"/>
    <d v="2024-01-26T00:00:00"/>
    <n v="15"/>
    <x v="956"/>
  </r>
  <r>
    <s v="Neha Patel"/>
    <x v="0"/>
    <x v="0"/>
    <s v="B2"/>
    <s v="Priya"/>
    <x v="0"/>
    <n v="12340"/>
    <s v="DISC15"/>
    <m/>
    <n v="14000"/>
    <d v="2024-02-18T00:00:00"/>
    <n v="15"/>
    <x v="957"/>
  </r>
  <r>
    <s v="Aarav Desai"/>
    <x v="3"/>
    <x v="3"/>
    <s v="B1"/>
    <s v="Saurabh"/>
    <x v="2"/>
    <n v="8211"/>
    <s v="DISC20"/>
    <n v="0.2"/>
    <n v="9000"/>
    <d v="2024-02-11T00:00:00"/>
    <n v="20"/>
    <x v="958"/>
  </r>
  <r>
    <s v="Riya Kulkarni"/>
    <x v="3"/>
    <x v="3"/>
    <s v="B3"/>
    <s v="Priya"/>
    <x v="0"/>
    <n v="9880"/>
    <m/>
    <m/>
    <n v="9000"/>
    <d v="2024-02-24T00:00:00"/>
    <n v="0"/>
    <x v="959"/>
  </r>
  <r>
    <s v="Kavita Desai"/>
    <x v="0"/>
    <x v="0"/>
    <s v="B2"/>
    <s v="Priya"/>
    <x v="0"/>
    <n v="15580"/>
    <m/>
    <m/>
    <n v="14000"/>
    <d v="2024-01-12T00:00:00"/>
    <n v="0"/>
    <x v="960"/>
  </r>
  <r>
    <s v="Dev Nair"/>
    <x v="1"/>
    <x v="1"/>
    <s v="B3"/>
    <s v="Priya"/>
    <x v="1"/>
    <n v="17594"/>
    <s v="DISC10"/>
    <n v="0.1"/>
    <n v="17000"/>
    <d v="2024-02-25T00:00:00"/>
    <n v="10"/>
    <x v="961"/>
  </r>
  <r>
    <s v="Rohit Shah"/>
    <x v="3"/>
    <x v="3"/>
    <s v="B3"/>
    <s v="Priya"/>
    <x v="1"/>
    <n v="7133"/>
    <s v="DISC30"/>
    <n v="0.3"/>
    <n v="9000"/>
    <d v="2024-01-28T00:00:00"/>
    <n v="30"/>
    <x v="962"/>
  </r>
  <r>
    <s v="Dev Rao"/>
    <x v="2"/>
    <x v="2"/>
    <s v="B3"/>
    <s v="Saurabh"/>
    <x v="1"/>
    <n v="14607"/>
    <s v="DISC30"/>
    <n v="0.3"/>
    <n v="13000"/>
    <d v="2024-02-17T00:00:00"/>
    <n v="30"/>
    <x v="963"/>
  </r>
  <r>
    <s v="Kunal Kulkarni"/>
    <x v="1"/>
    <x v="1"/>
    <s v="B1"/>
    <s v="Saurabh"/>
    <x v="2"/>
    <n v="16497"/>
    <m/>
    <m/>
    <n v="17000"/>
    <d v="2024-02-09T00:00:00"/>
    <n v="0"/>
    <x v="964"/>
  </r>
  <r>
    <s v="Aarav Jain"/>
    <x v="1"/>
    <x v="1"/>
    <s v="B1"/>
    <s v="Amit"/>
    <x v="1"/>
    <n v="17887"/>
    <s v="DISC10"/>
    <n v="0.1"/>
    <n v="17000"/>
    <d v="2024-02-05T00:00:00"/>
    <n v="10"/>
    <x v="965"/>
  </r>
  <r>
    <s v="Anjali Patel"/>
    <x v="2"/>
    <x v="2"/>
    <s v="B1"/>
    <s v="Priya"/>
    <x v="0"/>
    <n v="13210"/>
    <s v="DISC10"/>
    <n v="0.1"/>
    <n v="13000"/>
    <d v="2024-02-11T00:00:00"/>
    <n v="10"/>
    <x v="966"/>
  </r>
  <r>
    <s v="Neha Desai"/>
    <x v="2"/>
    <x v="2"/>
    <s v="B3"/>
    <s v="Saurabh"/>
    <x v="2"/>
    <n v="12444"/>
    <s v="DISC30"/>
    <n v="0.3"/>
    <n v="13000"/>
    <d v="2024-02-02T00:00:00"/>
    <n v="30"/>
    <x v="967"/>
  </r>
  <r>
    <s v="Rohit Verma"/>
    <x v="1"/>
    <x v="1"/>
    <s v="B1"/>
    <s v="Saurabh"/>
    <x v="2"/>
    <n v="16414"/>
    <m/>
    <m/>
    <n v="17000"/>
    <d v="2024-02-01T00:00:00"/>
    <n v="0"/>
    <x v="968"/>
  </r>
  <r>
    <s v="Manish Gupta"/>
    <x v="0"/>
    <x v="0"/>
    <s v="B2"/>
    <s v="Amit"/>
    <x v="1"/>
    <n v="14778"/>
    <s v="DISC15"/>
    <m/>
    <n v="14000"/>
    <d v="2024-02-27T00:00:00"/>
    <n v="15"/>
    <x v="969"/>
  </r>
  <r>
    <s v="Aditya Iyer"/>
    <x v="1"/>
    <x v="1"/>
    <s v="B3"/>
    <s v="Amit"/>
    <x v="0"/>
    <n v="15771"/>
    <m/>
    <m/>
    <n v="17000"/>
    <d v="2024-01-06T00:00:00"/>
    <n v="0"/>
    <x v="970"/>
  </r>
  <r>
    <s v="Riya Verma"/>
    <x v="2"/>
    <x v="2"/>
    <s v="B2"/>
    <s v="Saurabh"/>
    <x v="0"/>
    <n v="11674"/>
    <s v="DISC30"/>
    <n v="0.3"/>
    <n v="13000"/>
    <d v="2024-01-08T00:00:00"/>
    <n v="30"/>
    <x v="971"/>
  </r>
  <r>
    <s v="Anjali Mehta"/>
    <x v="3"/>
    <x v="3"/>
    <s v="B1"/>
    <s v="Saurabh"/>
    <x v="1"/>
    <n v="10899"/>
    <s v="DISC10"/>
    <n v="0.1"/>
    <n v="9000"/>
    <d v="2024-01-19T00:00:00"/>
    <n v="10"/>
    <x v="972"/>
  </r>
  <r>
    <s v="Rahul Singh"/>
    <x v="2"/>
    <x v="2"/>
    <s v="B2"/>
    <s v="Priya"/>
    <x v="2"/>
    <n v="12818"/>
    <s v="DISC10"/>
    <n v="0.1"/>
    <n v="13000"/>
    <d v="2024-01-19T00:00:00"/>
    <n v="10"/>
    <x v="973"/>
  </r>
  <r>
    <s v="Sneha Shah"/>
    <x v="0"/>
    <x v="0"/>
    <s v="B1"/>
    <s v="Amit"/>
    <x v="1"/>
    <n v="13375"/>
    <m/>
    <m/>
    <n v="14000"/>
    <d v="2024-02-07T00:00:00"/>
    <n v="0"/>
    <x v="974"/>
  </r>
  <r>
    <s v="Pooja Singh"/>
    <x v="1"/>
    <x v="1"/>
    <s v="B2"/>
    <s v="Amit"/>
    <x v="1"/>
    <n v="17854"/>
    <s v="DISC15"/>
    <m/>
    <n v="17000"/>
    <d v="2024-02-23T00:00:00"/>
    <n v="15"/>
    <x v="975"/>
  </r>
  <r>
    <s v="Manish Iyer"/>
    <x v="3"/>
    <x v="3"/>
    <s v="B2"/>
    <s v="Amit"/>
    <x v="0"/>
    <n v="10679"/>
    <s v="DISC30"/>
    <n v="0.3"/>
    <n v="9000"/>
    <d v="2024-01-11T00:00:00"/>
    <n v="30"/>
    <x v="976"/>
  </r>
  <r>
    <s v="Dev Rao"/>
    <x v="2"/>
    <x v="2"/>
    <s v="B2"/>
    <s v="Priya"/>
    <x v="2"/>
    <n v="14152"/>
    <s v="DISC10"/>
    <n v="0.1"/>
    <n v="13000"/>
    <d v="2024-01-10T00:00:00"/>
    <n v="10"/>
    <x v="977"/>
  </r>
  <r>
    <s v="Pooja Rao"/>
    <x v="3"/>
    <x v="3"/>
    <s v="B1"/>
    <s v="Amit"/>
    <x v="0"/>
    <n v="9915"/>
    <s v="DISC15"/>
    <m/>
    <n v="9000"/>
    <d v="2024-01-19T00:00:00"/>
    <n v="15"/>
    <x v="978"/>
  </r>
  <r>
    <s v="Karan Mehta"/>
    <x v="2"/>
    <x v="2"/>
    <s v="B1"/>
    <s v="Saurabh"/>
    <x v="0"/>
    <n v="11168"/>
    <s v="DISC30"/>
    <n v="0.3"/>
    <n v="13000"/>
    <d v="2024-02-06T00:00:00"/>
    <n v="30"/>
    <x v="979"/>
  </r>
  <r>
    <s v="Karan Iyer"/>
    <x v="1"/>
    <x v="1"/>
    <s v="B2"/>
    <s v="Saurabh"/>
    <x v="0"/>
    <n v="17303"/>
    <s v="DISC10"/>
    <n v="0.1"/>
    <n v="17000"/>
    <d v="2024-02-12T00:00:00"/>
    <n v="10"/>
    <x v="980"/>
  </r>
  <r>
    <s v="Pooja Jain"/>
    <x v="2"/>
    <x v="2"/>
    <s v="B2"/>
    <s v="Priya"/>
    <x v="1"/>
    <n v="14995"/>
    <s v="DISC20"/>
    <n v="0.2"/>
    <n v="13000"/>
    <d v="2024-02-04T00:00:00"/>
    <n v="20"/>
    <x v="981"/>
  </r>
  <r>
    <s v="Aditya Shah"/>
    <x v="0"/>
    <x v="0"/>
    <s v="B2"/>
    <s v="Priya"/>
    <x v="0"/>
    <n v="15882"/>
    <m/>
    <m/>
    <n v="14000"/>
    <d v="2024-02-29T00:00:00"/>
    <n v="0"/>
    <x v="982"/>
  </r>
  <r>
    <s v="Pooja Mehta"/>
    <x v="0"/>
    <x v="0"/>
    <s v="B3"/>
    <s v="Amit"/>
    <x v="1"/>
    <n v="13356"/>
    <s v="DISC30"/>
    <n v="0.3"/>
    <n v="14000"/>
    <d v="2024-01-31T00:00:00"/>
    <n v="30"/>
    <x v="983"/>
  </r>
  <r>
    <s v="Kunal Rao"/>
    <x v="2"/>
    <x v="2"/>
    <s v="B3"/>
    <s v="Amit"/>
    <x v="2"/>
    <n v="12387"/>
    <s v="DISC10"/>
    <n v="0.1"/>
    <n v="13000"/>
    <d v="2024-02-16T00:00:00"/>
    <n v="10"/>
    <x v="984"/>
  </r>
  <r>
    <s v="Neha Kulkarni"/>
    <x v="2"/>
    <x v="2"/>
    <s v="B3"/>
    <s v="Amit"/>
    <x v="0"/>
    <n v="12261"/>
    <s v="DISC10"/>
    <n v="0.1"/>
    <n v="13000"/>
    <d v="2024-01-26T00:00:00"/>
    <n v="10"/>
    <x v="985"/>
  </r>
  <r>
    <s v="Kavita Nair"/>
    <x v="2"/>
    <x v="2"/>
    <s v="B2"/>
    <s v="Priya"/>
    <x v="0"/>
    <n v="12336"/>
    <s v="DISC10"/>
    <n v="0.1"/>
    <n v="13000"/>
    <d v="2024-02-08T00:00:00"/>
    <n v="10"/>
    <x v="986"/>
  </r>
  <r>
    <s v="Rohit Patil"/>
    <x v="2"/>
    <x v="2"/>
    <s v="B2"/>
    <s v="Saurabh"/>
    <x v="0"/>
    <n v="11342"/>
    <s v="DISC15"/>
    <m/>
    <n v="13000"/>
    <d v="2024-02-24T00:00:00"/>
    <n v="15"/>
    <x v="987"/>
  </r>
  <r>
    <s v="Neha Singh"/>
    <x v="0"/>
    <x v="0"/>
    <s v="B3"/>
    <s v="Priya"/>
    <x v="0"/>
    <n v="14008"/>
    <s v="DISC30"/>
    <n v="0.3"/>
    <n v="14000"/>
    <d v="2024-02-08T00:00:00"/>
    <n v="30"/>
    <x v="988"/>
  </r>
  <r>
    <s v="Kavita Gupta"/>
    <x v="0"/>
    <x v="0"/>
    <s v="B3"/>
    <s v="Priya"/>
    <x v="2"/>
    <n v="12605"/>
    <m/>
    <m/>
    <n v="14000"/>
    <d v="2024-01-24T00:00:00"/>
    <n v="0"/>
    <x v="989"/>
  </r>
  <r>
    <s v="Rahul Jain"/>
    <x v="0"/>
    <x v="0"/>
    <s v="B2"/>
    <s v="Priya"/>
    <x v="2"/>
    <n v="13261"/>
    <m/>
    <m/>
    <n v="14000"/>
    <d v="2024-02-25T00:00:00"/>
    <n v="0"/>
    <x v="990"/>
  </r>
  <r>
    <s v="Manish Shah"/>
    <x v="2"/>
    <x v="2"/>
    <s v="B3"/>
    <s v="Priya"/>
    <x v="1"/>
    <n v="12702"/>
    <m/>
    <m/>
    <n v="13000"/>
    <d v="2024-01-19T00:00:00"/>
    <n v="0"/>
    <x v="991"/>
  </r>
  <r>
    <s v="Karan Patel"/>
    <x v="3"/>
    <x v="3"/>
    <s v="B3"/>
    <s v="Priya"/>
    <x v="0"/>
    <n v="10422"/>
    <s v="DISC15"/>
    <m/>
    <n v="9000"/>
    <d v="2024-02-08T00:00:00"/>
    <n v="15"/>
    <x v="992"/>
  </r>
  <r>
    <s v="Riya Mehta"/>
    <x v="2"/>
    <x v="2"/>
    <s v="B2"/>
    <s v="Priya"/>
    <x v="1"/>
    <n v="12373"/>
    <s v="DISC10"/>
    <n v="0.1"/>
    <n v="13000"/>
    <d v="2024-02-29T00:00:00"/>
    <n v="10"/>
    <x v="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1000"/>
    <s v="Rohit Shah"/>
    <x v="0"/>
    <x v="0"/>
    <s v="B3"/>
    <s v="Priya"/>
    <x v="0"/>
    <n v="12914"/>
    <s v="DISC20"/>
    <n v="0.2"/>
    <n v="14000"/>
    <d v="2024-02-17T00:00:00"/>
  </r>
  <r>
    <s v="S1001"/>
    <s v="Riya Singh"/>
    <x v="0"/>
    <x v="0"/>
    <s v="B3"/>
    <s v="Priya"/>
    <x v="0"/>
    <n v="12122"/>
    <s v="DISC10"/>
    <n v="0.1"/>
    <n v="14000"/>
    <d v="2024-01-14T00:00:00"/>
  </r>
  <r>
    <s v="S1002"/>
    <s v="Sneha Gupta"/>
    <x v="0"/>
    <x v="0"/>
    <s v="B3"/>
    <s v="Saurabh"/>
    <x v="1"/>
    <n v="14661"/>
    <s v="DISC15"/>
    <m/>
    <n v="14000"/>
    <d v="2024-01-27T00:00:00"/>
  </r>
  <r>
    <s v="S1003"/>
    <s v="Sneha Iyer"/>
    <x v="1"/>
    <x v="1"/>
    <s v="B1"/>
    <s v="Saurabh"/>
    <x v="1"/>
    <n v="16731"/>
    <s v="DISC30"/>
    <n v="0.3"/>
    <n v="17000"/>
    <d v="2024-01-18T00:00:00"/>
  </r>
  <r>
    <s v="S1004"/>
    <s v="Karan Patil"/>
    <x v="1"/>
    <x v="1"/>
    <s v="B1"/>
    <s v="Saurabh"/>
    <x v="2"/>
    <n v="15396"/>
    <s v="DISC30"/>
    <n v="0.3"/>
    <n v="17000"/>
    <d v="2024-02-24T00:00:00"/>
  </r>
  <r>
    <s v="S1005"/>
    <s v="Pooja Joshi"/>
    <x v="1"/>
    <x v="1"/>
    <s v="B1"/>
    <s v="Amit"/>
    <x v="2"/>
    <n v="17196"/>
    <s v="DISC10"/>
    <n v="0.1"/>
    <n v="17000"/>
    <d v="2024-02-29T00:00:00"/>
  </r>
  <r>
    <s v="S1006"/>
    <s v="Rahul Shah"/>
    <x v="1"/>
    <x v="1"/>
    <s v="B3"/>
    <s v="Amit"/>
    <x v="2"/>
    <n v="17364"/>
    <s v="DISC20"/>
    <n v="0.2"/>
    <n v="17000"/>
    <d v="2024-02-15T00:00:00"/>
  </r>
  <r>
    <s v="S1007"/>
    <s v="Riya Kulkarni"/>
    <x v="2"/>
    <x v="2"/>
    <s v="B2"/>
    <s v="Saurabh"/>
    <x v="0"/>
    <n v="14549"/>
    <s v="DISC10"/>
    <n v="0.1"/>
    <n v="13000"/>
    <d v="2024-01-25T00:00:00"/>
  </r>
  <r>
    <s v="S1008"/>
    <s v="Aditya Iyer"/>
    <x v="1"/>
    <x v="1"/>
    <s v="B1"/>
    <s v="Priya"/>
    <x v="2"/>
    <n v="15858"/>
    <s v="DISC30"/>
    <n v="0.3"/>
    <n v="17000"/>
    <d v="2024-02-14T00:00:00"/>
  </r>
  <r>
    <s v="S1009"/>
    <s v="Kunal Singh"/>
    <x v="0"/>
    <x v="0"/>
    <s v="B3"/>
    <s v="Amit"/>
    <x v="0"/>
    <n v="14187"/>
    <s v="DISC20"/>
    <n v="0.2"/>
    <n v="14000"/>
    <d v="2024-01-11T00:00:00"/>
  </r>
  <r>
    <s v="S1010"/>
    <s v="Neha Verma"/>
    <x v="1"/>
    <x v="1"/>
    <s v="B3"/>
    <s v="Amit"/>
    <x v="1"/>
    <n v="15899"/>
    <s v="DISC30"/>
    <n v="0.3"/>
    <n v="17000"/>
    <d v="2024-02-23T00:00:00"/>
  </r>
  <r>
    <s v="S1011"/>
    <s v="Dev Patel"/>
    <x v="0"/>
    <x v="0"/>
    <s v="B1"/>
    <s v="Saurabh"/>
    <x v="2"/>
    <n v="13643"/>
    <s v="DISC30"/>
    <n v="0.3"/>
    <n v="14000"/>
    <d v="2024-01-05T00:00:00"/>
  </r>
  <r>
    <s v="S1012"/>
    <s v="Sneha Joshi"/>
    <x v="1"/>
    <x v="1"/>
    <s v="B1"/>
    <s v="Amit"/>
    <x v="2"/>
    <n v="16620"/>
    <m/>
    <m/>
    <n v="17000"/>
    <d v="2024-01-10T00:00:00"/>
  </r>
  <r>
    <s v="S1013"/>
    <s v="Aditya Mehta"/>
    <x v="2"/>
    <x v="2"/>
    <s v="B3"/>
    <s v="Amit"/>
    <x v="1"/>
    <n v="12076"/>
    <s v="DISC15"/>
    <m/>
    <n v="13000"/>
    <d v="2024-01-28T00:00:00"/>
  </r>
  <r>
    <s v="S1014"/>
    <s v="Kunal Joshi"/>
    <x v="3"/>
    <x v="3"/>
    <s v="B2"/>
    <s v="Saurabh"/>
    <x v="0"/>
    <n v="9087"/>
    <m/>
    <m/>
    <n v="9000"/>
    <d v="2024-01-06T00:00:00"/>
  </r>
  <r>
    <s v="S1015"/>
    <s v="Dev Kulkarni"/>
    <x v="0"/>
    <x v="0"/>
    <s v="B1"/>
    <s v="Amit"/>
    <x v="0"/>
    <n v="15244"/>
    <m/>
    <m/>
    <n v="14000"/>
    <d v="2024-02-08T00:00:00"/>
  </r>
  <r>
    <s v="S1016"/>
    <s v="Riya Verma"/>
    <x v="3"/>
    <x v="3"/>
    <s v="B3"/>
    <s v="Priya"/>
    <x v="1"/>
    <n v="8029"/>
    <s v="DISC15"/>
    <m/>
    <n v="9000"/>
    <d v="2024-02-25T00:00:00"/>
  </r>
  <r>
    <s v="S1017"/>
    <s v="Aarav Singh"/>
    <x v="0"/>
    <x v="0"/>
    <s v="B3"/>
    <s v="Amit"/>
    <x v="2"/>
    <n v="15148"/>
    <s v="DISC30"/>
    <n v="0.3"/>
    <n v="14000"/>
    <d v="2024-01-08T00:00:00"/>
  </r>
  <r>
    <s v="S1018"/>
    <s v="Aditya Verma"/>
    <x v="2"/>
    <x v="2"/>
    <s v="B2"/>
    <s v="Saurabh"/>
    <x v="1"/>
    <n v="14587"/>
    <s v="DISC30"/>
    <n v="0.3"/>
    <n v="13000"/>
    <d v="2024-02-02T00:00:00"/>
  </r>
  <r>
    <s v="S1019"/>
    <s v="Dev Mehta"/>
    <x v="0"/>
    <x v="0"/>
    <s v="B3"/>
    <s v="Priya"/>
    <x v="1"/>
    <n v="14079"/>
    <s v="DISC15"/>
    <m/>
    <n v="14000"/>
    <d v="2024-01-13T00:00:00"/>
  </r>
  <r>
    <s v="S1020"/>
    <s v="Karan Jain"/>
    <x v="2"/>
    <x v="2"/>
    <s v="B3"/>
    <s v="Amit"/>
    <x v="0"/>
    <n v="13453"/>
    <s v="DISC30"/>
    <n v="0.3"/>
    <n v="13000"/>
    <d v="2024-02-01T00:00:00"/>
  </r>
  <r>
    <s v="S1021"/>
    <s v="Aarav Shah"/>
    <x v="1"/>
    <x v="1"/>
    <s v="B2"/>
    <s v="Saurabh"/>
    <x v="0"/>
    <n v="15986"/>
    <s v="DISC15"/>
    <m/>
    <n v="17000"/>
    <d v="2024-03-01T00:00:00"/>
  </r>
  <r>
    <s v="S1022"/>
    <s v="Riya Shah"/>
    <x v="3"/>
    <x v="3"/>
    <s v="B1"/>
    <s v="Amit"/>
    <x v="0"/>
    <n v="7525"/>
    <m/>
    <m/>
    <n v="9000"/>
    <d v="2024-03-01T00:00:00"/>
  </r>
  <r>
    <s v="S1023"/>
    <s v="Manish Mehta"/>
    <x v="1"/>
    <x v="1"/>
    <s v="B3"/>
    <s v="Amit"/>
    <x v="2"/>
    <n v="18950"/>
    <s v="DISC20"/>
    <n v="0.2"/>
    <n v="17000"/>
    <d v="2024-02-29T00:00:00"/>
  </r>
  <r>
    <s v="S1024"/>
    <s v="Manish Patel"/>
    <x v="2"/>
    <x v="2"/>
    <s v="B3"/>
    <s v="Priya"/>
    <x v="2"/>
    <n v="13751"/>
    <s v="DISC30"/>
    <n v="0.3"/>
    <n v="13000"/>
    <d v="2024-01-29T00:00:00"/>
  </r>
  <r>
    <s v="S1025"/>
    <s v="Kunal Gupta"/>
    <x v="3"/>
    <x v="3"/>
    <s v="B1"/>
    <s v="Saurabh"/>
    <x v="0"/>
    <n v="7262"/>
    <s v="DISC30"/>
    <n v="0.3"/>
    <n v="9000"/>
    <d v="2024-01-02T00:00:00"/>
  </r>
  <r>
    <s v="S1026"/>
    <s v="Kavita Gupta"/>
    <x v="2"/>
    <x v="2"/>
    <s v="B3"/>
    <s v="Saurabh"/>
    <x v="0"/>
    <n v="11290"/>
    <s v="DISC10"/>
    <n v="0.1"/>
    <n v="13000"/>
    <d v="2024-01-15T00:00:00"/>
  </r>
  <r>
    <s v="S1027"/>
    <s v="Riya Kulkarni"/>
    <x v="1"/>
    <x v="1"/>
    <s v="B1"/>
    <s v="Amit"/>
    <x v="0"/>
    <n v="16140"/>
    <m/>
    <m/>
    <n v="17000"/>
    <d v="2024-01-14T00:00:00"/>
  </r>
  <r>
    <s v="S1028"/>
    <s v="Manish Mehta"/>
    <x v="3"/>
    <x v="3"/>
    <s v="B1"/>
    <s v="Priya"/>
    <x v="2"/>
    <n v="7779"/>
    <s v="DISC10"/>
    <n v="0.1"/>
    <n v="9000"/>
    <d v="2024-01-07T00:00:00"/>
  </r>
  <r>
    <s v="S1029"/>
    <s v="Rohit Verma"/>
    <x v="1"/>
    <x v="1"/>
    <s v="B2"/>
    <s v="Priya"/>
    <x v="2"/>
    <n v="18538"/>
    <s v="DISC10"/>
    <n v="0.1"/>
    <n v="17000"/>
    <d v="2024-02-13T00:00:00"/>
  </r>
  <r>
    <s v="S1030"/>
    <s v="Rohit Singh"/>
    <x v="0"/>
    <x v="0"/>
    <s v="B1"/>
    <s v="Priya"/>
    <x v="1"/>
    <n v="13389"/>
    <s v="DISC10"/>
    <n v="0.1"/>
    <n v="14000"/>
    <d v="2024-01-16T00:00:00"/>
  </r>
  <r>
    <s v="S1031"/>
    <s v="Sneha Patil"/>
    <x v="3"/>
    <x v="3"/>
    <s v="B1"/>
    <s v="Priya"/>
    <x v="0"/>
    <n v="8140"/>
    <m/>
    <m/>
    <n v="9000"/>
    <d v="2024-01-16T00:00:00"/>
  </r>
  <r>
    <s v="S1032"/>
    <s v="Meera Shah"/>
    <x v="3"/>
    <x v="3"/>
    <s v="B3"/>
    <s v="Saurabh"/>
    <x v="0"/>
    <n v="9671"/>
    <s v="DISC15"/>
    <m/>
    <n v="9000"/>
    <d v="2024-02-23T00:00:00"/>
  </r>
  <r>
    <s v="S1033"/>
    <s v="Aarav Shah"/>
    <x v="2"/>
    <x v="2"/>
    <s v="B1"/>
    <s v="Priya"/>
    <x v="2"/>
    <n v="12971"/>
    <s v="DISC20"/>
    <n v="0.2"/>
    <n v="13000"/>
    <d v="2024-02-25T00:00:00"/>
  </r>
  <r>
    <s v="S1034"/>
    <s v="Rahul Kulkarni"/>
    <x v="2"/>
    <x v="2"/>
    <s v="B2"/>
    <s v="Saurabh"/>
    <x v="2"/>
    <n v="12086"/>
    <m/>
    <m/>
    <n v="13000"/>
    <d v="2024-01-19T00:00:00"/>
  </r>
  <r>
    <s v="S1035"/>
    <s v="Rahul Desai"/>
    <x v="3"/>
    <x v="3"/>
    <s v="B1"/>
    <s v="Saurabh"/>
    <x v="2"/>
    <n v="7891"/>
    <s v="DISC10"/>
    <n v="0.1"/>
    <n v="9000"/>
    <d v="2024-02-07T00:00:00"/>
  </r>
  <r>
    <s v="S1036"/>
    <s v="Anjali Gupta"/>
    <x v="0"/>
    <x v="0"/>
    <s v="B3"/>
    <s v="Priya"/>
    <x v="0"/>
    <n v="12205"/>
    <s v="DISC15"/>
    <m/>
    <n v="14000"/>
    <d v="2024-01-31T00:00:00"/>
  </r>
  <r>
    <s v="S1037"/>
    <s v="Manish Nair"/>
    <x v="2"/>
    <x v="2"/>
    <s v="B1"/>
    <s v="Amit"/>
    <x v="0"/>
    <n v="14487"/>
    <s v="DISC20"/>
    <n v="0.2"/>
    <n v="13000"/>
    <d v="2024-01-05T00:00:00"/>
  </r>
  <r>
    <s v="S1038"/>
    <s v="Kavita Shah"/>
    <x v="2"/>
    <x v="2"/>
    <s v="B2"/>
    <s v="Saurabh"/>
    <x v="1"/>
    <n v="12008"/>
    <s v="DISC15"/>
    <m/>
    <n v="13000"/>
    <d v="2024-02-08T00:00:00"/>
  </r>
  <r>
    <s v="S1039"/>
    <s v="Aarav Joshi"/>
    <x v="0"/>
    <x v="0"/>
    <s v="B2"/>
    <s v="Amit"/>
    <x v="1"/>
    <n v="14315"/>
    <s v="DISC15"/>
    <m/>
    <n v="14000"/>
    <d v="2024-01-21T00:00:00"/>
  </r>
  <r>
    <s v="S1040"/>
    <s v="Kunal Rao"/>
    <x v="2"/>
    <x v="2"/>
    <s v="B3"/>
    <s v="Amit"/>
    <x v="2"/>
    <n v="11977"/>
    <s v="DISC30"/>
    <n v="0.3"/>
    <n v="13000"/>
    <d v="2024-01-26T00:00:00"/>
  </r>
  <r>
    <s v="S1041"/>
    <s v="Karan Singh"/>
    <x v="1"/>
    <x v="1"/>
    <s v="B2"/>
    <s v="Priya"/>
    <x v="0"/>
    <n v="15038"/>
    <m/>
    <m/>
    <n v="17000"/>
    <d v="2024-02-09T00:00:00"/>
  </r>
  <r>
    <s v="S1042"/>
    <s v="Kavita Shah"/>
    <x v="0"/>
    <x v="0"/>
    <s v="B3"/>
    <s v="Saurabh"/>
    <x v="1"/>
    <n v="13086"/>
    <s v="DISC20"/>
    <n v="0.2"/>
    <n v="14000"/>
    <d v="2024-02-29T00:00:00"/>
  </r>
  <r>
    <s v="S1043"/>
    <s v="Pooja Shah"/>
    <x v="2"/>
    <x v="2"/>
    <s v="B2"/>
    <s v="Priya"/>
    <x v="0"/>
    <n v="12794"/>
    <s v="DISC15"/>
    <m/>
    <n v="13000"/>
    <d v="2024-02-15T00:00:00"/>
  </r>
  <r>
    <s v="S1044"/>
    <s v="Aditya Joshi"/>
    <x v="0"/>
    <x v="0"/>
    <s v="B3"/>
    <s v="Amit"/>
    <x v="2"/>
    <n v="15816"/>
    <s v="DISC10"/>
    <n v="0.1"/>
    <n v="14000"/>
    <d v="2024-03-01T00:00:00"/>
  </r>
  <r>
    <s v="S1045"/>
    <s v="Kunal Mehta"/>
    <x v="1"/>
    <x v="1"/>
    <s v="B1"/>
    <s v="Saurabh"/>
    <x v="1"/>
    <n v="17266"/>
    <s v="DISC20"/>
    <n v="0.2"/>
    <n v="17000"/>
    <d v="2024-01-18T00:00:00"/>
  </r>
  <r>
    <s v="S1046"/>
    <s v="Aditya Joshi"/>
    <x v="2"/>
    <x v="2"/>
    <s v="B3"/>
    <s v="Priya"/>
    <x v="0"/>
    <n v="13815"/>
    <s v="DISC30"/>
    <n v="0.3"/>
    <n v="13000"/>
    <d v="2024-02-02T00:00:00"/>
  </r>
  <r>
    <s v="S1047"/>
    <s v="Neha Rao"/>
    <x v="0"/>
    <x v="0"/>
    <s v="B1"/>
    <s v="Amit"/>
    <x v="2"/>
    <n v="15397"/>
    <s v="DISC30"/>
    <n v="0.3"/>
    <n v="14000"/>
    <d v="2024-01-03T00:00:00"/>
  </r>
  <r>
    <s v="S1048"/>
    <s v="Aarav Jain"/>
    <x v="2"/>
    <x v="2"/>
    <s v="B3"/>
    <s v="Priya"/>
    <x v="0"/>
    <n v="14036"/>
    <m/>
    <m/>
    <n v="13000"/>
    <d v="2024-02-05T00:00:00"/>
  </r>
  <r>
    <s v="S1049"/>
    <s v="Anjali Verma"/>
    <x v="0"/>
    <x v="0"/>
    <s v="B1"/>
    <s v="Saurabh"/>
    <x v="1"/>
    <n v="15702"/>
    <s v="DISC20"/>
    <n v="0.2"/>
    <n v="14000"/>
    <d v="2024-02-04T00:00:00"/>
  </r>
  <r>
    <s v="S1050"/>
    <s v="Aarav Nair"/>
    <x v="1"/>
    <x v="1"/>
    <s v="B3"/>
    <s v="Amit"/>
    <x v="0"/>
    <n v="16760"/>
    <s v="DISC20"/>
    <n v="0.2"/>
    <n v="17000"/>
    <d v="2024-01-03T00:00:00"/>
  </r>
  <r>
    <s v="S1051"/>
    <s v="Aditya Jain"/>
    <x v="0"/>
    <x v="0"/>
    <s v="B2"/>
    <s v="Saurabh"/>
    <x v="1"/>
    <n v="13022"/>
    <s v="DISC10"/>
    <n v="0.1"/>
    <n v="14000"/>
    <d v="2024-01-23T00:00:00"/>
  </r>
  <r>
    <s v="S1052"/>
    <s v="Dev Gupta"/>
    <x v="3"/>
    <x v="3"/>
    <s v="B3"/>
    <s v="Amit"/>
    <x v="0"/>
    <n v="10791"/>
    <s v="DISC20"/>
    <n v="0.2"/>
    <n v="9000"/>
    <d v="2024-02-25T00:00:00"/>
  </r>
  <r>
    <s v="S1053"/>
    <s v="Karan Patel"/>
    <x v="2"/>
    <x v="2"/>
    <s v="B2"/>
    <s v="Saurabh"/>
    <x v="0"/>
    <n v="14016"/>
    <s v="DISC30"/>
    <n v="0.3"/>
    <n v="13000"/>
    <d v="2024-02-20T00:00:00"/>
  </r>
  <r>
    <s v="S1054"/>
    <s v="Kunal Verma"/>
    <x v="2"/>
    <x v="2"/>
    <s v="B2"/>
    <s v="Saurabh"/>
    <x v="1"/>
    <n v="11442"/>
    <m/>
    <m/>
    <n v="13000"/>
    <d v="2024-02-25T00:00:00"/>
  </r>
  <r>
    <s v="S1055"/>
    <s v="Aarav Nair"/>
    <x v="3"/>
    <x v="3"/>
    <s v="B1"/>
    <s v="Saurabh"/>
    <x v="2"/>
    <n v="8432"/>
    <s v="DISC30"/>
    <n v="0.3"/>
    <n v="9000"/>
    <d v="2024-02-22T00:00:00"/>
  </r>
  <r>
    <s v="S1056"/>
    <s v="Dev Nair"/>
    <x v="2"/>
    <x v="2"/>
    <s v="B1"/>
    <s v="Saurabh"/>
    <x v="1"/>
    <n v="11791"/>
    <m/>
    <m/>
    <n v="13000"/>
    <d v="2024-01-22T00:00:00"/>
  </r>
  <r>
    <s v="S1057"/>
    <s v="Aditya Nair"/>
    <x v="0"/>
    <x v="0"/>
    <s v="B2"/>
    <s v="Priya"/>
    <x v="1"/>
    <n v="14086"/>
    <m/>
    <m/>
    <n v="14000"/>
    <d v="2024-02-13T00:00:00"/>
  </r>
  <r>
    <s v="S1058"/>
    <s v="Meera Gupta"/>
    <x v="1"/>
    <x v="1"/>
    <s v="B1"/>
    <s v="Saurabh"/>
    <x v="2"/>
    <n v="15731"/>
    <s v="DISC15"/>
    <m/>
    <n v="17000"/>
    <d v="2024-01-17T00:00:00"/>
  </r>
  <r>
    <s v="S1059"/>
    <s v="Aarav Shah"/>
    <x v="3"/>
    <x v="3"/>
    <s v="B2"/>
    <s v="Amit"/>
    <x v="2"/>
    <n v="8787"/>
    <s v="DISC15"/>
    <m/>
    <n v="9000"/>
    <d v="2024-02-02T00:00:00"/>
  </r>
  <r>
    <s v="S1060"/>
    <s v="Riya Verma"/>
    <x v="2"/>
    <x v="2"/>
    <s v="B2"/>
    <s v="Saurabh"/>
    <x v="1"/>
    <n v="12786"/>
    <s v="DISC10"/>
    <n v="0.1"/>
    <n v="13000"/>
    <d v="2024-02-03T00:00:00"/>
  </r>
  <r>
    <s v="S1061"/>
    <s v="Kunal Patel"/>
    <x v="2"/>
    <x v="2"/>
    <s v="B2"/>
    <s v="Priya"/>
    <x v="0"/>
    <n v="14886"/>
    <s v="DISC30"/>
    <n v="0.3"/>
    <n v="13000"/>
    <d v="2024-02-09T00:00:00"/>
  </r>
  <r>
    <s v="S1062"/>
    <s v="Pooja Singh"/>
    <x v="0"/>
    <x v="0"/>
    <s v="B3"/>
    <s v="Priya"/>
    <x v="1"/>
    <n v="13266"/>
    <m/>
    <m/>
    <n v="14000"/>
    <d v="2024-01-21T00:00:00"/>
  </r>
  <r>
    <s v="S1063"/>
    <s v="Rahul Desai"/>
    <x v="1"/>
    <x v="1"/>
    <s v="B3"/>
    <s v="Saurabh"/>
    <x v="0"/>
    <n v="16722"/>
    <m/>
    <m/>
    <n v="17000"/>
    <d v="2024-02-13T00:00:00"/>
  </r>
  <r>
    <s v="S1064"/>
    <s v="Anjali Mehta"/>
    <x v="1"/>
    <x v="1"/>
    <s v="B2"/>
    <s v="Amit"/>
    <x v="0"/>
    <n v="16244"/>
    <s v="DISC30"/>
    <n v="0.3"/>
    <n v="17000"/>
    <d v="2024-01-14T00:00:00"/>
  </r>
  <r>
    <s v="S1065"/>
    <s v="Rahul Patel"/>
    <x v="1"/>
    <x v="1"/>
    <s v="B2"/>
    <s v="Priya"/>
    <x v="2"/>
    <n v="17767"/>
    <s v="DISC20"/>
    <n v="0.2"/>
    <n v="17000"/>
    <d v="2024-02-02T00:00:00"/>
  </r>
  <r>
    <s v="S1066"/>
    <s v="Neha Patel"/>
    <x v="2"/>
    <x v="2"/>
    <s v="B3"/>
    <s v="Saurabh"/>
    <x v="2"/>
    <n v="13111"/>
    <s v="DISC15"/>
    <m/>
    <n v="13000"/>
    <d v="2024-01-22T00:00:00"/>
  </r>
  <r>
    <s v="S1067"/>
    <s v="Riya Nair"/>
    <x v="2"/>
    <x v="2"/>
    <s v="B3"/>
    <s v="Priya"/>
    <x v="0"/>
    <n v="14303"/>
    <s v="DISC20"/>
    <n v="0.2"/>
    <n v="13000"/>
    <d v="2024-01-10T00:00:00"/>
  </r>
  <r>
    <s v="S1068"/>
    <s v="Aarav Kulkarni"/>
    <x v="2"/>
    <x v="2"/>
    <s v="B2"/>
    <s v="Amit"/>
    <x v="0"/>
    <n v="12865"/>
    <m/>
    <m/>
    <n v="13000"/>
    <d v="2024-02-26T00:00:00"/>
  </r>
  <r>
    <s v="S1069"/>
    <s v="Rohit Joshi"/>
    <x v="2"/>
    <x v="2"/>
    <s v="B3"/>
    <s v="Amit"/>
    <x v="2"/>
    <n v="13024"/>
    <m/>
    <m/>
    <n v="13000"/>
    <d v="2024-01-16T00:00:00"/>
  </r>
  <r>
    <s v="S1070"/>
    <s v="Karan Singh"/>
    <x v="0"/>
    <x v="0"/>
    <s v="B1"/>
    <s v="Priya"/>
    <x v="0"/>
    <n v="12720"/>
    <s v="DISC15"/>
    <m/>
    <n v="14000"/>
    <d v="2024-01-30T00:00:00"/>
  </r>
  <r>
    <s v="S1071"/>
    <s v="Aarav Gupta"/>
    <x v="2"/>
    <x v="2"/>
    <s v="B1"/>
    <s v="Priya"/>
    <x v="0"/>
    <n v="14282"/>
    <m/>
    <m/>
    <n v="13000"/>
    <d v="2024-02-12T00:00:00"/>
  </r>
  <r>
    <s v="S1072"/>
    <s v="Manish Gupta"/>
    <x v="1"/>
    <x v="1"/>
    <s v="B2"/>
    <s v="Amit"/>
    <x v="1"/>
    <n v="18653"/>
    <s v="DISC15"/>
    <m/>
    <n v="17000"/>
    <d v="2024-01-28T00:00:00"/>
  </r>
  <r>
    <s v="S1073"/>
    <s v="Meera Gupta"/>
    <x v="3"/>
    <x v="3"/>
    <s v="B1"/>
    <s v="Amit"/>
    <x v="2"/>
    <n v="8843"/>
    <s v="DISC30"/>
    <n v="0.3"/>
    <n v="9000"/>
    <d v="2024-02-18T00:00:00"/>
  </r>
  <r>
    <s v="S1074"/>
    <s v="Sneha Nair"/>
    <x v="1"/>
    <x v="1"/>
    <s v="B3"/>
    <s v="Priya"/>
    <x v="1"/>
    <n v="15979"/>
    <s v="DISC30"/>
    <n v="0.3"/>
    <n v="17000"/>
    <d v="2024-01-29T00:00:00"/>
  </r>
  <r>
    <s v="S1075"/>
    <s v="Riya Desai"/>
    <x v="1"/>
    <x v="1"/>
    <s v="B1"/>
    <s v="Priya"/>
    <x v="2"/>
    <n v="16309"/>
    <s v="DISC15"/>
    <m/>
    <n v="17000"/>
    <d v="2024-01-06T00:00:00"/>
  </r>
  <r>
    <s v="S1076"/>
    <s v="Karan Mehta"/>
    <x v="2"/>
    <x v="2"/>
    <s v="B2"/>
    <s v="Amit"/>
    <x v="0"/>
    <n v="13893"/>
    <s v="DISC20"/>
    <n v="0.2"/>
    <n v="13000"/>
    <d v="2024-01-05T00:00:00"/>
  </r>
  <r>
    <s v="S1077"/>
    <s v="Rahul Verma"/>
    <x v="1"/>
    <x v="1"/>
    <s v="B3"/>
    <s v="Priya"/>
    <x v="2"/>
    <n v="15255"/>
    <s v="DISC20"/>
    <n v="0.2"/>
    <n v="17000"/>
    <d v="2024-02-23T00:00:00"/>
  </r>
  <r>
    <s v="S1078"/>
    <s v="Rahul Verma"/>
    <x v="0"/>
    <x v="0"/>
    <s v="B3"/>
    <s v="Priya"/>
    <x v="2"/>
    <n v="12024"/>
    <s v="DISC30"/>
    <n v="0.3"/>
    <n v="14000"/>
    <d v="2024-01-20T00:00:00"/>
  </r>
  <r>
    <s v="S1079"/>
    <s v="Dev Verma"/>
    <x v="3"/>
    <x v="3"/>
    <s v="B3"/>
    <s v="Amit"/>
    <x v="1"/>
    <n v="9236"/>
    <s v="DISC15"/>
    <m/>
    <n v="9000"/>
    <d v="2024-02-27T00:00:00"/>
  </r>
  <r>
    <s v="S1080"/>
    <s v="Sneha Iyer"/>
    <x v="2"/>
    <x v="2"/>
    <s v="B2"/>
    <s v="Priya"/>
    <x v="2"/>
    <n v="11118"/>
    <m/>
    <m/>
    <n v="13000"/>
    <d v="2024-01-22T00:00:00"/>
  </r>
  <r>
    <s v="S1081"/>
    <s v="Rohit Singh"/>
    <x v="3"/>
    <x v="3"/>
    <s v="B3"/>
    <s v="Saurabh"/>
    <x v="2"/>
    <n v="10766"/>
    <s v="DISC20"/>
    <n v="0.2"/>
    <n v="9000"/>
    <d v="2024-02-09T00:00:00"/>
  </r>
  <r>
    <s v="S1082"/>
    <s v="Manish Kulkarni"/>
    <x v="3"/>
    <x v="3"/>
    <s v="B3"/>
    <s v="Amit"/>
    <x v="1"/>
    <n v="7111"/>
    <s v="DISC10"/>
    <n v="0.1"/>
    <n v="9000"/>
    <d v="2024-02-11T00:00:00"/>
  </r>
  <r>
    <s v="S1083"/>
    <s v="Rahul Mehta"/>
    <x v="3"/>
    <x v="3"/>
    <s v="B1"/>
    <s v="Saurabh"/>
    <x v="2"/>
    <n v="8552"/>
    <s v="DISC30"/>
    <n v="0.3"/>
    <n v="9000"/>
    <d v="2024-01-14T00:00:00"/>
  </r>
  <r>
    <s v="S1084"/>
    <s v="Neha Jain"/>
    <x v="1"/>
    <x v="1"/>
    <s v="B2"/>
    <s v="Priya"/>
    <x v="2"/>
    <n v="16033"/>
    <s v="DISC10"/>
    <n v="0.1"/>
    <n v="17000"/>
    <d v="2024-01-31T00:00:00"/>
  </r>
  <r>
    <s v="S1085"/>
    <s v="Aarav Desai"/>
    <x v="0"/>
    <x v="0"/>
    <s v="B2"/>
    <s v="Saurabh"/>
    <x v="1"/>
    <n v="12281"/>
    <s v="DISC10"/>
    <n v="0.1"/>
    <n v="14000"/>
    <d v="2024-02-18T00:00:00"/>
  </r>
  <r>
    <s v="S1086"/>
    <s v="Aarav Patil"/>
    <x v="2"/>
    <x v="2"/>
    <s v="B1"/>
    <s v="Amit"/>
    <x v="0"/>
    <n v="11977"/>
    <s v="DISC20"/>
    <n v="0.2"/>
    <n v="13000"/>
    <d v="2024-01-31T00:00:00"/>
  </r>
  <r>
    <s v="S1087"/>
    <s v="Rohit Shah"/>
    <x v="2"/>
    <x v="2"/>
    <s v="B2"/>
    <s v="Amit"/>
    <x v="2"/>
    <n v="14141"/>
    <s v="DISC30"/>
    <n v="0.3"/>
    <n v="13000"/>
    <d v="2024-01-11T00:00:00"/>
  </r>
  <r>
    <s v="S1088"/>
    <s v="Kavita Joshi"/>
    <x v="0"/>
    <x v="0"/>
    <s v="B1"/>
    <s v="Priya"/>
    <x v="0"/>
    <n v="14370"/>
    <s v="DISC10"/>
    <n v="0.1"/>
    <n v="14000"/>
    <d v="2024-02-29T00:00:00"/>
  </r>
  <r>
    <s v="S1089"/>
    <s v="Aditya Joshi"/>
    <x v="3"/>
    <x v="3"/>
    <s v="B2"/>
    <s v="Amit"/>
    <x v="0"/>
    <n v="7311"/>
    <s v="DISC15"/>
    <m/>
    <n v="9000"/>
    <d v="2024-02-14T00:00:00"/>
  </r>
  <r>
    <s v="S1090"/>
    <s v="Meera Singh"/>
    <x v="2"/>
    <x v="2"/>
    <s v="B1"/>
    <s v="Amit"/>
    <x v="2"/>
    <n v="14482"/>
    <s v="DISC15"/>
    <m/>
    <n v="13000"/>
    <d v="2024-02-21T00:00:00"/>
  </r>
  <r>
    <s v="S1091"/>
    <s v="Riya Patel"/>
    <x v="0"/>
    <x v="0"/>
    <s v="B2"/>
    <s v="Amit"/>
    <x v="2"/>
    <n v="14709"/>
    <s v="DISC30"/>
    <n v="0.3"/>
    <n v="14000"/>
    <d v="2024-01-05T00:00:00"/>
  </r>
  <r>
    <s v="S1092"/>
    <s v="Manish Singh"/>
    <x v="1"/>
    <x v="1"/>
    <s v="B1"/>
    <s v="Priya"/>
    <x v="2"/>
    <n v="15432"/>
    <m/>
    <m/>
    <n v="17000"/>
    <d v="2024-01-24T00:00:00"/>
  </r>
  <r>
    <s v="S1093"/>
    <s v="Rohit Nair"/>
    <x v="3"/>
    <x v="3"/>
    <s v="B3"/>
    <s v="Saurabh"/>
    <x v="2"/>
    <n v="7721"/>
    <s v="DISC15"/>
    <m/>
    <n v="9000"/>
    <d v="2024-02-11T00:00:00"/>
  </r>
  <r>
    <s v="S1094"/>
    <s v="Aditya Joshi"/>
    <x v="3"/>
    <x v="3"/>
    <s v="B2"/>
    <s v="Priya"/>
    <x v="1"/>
    <n v="9426"/>
    <s v="DISC30"/>
    <n v="0.3"/>
    <n v="9000"/>
    <d v="2024-01-21T00:00:00"/>
  </r>
  <r>
    <s v="S1095"/>
    <s v="Meera Patil"/>
    <x v="0"/>
    <x v="0"/>
    <s v="B2"/>
    <s v="Priya"/>
    <x v="0"/>
    <n v="15073"/>
    <m/>
    <m/>
    <n v="14000"/>
    <d v="2024-02-06T00:00:00"/>
  </r>
  <r>
    <s v="S1096"/>
    <s v="Kavita Singh"/>
    <x v="3"/>
    <x v="3"/>
    <s v="B2"/>
    <s v="Saurabh"/>
    <x v="2"/>
    <n v="10485"/>
    <s v="DISC30"/>
    <n v="0.3"/>
    <n v="9000"/>
    <d v="2024-01-12T00:00:00"/>
  </r>
  <r>
    <s v="S1097"/>
    <s v="Neha Patil"/>
    <x v="1"/>
    <x v="1"/>
    <s v="B2"/>
    <s v="Priya"/>
    <x v="2"/>
    <n v="18605"/>
    <s v="DISC15"/>
    <m/>
    <n v="17000"/>
    <d v="2024-02-14T00:00:00"/>
  </r>
  <r>
    <s v="S1098"/>
    <s v="Kunal Rao"/>
    <x v="0"/>
    <x v="0"/>
    <s v="B3"/>
    <s v="Saurabh"/>
    <x v="0"/>
    <n v="12988"/>
    <m/>
    <m/>
    <n v="14000"/>
    <d v="2024-02-01T00:00:00"/>
  </r>
  <r>
    <s v="S1099"/>
    <s v="Manish Patel"/>
    <x v="2"/>
    <x v="2"/>
    <s v="B3"/>
    <s v="Priya"/>
    <x v="1"/>
    <n v="13915"/>
    <m/>
    <m/>
    <n v="13000"/>
    <d v="2024-01-29T00:00:00"/>
  </r>
  <r>
    <s v="S1100"/>
    <s v="Dev Kulkarni"/>
    <x v="0"/>
    <x v="0"/>
    <s v="B2"/>
    <s v="Saurabh"/>
    <x v="2"/>
    <n v="14833"/>
    <s v="DISC20"/>
    <n v="0.2"/>
    <n v="14000"/>
    <d v="2024-01-20T00:00:00"/>
  </r>
  <r>
    <s v="S1101"/>
    <s v="Rohit Joshi"/>
    <x v="1"/>
    <x v="1"/>
    <s v="B2"/>
    <s v="Amit"/>
    <x v="1"/>
    <n v="16408"/>
    <m/>
    <m/>
    <n v="17000"/>
    <d v="2024-02-17T00:00:00"/>
  </r>
  <r>
    <s v="S1102"/>
    <s v="Manish Jain"/>
    <x v="1"/>
    <x v="1"/>
    <s v="B3"/>
    <s v="Priya"/>
    <x v="2"/>
    <n v="16255"/>
    <s v="DISC30"/>
    <n v="0.3"/>
    <n v="17000"/>
    <d v="2024-01-15T00:00:00"/>
  </r>
  <r>
    <s v="S1103"/>
    <s v="Riya Desai"/>
    <x v="2"/>
    <x v="2"/>
    <s v="B2"/>
    <s v="Saurabh"/>
    <x v="1"/>
    <n v="13194"/>
    <s v="DISC20"/>
    <n v="0.2"/>
    <n v="13000"/>
    <d v="2024-01-13T00:00:00"/>
  </r>
  <r>
    <s v="S1104"/>
    <s v="Sneha Desai"/>
    <x v="3"/>
    <x v="3"/>
    <s v="B2"/>
    <s v="Amit"/>
    <x v="1"/>
    <n v="11000"/>
    <s v="DISC15"/>
    <m/>
    <n v="9000"/>
    <d v="2024-02-08T00:00:00"/>
  </r>
  <r>
    <s v="S1105"/>
    <s v="Aditya Shah"/>
    <x v="2"/>
    <x v="2"/>
    <s v="B2"/>
    <s v="Saurabh"/>
    <x v="2"/>
    <n v="11734"/>
    <s v="DISC30"/>
    <n v="0.3"/>
    <n v="13000"/>
    <d v="2024-01-01T00:00:00"/>
  </r>
  <r>
    <s v="S1106"/>
    <s v="Anjali Gupta"/>
    <x v="2"/>
    <x v="2"/>
    <s v="B2"/>
    <s v="Saurabh"/>
    <x v="0"/>
    <n v="13266"/>
    <s v="DISC30"/>
    <n v="0.3"/>
    <n v="13000"/>
    <d v="2024-02-14T00:00:00"/>
  </r>
  <r>
    <s v="S1107"/>
    <s v="Karan Singh"/>
    <x v="3"/>
    <x v="3"/>
    <s v="B1"/>
    <s v="Saurabh"/>
    <x v="1"/>
    <n v="8164"/>
    <m/>
    <m/>
    <n v="9000"/>
    <d v="2024-01-31T00:00:00"/>
  </r>
  <r>
    <s v="S1108"/>
    <s v="Neha Jain"/>
    <x v="2"/>
    <x v="2"/>
    <s v="B1"/>
    <s v="Priya"/>
    <x v="2"/>
    <n v="11467"/>
    <s v="DISC10"/>
    <n v="0.1"/>
    <n v="13000"/>
    <d v="2024-01-26T00:00:00"/>
  </r>
  <r>
    <s v="S1109"/>
    <s v="Neha Shah"/>
    <x v="0"/>
    <x v="0"/>
    <s v="B1"/>
    <s v="Saurabh"/>
    <x v="1"/>
    <n v="15887"/>
    <s v="DISC30"/>
    <n v="0.3"/>
    <n v="14000"/>
    <d v="2024-01-06T00:00:00"/>
  </r>
  <r>
    <s v="S1110"/>
    <s v="Sneha Shah"/>
    <x v="3"/>
    <x v="3"/>
    <s v="B3"/>
    <s v="Amit"/>
    <x v="1"/>
    <n v="7924"/>
    <s v="DISC15"/>
    <m/>
    <n v="9000"/>
    <d v="2024-01-25T00:00:00"/>
  </r>
  <r>
    <s v="S1111"/>
    <s v="Neha Iyer"/>
    <x v="1"/>
    <x v="1"/>
    <s v="B3"/>
    <s v="Priya"/>
    <x v="2"/>
    <n v="17329"/>
    <s v="DISC15"/>
    <m/>
    <n v="17000"/>
    <d v="2024-01-04T00:00:00"/>
  </r>
  <r>
    <s v="S1112"/>
    <s v="Kavita Desai"/>
    <x v="0"/>
    <x v="0"/>
    <s v="B1"/>
    <s v="Amit"/>
    <x v="0"/>
    <n v="13083"/>
    <s v="DISC10"/>
    <n v="0.1"/>
    <n v="14000"/>
    <d v="2024-01-11T00:00:00"/>
  </r>
  <r>
    <s v="S1113"/>
    <s v="Sneha Mehta"/>
    <x v="0"/>
    <x v="0"/>
    <s v="B1"/>
    <s v="Saurabh"/>
    <x v="2"/>
    <n v="13845"/>
    <s v="DISC15"/>
    <m/>
    <n v="14000"/>
    <d v="2024-01-31T00:00:00"/>
  </r>
  <r>
    <s v="S1114"/>
    <s v="Aditya Kulkarni"/>
    <x v="2"/>
    <x v="2"/>
    <s v="B2"/>
    <s v="Amit"/>
    <x v="2"/>
    <n v="13879"/>
    <m/>
    <m/>
    <n v="13000"/>
    <d v="2024-01-05T00:00:00"/>
  </r>
  <r>
    <s v="S1115"/>
    <s v="Rohit Patil"/>
    <x v="1"/>
    <x v="1"/>
    <s v="B3"/>
    <s v="Amit"/>
    <x v="1"/>
    <n v="18292"/>
    <s v="DISC20"/>
    <n v="0.2"/>
    <n v="17000"/>
    <d v="2024-01-28T00:00:00"/>
  </r>
  <r>
    <s v="S1116"/>
    <s v="Riya Gupta"/>
    <x v="2"/>
    <x v="2"/>
    <s v="B3"/>
    <s v="Saurabh"/>
    <x v="2"/>
    <n v="14385"/>
    <s v="DISC20"/>
    <n v="0.2"/>
    <n v="13000"/>
    <d v="2024-01-05T00:00:00"/>
  </r>
  <r>
    <s v="S1117"/>
    <s v="Aarav Mehta"/>
    <x v="1"/>
    <x v="1"/>
    <s v="B3"/>
    <s v="Amit"/>
    <x v="1"/>
    <n v="18773"/>
    <s v="DISC30"/>
    <n v="0.3"/>
    <n v="17000"/>
    <d v="2024-01-29T00:00:00"/>
  </r>
  <r>
    <s v="S1118"/>
    <s v="Riya Iyer"/>
    <x v="1"/>
    <x v="1"/>
    <s v="B3"/>
    <s v="Priya"/>
    <x v="2"/>
    <n v="17049"/>
    <s v="DISC15"/>
    <m/>
    <n v="17000"/>
    <d v="2024-02-01T00:00:00"/>
  </r>
  <r>
    <s v="S1119"/>
    <s v="Neha Shah"/>
    <x v="0"/>
    <x v="0"/>
    <s v="B2"/>
    <s v="Amit"/>
    <x v="2"/>
    <n v="14472"/>
    <s v="DISC30"/>
    <n v="0.3"/>
    <n v="14000"/>
    <d v="2024-01-02T00:00:00"/>
  </r>
  <r>
    <s v="S1120"/>
    <s v="Riya Patil"/>
    <x v="0"/>
    <x v="0"/>
    <s v="B3"/>
    <s v="Priya"/>
    <x v="1"/>
    <n v="12164"/>
    <s v="DISC20"/>
    <n v="0.2"/>
    <n v="14000"/>
    <d v="2024-01-31T00:00:00"/>
  </r>
  <r>
    <s v="S1121"/>
    <s v="Manish Singh"/>
    <x v="3"/>
    <x v="3"/>
    <s v="B2"/>
    <s v="Saurabh"/>
    <x v="1"/>
    <n v="8785"/>
    <m/>
    <m/>
    <n v="9000"/>
    <d v="2024-01-06T00:00:00"/>
  </r>
  <r>
    <s v="S1122"/>
    <s v="Neha Jain"/>
    <x v="3"/>
    <x v="3"/>
    <s v="B2"/>
    <s v="Priya"/>
    <x v="1"/>
    <n v="7428"/>
    <s v="DISC20"/>
    <n v="0.2"/>
    <n v="9000"/>
    <d v="2024-01-22T00:00:00"/>
  </r>
  <r>
    <s v="S1123"/>
    <s v="Rahul Desai"/>
    <x v="3"/>
    <x v="3"/>
    <s v="B2"/>
    <s v="Amit"/>
    <x v="2"/>
    <n v="10332"/>
    <s v="DISC15"/>
    <m/>
    <n v="9000"/>
    <d v="2024-01-03T00:00:00"/>
  </r>
  <r>
    <s v="S1124"/>
    <s v="Neha Shah"/>
    <x v="1"/>
    <x v="1"/>
    <s v="B2"/>
    <s v="Priya"/>
    <x v="0"/>
    <n v="18973"/>
    <m/>
    <m/>
    <n v="17000"/>
    <d v="2024-02-25T00:00:00"/>
  </r>
  <r>
    <s v="S1125"/>
    <s v="Manish Nair"/>
    <x v="0"/>
    <x v="0"/>
    <s v="B3"/>
    <s v="Amit"/>
    <x v="2"/>
    <n v="13692"/>
    <s v="DISC10"/>
    <n v="0.1"/>
    <n v="14000"/>
    <d v="2024-01-13T00:00:00"/>
  </r>
  <r>
    <s v="S1126"/>
    <s v="Manish Jain"/>
    <x v="3"/>
    <x v="3"/>
    <s v="B3"/>
    <s v="Priya"/>
    <x v="0"/>
    <n v="7833"/>
    <s v="DISC30"/>
    <n v="0.3"/>
    <n v="9000"/>
    <d v="2024-02-05T00:00:00"/>
  </r>
  <r>
    <s v="S1127"/>
    <s v="Karan Rao"/>
    <x v="3"/>
    <x v="3"/>
    <s v="B3"/>
    <s v="Priya"/>
    <x v="0"/>
    <n v="7118"/>
    <s v="DISC15"/>
    <m/>
    <n v="9000"/>
    <d v="2024-02-21T00:00:00"/>
  </r>
  <r>
    <s v="S1128"/>
    <s v="Sneha Desai"/>
    <x v="2"/>
    <x v="2"/>
    <s v="B2"/>
    <s v="Amit"/>
    <x v="0"/>
    <n v="13262"/>
    <m/>
    <m/>
    <n v="13000"/>
    <d v="2024-01-06T00:00:00"/>
  </r>
  <r>
    <s v="S1129"/>
    <s v="Sneha Nair"/>
    <x v="0"/>
    <x v="0"/>
    <s v="B2"/>
    <s v="Saurabh"/>
    <x v="1"/>
    <n v="15408"/>
    <s v="DISC20"/>
    <n v="0.2"/>
    <n v="14000"/>
    <d v="2024-02-01T00:00:00"/>
  </r>
  <r>
    <s v="S1130"/>
    <s v="Kunal Desai"/>
    <x v="1"/>
    <x v="1"/>
    <s v="B3"/>
    <s v="Amit"/>
    <x v="2"/>
    <n v="16701"/>
    <m/>
    <m/>
    <n v="17000"/>
    <d v="2024-01-31T00:00:00"/>
  </r>
  <r>
    <s v="S1131"/>
    <s v="Sneha Iyer"/>
    <x v="2"/>
    <x v="2"/>
    <s v="B2"/>
    <s v="Saurabh"/>
    <x v="1"/>
    <n v="13081"/>
    <s v="DISC20"/>
    <n v="0.2"/>
    <n v="13000"/>
    <d v="2024-02-25T00:00:00"/>
  </r>
  <r>
    <s v="S1132"/>
    <s v="Riya Rao"/>
    <x v="3"/>
    <x v="3"/>
    <s v="B2"/>
    <s v="Amit"/>
    <x v="2"/>
    <n v="10360"/>
    <s v="DISC10"/>
    <n v="0.1"/>
    <n v="9000"/>
    <d v="2024-01-19T00:00:00"/>
  </r>
  <r>
    <s v="S1133"/>
    <s v="Anjali Rao"/>
    <x v="3"/>
    <x v="3"/>
    <s v="B1"/>
    <s v="Priya"/>
    <x v="1"/>
    <n v="8983"/>
    <s v="DISC30"/>
    <n v="0.3"/>
    <n v="9000"/>
    <d v="2024-01-22T00:00:00"/>
  </r>
  <r>
    <s v="S1134"/>
    <s v="Manish Patel"/>
    <x v="3"/>
    <x v="3"/>
    <s v="B2"/>
    <s v="Priya"/>
    <x v="0"/>
    <n v="9856"/>
    <s v="DISC20"/>
    <n v="0.2"/>
    <n v="9000"/>
    <d v="2024-02-06T00:00:00"/>
  </r>
  <r>
    <s v="S1135"/>
    <s v="Rahul Patil"/>
    <x v="3"/>
    <x v="3"/>
    <s v="B1"/>
    <s v="Priya"/>
    <x v="1"/>
    <n v="8937"/>
    <m/>
    <m/>
    <n v="9000"/>
    <d v="2024-01-25T00:00:00"/>
  </r>
  <r>
    <s v="S1136"/>
    <s v="Rohit Patel"/>
    <x v="2"/>
    <x v="2"/>
    <s v="B2"/>
    <s v="Saurabh"/>
    <x v="0"/>
    <n v="13057"/>
    <s v="DISC15"/>
    <m/>
    <n v="13000"/>
    <d v="2024-01-22T00:00:00"/>
  </r>
  <r>
    <s v="S1137"/>
    <s v="Meera Shah"/>
    <x v="3"/>
    <x v="3"/>
    <s v="B1"/>
    <s v="Amit"/>
    <x v="2"/>
    <n v="7062"/>
    <s v="DISC20"/>
    <n v="0.2"/>
    <n v="9000"/>
    <d v="2024-01-27T00:00:00"/>
  </r>
  <r>
    <s v="S1138"/>
    <s v="Meera Singh"/>
    <x v="2"/>
    <x v="2"/>
    <s v="B1"/>
    <s v="Priya"/>
    <x v="2"/>
    <n v="12386"/>
    <s v="DISC15"/>
    <m/>
    <n v="13000"/>
    <d v="2024-02-14T00:00:00"/>
  </r>
  <r>
    <s v="S1139"/>
    <s v="Rahul Singh"/>
    <x v="0"/>
    <x v="0"/>
    <s v="B2"/>
    <s v="Amit"/>
    <x v="1"/>
    <n v="13556"/>
    <s v="DISC30"/>
    <n v="0.3"/>
    <n v="14000"/>
    <d v="2024-02-10T00:00:00"/>
  </r>
  <r>
    <s v="S1140"/>
    <s v="Anjali Patel"/>
    <x v="3"/>
    <x v="3"/>
    <s v="B3"/>
    <s v="Saurabh"/>
    <x v="1"/>
    <n v="7280"/>
    <s v="DISC20"/>
    <n v="0.2"/>
    <n v="9000"/>
    <d v="2024-02-10T00:00:00"/>
  </r>
  <r>
    <s v="S1141"/>
    <s v="Rohit Rao"/>
    <x v="2"/>
    <x v="2"/>
    <s v="B3"/>
    <s v="Saurabh"/>
    <x v="2"/>
    <n v="11403"/>
    <s v="DISC10"/>
    <n v="0.1"/>
    <n v="13000"/>
    <d v="2024-01-29T00:00:00"/>
  </r>
  <r>
    <s v="S1142"/>
    <s v="Karan Desai"/>
    <x v="1"/>
    <x v="1"/>
    <s v="B1"/>
    <s v="Saurabh"/>
    <x v="2"/>
    <n v="18261"/>
    <s v="DISC10"/>
    <n v="0.1"/>
    <n v="17000"/>
    <d v="2024-01-19T00:00:00"/>
  </r>
  <r>
    <s v="S1143"/>
    <s v="Pooja Jain"/>
    <x v="3"/>
    <x v="3"/>
    <s v="B1"/>
    <s v="Saurabh"/>
    <x v="1"/>
    <n v="8687"/>
    <s v="DISC15"/>
    <m/>
    <n v="9000"/>
    <d v="2024-02-13T00:00:00"/>
  </r>
  <r>
    <s v="S1144"/>
    <s v="Dev Mehta"/>
    <x v="2"/>
    <x v="2"/>
    <s v="B1"/>
    <s v="Saurabh"/>
    <x v="1"/>
    <n v="14566"/>
    <m/>
    <m/>
    <n v="13000"/>
    <d v="2024-02-09T00:00:00"/>
  </r>
  <r>
    <s v="S1145"/>
    <s v="Rohit Patil"/>
    <x v="3"/>
    <x v="3"/>
    <s v="B3"/>
    <s v="Saurabh"/>
    <x v="0"/>
    <n v="8888"/>
    <s v="DISC30"/>
    <n v="0.3"/>
    <n v="9000"/>
    <d v="2024-01-30T00:00:00"/>
  </r>
  <r>
    <s v="S1146"/>
    <s v="Aditya Singh"/>
    <x v="0"/>
    <x v="0"/>
    <s v="B2"/>
    <s v="Priya"/>
    <x v="1"/>
    <n v="14238"/>
    <s v="DISC20"/>
    <n v="0.2"/>
    <n v="14000"/>
    <d v="2024-01-05T00:00:00"/>
  </r>
  <r>
    <s v="S1147"/>
    <s v="Neha Jain"/>
    <x v="1"/>
    <x v="1"/>
    <s v="B3"/>
    <s v="Priya"/>
    <x v="1"/>
    <n v="16024"/>
    <m/>
    <m/>
    <n v="17000"/>
    <d v="2024-02-24T00:00:00"/>
  </r>
  <r>
    <s v="S1148"/>
    <s v="Aditya Patil"/>
    <x v="3"/>
    <x v="3"/>
    <s v="B2"/>
    <s v="Saurabh"/>
    <x v="0"/>
    <n v="8562"/>
    <s v="DISC15"/>
    <m/>
    <n v="9000"/>
    <d v="2024-01-23T00:00:00"/>
  </r>
  <r>
    <s v="S1149"/>
    <s v="Kavita Rao"/>
    <x v="1"/>
    <x v="1"/>
    <s v="B1"/>
    <s v="Amit"/>
    <x v="2"/>
    <n v="16124"/>
    <s v="DISC10"/>
    <n v="0.1"/>
    <n v="17000"/>
    <d v="2024-02-06T00:00:00"/>
  </r>
  <r>
    <s v="S1150"/>
    <s v="Meera Singh"/>
    <x v="0"/>
    <x v="0"/>
    <s v="B3"/>
    <s v="Amit"/>
    <x v="2"/>
    <n v="15411"/>
    <s v="DISC30"/>
    <n v="0.3"/>
    <n v="14000"/>
    <d v="2024-02-19T00:00:00"/>
  </r>
  <r>
    <s v="S1151"/>
    <s v="Dev Patil"/>
    <x v="1"/>
    <x v="1"/>
    <s v="B1"/>
    <s v="Amit"/>
    <x v="0"/>
    <n v="17543"/>
    <s v="DISC30"/>
    <n v="0.3"/>
    <n v="17000"/>
    <d v="2024-02-13T00:00:00"/>
  </r>
  <r>
    <s v="S1152"/>
    <s v="Dev Desai"/>
    <x v="2"/>
    <x v="2"/>
    <s v="B3"/>
    <s v="Saurabh"/>
    <x v="1"/>
    <n v="13647"/>
    <s v="DISC10"/>
    <n v="0.1"/>
    <n v="13000"/>
    <d v="2024-01-20T00:00:00"/>
  </r>
  <r>
    <s v="S1153"/>
    <s v="Dev Iyer"/>
    <x v="0"/>
    <x v="0"/>
    <s v="B3"/>
    <s v="Priya"/>
    <x v="1"/>
    <n v="12538"/>
    <s v="DISC10"/>
    <n v="0.1"/>
    <n v="14000"/>
    <d v="2024-02-28T00:00:00"/>
  </r>
  <r>
    <s v="S1154"/>
    <s v="Aditya Jain"/>
    <x v="3"/>
    <x v="3"/>
    <s v="B1"/>
    <s v="Saurabh"/>
    <x v="0"/>
    <n v="10221"/>
    <s v="DISC15"/>
    <m/>
    <n v="9000"/>
    <d v="2024-02-26T00:00:00"/>
  </r>
  <r>
    <s v="S1155"/>
    <s v="Pooja Gupta"/>
    <x v="1"/>
    <x v="1"/>
    <s v="B1"/>
    <s v="Priya"/>
    <x v="2"/>
    <n v="18962"/>
    <s v="DISC30"/>
    <n v="0.3"/>
    <n v="17000"/>
    <d v="2024-02-17T00:00:00"/>
  </r>
  <r>
    <s v="S1156"/>
    <s v="Meera Jain"/>
    <x v="0"/>
    <x v="0"/>
    <s v="B2"/>
    <s v="Saurabh"/>
    <x v="0"/>
    <n v="15089"/>
    <s v="DISC20"/>
    <n v="0.2"/>
    <n v="14000"/>
    <d v="2024-02-25T00:00:00"/>
  </r>
  <r>
    <s v="S1157"/>
    <s v="Rohit Desai"/>
    <x v="3"/>
    <x v="3"/>
    <s v="B3"/>
    <s v="Priya"/>
    <x v="0"/>
    <n v="10238"/>
    <m/>
    <m/>
    <n v="9000"/>
    <d v="2024-01-01T00:00:00"/>
  </r>
  <r>
    <s v="S1158"/>
    <s v="Aditya Gupta"/>
    <x v="0"/>
    <x v="0"/>
    <s v="B2"/>
    <s v="Priya"/>
    <x v="1"/>
    <n v="15067"/>
    <s v="DISC30"/>
    <n v="0.3"/>
    <n v="14000"/>
    <d v="2024-02-07T00:00:00"/>
  </r>
  <r>
    <s v="S1159"/>
    <s v="Rahul Nair"/>
    <x v="1"/>
    <x v="1"/>
    <s v="B1"/>
    <s v="Amit"/>
    <x v="0"/>
    <n v="16931"/>
    <s v="DISC10"/>
    <n v="0.1"/>
    <n v="17000"/>
    <d v="2024-02-09T00:00:00"/>
  </r>
  <r>
    <s v="S1160"/>
    <s v="Kunal Gupta"/>
    <x v="1"/>
    <x v="1"/>
    <s v="B3"/>
    <s v="Saurabh"/>
    <x v="1"/>
    <n v="15258"/>
    <m/>
    <m/>
    <n v="17000"/>
    <d v="2024-02-28T00:00:00"/>
  </r>
  <r>
    <s v="S1161"/>
    <s v="Anjali Rao"/>
    <x v="3"/>
    <x v="3"/>
    <s v="B1"/>
    <s v="Saurabh"/>
    <x v="0"/>
    <n v="10875"/>
    <s v="DISC10"/>
    <n v="0.1"/>
    <n v="9000"/>
    <d v="2024-01-20T00:00:00"/>
  </r>
  <r>
    <s v="S1162"/>
    <s v="Neha Shah"/>
    <x v="0"/>
    <x v="0"/>
    <s v="B1"/>
    <s v="Amit"/>
    <x v="0"/>
    <n v="13591"/>
    <m/>
    <m/>
    <n v="14000"/>
    <d v="2024-01-24T00:00:00"/>
  </r>
  <r>
    <s v="S1163"/>
    <s v="Rohit Desai"/>
    <x v="3"/>
    <x v="3"/>
    <s v="B3"/>
    <s v="Amit"/>
    <x v="1"/>
    <n v="7632"/>
    <m/>
    <m/>
    <n v="9000"/>
    <d v="2024-02-11T00:00:00"/>
  </r>
  <r>
    <s v="S1164"/>
    <s v="Riya Nair"/>
    <x v="3"/>
    <x v="3"/>
    <s v="B3"/>
    <s v="Priya"/>
    <x v="2"/>
    <n v="7134"/>
    <s v="DISC30"/>
    <n v="0.3"/>
    <n v="9000"/>
    <d v="2024-01-14T00:00:00"/>
  </r>
  <r>
    <s v="S1165"/>
    <s v="Neha Iyer"/>
    <x v="2"/>
    <x v="2"/>
    <s v="B2"/>
    <s v="Saurabh"/>
    <x v="1"/>
    <n v="12504"/>
    <s v="DISC15"/>
    <m/>
    <n v="13000"/>
    <d v="2024-02-27T00:00:00"/>
  </r>
  <r>
    <s v="S1166"/>
    <s v="Rohit Jain"/>
    <x v="0"/>
    <x v="0"/>
    <s v="B2"/>
    <s v="Priya"/>
    <x v="0"/>
    <n v="15965"/>
    <s v="DISC10"/>
    <n v="0.1"/>
    <n v="14000"/>
    <d v="2024-03-01T00:00:00"/>
  </r>
  <r>
    <s v="S1167"/>
    <s v="Meera Nair"/>
    <x v="3"/>
    <x v="3"/>
    <s v="B1"/>
    <s v="Amit"/>
    <x v="0"/>
    <n v="9628"/>
    <s v="DISC15"/>
    <m/>
    <n v="9000"/>
    <d v="2024-01-02T00:00:00"/>
  </r>
  <r>
    <s v="S1168"/>
    <s v="Aarav Patel"/>
    <x v="1"/>
    <x v="1"/>
    <s v="B1"/>
    <s v="Saurabh"/>
    <x v="1"/>
    <n v="15840"/>
    <s v="DISC10"/>
    <n v="0.1"/>
    <n v="17000"/>
    <d v="2024-02-23T00:00:00"/>
  </r>
  <r>
    <s v="S1169"/>
    <s v="Dev Gupta"/>
    <x v="2"/>
    <x v="2"/>
    <s v="B3"/>
    <s v="Saurabh"/>
    <x v="0"/>
    <n v="12345"/>
    <s v="DISC20"/>
    <n v="0.2"/>
    <n v="13000"/>
    <d v="2024-02-20T00:00:00"/>
  </r>
  <r>
    <s v="S1170"/>
    <s v="Kunal Joshi"/>
    <x v="0"/>
    <x v="0"/>
    <s v="B2"/>
    <s v="Saurabh"/>
    <x v="0"/>
    <n v="14212"/>
    <s v="DISC30"/>
    <n v="0.3"/>
    <n v="14000"/>
    <d v="2024-02-21T00:00:00"/>
  </r>
  <r>
    <s v="S1171"/>
    <s v="Karan Shah"/>
    <x v="0"/>
    <x v="0"/>
    <s v="B1"/>
    <s v="Saurabh"/>
    <x v="2"/>
    <n v="15235"/>
    <s v="DISC20"/>
    <n v="0.2"/>
    <n v="14000"/>
    <d v="2024-02-07T00:00:00"/>
  </r>
  <r>
    <s v="S1172"/>
    <s v="Pooja Kulkarni"/>
    <x v="2"/>
    <x v="2"/>
    <s v="B2"/>
    <s v="Saurabh"/>
    <x v="0"/>
    <n v="14038"/>
    <m/>
    <m/>
    <n v="13000"/>
    <d v="2024-02-03T00:00:00"/>
  </r>
  <r>
    <s v="S1173"/>
    <s v="Riya Desai"/>
    <x v="0"/>
    <x v="0"/>
    <s v="B2"/>
    <s v="Priya"/>
    <x v="2"/>
    <n v="14102"/>
    <s v="DISC15"/>
    <m/>
    <n v="14000"/>
    <d v="2024-01-07T00:00:00"/>
  </r>
  <r>
    <s v="S1174"/>
    <s v="Neha Gupta"/>
    <x v="2"/>
    <x v="2"/>
    <s v="B3"/>
    <s v="Saurabh"/>
    <x v="1"/>
    <n v="14208"/>
    <s v="DISC15"/>
    <m/>
    <n v="13000"/>
    <d v="2024-01-20T00:00:00"/>
  </r>
  <r>
    <s v="S1175"/>
    <s v="Neha Singh"/>
    <x v="0"/>
    <x v="0"/>
    <s v="B1"/>
    <s v="Priya"/>
    <x v="2"/>
    <n v="13746"/>
    <s v="DISC10"/>
    <n v="0.1"/>
    <n v="14000"/>
    <d v="2024-02-01T00:00:00"/>
  </r>
  <r>
    <s v="S1176"/>
    <s v="Anjali Iyer"/>
    <x v="0"/>
    <x v="0"/>
    <s v="B1"/>
    <s v="Priya"/>
    <x v="1"/>
    <n v="12607"/>
    <s v="DISC10"/>
    <n v="0.1"/>
    <n v="14000"/>
    <d v="2024-01-09T00:00:00"/>
  </r>
  <r>
    <s v="S1177"/>
    <s v="Aditya Joshi"/>
    <x v="1"/>
    <x v="1"/>
    <s v="B2"/>
    <s v="Amit"/>
    <x v="1"/>
    <n v="16207"/>
    <m/>
    <m/>
    <n v="17000"/>
    <d v="2024-02-02T00:00:00"/>
  </r>
  <r>
    <s v="S1178"/>
    <s v="Kavita Verma"/>
    <x v="0"/>
    <x v="0"/>
    <s v="B3"/>
    <s v="Saurabh"/>
    <x v="1"/>
    <n v="14666"/>
    <s v="DISC15"/>
    <m/>
    <n v="14000"/>
    <d v="2024-02-16T00:00:00"/>
  </r>
  <r>
    <s v="S1179"/>
    <s v="Meera Patil"/>
    <x v="3"/>
    <x v="3"/>
    <s v="B2"/>
    <s v="Saurabh"/>
    <x v="2"/>
    <n v="8388"/>
    <m/>
    <m/>
    <n v="9000"/>
    <d v="2024-01-26T00:00:00"/>
  </r>
  <r>
    <s v="S1180"/>
    <s v="Rahul Desai"/>
    <x v="0"/>
    <x v="0"/>
    <s v="B2"/>
    <s v="Priya"/>
    <x v="2"/>
    <n v="14724"/>
    <s v="DISC30"/>
    <n v="0.3"/>
    <n v="14000"/>
    <d v="2024-01-24T00:00:00"/>
  </r>
  <r>
    <s v="S1181"/>
    <s v="Karan Singh"/>
    <x v="3"/>
    <x v="3"/>
    <s v="B1"/>
    <s v="Saurabh"/>
    <x v="0"/>
    <n v="7381"/>
    <m/>
    <m/>
    <n v="9000"/>
    <d v="2024-01-07T00:00:00"/>
  </r>
  <r>
    <s v="S1182"/>
    <s v="Anjali Desai"/>
    <x v="1"/>
    <x v="1"/>
    <s v="B1"/>
    <s v="Amit"/>
    <x v="0"/>
    <n v="17402"/>
    <s v="DISC15"/>
    <m/>
    <n v="17000"/>
    <d v="2024-02-05T00:00:00"/>
  </r>
  <r>
    <s v="S1183"/>
    <s v="Pooja Singh"/>
    <x v="0"/>
    <x v="0"/>
    <s v="B2"/>
    <s v="Priya"/>
    <x v="1"/>
    <n v="15854"/>
    <m/>
    <m/>
    <n v="14000"/>
    <d v="2024-02-25T00:00:00"/>
  </r>
  <r>
    <s v="S1184"/>
    <s v="Kunal Desai"/>
    <x v="0"/>
    <x v="0"/>
    <s v="B2"/>
    <s v="Amit"/>
    <x v="2"/>
    <n v="13440"/>
    <s v="DISC10"/>
    <n v="0.1"/>
    <n v="14000"/>
    <d v="2024-02-06T00:00:00"/>
  </r>
  <r>
    <s v="S1185"/>
    <s v="Manish Patil"/>
    <x v="2"/>
    <x v="2"/>
    <s v="B3"/>
    <s v="Priya"/>
    <x v="0"/>
    <n v="14470"/>
    <s v="DISC10"/>
    <n v="0.1"/>
    <n v="13000"/>
    <d v="2024-01-23T00:00:00"/>
  </r>
  <r>
    <s v="S1186"/>
    <s v="Meera Gupta"/>
    <x v="1"/>
    <x v="1"/>
    <s v="B1"/>
    <s v="Priya"/>
    <x v="1"/>
    <n v="15926"/>
    <m/>
    <m/>
    <n v="17000"/>
    <d v="2024-02-24T00:00:00"/>
  </r>
  <r>
    <s v="S1187"/>
    <s v="Manish Patel"/>
    <x v="0"/>
    <x v="0"/>
    <s v="B3"/>
    <s v="Amit"/>
    <x v="1"/>
    <n v="13095"/>
    <s v="DISC10"/>
    <n v="0.1"/>
    <n v="14000"/>
    <d v="2024-01-12T00:00:00"/>
  </r>
  <r>
    <s v="S1188"/>
    <s v="Aditya Desai"/>
    <x v="1"/>
    <x v="1"/>
    <s v="B2"/>
    <s v="Priya"/>
    <x v="0"/>
    <n v="15743"/>
    <s v="DISC20"/>
    <n v="0.2"/>
    <n v="17000"/>
    <d v="2024-02-06T00:00:00"/>
  </r>
  <r>
    <s v="S1189"/>
    <s v="Rohit Verma"/>
    <x v="0"/>
    <x v="0"/>
    <s v="B1"/>
    <s v="Amit"/>
    <x v="1"/>
    <n v="15980"/>
    <s v="DISC10"/>
    <n v="0.1"/>
    <n v="14000"/>
    <d v="2024-01-06T00:00:00"/>
  </r>
  <r>
    <s v="S1190"/>
    <s v="Anjali Gupta"/>
    <x v="2"/>
    <x v="2"/>
    <s v="B2"/>
    <s v="Priya"/>
    <x v="2"/>
    <n v="12396"/>
    <s v="DISC20"/>
    <n v="0.2"/>
    <n v="13000"/>
    <d v="2024-01-24T00:00:00"/>
  </r>
  <r>
    <s v="S1191"/>
    <s v="Aditya Desai"/>
    <x v="1"/>
    <x v="1"/>
    <s v="B3"/>
    <s v="Amit"/>
    <x v="0"/>
    <n v="18618"/>
    <s v="DISC10"/>
    <n v="0.1"/>
    <n v="17000"/>
    <d v="2024-01-10T00:00:00"/>
  </r>
  <r>
    <s v="S1192"/>
    <s v="Karan Patel"/>
    <x v="0"/>
    <x v="0"/>
    <s v="B3"/>
    <s v="Saurabh"/>
    <x v="2"/>
    <n v="13814"/>
    <m/>
    <m/>
    <n v="14000"/>
    <d v="2024-02-01T00:00:00"/>
  </r>
  <r>
    <s v="S1193"/>
    <s v="Kavita Iyer"/>
    <x v="3"/>
    <x v="3"/>
    <s v="B2"/>
    <s v="Saurabh"/>
    <x v="1"/>
    <n v="7466"/>
    <s v="DISC30"/>
    <n v="0.3"/>
    <n v="9000"/>
    <d v="2024-01-28T00:00:00"/>
  </r>
  <r>
    <s v="S1194"/>
    <s v="Riya Rao"/>
    <x v="3"/>
    <x v="3"/>
    <s v="B3"/>
    <s v="Amit"/>
    <x v="2"/>
    <n v="7186"/>
    <s v="DISC20"/>
    <n v="0.2"/>
    <n v="9000"/>
    <d v="2024-01-26T00:00:00"/>
  </r>
  <r>
    <s v="S1195"/>
    <s v="Kavita Kulkarni"/>
    <x v="0"/>
    <x v="0"/>
    <s v="B1"/>
    <s v="Priya"/>
    <x v="0"/>
    <n v="15143"/>
    <s v="DISC20"/>
    <n v="0.2"/>
    <n v="14000"/>
    <d v="2024-02-18T00:00:00"/>
  </r>
  <r>
    <s v="S1196"/>
    <s v="Aditya Rao"/>
    <x v="1"/>
    <x v="1"/>
    <s v="B1"/>
    <s v="Saurabh"/>
    <x v="2"/>
    <n v="18059"/>
    <m/>
    <m/>
    <n v="17000"/>
    <d v="2024-01-12T00:00:00"/>
  </r>
  <r>
    <s v="S1197"/>
    <s v="Karan Verma"/>
    <x v="2"/>
    <x v="2"/>
    <s v="B3"/>
    <s v="Amit"/>
    <x v="1"/>
    <n v="14302"/>
    <s v="DISC30"/>
    <n v="0.3"/>
    <n v="13000"/>
    <d v="2024-01-05T00:00:00"/>
  </r>
  <r>
    <s v="S1198"/>
    <s v="Rahul Nair"/>
    <x v="0"/>
    <x v="0"/>
    <s v="B2"/>
    <s v="Saurabh"/>
    <x v="2"/>
    <n v="15773"/>
    <s v="DISC10"/>
    <n v="0.1"/>
    <n v="14000"/>
    <d v="2024-02-25T00:00:00"/>
  </r>
  <r>
    <s v="S1199"/>
    <s v="Pooja Joshi"/>
    <x v="3"/>
    <x v="3"/>
    <s v="B3"/>
    <s v="Priya"/>
    <x v="1"/>
    <n v="9622"/>
    <m/>
    <m/>
    <n v="9000"/>
    <d v="2024-01-19T00:00:00"/>
  </r>
  <r>
    <s v="S1200"/>
    <s v="Riya Verma"/>
    <x v="0"/>
    <x v="0"/>
    <s v="B2"/>
    <s v="Saurabh"/>
    <x v="1"/>
    <n v="13884"/>
    <s v="DISC30"/>
    <n v="0.3"/>
    <n v="14000"/>
    <d v="2024-01-06T00:00:00"/>
  </r>
  <r>
    <s v="S1201"/>
    <s v="Rahul Nair"/>
    <x v="0"/>
    <x v="0"/>
    <s v="B1"/>
    <s v="Priya"/>
    <x v="1"/>
    <n v="13640"/>
    <s v="DISC15"/>
    <m/>
    <n v="14000"/>
    <d v="2024-01-06T00:00:00"/>
  </r>
  <r>
    <s v="S1202"/>
    <s v="Rahul Nair"/>
    <x v="1"/>
    <x v="1"/>
    <s v="B3"/>
    <s v="Priya"/>
    <x v="0"/>
    <n v="16364"/>
    <s v="DISC20"/>
    <n v="0.2"/>
    <n v="17000"/>
    <d v="2024-01-05T00:00:00"/>
  </r>
  <r>
    <s v="S1203"/>
    <s v="Manish Singh"/>
    <x v="0"/>
    <x v="0"/>
    <s v="B3"/>
    <s v="Amit"/>
    <x v="0"/>
    <n v="15710"/>
    <s v="DISC30"/>
    <n v="0.3"/>
    <n v="14000"/>
    <d v="2024-01-23T00:00:00"/>
  </r>
  <r>
    <s v="S1204"/>
    <s v="Anjali Nair"/>
    <x v="2"/>
    <x v="2"/>
    <s v="B1"/>
    <s v="Saurabh"/>
    <x v="0"/>
    <n v="12048"/>
    <s v="DISC20"/>
    <n v="0.2"/>
    <n v="13000"/>
    <d v="2024-01-12T00:00:00"/>
  </r>
  <r>
    <s v="S1205"/>
    <s v="Kavita Mehta"/>
    <x v="0"/>
    <x v="0"/>
    <s v="B1"/>
    <s v="Amit"/>
    <x v="2"/>
    <n v="13900"/>
    <s v="DISC15"/>
    <m/>
    <n v="14000"/>
    <d v="2024-02-18T00:00:00"/>
  </r>
  <r>
    <s v="S1206"/>
    <s v="Kavita Iyer"/>
    <x v="1"/>
    <x v="1"/>
    <s v="B3"/>
    <s v="Priya"/>
    <x v="0"/>
    <n v="16801"/>
    <s v="DISC10"/>
    <n v="0.1"/>
    <n v="17000"/>
    <d v="2024-01-31T00:00:00"/>
  </r>
  <r>
    <s v="S1207"/>
    <s v="Neha Singh"/>
    <x v="1"/>
    <x v="1"/>
    <s v="B2"/>
    <s v="Amit"/>
    <x v="0"/>
    <n v="16441"/>
    <s v="DISC15"/>
    <m/>
    <n v="17000"/>
    <d v="2024-01-05T00:00:00"/>
  </r>
  <r>
    <s v="S1208"/>
    <s v="Aditya Iyer"/>
    <x v="3"/>
    <x v="3"/>
    <s v="B1"/>
    <s v="Saurabh"/>
    <x v="2"/>
    <n v="10406"/>
    <s v="DISC30"/>
    <n v="0.3"/>
    <n v="9000"/>
    <d v="2024-01-05T00:00:00"/>
  </r>
  <r>
    <s v="S1209"/>
    <s v="Rohit Nair"/>
    <x v="0"/>
    <x v="0"/>
    <s v="B3"/>
    <s v="Amit"/>
    <x v="1"/>
    <n v="13574"/>
    <m/>
    <m/>
    <n v="14000"/>
    <d v="2024-02-07T00:00:00"/>
  </r>
  <r>
    <s v="S1210"/>
    <s v="Manish Patel"/>
    <x v="0"/>
    <x v="0"/>
    <s v="B2"/>
    <s v="Amit"/>
    <x v="1"/>
    <n v="12771"/>
    <s v="DISC30"/>
    <n v="0.3"/>
    <n v="14000"/>
    <d v="2024-02-08T00:00:00"/>
  </r>
  <r>
    <s v="S1211"/>
    <s v="Neha Gupta"/>
    <x v="2"/>
    <x v="2"/>
    <s v="B1"/>
    <s v="Priya"/>
    <x v="0"/>
    <n v="14321"/>
    <s v="DISC30"/>
    <n v="0.3"/>
    <n v="13000"/>
    <d v="2024-02-15T00:00:00"/>
  </r>
  <r>
    <s v="S1212"/>
    <s v="Riya Gupta"/>
    <x v="2"/>
    <x v="2"/>
    <s v="B1"/>
    <s v="Saurabh"/>
    <x v="1"/>
    <n v="12793"/>
    <m/>
    <m/>
    <n v="13000"/>
    <d v="2024-02-03T00:00:00"/>
  </r>
  <r>
    <s v="S1213"/>
    <s v="Manish Joshi"/>
    <x v="2"/>
    <x v="2"/>
    <s v="B2"/>
    <s v="Priya"/>
    <x v="2"/>
    <n v="12586"/>
    <m/>
    <m/>
    <n v="13000"/>
    <d v="2024-02-19T00:00:00"/>
  </r>
  <r>
    <s v="S1214"/>
    <s v="Pooja Singh"/>
    <x v="0"/>
    <x v="0"/>
    <s v="B3"/>
    <s v="Amit"/>
    <x v="2"/>
    <n v="12269"/>
    <s v="DISC30"/>
    <n v="0.3"/>
    <n v="14000"/>
    <d v="2024-01-07T00:00:00"/>
  </r>
  <r>
    <s v="S1215"/>
    <s v="Manish Singh"/>
    <x v="3"/>
    <x v="3"/>
    <s v="B2"/>
    <s v="Priya"/>
    <x v="1"/>
    <n v="10488"/>
    <s v="DISC15"/>
    <m/>
    <n v="9000"/>
    <d v="2024-02-25T00:00:00"/>
  </r>
  <r>
    <s v="S1216"/>
    <s v="Karan Jain"/>
    <x v="0"/>
    <x v="0"/>
    <s v="B3"/>
    <s v="Amit"/>
    <x v="0"/>
    <n v="15754"/>
    <s v="DISC30"/>
    <n v="0.3"/>
    <n v="14000"/>
    <d v="2024-01-20T00:00:00"/>
  </r>
  <r>
    <s v="S1217"/>
    <s v="Rohit Desai"/>
    <x v="3"/>
    <x v="3"/>
    <s v="B1"/>
    <s v="Amit"/>
    <x v="1"/>
    <n v="10842"/>
    <s v="DISC10"/>
    <n v="0.1"/>
    <n v="9000"/>
    <d v="2024-01-20T00:00:00"/>
  </r>
  <r>
    <s v="S1218"/>
    <s v="Manish Verma"/>
    <x v="1"/>
    <x v="1"/>
    <s v="B1"/>
    <s v="Amit"/>
    <x v="1"/>
    <n v="18395"/>
    <s v="DISC15"/>
    <m/>
    <n v="17000"/>
    <d v="2024-01-06T00:00:00"/>
  </r>
  <r>
    <s v="S1219"/>
    <s v="Rohit Singh"/>
    <x v="3"/>
    <x v="3"/>
    <s v="B3"/>
    <s v="Priya"/>
    <x v="0"/>
    <n v="8485"/>
    <s v="DISC30"/>
    <n v="0.3"/>
    <n v="9000"/>
    <d v="2024-01-12T00:00:00"/>
  </r>
  <r>
    <s v="S1220"/>
    <s v="Sneha Jain"/>
    <x v="3"/>
    <x v="3"/>
    <s v="B1"/>
    <s v="Saurabh"/>
    <x v="0"/>
    <n v="7634"/>
    <s v="DISC10"/>
    <n v="0.1"/>
    <n v="9000"/>
    <d v="2024-01-19T00:00:00"/>
  </r>
  <r>
    <s v="S1221"/>
    <s v="Meera Patel"/>
    <x v="0"/>
    <x v="0"/>
    <s v="B3"/>
    <s v="Amit"/>
    <x v="1"/>
    <n v="15619"/>
    <s v="DISC15"/>
    <m/>
    <n v="14000"/>
    <d v="2024-01-03T00:00:00"/>
  </r>
  <r>
    <s v="S1222"/>
    <s v="Rohit Jain"/>
    <x v="2"/>
    <x v="2"/>
    <s v="B3"/>
    <s v="Priya"/>
    <x v="0"/>
    <n v="11664"/>
    <s v="DISC20"/>
    <n v="0.2"/>
    <n v="13000"/>
    <d v="2024-02-23T00:00:00"/>
  </r>
  <r>
    <s v="S1223"/>
    <s v="Anjali Patel"/>
    <x v="2"/>
    <x v="2"/>
    <s v="B3"/>
    <s v="Priya"/>
    <x v="0"/>
    <n v="12682"/>
    <s v="DISC30"/>
    <n v="0.3"/>
    <n v="13000"/>
    <d v="2024-02-13T00:00:00"/>
  </r>
  <r>
    <s v="S1224"/>
    <s v="Anjali Patil"/>
    <x v="3"/>
    <x v="3"/>
    <s v="B3"/>
    <s v="Priya"/>
    <x v="1"/>
    <n v="10210"/>
    <m/>
    <m/>
    <n v="9000"/>
    <d v="2024-01-15T00:00:00"/>
  </r>
  <r>
    <s v="S1225"/>
    <s v="Manish Patil"/>
    <x v="1"/>
    <x v="1"/>
    <s v="B2"/>
    <s v="Saurabh"/>
    <x v="2"/>
    <n v="17778"/>
    <s v="DISC15"/>
    <m/>
    <n v="17000"/>
    <d v="2024-01-29T00:00:00"/>
  </r>
  <r>
    <s v="S1226"/>
    <s v="Neha Patel"/>
    <x v="1"/>
    <x v="1"/>
    <s v="B2"/>
    <s v="Amit"/>
    <x v="1"/>
    <n v="16714"/>
    <s v="DISC20"/>
    <n v="0.2"/>
    <n v="17000"/>
    <d v="2024-02-22T00:00:00"/>
  </r>
  <r>
    <s v="S1227"/>
    <s v="Sneha Patel"/>
    <x v="2"/>
    <x v="2"/>
    <s v="B2"/>
    <s v="Saurabh"/>
    <x v="1"/>
    <n v="12968"/>
    <s v="DISC30"/>
    <n v="0.3"/>
    <n v="13000"/>
    <d v="2024-02-05T00:00:00"/>
  </r>
  <r>
    <s v="S1228"/>
    <s v="Kunal Shah"/>
    <x v="0"/>
    <x v="0"/>
    <s v="B2"/>
    <s v="Saurabh"/>
    <x v="0"/>
    <n v="13117"/>
    <m/>
    <m/>
    <n v="14000"/>
    <d v="2024-02-27T00:00:00"/>
  </r>
  <r>
    <s v="S1229"/>
    <s v="Manish Mehta"/>
    <x v="3"/>
    <x v="3"/>
    <s v="B1"/>
    <s v="Saurabh"/>
    <x v="2"/>
    <n v="10623"/>
    <s v="DISC30"/>
    <n v="0.3"/>
    <n v="9000"/>
    <d v="2024-02-29T00:00:00"/>
  </r>
  <r>
    <s v="S1230"/>
    <s v="Aarav Verma"/>
    <x v="0"/>
    <x v="0"/>
    <s v="B2"/>
    <s v="Amit"/>
    <x v="2"/>
    <n v="12965"/>
    <m/>
    <m/>
    <n v="14000"/>
    <d v="2024-01-06T00:00:00"/>
  </r>
  <r>
    <s v="S1231"/>
    <s v="Pooja Patil"/>
    <x v="0"/>
    <x v="0"/>
    <s v="B2"/>
    <s v="Saurabh"/>
    <x v="1"/>
    <n v="14662"/>
    <s v="DISC30"/>
    <n v="0.3"/>
    <n v="14000"/>
    <d v="2024-02-20T00:00:00"/>
  </r>
  <r>
    <s v="S1232"/>
    <s v="Karan Mehta"/>
    <x v="0"/>
    <x v="0"/>
    <s v="B2"/>
    <s v="Priya"/>
    <x v="1"/>
    <n v="15404"/>
    <s v="DISC20"/>
    <n v="0.2"/>
    <n v="14000"/>
    <d v="2024-02-18T00:00:00"/>
  </r>
  <r>
    <s v="S1233"/>
    <s v="Anjali Iyer"/>
    <x v="3"/>
    <x v="3"/>
    <s v="B3"/>
    <s v="Saurabh"/>
    <x v="0"/>
    <n v="7077"/>
    <s v="DISC30"/>
    <n v="0.3"/>
    <n v="9000"/>
    <d v="2024-01-14T00:00:00"/>
  </r>
  <r>
    <s v="S1234"/>
    <s v="Meera Mehta"/>
    <x v="3"/>
    <x v="3"/>
    <s v="B1"/>
    <s v="Priya"/>
    <x v="0"/>
    <n v="8233"/>
    <s v="DISC10"/>
    <n v="0.1"/>
    <n v="9000"/>
    <d v="2024-01-04T00:00:00"/>
  </r>
  <r>
    <s v="S1235"/>
    <s v="Sneha Verma"/>
    <x v="3"/>
    <x v="3"/>
    <s v="B1"/>
    <s v="Saurabh"/>
    <x v="2"/>
    <n v="9444"/>
    <s v="DISC15"/>
    <m/>
    <n v="9000"/>
    <d v="2024-01-02T00:00:00"/>
  </r>
  <r>
    <s v="S1236"/>
    <s v="Rohit Gupta"/>
    <x v="2"/>
    <x v="2"/>
    <s v="B3"/>
    <s v="Saurabh"/>
    <x v="2"/>
    <n v="12758"/>
    <s v="DISC10"/>
    <n v="0.1"/>
    <n v="13000"/>
    <d v="2024-02-09T00:00:00"/>
  </r>
  <r>
    <s v="S1237"/>
    <s v="Pooja Patil"/>
    <x v="3"/>
    <x v="3"/>
    <s v="B1"/>
    <s v="Amit"/>
    <x v="1"/>
    <n v="7350"/>
    <s v="DISC15"/>
    <m/>
    <n v="9000"/>
    <d v="2024-01-24T00:00:00"/>
  </r>
  <r>
    <s v="S1238"/>
    <s v="Riya Gupta"/>
    <x v="0"/>
    <x v="0"/>
    <s v="B2"/>
    <s v="Priya"/>
    <x v="0"/>
    <n v="14603"/>
    <m/>
    <m/>
    <n v="14000"/>
    <d v="2024-01-24T00:00:00"/>
  </r>
  <r>
    <s v="S1239"/>
    <s v="Aditya Desai"/>
    <x v="0"/>
    <x v="0"/>
    <s v="B2"/>
    <s v="Saurabh"/>
    <x v="2"/>
    <n v="12987"/>
    <s v="DISC10"/>
    <n v="0.1"/>
    <n v="14000"/>
    <d v="2024-02-19T00:00:00"/>
  </r>
  <r>
    <s v="S1240"/>
    <s v="Kavita Desai"/>
    <x v="1"/>
    <x v="1"/>
    <s v="B1"/>
    <s v="Saurabh"/>
    <x v="2"/>
    <n v="17236"/>
    <s v="DISC30"/>
    <n v="0.3"/>
    <n v="17000"/>
    <d v="2024-02-22T00:00:00"/>
  </r>
  <r>
    <s v="S1241"/>
    <s v="Rohit Mehta"/>
    <x v="3"/>
    <x v="3"/>
    <s v="B3"/>
    <s v="Priya"/>
    <x v="1"/>
    <n v="7746"/>
    <s v="DISC20"/>
    <n v="0.2"/>
    <n v="9000"/>
    <d v="2024-01-05T00:00:00"/>
  </r>
  <r>
    <s v="S1242"/>
    <s v="Anjali Patel"/>
    <x v="3"/>
    <x v="3"/>
    <s v="B1"/>
    <s v="Priya"/>
    <x v="0"/>
    <n v="7179"/>
    <s v="DISC20"/>
    <n v="0.2"/>
    <n v="9000"/>
    <d v="2024-02-26T00:00:00"/>
  </r>
  <r>
    <s v="S1243"/>
    <s v="Aarav Jain"/>
    <x v="1"/>
    <x v="1"/>
    <s v="B3"/>
    <s v="Priya"/>
    <x v="1"/>
    <n v="16939"/>
    <s v="DISC30"/>
    <n v="0.3"/>
    <n v="17000"/>
    <d v="2024-01-03T00:00:00"/>
  </r>
  <r>
    <s v="S1244"/>
    <s v="Dev Singh"/>
    <x v="2"/>
    <x v="2"/>
    <s v="B2"/>
    <s v="Priya"/>
    <x v="0"/>
    <n v="14546"/>
    <s v="DISC30"/>
    <n v="0.3"/>
    <n v="13000"/>
    <d v="2024-01-18T00:00:00"/>
  </r>
  <r>
    <s v="S1245"/>
    <s v="Riya Patel"/>
    <x v="1"/>
    <x v="1"/>
    <s v="B2"/>
    <s v="Priya"/>
    <x v="1"/>
    <n v="16801"/>
    <m/>
    <m/>
    <n v="17000"/>
    <d v="2024-01-22T00:00:00"/>
  </r>
  <r>
    <s v="S1246"/>
    <s v="Karan Iyer"/>
    <x v="3"/>
    <x v="3"/>
    <s v="B2"/>
    <s v="Amit"/>
    <x v="2"/>
    <n v="10281"/>
    <s v="DISC10"/>
    <n v="0.1"/>
    <n v="9000"/>
    <d v="2024-02-16T00:00:00"/>
  </r>
  <r>
    <s v="S1247"/>
    <s v="Rahul Shah"/>
    <x v="3"/>
    <x v="3"/>
    <s v="B3"/>
    <s v="Saurabh"/>
    <x v="1"/>
    <n v="8203"/>
    <s v="DISC30"/>
    <n v="0.3"/>
    <n v="9000"/>
    <d v="2024-01-07T00:00:00"/>
  </r>
  <r>
    <s v="S1248"/>
    <s v="Riya Jain"/>
    <x v="1"/>
    <x v="1"/>
    <s v="B2"/>
    <s v="Priya"/>
    <x v="1"/>
    <n v="17939"/>
    <m/>
    <m/>
    <n v="17000"/>
    <d v="2024-01-11T00:00:00"/>
  </r>
  <r>
    <s v="S1249"/>
    <s v="Anjali Iyer"/>
    <x v="1"/>
    <x v="1"/>
    <s v="B2"/>
    <s v="Saurabh"/>
    <x v="1"/>
    <n v="18563"/>
    <s v="DISC30"/>
    <n v="0.3"/>
    <n v="17000"/>
    <d v="2024-02-09T00:00:00"/>
  </r>
  <r>
    <s v="S1250"/>
    <s v="Rahul Rao"/>
    <x v="0"/>
    <x v="0"/>
    <s v="B1"/>
    <s v="Amit"/>
    <x v="1"/>
    <n v="13663"/>
    <s v="DISC30"/>
    <n v="0.3"/>
    <n v="14000"/>
    <d v="2024-02-02T00:00:00"/>
  </r>
  <r>
    <s v="S1251"/>
    <s v="Dev Desai"/>
    <x v="2"/>
    <x v="2"/>
    <s v="B1"/>
    <s v="Saurabh"/>
    <x v="1"/>
    <n v="13777"/>
    <m/>
    <m/>
    <n v="13000"/>
    <d v="2024-01-03T00:00:00"/>
  </r>
  <r>
    <s v="S1252"/>
    <s v="Karan Shah"/>
    <x v="2"/>
    <x v="2"/>
    <s v="B3"/>
    <s v="Priya"/>
    <x v="2"/>
    <n v="12568"/>
    <s v="DISC15"/>
    <m/>
    <n v="13000"/>
    <d v="2024-01-03T00:00:00"/>
  </r>
  <r>
    <s v="S1253"/>
    <s v="Kavita Mehta"/>
    <x v="3"/>
    <x v="3"/>
    <s v="B2"/>
    <s v="Priya"/>
    <x v="2"/>
    <n v="10125"/>
    <s v="DISC10"/>
    <n v="0.1"/>
    <n v="9000"/>
    <d v="2024-02-06T00:00:00"/>
  </r>
  <r>
    <s v="S1254"/>
    <s v="Karan Gupta"/>
    <x v="1"/>
    <x v="1"/>
    <s v="B2"/>
    <s v="Priya"/>
    <x v="1"/>
    <n v="16141"/>
    <s v="DISC20"/>
    <n v="0.2"/>
    <n v="17000"/>
    <d v="2024-01-08T00:00:00"/>
  </r>
  <r>
    <s v="S1255"/>
    <s v="Aarav Desai"/>
    <x v="2"/>
    <x v="2"/>
    <s v="B2"/>
    <s v="Amit"/>
    <x v="2"/>
    <n v="14741"/>
    <s v="DISC15"/>
    <m/>
    <n v="13000"/>
    <d v="2024-01-08T00:00:00"/>
  </r>
  <r>
    <s v="S1256"/>
    <s v="Aditya Patel"/>
    <x v="1"/>
    <x v="1"/>
    <s v="B3"/>
    <s v="Priya"/>
    <x v="0"/>
    <n v="17506"/>
    <s v="DISC30"/>
    <n v="0.3"/>
    <n v="17000"/>
    <d v="2024-02-14T00:00:00"/>
  </r>
  <r>
    <s v="S1257"/>
    <s v="Kunal Iyer"/>
    <x v="2"/>
    <x v="2"/>
    <s v="B1"/>
    <s v="Saurabh"/>
    <x v="0"/>
    <n v="12851"/>
    <s v="DISC20"/>
    <n v="0.2"/>
    <n v="13000"/>
    <d v="2024-02-27T00:00:00"/>
  </r>
  <r>
    <s v="S1258"/>
    <s v="Anjali Iyer"/>
    <x v="0"/>
    <x v="0"/>
    <s v="B3"/>
    <s v="Priya"/>
    <x v="1"/>
    <n v="13423"/>
    <s v="DISC10"/>
    <n v="0.1"/>
    <n v="14000"/>
    <d v="2024-02-05T00:00:00"/>
  </r>
  <r>
    <s v="S1259"/>
    <s v="Manish Rao"/>
    <x v="1"/>
    <x v="1"/>
    <s v="B1"/>
    <s v="Amit"/>
    <x v="1"/>
    <n v="18798"/>
    <s v="DISC20"/>
    <n v="0.2"/>
    <n v="17000"/>
    <d v="2024-02-20T00:00:00"/>
  </r>
  <r>
    <s v="S1260"/>
    <s v="Pooja Gupta"/>
    <x v="2"/>
    <x v="2"/>
    <s v="B1"/>
    <s v="Saurabh"/>
    <x v="0"/>
    <n v="11969"/>
    <m/>
    <m/>
    <n v="13000"/>
    <d v="2024-01-02T00:00:00"/>
  </r>
  <r>
    <s v="S1261"/>
    <s v="Pooja Gupta"/>
    <x v="1"/>
    <x v="1"/>
    <s v="B2"/>
    <s v="Amit"/>
    <x v="0"/>
    <n v="17506"/>
    <s v="DISC10"/>
    <n v="0.1"/>
    <n v="17000"/>
    <d v="2024-01-05T00:00:00"/>
  </r>
  <r>
    <s v="S1262"/>
    <s v="Aditya Verma"/>
    <x v="3"/>
    <x v="3"/>
    <s v="B3"/>
    <s v="Priya"/>
    <x v="2"/>
    <n v="10372"/>
    <s v="DISC15"/>
    <m/>
    <n v="9000"/>
    <d v="2024-01-05T00:00:00"/>
  </r>
  <r>
    <s v="S1263"/>
    <s v="Karan Jain"/>
    <x v="0"/>
    <x v="0"/>
    <s v="B2"/>
    <s v="Priya"/>
    <x v="1"/>
    <n v="14119"/>
    <s v="DISC30"/>
    <n v="0.3"/>
    <n v="14000"/>
    <d v="2024-01-09T00:00:00"/>
  </r>
  <r>
    <s v="S1264"/>
    <s v="Kunal Nair"/>
    <x v="2"/>
    <x v="2"/>
    <s v="B1"/>
    <s v="Priya"/>
    <x v="1"/>
    <n v="14730"/>
    <s v="DISC10"/>
    <n v="0.1"/>
    <n v="13000"/>
    <d v="2024-02-23T00:00:00"/>
  </r>
  <r>
    <s v="S1265"/>
    <s v="Riya Gupta"/>
    <x v="2"/>
    <x v="2"/>
    <s v="B2"/>
    <s v="Saurabh"/>
    <x v="0"/>
    <n v="12321"/>
    <s v="DISC20"/>
    <n v="0.2"/>
    <n v="13000"/>
    <d v="2024-01-23T00:00:00"/>
  </r>
  <r>
    <s v="S1266"/>
    <s v="Manish Rao"/>
    <x v="0"/>
    <x v="0"/>
    <s v="B2"/>
    <s v="Saurabh"/>
    <x v="1"/>
    <n v="15917"/>
    <s v="DISC15"/>
    <m/>
    <n v="14000"/>
    <d v="2024-01-18T00:00:00"/>
  </r>
  <r>
    <s v="S1267"/>
    <s v="Karan Singh"/>
    <x v="1"/>
    <x v="1"/>
    <s v="B3"/>
    <s v="Amit"/>
    <x v="0"/>
    <n v="17058"/>
    <s v="DISC20"/>
    <n v="0.2"/>
    <n v="17000"/>
    <d v="2024-02-07T00:00:00"/>
  </r>
  <r>
    <s v="S1268"/>
    <s v="Kavita Mehta"/>
    <x v="2"/>
    <x v="2"/>
    <s v="B3"/>
    <s v="Amit"/>
    <x v="1"/>
    <n v="14694"/>
    <s v="DISC15"/>
    <m/>
    <n v="13000"/>
    <d v="2024-01-22T00:00:00"/>
  </r>
  <r>
    <s v="S1269"/>
    <s v="Meera Joshi"/>
    <x v="0"/>
    <x v="0"/>
    <s v="B1"/>
    <s v="Saurabh"/>
    <x v="0"/>
    <n v="15885"/>
    <s v="DISC15"/>
    <m/>
    <n v="14000"/>
    <d v="2024-01-17T00:00:00"/>
  </r>
  <r>
    <s v="S1270"/>
    <s v="Rohit Patil"/>
    <x v="3"/>
    <x v="3"/>
    <s v="B3"/>
    <s v="Amit"/>
    <x v="0"/>
    <n v="9039"/>
    <s v="DISC15"/>
    <m/>
    <n v="9000"/>
    <d v="2024-01-19T00:00:00"/>
  </r>
  <r>
    <s v="S1271"/>
    <s v="Rohit Rao"/>
    <x v="3"/>
    <x v="3"/>
    <s v="B1"/>
    <s v="Amit"/>
    <x v="2"/>
    <n v="8218"/>
    <m/>
    <m/>
    <n v="9000"/>
    <d v="2024-01-05T00:00:00"/>
  </r>
  <r>
    <s v="S1272"/>
    <s v="Anjali Kulkarni"/>
    <x v="2"/>
    <x v="2"/>
    <s v="B2"/>
    <s v="Priya"/>
    <x v="2"/>
    <n v="12902"/>
    <s v="DISC20"/>
    <n v="0.2"/>
    <n v="13000"/>
    <d v="2024-01-22T00:00:00"/>
  </r>
  <r>
    <s v="S1273"/>
    <s v="Kavita Mehta"/>
    <x v="1"/>
    <x v="1"/>
    <s v="B3"/>
    <s v="Priya"/>
    <x v="1"/>
    <n v="18525"/>
    <s v="DISC30"/>
    <n v="0.3"/>
    <n v="17000"/>
    <d v="2024-01-26T00:00:00"/>
  </r>
  <r>
    <s v="S1274"/>
    <s v="Karan Patel"/>
    <x v="1"/>
    <x v="1"/>
    <s v="B3"/>
    <s v="Amit"/>
    <x v="0"/>
    <n v="16307"/>
    <s v="DISC20"/>
    <n v="0.2"/>
    <n v="17000"/>
    <d v="2024-01-30T00:00:00"/>
  </r>
  <r>
    <s v="S1275"/>
    <s v="Riya Rao"/>
    <x v="3"/>
    <x v="3"/>
    <s v="B1"/>
    <s v="Saurabh"/>
    <x v="0"/>
    <n v="7207"/>
    <s v="DISC30"/>
    <n v="0.3"/>
    <n v="9000"/>
    <d v="2024-03-01T00:00:00"/>
  </r>
  <r>
    <s v="S1276"/>
    <s v="Rahul Nair"/>
    <x v="3"/>
    <x v="3"/>
    <s v="B1"/>
    <s v="Saurabh"/>
    <x v="2"/>
    <n v="10824"/>
    <s v="DISC15"/>
    <m/>
    <n v="9000"/>
    <d v="2024-02-16T00:00:00"/>
  </r>
  <r>
    <s v="S1277"/>
    <s v="Pooja Patil"/>
    <x v="2"/>
    <x v="2"/>
    <s v="B2"/>
    <s v="Amit"/>
    <x v="2"/>
    <n v="13042"/>
    <s v="DISC30"/>
    <n v="0.3"/>
    <n v="13000"/>
    <d v="2024-02-01T00:00:00"/>
  </r>
  <r>
    <s v="S1278"/>
    <s v="Aarav Shah"/>
    <x v="3"/>
    <x v="3"/>
    <s v="B3"/>
    <s v="Priya"/>
    <x v="0"/>
    <n v="7881"/>
    <s v="DISC15"/>
    <m/>
    <n v="9000"/>
    <d v="2024-01-23T00:00:00"/>
  </r>
  <r>
    <s v="S1279"/>
    <s v="Aarav Kulkarni"/>
    <x v="1"/>
    <x v="1"/>
    <s v="B2"/>
    <s v="Amit"/>
    <x v="1"/>
    <n v="17754"/>
    <m/>
    <m/>
    <n v="17000"/>
    <d v="2024-01-19T00:00:00"/>
  </r>
  <r>
    <s v="S1280"/>
    <s v="Manish Kulkarni"/>
    <x v="0"/>
    <x v="0"/>
    <s v="B2"/>
    <s v="Saurabh"/>
    <x v="2"/>
    <n v="14979"/>
    <s v="DISC30"/>
    <n v="0.3"/>
    <n v="14000"/>
    <d v="2024-02-18T00:00:00"/>
  </r>
  <r>
    <s v="S1281"/>
    <s v="Rahul Jain"/>
    <x v="0"/>
    <x v="0"/>
    <s v="B2"/>
    <s v="Saurabh"/>
    <x v="1"/>
    <n v="14301"/>
    <s v="DISC20"/>
    <n v="0.2"/>
    <n v="14000"/>
    <d v="2024-01-24T00:00:00"/>
  </r>
  <r>
    <s v="S1282"/>
    <s v="Manish Rao"/>
    <x v="0"/>
    <x v="0"/>
    <s v="B2"/>
    <s v="Amit"/>
    <x v="2"/>
    <n v="15130"/>
    <s v="DISC15"/>
    <m/>
    <n v="14000"/>
    <d v="2024-01-18T00:00:00"/>
  </r>
  <r>
    <s v="S1283"/>
    <s v="Meera Joshi"/>
    <x v="0"/>
    <x v="0"/>
    <s v="B1"/>
    <s v="Saurabh"/>
    <x v="2"/>
    <n v="13528"/>
    <s v="DISC30"/>
    <n v="0.3"/>
    <n v="14000"/>
    <d v="2024-02-05T00:00:00"/>
  </r>
  <r>
    <s v="S1284"/>
    <s v="Pooja Patel"/>
    <x v="2"/>
    <x v="2"/>
    <s v="B1"/>
    <s v="Amit"/>
    <x v="1"/>
    <n v="12644"/>
    <s v="DISC15"/>
    <m/>
    <n v="13000"/>
    <d v="2024-01-03T00:00:00"/>
  </r>
  <r>
    <s v="S1285"/>
    <s v="Aarav Kulkarni"/>
    <x v="2"/>
    <x v="2"/>
    <s v="B3"/>
    <s v="Priya"/>
    <x v="2"/>
    <n v="13127"/>
    <m/>
    <m/>
    <n v="13000"/>
    <d v="2024-01-10T00:00:00"/>
  </r>
  <r>
    <s v="S1286"/>
    <s v="Kavita Gupta"/>
    <x v="2"/>
    <x v="2"/>
    <s v="B2"/>
    <s v="Amit"/>
    <x v="2"/>
    <n v="11665"/>
    <m/>
    <m/>
    <n v="13000"/>
    <d v="2024-02-09T00:00:00"/>
  </r>
  <r>
    <s v="S1287"/>
    <s v="Anjali Nair"/>
    <x v="1"/>
    <x v="1"/>
    <s v="B3"/>
    <s v="Priya"/>
    <x v="1"/>
    <n v="18392"/>
    <s v="DISC15"/>
    <m/>
    <n v="17000"/>
    <d v="2024-02-04T00:00:00"/>
  </r>
  <r>
    <s v="S1288"/>
    <s v="Neha Desai"/>
    <x v="1"/>
    <x v="1"/>
    <s v="B2"/>
    <s v="Saurabh"/>
    <x v="2"/>
    <n v="16356"/>
    <s v="DISC10"/>
    <n v="0.1"/>
    <n v="17000"/>
    <d v="2024-01-27T00:00:00"/>
  </r>
  <r>
    <s v="S1289"/>
    <s v="Kavita Rao"/>
    <x v="0"/>
    <x v="0"/>
    <s v="B3"/>
    <s v="Priya"/>
    <x v="2"/>
    <n v="15961"/>
    <s v="DISC15"/>
    <m/>
    <n v="14000"/>
    <d v="2024-02-06T00:00:00"/>
  </r>
  <r>
    <s v="S1290"/>
    <s v="Sneha Desai"/>
    <x v="0"/>
    <x v="0"/>
    <s v="B3"/>
    <s v="Priya"/>
    <x v="0"/>
    <n v="14147"/>
    <s v="DISC15"/>
    <m/>
    <n v="14000"/>
    <d v="2024-02-19T00:00:00"/>
  </r>
  <r>
    <s v="S1291"/>
    <s v="Meera Verma"/>
    <x v="2"/>
    <x v="2"/>
    <s v="B3"/>
    <s v="Saurabh"/>
    <x v="0"/>
    <n v="13345"/>
    <s v="DISC10"/>
    <n v="0.1"/>
    <n v="13000"/>
    <d v="2024-01-13T00:00:00"/>
  </r>
  <r>
    <s v="S1292"/>
    <s v="Aarav Iyer"/>
    <x v="1"/>
    <x v="1"/>
    <s v="B2"/>
    <s v="Saurabh"/>
    <x v="2"/>
    <n v="17828"/>
    <s v="DISC20"/>
    <n v="0.2"/>
    <n v="17000"/>
    <d v="2024-01-27T00:00:00"/>
  </r>
  <r>
    <s v="S1293"/>
    <s v="Manish Patel"/>
    <x v="3"/>
    <x v="3"/>
    <s v="B3"/>
    <s v="Amit"/>
    <x v="0"/>
    <n v="9890"/>
    <s v="DISC20"/>
    <n v="0.2"/>
    <n v="9000"/>
    <d v="2024-02-03T00:00:00"/>
  </r>
  <r>
    <s v="S1294"/>
    <s v="Sneha Gupta"/>
    <x v="1"/>
    <x v="1"/>
    <s v="B3"/>
    <s v="Priya"/>
    <x v="1"/>
    <n v="16543"/>
    <s v="DISC30"/>
    <n v="0.3"/>
    <n v="17000"/>
    <d v="2024-01-12T00:00:00"/>
  </r>
  <r>
    <s v="S1295"/>
    <s v="Neha Gupta"/>
    <x v="1"/>
    <x v="1"/>
    <s v="B3"/>
    <s v="Priya"/>
    <x v="1"/>
    <n v="18162"/>
    <s v="DISC30"/>
    <n v="0.3"/>
    <n v="17000"/>
    <d v="2024-02-09T00:00:00"/>
  </r>
  <r>
    <s v="S1296"/>
    <s v="Neha Patil"/>
    <x v="2"/>
    <x v="2"/>
    <s v="B2"/>
    <s v="Amit"/>
    <x v="2"/>
    <n v="11921"/>
    <s v="DISC30"/>
    <n v="0.3"/>
    <n v="13000"/>
    <d v="2024-02-19T00:00:00"/>
  </r>
  <r>
    <s v="S1297"/>
    <s v="Aditya Desai"/>
    <x v="2"/>
    <x v="2"/>
    <s v="B3"/>
    <s v="Amit"/>
    <x v="2"/>
    <n v="12298"/>
    <m/>
    <m/>
    <n v="13000"/>
    <d v="2024-01-23T00:00:00"/>
  </r>
  <r>
    <s v="S1298"/>
    <s v="Manish Patel"/>
    <x v="1"/>
    <x v="1"/>
    <s v="B2"/>
    <s v="Saurabh"/>
    <x v="1"/>
    <n v="17771"/>
    <s v="DISC15"/>
    <m/>
    <n v="17000"/>
    <d v="2024-01-25T00:00:00"/>
  </r>
  <r>
    <s v="S1299"/>
    <s v="Kunal Verma"/>
    <x v="1"/>
    <x v="1"/>
    <s v="B1"/>
    <s v="Priya"/>
    <x v="0"/>
    <n v="16178"/>
    <s v="DISC10"/>
    <n v="0.1"/>
    <n v="17000"/>
    <d v="2024-01-23T00:00:00"/>
  </r>
  <r>
    <s v="S1300"/>
    <s v="Kunal Iyer"/>
    <x v="1"/>
    <x v="1"/>
    <s v="B3"/>
    <s v="Priya"/>
    <x v="0"/>
    <n v="15827"/>
    <s v="DISC15"/>
    <m/>
    <n v="17000"/>
    <d v="2024-01-18T00:00:00"/>
  </r>
  <r>
    <s v="S1301"/>
    <s v="Kunal Gupta"/>
    <x v="1"/>
    <x v="1"/>
    <s v="B1"/>
    <s v="Saurabh"/>
    <x v="1"/>
    <n v="18034"/>
    <s v="DISC15"/>
    <m/>
    <n v="17000"/>
    <d v="2024-01-16T00:00:00"/>
  </r>
  <r>
    <s v="S1302"/>
    <s v="Sneha Kulkarni"/>
    <x v="2"/>
    <x v="2"/>
    <s v="B3"/>
    <s v="Saurabh"/>
    <x v="0"/>
    <n v="11410"/>
    <m/>
    <m/>
    <n v="13000"/>
    <d v="2024-01-22T00:00:00"/>
  </r>
  <r>
    <s v="S1303"/>
    <s v="Anjali Iyer"/>
    <x v="0"/>
    <x v="0"/>
    <s v="B3"/>
    <s v="Saurabh"/>
    <x v="0"/>
    <n v="15950"/>
    <s v="DISC15"/>
    <m/>
    <n v="14000"/>
    <d v="2024-02-29T00:00:00"/>
  </r>
  <r>
    <s v="S1304"/>
    <s v="Karan Verma"/>
    <x v="3"/>
    <x v="3"/>
    <s v="B2"/>
    <s v="Amit"/>
    <x v="0"/>
    <n v="10096"/>
    <s v="DISC30"/>
    <n v="0.3"/>
    <n v="9000"/>
    <d v="2024-01-21T00:00:00"/>
  </r>
  <r>
    <s v="S1305"/>
    <s v="Aditya Singh"/>
    <x v="0"/>
    <x v="0"/>
    <s v="B1"/>
    <s v="Amit"/>
    <x v="1"/>
    <n v="12951"/>
    <s v="DISC15"/>
    <m/>
    <n v="14000"/>
    <d v="2024-02-17T00:00:00"/>
  </r>
  <r>
    <s v="S1306"/>
    <s v="Anjali Nair"/>
    <x v="0"/>
    <x v="0"/>
    <s v="B1"/>
    <s v="Priya"/>
    <x v="0"/>
    <n v="15825"/>
    <s v="DISC10"/>
    <n v="0.1"/>
    <n v="14000"/>
    <d v="2024-02-23T00:00:00"/>
  </r>
  <r>
    <s v="S1307"/>
    <s v="Rahul Patel"/>
    <x v="3"/>
    <x v="3"/>
    <s v="B1"/>
    <s v="Amit"/>
    <x v="2"/>
    <n v="10591"/>
    <s v="DISC10"/>
    <n v="0.1"/>
    <n v="9000"/>
    <d v="2024-01-01T00:00:00"/>
  </r>
  <r>
    <s v="S1308"/>
    <s v="Aditya Joshi"/>
    <x v="0"/>
    <x v="0"/>
    <s v="B2"/>
    <s v="Priya"/>
    <x v="2"/>
    <n v="14626"/>
    <s v="DISC15"/>
    <m/>
    <n v="14000"/>
    <d v="2024-02-03T00:00:00"/>
  </r>
  <r>
    <s v="S1309"/>
    <s v="Neha Mehta"/>
    <x v="3"/>
    <x v="3"/>
    <s v="B2"/>
    <s v="Saurabh"/>
    <x v="0"/>
    <n v="8354"/>
    <s v="DISC20"/>
    <n v="0.2"/>
    <n v="9000"/>
    <d v="2024-02-16T00:00:00"/>
  </r>
  <r>
    <s v="S1310"/>
    <s v="Neha Singh"/>
    <x v="1"/>
    <x v="1"/>
    <s v="B3"/>
    <s v="Saurabh"/>
    <x v="0"/>
    <n v="18017"/>
    <s v="DISC30"/>
    <n v="0.3"/>
    <n v="17000"/>
    <d v="2024-02-20T00:00:00"/>
  </r>
  <r>
    <s v="S1311"/>
    <s v="Aditya Joshi"/>
    <x v="2"/>
    <x v="2"/>
    <s v="B1"/>
    <s v="Amit"/>
    <x v="1"/>
    <n v="14674"/>
    <m/>
    <m/>
    <n v="13000"/>
    <d v="2024-02-22T00:00:00"/>
  </r>
  <r>
    <s v="S1312"/>
    <s v="Rahul Gupta"/>
    <x v="1"/>
    <x v="1"/>
    <s v="B1"/>
    <s v="Priya"/>
    <x v="1"/>
    <n v="15390"/>
    <s v="DISC20"/>
    <n v="0.2"/>
    <n v="17000"/>
    <d v="2024-01-09T00:00:00"/>
  </r>
  <r>
    <s v="S1313"/>
    <s v="Neha Jain"/>
    <x v="2"/>
    <x v="2"/>
    <s v="B1"/>
    <s v="Priya"/>
    <x v="2"/>
    <n v="11964"/>
    <m/>
    <m/>
    <n v="13000"/>
    <d v="2024-02-18T00:00:00"/>
  </r>
  <r>
    <s v="S1314"/>
    <s v="Aditya Jain"/>
    <x v="1"/>
    <x v="1"/>
    <s v="B3"/>
    <s v="Amit"/>
    <x v="1"/>
    <n v="15046"/>
    <s v="DISC30"/>
    <n v="0.3"/>
    <n v="17000"/>
    <d v="2024-02-11T00:00:00"/>
  </r>
  <r>
    <s v="S1315"/>
    <s v="Pooja Desai"/>
    <x v="2"/>
    <x v="2"/>
    <s v="B1"/>
    <s v="Amit"/>
    <x v="0"/>
    <n v="12906"/>
    <s v="DISC30"/>
    <n v="0.3"/>
    <n v="13000"/>
    <d v="2024-01-11T00:00:00"/>
  </r>
  <r>
    <s v="S1316"/>
    <s v="Rahul Singh"/>
    <x v="1"/>
    <x v="1"/>
    <s v="B3"/>
    <s v="Saurabh"/>
    <x v="1"/>
    <n v="18752"/>
    <s v="DISC30"/>
    <n v="0.3"/>
    <n v="17000"/>
    <d v="2024-01-24T00:00:00"/>
  </r>
  <r>
    <s v="S1317"/>
    <s v="Kavita Patil"/>
    <x v="2"/>
    <x v="2"/>
    <s v="B1"/>
    <s v="Priya"/>
    <x v="0"/>
    <n v="12863"/>
    <s v="DISC15"/>
    <m/>
    <n v="13000"/>
    <d v="2024-01-24T00:00:00"/>
  </r>
  <r>
    <s v="S1318"/>
    <s v="Rahul Desai"/>
    <x v="3"/>
    <x v="3"/>
    <s v="B3"/>
    <s v="Amit"/>
    <x v="0"/>
    <n v="10120"/>
    <s v="DISC20"/>
    <n v="0.2"/>
    <n v="9000"/>
    <d v="2024-02-13T00:00:00"/>
  </r>
  <r>
    <s v="S1319"/>
    <s v="Dev Joshi"/>
    <x v="0"/>
    <x v="0"/>
    <s v="B3"/>
    <s v="Priya"/>
    <x v="1"/>
    <n v="14882"/>
    <s v="DISC30"/>
    <n v="0.3"/>
    <n v="14000"/>
    <d v="2024-01-05T00:00:00"/>
  </r>
  <r>
    <s v="S1320"/>
    <s v="Kunal Joshi"/>
    <x v="0"/>
    <x v="0"/>
    <s v="B1"/>
    <s v="Amit"/>
    <x v="1"/>
    <n v="12828"/>
    <s v="DISC15"/>
    <m/>
    <n v="14000"/>
    <d v="2024-02-04T00:00:00"/>
  </r>
  <r>
    <s v="S1321"/>
    <s v="Karan Mehta"/>
    <x v="1"/>
    <x v="1"/>
    <s v="B3"/>
    <s v="Priya"/>
    <x v="0"/>
    <n v="17786"/>
    <s v="DISC20"/>
    <n v="0.2"/>
    <n v="17000"/>
    <d v="2024-02-15T00:00:00"/>
  </r>
  <r>
    <s v="S1322"/>
    <s v="Kavita Iyer"/>
    <x v="0"/>
    <x v="0"/>
    <s v="B3"/>
    <s v="Priya"/>
    <x v="0"/>
    <n v="13857"/>
    <s v="DISC20"/>
    <n v="0.2"/>
    <n v="14000"/>
    <d v="2024-02-02T00:00:00"/>
  </r>
  <r>
    <s v="S1323"/>
    <s v="Rahul Iyer"/>
    <x v="0"/>
    <x v="0"/>
    <s v="B3"/>
    <s v="Priya"/>
    <x v="1"/>
    <n v="15305"/>
    <s v="DISC30"/>
    <n v="0.3"/>
    <n v="14000"/>
    <d v="2024-02-16T00:00:00"/>
  </r>
  <r>
    <s v="S1324"/>
    <s v="Aarav Verma"/>
    <x v="1"/>
    <x v="1"/>
    <s v="B1"/>
    <s v="Amit"/>
    <x v="0"/>
    <n v="17368"/>
    <s v="DISC10"/>
    <n v="0.1"/>
    <n v="17000"/>
    <d v="2024-01-03T00:00:00"/>
  </r>
  <r>
    <s v="S1325"/>
    <s v="Rahul Jain"/>
    <x v="0"/>
    <x v="0"/>
    <s v="B3"/>
    <s v="Saurabh"/>
    <x v="0"/>
    <n v="15824"/>
    <m/>
    <m/>
    <n v="14000"/>
    <d v="2024-01-03T00:00:00"/>
  </r>
  <r>
    <s v="S1326"/>
    <s v="Aditya Verma"/>
    <x v="2"/>
    <x v="2"/>
    <s v="B1"/>
    <s v="Amit"/>
    <x v="1"/>
    <n v="13645"/>
    <m/>
    <m/>
    <n v="13000"/>
    <d v="2024-01-24T00:00:00"/>
  </r>
  <r>
    <s v="S1327"/>
    <s v="Kunal Verma"/>
    <x v="3"/>
    <x v="3"/>
    <s v="B2"/>
    <s v="Priya"/>
    <x v="0"/>
    <n v="9796"/>
    <s v="DISC15"/>
    <m/>
    <n v="9000"/>
    <d v="2024-01-09T00:00:00"/>
  </r>
  <r>
    <s v="S1328"/>
    <s v="Rohit Nair"/>
    <x v="1"/>
    <x v="1"/>
    <s v="B1"/>
    <s v="Saurabh"/>
    <x v="1"/>
    <n v="16609"/>
    <s v="DISC15"/>
    <m/>
    <n v="17000"/>
    <d v="2024-01-09T00:00:00"/>
  </r>
  <r>
    <s v="S1329"/>
    <s v="Anjali Patil"/>
    <x v="0"/>
    <x v="0"/>
    <s v="B1"/>
    <s v="Priya"/>
    <x v="2"/>
    <n v="14758"/>
    <s v="DISC15"/>
    <m/>
    <n v="14000"/>
    <d v="2024-01-28T00:00:00"/>
  </r>
  <r>
    <s v="S1330"/>
    <s v="Manish Verma"/>
    <x v="2"/>
    <x v="2"/>
    <s v="B1"/>
    <s v="Priya"/>
    <x v="2"/>
    <n v="11635"/>
    <s v="DISC30"/>
    <n v="0.3"/>
    <n v="13000"/>
    <d v="2024-01-13T00:00:00"/>
  </r>
  <r>
    <s v="S1331"/>
    <s v="Kunal Desai"/>
    <x v="0"/>
    <x v="0"/>
    <s v="B1"/>
    <s v="Amit"/>
    <x v="2"/>
    <n v="14518"/>
    <s v="DISC10"/>
    <n v="0.1"/>
    <n v="14000"/>
    <d v="2024-01-16T00:00:00"/>
  </r>
  <r>
    <s v="S1332"/>
    <s v="Sneha Shah"/>
    <x v="0"/>
    <x v="0"/>
    <s v="B3"/>
    <s v="Saurabh"/>
    <x v="2"/>
    <n v="14448"/>
    <s v="DISC10"/>
    <n v="0.1"/>
    <n v="14000"/>
    <d v="2024-01-16T00:00:00"/>
  </r>
  <r>
    <s v="S1333"/>
    <s v="Anjali Kulkarni"/>
    <x v="3"/>
    <x v="3"/>
    <s v="B2"/>
    <s v="Saurabh"/>
    <x v="1"/>
    <n v="7889"/>
    <s v="DISC10"/>
    <n v="0.1"/>
    <n v="9000"/>
    <d v="2024-01-09T00:00:00"/>
  </r>
  <r>
    <s v="S1334"/>
    <s v="Manish Rao"/>
    <x v="2"/>
    <x v="2"/>
    <s v="B3"/>
    <s v="Amit"/>
    <x v="2"/>
    <n v="13365"/>
    <s v="DISC15"/>
    <m/>
    <n v="13000"/>
    <d v="2024-02-19T00:00:00"/>
  </r>
  <r>
    <s v="S1335"/>
    <s v="Rohit Nair"/>
    <x v="1"/>
    <x v="1"/>
    <s v="B1"/>
    <s v="Priya"/>
    <x v="0"/>
    <n v="17704"/>
    <s v="DISC15"/>
    <m/>
    <n v="17000"/>
    <d v="2024-01-15T00:00:00"/>
  </r>
  <r>
    <s v="S1336"/>
    <s v="Rahul Rao"/>
    <x v="1"/>
    <x v="1"/>
    <s v="B1"/>
    <s v="Amit"/>
    <x v="1"/>
    <n v="18603"/>
    <s v="DISC20"/>
    <n v="0.2"/>
    <n v="17000"/>
    <d v="2024-02-10T00:00:00"/>
  </r>
  <r>
    <s v="S1337"/>
    <s v="Rohit Verma"/>
    <x v="3"/>
    <x v="3"/>
    <s v="B1"/>
    <s v="Priya"/>
    <x v="1"/>
    <n v="9749"/>
    <m/>
    <m/>
    <n v="9000"/>
    <d v="2024-02-20T00:00:00"/>
  </r>
  <r>
    <s v="S1338"/>
    <s v="Manish Jain"/>
    <x v="3"/>
    <x v="3"/>
    <s v="B2"/>
    <s v="Saurabh"/>
    <x v="2"/>
    <n v="8541"/>
    <s v="DISC20"/>
    <n v="0.2"/>
    <n v="9000"/>
    <d v="2024-02-18T00:00:00"/>
  </r>
  <r>
    <s v="S1339"/>
    <s v="Manish Iyer"/>
    <x v="2"/>
    <x v="2"/>
    <s v="B1"/>
    <s v="Priya"/>
    <x v="1"/>
    <n v="11591"/>
    <m/>
    <m/>
    <n v="13000"/>
    <d v="2024-02-28T00:00:00"/>
  </r>
  <r>
    <s v="S1340"/>
    <s v="Aarav Gupta"/>
    <x v="3"/>
    <x v="3"/>
    <s v="B2"/>
    <s v="Amit"/>
    <x v="1"/>
    <n v="7549"/>
    <m/>
    <m/>
    <n v="9000"/>
    <d v="2024-01-16T00:00:00"/>
  </r>
  <r>
    <s v="S1341"/>
    <s v="Aditya Patil"/>
    <x v="1"/>
    <x v="1"/>
    <s v="B3"/>
    <s v="Saurabh"/>
    <x v="2"/>
    <n v="18469"/>
    <s v="DISC30"/>
    <n v="0.3"/>
    <n v="17000"/>
    <d v="2024-01-06T00:00:00"/>
  </r>
  <r>
    <s v="S1342"/>
    <s v="Manish Desai"/>
    <x v="2"/>
    <x v="2"/>
    <s v="B1"/>
    <s v="Priya"/>
    <x v="2"/>
    <n v="13759"/>
    <s v="DISC15"/>
    <m/>
    <n v="13000"/>
    <d v="2024-02-08T00:00:00"/>
  </r>
  <r>
    <s v="S1343"/>
    <s v="Aarav Nair"/>
    <x v="0"/>
    <x v="0"/>
    <s v="B1"/>
    <s v="Amit"/>
    <x v="1"/>
    <n v="14750"/>
    <s v="DISC15"/>
    <m/>
    <n v="14000"/>
    <d v="2024-01-14T00:00:00"/>
  </r>
  <r>
    <s v="S1344"/>
    <s v="Neha Patil"/>
    <x v="1"/>
    <x v="1"/>
    <s v="B2"/>
    <s v="Saurabh"/>
    <x v="0"/>
    <n v="18838"/>
    <s v="DISC20"/>
    <n v="0.2"/>
    <n v="17000"/>
    <d v="2024-02-17T00:00:00"/>
  </r>
  <r>
    <s v="S1345"/>
    <s v="Riya Desai"/>
    <x v="3"/>
    <x v="3"/>
    <s v="B1"/>
    <s v="Amit"/>
    <x v="1"/>
    <n v="9882"/>
    <s v="DISC20"/>
    <n v="0.2"/>
    <n v="9000"/>
    <d v="2024-01-26T00:00:00"/>
  </r>
  <r>
    <s v="S1346"/>
    <s v="Kunal Patil"/>
    <x v="1"/>
    <x v="1"/>
    <s v="B2"/>
    <s v="Priya"/>
    <x v="2"/>
    <n v="17185"/>
    <s v="DISC30"/>
    <n v="0.3"/>
    <n v="17000"/>
    <d v="2024-01-20T00:00:00"/>
  </r>
  <r>
    <s v="S1347"/>
    <s v="Aditya Jain"/>
    <x v="3"/>
    <x v="3"/>
    <s v="B2"/>
    <s v="Saurabh"/>
    <x v="1"/>
    <n v="8923"/>
    <s v="DISC30"/>
    <n v="0.3"/>
    <n v="9000"/>
    <d v="2024-02-28T00:00:00"/>
  </r>
  <r>
    <s v="S1348"/>
    <s v="Sneha Jain"/>
    <x v="1"/>
    <x v="1"/>
    <s v="B2"/>
    <s v="Saurabh"/>
    <x v="1"/>
    <n v="18539"/>
    <s v="DISC20"/>
    <n v="0.2"/>
    <n v="17000"/>
    <d v="2024-02-17T00:00:00"/>
  </r>
  <r>
    <s v="S1349"/>
    <s v="Karan Kulkarni"/>
    <x v="1"/>
    <x v="1"/>
    <s v="B3"/>
    <s v="Amit"/>
    <x v="1"/>
    <n v="17949"/>
    <m/>
    <m/>
    <n v="17000"/>
    <d v="2024-01-19T00:00:00"/>
  </r>
  <r>
    <s v="S1350"/>
    <s v="Karan Patil"/>
    <x v="1"/>
    <x v="1"/>
    <s v="B1"/>
    <s v="Priya"/>
    <x v="1"/>
    <n v="18413"/>
    <s v="DISC20"/>
    <n v="0.2"/>
    <n v="17000"/>
    <d v="2024-02-01T00:00:00"/>
  </r>
  <r>
    <s v="S1351"/>
    <s v="Manish Singh"/>
    <x v="1"/>
    <x v="1"/>
    <s v="B2"/>
    <s v="Priya"/>
    <x v="1"/>
    <n v="17628"/>
    <m/>
    <m/>
    <n v="17000"/>
    <d v="2024-01-30T00:00:00"/>
  </r>
  <r>
    <s v="S1352"/>
    <s v="Karan Desai"/>
    <x v="1"/>
    <x v="1"/>
    <s v="B1"/>
    <s v="Saurabh"/>
    <x v="1"/>
    <n v="17238"/>
    <m/>
    <m/>
    <n v="17000"/>
    <d v="2024-01-12T00:00:00"/>
  </r>
  <r>
    <s v="S1353"/>
    <s v="Kunal Gupta"/>
    <x v="0"/>
    <x v="0"/>
    <s v="B3"/>
    <s v="Saurabh"/>
    <x v="0"/>
    <n v="15871"/>
    <s v="DISC10"/>
    <n v="0.1"/>
    <n v="14000"/>
    <d v="2024-02-18T00:00:00"/>
  </r>
  <r>
    <s v="S1354"/>
    <s v="Aarav Verma"/>
    <x v="2"/>
    <x v="2"/>
    <s v="B3"/>
    <s v="Saurabh"/>
    <x v="0"/>
    <n v="13896"/>
    <s v="DISC20"/>
    <n v="0.2"/>
    <n v="13000"/>
    <d v="2024-01-01T00:00:00"/>
  </r>
  <r>
    <s v="S1355"/>
    <s v="Sneha Gupta"/>
    <x v="3"/>
    <x v="3"/>
    <s v="B2"/>
    <s v="Saurabh"/>
    <x v="1"/>
    <n v="9612"/>
    <s v="DISC15"/>
    <m/>
    <n v="9000"/>
    <d v="2024-02-28T00:00:00"/>
  </r>
  <r>
    <s v="S1356"/>
    <s v="Neha Singh"/>
    <x v="3"/>
    <x v="3"/>
    <s v="B1"/>
    <s v="Saurabh"/>
    <x v="1"/>
    <n v="9259"/>
    <m/>
    <m/>
    <n v="9000"/>
    <d v="2024-01-01T00:00:00"/>
  </r>
  <r>
    <s v="S1357"/>
    <s v="Aarav Gupta"/>
    <x v="1"/>
    <x v="1"/>
    <s v="B3"/>
    <s v="Priya"/>
    <x v="0"/>
    <n v="17057"/>
    <m/>
    <m/>
    <n v="17000"/>
    <d v="2024-02-21T00:00:00"/>
  </r>
  <r>
    <s v="S1358"/>
    <s v="Kunal Mehta"/>
    <x v="0"/>
    <x v="0"/>
    <s v="B1"/>
    <s v="Amit"/>
    <x v="0"/>
    <n v="12987"/>
    <s v="DISC20"/>
    <n v="0.2"/>
    <n v="14000"/>
    <d v="2024-02-09T00:00:00"/>
  </r>
  <r>
    <s v="S1359"/>
    <s v="Manish Rao"/>
    <x v="1"/>
    <x v="1"/>
    <s v="B2"/>
    <s v="Priya"/>
    <x v="0"/>
    <n v="16528"/>
    <m/>
    <m/>
    <n v="17000"/>
    <d v="2024-01-30T00:00:00"/>
  </r>
  <r>
    <s v="S1360"/>
    <s v="Kavita Patil"/>
    <x v="2"/>
    <x v="2"/>
    <s v="B2"/>
    <s v="Amit"/>
    <x v="0"/>
    <n v="13677"/>
    <s v="DISC10"/>
    <n v="0.1"/>
    <n v="13000"/>
    <d v="2024-01-06T00:00:00"/>
  </r>
  <r>
    <s v="S1361"/>
    <s v="Rahul Verma"/>
    <x v="3"/>
    <x v="3"/>
    <s v="B3"/>
    <s v="Priya"/>
    <x v="0"/>
    <n v="9608"/>
    <s v="DISC10"/>
    <n v="0.1"/>
    <n v="9000"/>
    <d v="2024-02-14T00:00:00"/>
  </r>
  <r>
    <s v="S1362"/>
    <s v="Karan Shah"/>
    <x v="3"/>
    <x v="3"/>
    <s v="B2"/>
    <s v="Amit"/>
    <x v="2"/>
    <n v="9317"/>
    <s v="DISC10"/>
    <n v="0.1"/>
    <n v="9000"/>
    <d v="2024-02-27T00:00:00"/>
  </r>
  <r>
    <s v="S1363"/>
    <s v="Manish Kulkarni"/>
    <x v="2"/>
    <x v="2"/>
    <s v="B1"/>
    <s v="Amit"/>
    <x v="1"/>
    <n v="12947"/>
    <s v="DISC30"/>
    <n v="0.3"/>
    <n v="13000"/>
    <d v="2024-01-03T00:00:00"/>
  </r>
  <r>
    <s v="S1364"/>
    <s v="Kunal Shah"/>
    <x v="1"/>
    <x v="1"/>
    <s v="B3"/>
    <s v="Amit"/>
    <x v="1"/>
    <n v="15134"/>
    <s v="DISC20"/>
    <n v="0.2"/>
    <n v="17000"/>
    <d v="2024-02-29T00:00:00"/>
  </r>
  <r>
    <s v="S1365"/>
    <s v="Meera Jain"/>
    <x v="0"/>
    <x v="0"/>
    <s v="B1"/>
    <s v="Amit"/>
    <x v="0"/>
    <n v="15081"/>
    <m/>
    <m/>
    <n v="14000"/>
    <d v="2024-02-29T00:00:00"/>
  </r>
  <r>
    <s v="S1366"/>
    <s v="Riya Rao"/>
    <x v="2"/>
    <x v="2"/>
    <s v="B3"/>
    <s v="Saurabh"/>
    <x v="1"/>
    <n v="14418"/>
    <m/>
    <m/>
    <n v="13000"/>
    <d v="2024-02-13T00:00:00"/>
  </r>
  <r>
    <s v="S1367"/>
    <s v="Kunal Gupta"/>
    <x v="1"/>
    <x v="1"/>
    <s v="B2"/>
    <s v="Amit"/>
    <x v="0"/>
    <n v="18237"/>
    <s v="DISC10"/>
    <n v="0.1"/>
    <n v="17000"/>
    <d v="2024-02-02T00:00:00"/>
  </r>
  <r>
    <s v="S1368"/>
    <s v="Anjali Jain"/>
    <x v="0"/>
    <x v="0"/>
    <s v="B1"/>
    <s v="Priya"/>
    <x v="0"/>
    <n v="15435"/>
    <s v="DISC10"/>
    <n v="0.1"/>
    <n v="14000"/>
    <d v="2024-01-22T00:00:00"/>
  </r>
  <r>
    <s v="S1369"/>
    <s v="Kavita Patel"/>
    <x v="3"/>
    <x v="3"/>
    <s v="B2"/>
    <s v="Saurabh"/>
    <x v="1"/>
    <n v="8119"/>
    <m/>
    <m/>
    <n v="9000"/>
    <d v="2024-02-01T00:00:00"/>
  </r>
  <r>
    <s v="S1370"/>
    <s v="Sneha Jain"/>
    <x v="3"/>
    <x v="3"/>
    <s v="B2"/>
    <s v="Saurabh"/>
    <x v="1"/>
    <n v="9399"/>
    <m/>
    <m/>
    <n v="9000"/>
    <d v="2024-01-06T00:00:00"/>
  </r>
  <r>
    <s v="S1371"/>
    <s v="Dev Joshi"/>
    <x v="1"/>
    <x v="1"/>
    <s v="B1"/>
    <s v="Amit"/>
    <x v="0"/>
    <n v="15336"/>
    <s v="DISC30"/>
    <n v="0.3"/>
    <n v="17000"/>
    <d v="2024-01-10T00:00:00"/>
  </r>
  <r>
    <s v="S1372"/>
    <s v="Rahul Desai"/>
    <x v="2"/>
    <x v="2"/>
    <s v="B3"/>
    <s v="Priya"/>
    <x v="2"/>
    <n v="12477"/>
    <s v="DISC10"/>
    <n v="0.1"/>
    <n v="13000"/>
    <d v="2024-01-06T00:00:00"/>
  </r>
  <r>
    <s v="S1373"/>
    <s v="Aarav Rao"/>
    <x v="3"/>
    <x v="3"/>
    <s v="B2"/>
    <s v="Priya"/>
    <x v="0"/>
    <n v="7542"/>
    <s v="DISC10"/>
    <n v="0.1"/>
    <n v="9000"/>
    <d v="2024-01-12T00:00:00"/>
  </r>
  <r>
    <s v="S1374"/>
    <s v="Rahul Iyer"/>
    <x v="3"/>
    <x v="3"/>
    <s v="B1"/>
    <s v="Saurabh"/>
    <x v="0"/>
    <n v="8449"/>
    <s v="DISC15"/>
    <m/>
    <n v="9000"/>
    <d v="2024-01-06T00:00:00"/>
  </r>
  <r>
    <s v="S1375"/>
    <s v="Kavita Joshi"/>
    <x v="1"/>
    <x v="1"/>
    <s v="B2"/>
    <s v="Saurabh"/>
    <x v="2"/>
    <n v="16694"/>
    <m/>
    <m/>
    <n v="17000"/>
    <d v="2024-02-19T00:00:00"/>
  </r>
  <r>
    <s v="S1376"/>
    <s v="Riya Desai"/>
    <x v="2"/>
    <x v="2"/>
    <s v="B3"/>
    <s v="Amit"/>
    <x v="0"/>
    <n v="13807"/>
    <m/>
    <m/>
    <n v="13000"/>
    <d v="2024-01-11T00:00:00"/>
  </r>
  <r>
    <s v="S1377"/>
    <s v="Karan Rao"/>
    <x v="1"/>
    <x v="1"/>
    <s v="B2"/>
    <s v="Priya"/>
    <x v="0"/>
    <n v="15259"/>
    <s v="DISC20"/>
    <n v="0.2"/>
    <n v="17000"/>
    <d v="2024-01-28T00:00:00"/>
  </r>
  <r>
    <s v="S1378"/>
    <s v="Aditya Verma"/>
    <x v="1"/>
    <x v="1"/>
    <s v="B2"/>
    <s v="Saurabh"/>
    <x v="2"/>
    <n v="16030"/>
    <s v="DISC20"/>
    <n v="0.2"/>
    <n v="17000"/>
    <d v="2024-02-16T00:00:00"/>
  </r>
  <r>
    <s v="S1379"/>
    <s v="Rohit Iyer"/>
    <x v="2"/>
    <x v="2"/>
    <s v="B2"/>
    <s v="Saurabh"/>
    <x v="0"/>
    <n v="12247"/>
    <s v="DISC10"/>
    <n v="0.1"/>
    <n v="13000"/>
    <d v="2024-03-01T00:00:00"/>
  </r>
  <r>
    <s v="S1380"/>
    <s v="Rahul Jain"/>
    <x v="3"/>
    <x v="3"/>
    <s v="B2"/>
    <s v="Priya"/>
    <x v="2"/>
    <n v="8763"/>
    <s v="DISC15"/>
    <m/>
    <n v="9000"/>
    <d v="2024-01-09T00:00:00"/>
  </r>
  <r>
    <s v="S1381"/>
    <s v="Aditya Jain"/>
    <x v="2"/>
    <x v="2"/>
    <s v="B2"/>
    <s v="Priya"/>
    <x v="0"/>
    <n v="14950"/>
    <m/>
    <m/>
    <n v="13000"/>
    <d v="2024-01-21T00:00:00"/>
  </r>
  <r>
    <s v="S1382"/>
    <s v="Aditya Desai"/>
    <x v="3"/>
    <x v="3"/>
    <s v="B3"/>
    <s v="Saurabh"/>
    <x v="2"/>
    <n v="8540"/>
    <s v="DISC30"/>
    <n v="0.3"/>
    <n v="9000"/>
    <d v="2024-02-22T00:00:00"/>
  </r>
  <r>
    <s v="S1383"/>
    <s v="Dev Verma"/>
    <x v="1"/>
    <x v="1"/>
    <s v="B1"/>
    <s v="Amit"/>
    <x v="0"/>
    <n v="17425"/>
    <s v="DISC15"/>
    <m/>
    <n v="17000"/>
    <d v="2024-01-12T00:00:00"/>
  </r>
  <r>
    <s v="S1384"/>
    <s v="Rohit Patel"/>
    <x v="0"/>
    <x v="0"/>
    <s v="B3"/>
    <s v="Priya"/>
    <x v="1"/>
    <n v="12858"/>
    <m/>
    <m/>
    <n v="14000"/>
    <d v="2024-02-21T00:00:00"/>
  </r>
  <r>
    <s v="S1385"/>
    <s v="Aditya Nair"/>
    <x v="0"/>
    <x v="0"/>
    <s v="B2"/>
    <s v="Amit"/>
    <x v="2"/>
    <n v="12570"/>
    <s v="DISC30"/>
    <n v="0.3"/>
    <n v="14000"/>
    <d v="2024-01-16T00:00:00"/>
  </r>
  <r>
    <s v="S1386"/>
    <s v="Aditya Singh"/>
    <x v="2"/>
    <x v="2"/>
    <s v="B3"/>
    <s v="Priya"/>
    <x v="2"/>
    <n v="11302"/>
    <m/>
    <m/>
    <n v="13000"/>
    <d v="2024-02-08T00:00:00"/>
  </r>
  <r>
    <s v="S1387"/>
    <s v="Neha Joshi"/>
    <x v="3"/>
    <x v="3"/>
    <s v="B3"/>
    <s v="Amit"/>
    <x v="1"/>
    <n v="8713"/>
    <s v="DISC15"/>
    <m/>
    <n v="9000"/>
    <d v="2024-01-03T00:00:00"/>
  </r>
  <r>
    <s v="S1388"/>
    <s v="Dev Jain"/>
    <x v="0"/>
    <x v="0"/>
    <s v="B1"/>
    <s v="Saurabh"/>
    <x v="1"/>
    <n v="14722"/>
    <s v="DISC30"/>
    <n v="0.3"/>
    <n v="14000"/>
    <d v="2024-01-11T00:00:00"/>
  </r>
  <r>
    <s v="S1389"/>
    <s v="Rohit Joshi"/>
    <x v="0"/>
    <x v="0"/>
    <s v="B3"/>
    <s v="Amit"/>
    <x v="1"/>
    <n v="14649"/>
    <m/>
    <m/>
    <n v="14000"/>
    <d v="2024-02-18T00:00:00"/>
  </r>
  <r>
    <s v="S1390"/>
    <s v="Pooja Patel"/>
    <x v="3"/>
    <x v="3"/>
    <s v="B1"/>
    <s v="Saurabh"/>
    <x v="0"/>
    <n v="8059"/>
    <s v="DISC20"/>
    <n v="0.2"/>
    <n v="9000"/>
    <d v="2024-02-02T00:00:00"/>
  </r>
  <r>
    <s v="S1391"/>
    <s v="Anjali Gupta"/>
    <x v="2"/>
    <x v="2"/>
    <s v="B2"/>
    <s v="Priya"/>
    <x v="2"/>
    <n v="12896"/>
    <s v="DISC15"/>
    <m/>
    <n v="13000"/>
    <d v="2024-02-14T00:00:00"/>
  </r>
  <r>
    <s v="S1392"/>
    <s v="Manish Mehta"/>
    <x v="1"/>
    <x v="1"/>
    <s v="B1"/>
    <s v="Priya"/>
    <x v="0"/>
    <n v="16210"/>
    <m/>
    <m/>
    <n v="17000"/>
    <d v="2024-02-28T00:00:00"/>
  </r>
  <r>
    <s v="S1393"/>
    <s v="Riya Shah"/>
    <x v="2"/>
    <x v="2"/>
    <s v="B2"/>
    <s v="Priya"/>
    <x v="2"/>
    <n v="12865"/>
    <s v="DISC20"/>
    <n v="0.2"/>
    <n v="13000"/>
    <d v="2024-02-03T00:00:00"/>
  </r>
  <r>
    <s v="S1394"/>
    <s v="Neha Jain"/>
    <x v="3"/>
    <x v="3"/>
    <s v="B1"/>
    <s v="Priya"/>
    <x v="1"/>
    <n v="9853"/>
    <m/>
    <m/>
    <n v="9000"/>
    <d v="2024-01-21T00:00:00"/>
  </r>
  <r>
    <s v="S1395"/>
    <s v="Riya Rao"/>
    <x v="0"/>
    <x v="0"/>
    <s v="B3"/>
    <s v="Saurabh"/>
    <x v="0"/>
    <n v="15478"/>
    <s v="DISC30"/>
    <n v="0.3"/>
    <n v="14000"/>
    <d v="2024-02-11T00:00:00"/>
  </r>
  <r>
    <s v="S1396"/>
    <s v="Riya Singh"/>
    <x v="2"/>
    <x v="2"/>
    <s v="B3"/>
    <s v="Saurabh"/>
    <x v="1"/>
    <n v="11714"/>
    <s v="DISC15"/>
    <m/>
    <n v="13000"/>
    <d v="2024-01-11T00:00:00"/>
  </r>
  <r>
    <s v="S1397"/>
    <s v="Pooja Gupta"/>
    <x v="3"/>
    <x v="3"/>
    <s v="B2"/>
    <s v="Saurabh"/>
    <x v="2"/>
    <n v="9579"/>
    <s v="DISC20"/>
    <n v="0.2"/>
    <n v="9000"/>
    <d v="2024-01-12T00:00:00"/>
  </r>
  <r>
    <s v="S1398"/>
    <s v="Rohit Singh"/>
    <x v="3"/>
    <x v="3"/>
    <s v="B2"/>
    <s v="Saurabh"/>
    <x v="1"/>
    <n v="9515"/>
    <s v="DISC20"/>
    <n v="0.2"/>
    <n v="9000"/>
    <d v="2024-01-29T00:00:00"/>
  </r>
  <r>
    <s v="S1399"/>
    <s v="Kavita Verma"/>
    <x v="3"/>
    <x v="3"/>
    <s v="B1"/>
    <s v="Amit"/>
    <x v="0"/>
    <n v="7842"/>
    <s v="DISC30"/>
    <n v="0.3"/>
    <n v="9000"/>
    <d v="2024-02-18T00:00:00"/>
  </r>
  <r>
    <s v="S1400"/>
    <s v="Anjali Patel"/>
    <x v="0"/>
    <x v="0"/>
    <s v="B3"/>
    <s v="Saurabh"/>
    <x v="1"/>
    <n v="12765"/>
    <s v="DISC30"/>
    <n v="0.3"/>
    <n v="14000"/>
    <d v="2024-01-21T00:00:00"/>
  </r>
  <r>
    <s v="S1401"/>
    <s v="Sneha Iyer"/>
    <x v="0"/>
    <x v="0"/>
    <s v="B2"/>
    <s v="Amit"/>
    <x v="2"/>
    <n v="14161"/>
    <s v="DISC30"/>
    <n v="0.3"/>
    <n v="14000"/>
    <d v="2024-02-08T00:00:00"/>
  </r>
  <r>
    <s v="S1402"/>
    <s v="Rahul Joshi"/>
    <x v="3"/>
    <x v="3"/>
    <s v="B3"/>
    <s v="Saurabh"/>
    <x v="2"/>
    <n v="8441"/>
    <m/>
    <m/>
    <n v="9000"/>
    <d v="2024-02-09T00:00:00"/>
  </r>
  <r>
    <s v="S1403"/>
    <s v="Karan Nair"/>
    <x v="1"/>
    <x v="1"/>
    <s v="B3"/>
    <s v="Amit"/>
    <x v="0"/>
    <n v="17752"/>
    <s v="DISC20"/>
    <n v="0.2"/>
    <n v="17000"/>
    <d v="2024-01-21T00:00:00"/>
  </r>
  <r>
    <s v="S1404"/>
    <s v="Riya Patil"/>
    <x v="1"/>
    <x v="1"/>
    <s v="B1"/>
    <s v="Saurabh"/>
    <x v="2"/>
    <n v="17840"/>
    <s v="DISC20"/>
    <n v="0.2"/>
    <n v="17000"/>
    <d v="2024-02-02T00:00:00"/>
  </r>
  <r>
    <s v="S1405"/>
    <s v="Rahul Verma"/>
    <x v="2"/>
    <x v="2"/>
    <s v="B3"/>
    <s v="Priya"/>
    <x v="2"/>
    <n v="11760"/>
    <m/>
    <m/>
    <n v="13000"/>
    <d v="2024-02-10T00:00:00"/>
  </r>
  <r>
    <s v="S1406"/>
    <s v="Manish Desai"/>
    <x v="2"/>
    <x v="2"/>
    <s v="B3"/>
    <s v="Saurabh"/>
    <x v="2"/>
    <n v="12183"/>
    <s v="DISC20"/>
    <n v="0.2"/>
    <n v="13000"/>
    <d v="2024-01-12T00:00:00"/>
  </r>
  <r>
    <s v="S1407"/>
    <s v="Pooja Nair"/>
    <x v="3"/>
    <x v="3"/>
    <s v="B3"/>
    <s v="Saurabh"/>
    <x v="2"/>
    <n v="10898"/>
    <s v="DISC10"/>
    <n v="0.1"/>
    <n v="9000"/>
    <d v="2024-02-01T00:00:00"/>
  </r>
  <r>
    <s v="S1408"/>
    <s v="Karan Patil"/>
    <x v="3"/>
    <x v="3"/>
    <s v="B3"/>
    <s v="Amit"/>
    <x v="1"/>
    <n v="9027"/>
    <m/>
    <m/>
    <n v="9000"/>
    <d v="2024-02-13T00:00:00"/>
  </r>
  <r>
    <s v="S1409"/>
    <s v="Neha Verma"/>
    <x v="3"/>
    <x v="3"/>
    <s v="B2"/>
    <s v="Saurabh"/>
    <x v="0"/>
    <n v="9315"/>
    <s v="DISC10"/>
    <n v="0.1"/>
    <n v="9000"/>
    <d v="2024-02-20T00:00:00"/>
  </r>
  <r>
    <s v="S1410"/>
    <s v="Dev Patil"/>
    <x v="1"/>
    <x v="1"/>
    <s v="B1"/>
    <s v="Priya"/>
    <x v="0"/>
    <n v="17202"/>
    <s v="DISC30"/>
    <n v="0.3"/>
    <n v="17000"/>
    <d v="2024-01-11T00:00:00"/>
  </r>
  <r>
    <s v="S1411"/>
    <s v="Dev Iyer"/>
    <x v="3"/>
    <x v="3"/>
    <s v="B3"/>
    <s v="Amit"/>
    <x v="0"/>
    <n v="9345"/>
    <s v="DISC10"/>
    <n v="0.1"/>
    <n v="9000"/>
    <d v="2024-01-18T00:00:00"/>
  </r>
  <r>
    <s v="S1412"/>
    <s v="Dev Gupta"/>
    <x v="1"/>
    <x v="1"/>
    <s v="B3"/>
    <s v="Saurabh"/>
    <x v="1"/>
    <n v="16807"/>
    <s v="DISC15"/>
    <m/>
    <n v="17000"/>
    <d v="2024-01-14T00:00:00"/>
  </r>
  <r>
    <s v="S1413"/>
    <s v="Rahul Shah"/>
    <x v="2"/>
    <x v="2"/>
    <s v="B2"/>
    <s v="Saurabh"/>
    <x v="2"/>
    <n v="12076"/>
    <s v="DISC30"/>
    <n v="0.3"/>
    <n v="13000"/>
    <d v="2024-02-25T00:00:00"/>
  </r>
  <r>
    <s v="S1414"/>
    <s v="Meera Shah"/>
    <x v="3"/>
    <x v="3"/>
    <s v="B1"/>
    <s v="Saurabh"/>
    <x v="0"/>
    <n v="10320"/>
    <s v="DISC15"/>
    <m/>
    <n v="9000"/>
    <d v="2024-02-14T00:00:00"/>
  </r>
  <r>
    <s v="S1415"/>
    <s v="Pooja Nair"/>
    <x v="3"/>
    <x v="3"/>
    <s v="B1"/>
    <s v="Amit"/>
    <x v="0"/>
    <n v="10214"/>
    <s v="DISC20"/>
    <n v="0.2"/>
    <n v="9000"/>
    <d v="2024-02-22T00:00:00"/>
  </r>
  <r>
    <s v="S1416"/>
    <s v="Sneha Patel"/>
    <x v="0"/>
    <x v="0"/>
    <s v="B3"/>
    <s v="Priya"/>
    <x v="1"/>
    <n v="13151"/>
    <s v="DISC15"/>
    <m/>
    <n v="14000"/>
    <d v="2024-02-04T00:00:00"/>
  </r>
  <r>
    <s v="S1417"/>
    <s v="Karan Jain"/>
    <x v="1"/>
    <x v="1"/>
    <s v="B2"/>
    <s v="Amit"/>
    <x v="2"/>
    <n v="18901"/>
    <s v="DISC15"/>
    <m/>
    <n v="17000"/>
    <d v="2024-02-27T00:00:00"/>
  </r>
  <r>
    <s v="S1418"/>
    <s v="Rohit Nair"/>
    <x v="0"/>
    <x v="0"/>
    <s v="B1"/>
    <s v="Priya"/>
    <x v="0"/>
    <n v="13135"/>
    <s v="DISC20"/>
    <n v="0.2"/>
    <n v="14000"/>
    <d v="2024-02-14T00:00:00"/>
  </r>
  <r>
    <s v="S1419"/>
    <s v="Meera Mehta"/>
    <x v="2"/>
    <x v="2"/>
    <s v="B1"/>
    <s v="Amit"/>
    <x v="2"/>
    <n v="14393"/>
    <s v="DISC20"/>
    <n v="0.2"/>
    <n v="13000"/>
    <d v="2024-02-18T00:00:00"/>
  </r>
  <r>
    <s v="S1420"/>
    <s v="Meera Singh"/>
    <x v="3"/>
    <x v="3"/>
    <s v="B2"/>
    <s v="Saurabh"/>
    <x v="1"/>
    <n v="9590"/>
    <s v="DISC30"/>
    <n v="0.3"/>
    <n v="9000"/>
    <d v="2024-02-10T00:00:00"/>
  </r>
  <r>
    <s v="S1421"/>
    <s v="Rahul Verma"/>
    <x v="3"/>
    <x v="3"/>
    <s v="B1"/>
    <s v="Amit"/>
    <x v="0"/>
    <n v="8650"/>
    <s v="DISC15"/>
    <m/>
    <n v="9000"/>
    <d v="2024-02-17T00:00:00"/>
  </r>
  <r>
    <s v="S1422"/>
    <s v="Aditya Desai"/>
    <x v="1"/>
    <x v="1"/>
    <s v="B2"/>
    <s v="Priya"/>
    <x v="2"/>
    <n v="17383"/>
    <s v="DISC10"/>
    <n v="0.1"/>
    <n v="17000"/>
    <d v="2024-02-25T00:00:00"/>
  </r>
  <r>
    <s v="S1423"/>
    <s v="Dev Nair"/>
    <x v="0"/>
    <x v="0"/>
    <s v="B3"/>
    <s v="Priya"/>
    <x v="1"/>
    <n v="14720"/>
    <s v="DISC30"/>
    <n v="0.3"/>
    <n v="14000"/>
    <d v="2024-02-24T00:00:00"/>
  </r>
  <r>
    <s v="S1424"/>
    <s v="Riya Patel"/>
    <x v="3"/>
    <x v="3"/>
    <s v="B1"/>
    <s v="Priya"/>
    <x v="0"/>
    <n v="9026"/>
    <s v="DISC30"/>
    <n v="0.3"/>
    <n v="9000"/>
    <d v="2024-01-21T00:00:00"/>
  </r>
  <r>
    <s v="S1425"/>
    <s v="Meera Rao"/>
    <x v="1"/>
    <x v="1"/>
    <s v="B3"/>
    <s v="Amit"/>
    <x v="0"/>
    <n v="17318"/>
    <m/>
    <m/>
    <n v="17000"/>
    <d v="2024-02-20T00:00:00"/>
  </r>
  <r>
    <s v="S1426"/>
    <s v="Pooja Singh"/>
    <x v="0"/>
    <x v="0"/>
    <s v="B1"/>
    <s v="Saurabh"/>
    <x v="1"/>
    <n v="15210"/>
    <m/>
    <m/>
    <n v="14000"/>
    <d v="2024-01-02T00:00:00"/>
  </r>
  <r>
    <s v="S1427"/>
    <s v="Riya Nair"/>
    <x v="2"/>
    <x v="2"/>
    <s v="B2"/>
    <s v="Priya"/>
    <x v="0"/>
    <n v="14924"/>
    <m/>
    <m/>
    <n v="13000"/>
    <d v="2024-01-13T00:00:00"/>
  </r>
  <r>
    <s v="S1428"/>
    <s v="Anjali Mehta"/>
    <x v="1"/>
    <x v="1"/>
    <s v="B1"/>
    <s v="Priya"/>
    <x v="0"/>
    <n v="17681"/>
    <s v="DISC30"/>
    <n v="0.3"/>
    <n v="17000"/>
    <d v="2024-01-17T00:00:00"/>
  </r>
  <r>
    <s v="S1429"/>
    <s v="Riya Jain"/>
    <x v="2"/>
    <x v="2"/>
    <s v="B1"/>
    <s v="Priya"/>
    <x v="1"/>
    <n v="12251"/>
    <s v="DISC20"/>
    <n v="0.2"/>
    <n v="13000"/>
    <d v="2024-01-28T00:00:00"/>
  </r>
  <r>
    <s v="S1430"/>
    <s v="Rohit Shah"/>
    <x v="0"/>
    <x v="0"/>
    <s v="B1"/>
    <s v="Saurabh"/>
    <x v="2"/>
    <n v="12319"/>
    <s v="DISC20"/>
    <n v="0.2"/>
    <n v="14000"/>
    <d v="2024-02-07T00:00:00"/>
  </r>
  <r>
    <s v="S1431"/>
    <s v="Sneha Gupta"/>
    <x v="3"/>
    <x v="3"/>
    <s v="B1"/>
    <s v="Saurabh"/>
    <x v="1"/>
    <n v="8407"/>
    <s v="DISC10"/>
    <n v="0.1"/>
    <n v="9000"/>
    <d v="2024-02-25T00:00:00"/>
  </r>
  <r>
    <s v="S1432"/>
    <s v="Rahul Desai"/>
    <x v="2"/>
    <x v="2"/>
    <s v="B2"/>
    <s v="Saurabh"/>
    <x v="0"/>
    <n v="12569"/>
    <s v="DISC10"/>
    <n v="0.1"/>
    <n v="13000"/>
    <d v="2024-02-16T00:00:00"/>
  </r>
  <r>
    <s v="S1433"/>
    <s v="Dev Shah"/>
    <x v="0"/>
    <x v="0"/>
    <s v="B2"/>
    <s v="Priya"/>
    <x v="2"/>
    <n v="12561"/>
    <m/>
    <m/>
    <n v="14000"/>
    <d v="2024-02-19T00:00:00"/>
  </r>
  <r>
    <s v="S1434"/>
    <s v="Meera Patel"/>
    <x v="2"/>
    <x v="2"/>
    <s v="B3"/>
    <s v="Amit"/>
    <x v="0"/>
    <n v="11280"/>
    <s v="DISC15"/>
    <m/>
    <n v="13000"/>
    <d v="2024-02-06T00:00:00"/>
  </r>
  <r>
    <s v="S1435"/>
    <s v="Aarav Joshi"/>
    <x v="2"/>
    <x v="2"/>
    <s v="B2"/>
    <s v="Priya"/>
    <x v="1"/>
    <n v="11872"/>
    <s v="DISC20"/>
    <n v="0.2"/>
    <n v="13000"/>
    <d v="2024-02-28T00:00:00"/>
  </r>
  <r>
    <s v="S1436"/>
    <s v="Rahul Joshi"/>
    <x v="3"/>
    <x v="3"/>
    <s v="B1"/>
    <s v="Saurabh"/>
    <x v="0"/>
    <n v="7573"/>
    <s v="DISC10"/>
    <n v="0.1"/>
    <n v="9000"/>
    <d v="2024-02-07T00:00:00"/>
  </r>
  <r>
    <s v="S1437"/>
    <s v="Anjali Verma"/>
    <x v="1"/>
    <x v="1"/>
    <s v="B2"/>
    <s v="Priya"/>
    <x v="0"/>
    <n v="16014"/>
    <s v="DISC30"/>
    <n v="0.3"/>
    <n v="17000"/>
    <d v="2024-02-11T00:00:00"/>
  </r>
  <r>
    <s v="S1438"/>
    <s v="Riya Patil"/>
    <x v="1"/>
    <x v="1"/>
    <s v="B3"/>
    <s v="Saurabh"/>
    <x v="1"/>
    <n v="18587"/>
    <s v="DISC30"/>
    <n v="0.3"/>
    <n v="17000"/>
    <d v="2024-01-14T00:00:00"/>
  </r>
  <r>
    <s v="S1439"/>
    <s v="Manish Joshi"/>
    <x v="2"/>
    <x v="2"/>
    <s v="B3"/>
    <s v="Priya"/>
    <x v="2"/>
    <n v="13646"/>
    <s v="DISC10"/>
    <n v="0.1"/>
    <n v="13000"/>
    <d v="2024-02-20T00:00:00"/>
  </r>
  <r>
    <s v="S1440"/>
    <s v="Kunal Patel"/>
    <x v="2"/>
    <x v="2"/>
    <s v="B2"/>
    <s v="Priya"/>
    <x v="0"/>
    <n v="11987"/>
    <m/>
    <m/>
    <n v="13000"/>
    <d v="2024-02-10T00:00:00"/>
  </r>
  <r>
    <s v="S1441"/>
    <s v="Kavita Shah"/>
    <x v="0"/>
    <x v="0"/>
    <s v="B2"/>
    <s v="Priya"/>
    <x v="0"/>
    <n v="13584"/>
    <s v="DISC15"/>
    <m/>
    <n v="14000"/>
    <d v="2024-01-27T00:00:00"/>
  </r>
  <r>
    <s v="S1442"/>
    <s v="Pooja Gupta"/>
    <x v="2"/>
    <x v="2"/>
    <s v="B2"/>
    <s v="Saurabh"/>
    <x v="0"/>
    <n v="13405"/>
    <s v="DISC10"/>
    <n v="0.1"/>
    <n v="13000"/>
    <d v="2024-01-01T00:00:00"/>
  </r>
  <r>
    <s v="S1443"/>
    <s v="Aditya Patil"/>
    <x v="0"/>
    <x v="0"/>
    <s v="B1"/>
    <s v="Priya"/>
    <x v="1"/>
    <n v="13173"/>
    <s v="DISC15"/>
    <m/>
    <n v="14000"/>
    <d v="2024-02-19T00:00:00"/>
  </r>
  <r>
    <s v="S1444"/>
    <s v="Rahul Verma"/>
    <x v="3"/>
    <x v="3"/>
    <s v="B1"/>
    <s v="Amit"/>
    <x v="1"/>
    <n v="9202"/>
    <s v="DISC15"/>
    <m/>
    <n v="9000"/>
    <d v="2024-01-10T00:00:00"/>
  </r>
  <r>
    <s v="S1445"/>
    <s v="Aditya Shah"/>
    <x v="1"/>
    <x v="1"/>
    <s v="B1"/>
    <s v="Amit"/>
    <x v="0"/>
    <n v="18990"/>
    <s v="DISC20"/>
    <n v="0.2"/>
    <n v="17000"/>
    <d v="2024-02-04T00:00:00"/>
  </r>
  <r>
    <s v="S1446"/>
    <s v="Pooja Verma"/>
    <x v="0"/>
    <x v="0"/>
    <s v="B2"/>
    <s v="Amit"/>
    <x v="2"/>
    <n v="14989"/>
    <s v="DISC20"/>
    <n v="0.2"/>
    <n v="14000"/>
    <d v="2024-01-04T00:00:00"/>
  </r>
  <r>
    <s v="S1447"/>
    <s v="Sneha Shah"/>
    <x v="3"/>
    <x v="3"/>
    <s v="B1"/>
    <s v="Priya"/>
    <x v="1"/>
    <n v="9493"/>
    <s v="DISC10"/>
    <n v="0.1"/>
    <n v="9000"/>
    <d v="2024-01-20T00:00:00"/>
  </r>
  <r>
    <s v="S1448"/>
    <s v="Rohit Desai"/>
    <x v="2"/>
    <x v="2"/>
    <s v="B1"/>
    <s v="Saurabh"/>
    <x v="1"/>
    <n v="11562"/>
    <s v="DISC10"/>
    <n v="0.1"/>
    <n v="13000"/>
    <d v="2024-01-11T00:00:00"/>
  </r>
  <r>
    <s v="S1449"/>
    <s v="Neha Jain"/>
    <x v="1"/>
    <x v="1"/>
    <s v="B1"/>
    <s v="Priya"/>
    <x v="0"/>
    <n v="18071"/>
    <s v="DISC30"/>
    <n v="0.3"/>
    <n v="17000"/>
    <d v="2024-02-16T00:00:00"/>
  </r>
  <r>
    <s v="S1450"/>
    <s v="Kunal Shah"/>
    <x v="0"/>
    <x v="0"/>
    <s v="B2"/>
    <s v="Priya"/>
    <x v="2"/>
    <n v="14145"/>
    <s v="DISC10"/>
    <n v="0.1"/>
    <n v="14000"/>
    <d v="2024-01-17T00:00:00"/>
  </r>
  <r>
    <s v="S1451"/>
    <s v="Anjali Joshi"/>
    <x v="0"/>
    <x v="0"/>
    <s v="B2"/>
    <s v="Priya"/>
    <x v="1"/>
    <n v="13475"/>
    <s v="DISC10"/>
    <n v="0.1"/>
    <n v="14000"/>
    <d v="2024-02-01T00:00:00"/>
  </r>
  <r>
    <s v="S1452"/>
    <s v="Meera Joshi"/>
    <x v="2"/>
    <x v="2"/>
    <s v="B2"/>
    <s v="Saurabh"/>
    <x v="2"/>
    <n v="14167"/>
    <s v="DISC10"/>
    <n v="0.1"/>
    <n v="13000"/>
    <d v="2024-02-27T00:00:00"/>
  </r>
  <r>
    <s v="S1453"/>
    <s v="Kavita Singh"/>
    <x v="0"/>
    <x v="0"/>
    <s v="B1"/>
    <s v="Amit"/>
    <x v="1"/>
    <n v="12010"/>
    <s v="DISC10"/>
    <n v="0.1"/>
    <n v="14000"/>
    <d v="2024-02-24T00:00:00"/>
  </r>
  <r>
    <s v="S1454"/>
    <s v="Meera Kulkarni"/>
    <x v="2"/>
    <x v="2"/>
    <s v="B1"/>
    <s v="Priya"/>
    <x v="2"/>
    <n v="12568"/>
    <s v="DISC20"/>
    <n v="0.2"/>
    <n v="13000"/>
    <d v="2024-01-12T00:00:00"/>
  </r>
  <r>
    <s v="S1455"/>
    <s v="Kunal Nair"/>
    <x v="0"/>
    <x v="0"/>
    <s v="B3"/>
    <s v="Amit"/>
    <x v="1"/>
    <n v="14685"/>
    <m/>
    <m/>
    <n v="14000"/>
    <d v="2024-01-15T00:00:00"/>
  </r>
  <r>
    <s v="S1456"/>
    <s v="Pooja Patil"/>
    <x v="3"/>
    <x v="3"/>
    <s v="B3"/>
    <s v="Priya"/>
    <x v="2"/>
    <n v="10383"/>
    <s v="DISC10"/>
    <n v="0.1"/>
    <n v="9000"/>
    <d v="2024-02-06T00:00:00"/>
  </r>
  <r>
    <s v="S1457"/>
    <s v="Pooja Shah"/>
    <x v="0"/>
    <x v="0"/>
    <s v="B1"/>
    <s v="Saurabh"/>
    <x v="1"/>
    <n v="12188"/>
    <m/>
    <m/>
    <n v="14000"/>
    <d v="2024-01-05T00:00:00"/>
  </r>
  <r>
    <s v="S1458"/>
    <s v="Kunal Iyer"/>
    <x v="1"/>
    <x v="1"/>
    <s v="B2"/>
    <s v="Priya"/>
    <x v="0"/>
    <n v="17265"/>
    <m/>
    <m/>
    <n v="17000"/>
    <d v="2024-01-01T00:00:00"/>
  </r>
  <r>
    <s v="S1459"/>
    <s v="Pooja Patil"/>
    <x v="1"/>
    <x v="1"/>
    <s v="B3"/>
    <s v="Priya"/>
    <x v="1"/>
    <n v="17550"/>
    <s v="DISC20"/>
    <n v="0.2"/>
    <n v="17000"/>
    <d v="2024-01-30T00:00:00"/>
  </r>
  <r>
    <s v="S1460"/>
    <s v="Pooja Joshi"/>
    <x v="3"/>
    <x v="3"/>
    <s v="B1"/>
    <s v="Amit"/>
    <x v="1"/>
    <n v="10114"/>
    <s v="DISC20"/>
    <n v="0.2"/>
    <n v="9000"/>
    <d v="2024-01-10T00:00:00"/>
  </r>
  <r>
    <s v="S1461"/>
    <s v="Aarav Verma"/>
    <x v="0"/>
    <x v="0"/>
    <s v="B1"/>
    <s v="Amit"/>
    <x v="2"/>
    <n v="14604"/>
    <s v="DISC10"/>
    <n v="0.1"/>
    <n v="14000"/>
    <d v="2024-03-01T00:00:00"/>
  </r>
  <r>
    <s v="S1462"/>
    <s v="Pooja Kulkarni"/>
    <x v="3"/>
    <x v="3"/>
    <s v="B3"/>
    <s v="Amit"/>
    <x v="2"/>
    <n v="7425"/>
    <s v="DISC20"/>
    <n v="0.2"/>
    <n v="9000"/>
    <d v="2024-02-03T00:00:00"/>
  </r>
  <r>
    <s v="S1463"/>
    <s v="Sneha Verma"/>
    <x v="3"/>
    <x v="3"/>
    <s v="B1"/>
    <s v="Saurabh"/>
    <x v="1"/>
    <n v="8146"/>
    <s v="DISC10"/>
    <n v="0.1"/>
    <n v="9000"/>
    <d v="2024-01-03T00:00:00"/>
  </r>
  <r>
    <s v="S1464"/>
    <s v="Kunal Patil"/>
    <x v="3"/>
    <x v="3"/>
    <s v="B3"/>
    <s v="Priya"/>
    <x v="2"/>
    <n v="10991"/>
    <s v="DISC10"/>
    <n v="0.1"/>
    <n v="9000"/>
    <d v="2024-02-07T00:00:00"/>
  </r>
  <r>
    <s v="S1465"/>
    <s v="Riya Gupta"/>
    <x v="2"/>
    <x v="2"/>
    <s v="B3"/>
    <s v="Priya"/>
    <x v="0"/>
    <n v="13424"/>
    <s v="DISC15"/>
    <m/>
    <n v="13000"/>
    <d v="2024-01-04T00:00:00"/>
  </r>
  <r>
    <s v="S1466"/>
    <s v="Rahul Singh"/>
    <x v="2"/>
    <x v="2"/>
    <s v="B1"/>
    <s v="Priya"/>
    <x v="2"/>
    <n v="14485"/>
    <s v="DISC30"/>
    <n v="0.3"/>
    <n v="13000"/>
    <d v="2024-02-29T00:00:00"/>
  </r>
  <r>
    <s v="S1467"/>
    <s v="Dev Verma"/>
    <x v="1"/>
    <x v="1"/>
    <s v="B2"/>
    <s v="Priya"/>
    <x v="2"/>
    <n v="15956"/>
    <s v="DISC10"/>
    <n v="0.1"/>
    <n v="17000"/>
    <d v="2024-03-01T00:00:00"/>
  </r>
  <r>
    <s v="S1468"/>
    <s v="Sneha Mehta"/>
    <x v="0"/>
    <x v="0"/>
    <s v="B1"/>
    <s v="Saurabh"/>
    <x v="0"/>
    <n v="13841"/>
    <m/>
    <m/>
    <n v="14000"/>
    <d v="2024-01-21T00:00:00"/>
  </r>
  <r>
    <s v="S1469"/>
    <s v="Rahul Shah"/>
    <x v="1"/>
    <x v="1"/>
    <s v="B1"/>
    <s v="Priya"/>
    <x v="2"/>
    <n v="16897"/>
    <s v="DISC30"/>
    <n v="0.3"/>
    <n v="17000"/>
    <d v="2024-02-24T00:00:00"/>
  </r>
  <r>
    <s v="S1470"/>
    <s v="Riya Shah"/>
    <x v="2"/>
    <x v="2"/>
    <s v="B3"/>
    <s v="Priya"/>
    <x v="1"/>
    <n v="13854"/>
    <s v="DISC15"/>
    <m/>
    <n v="13000"/>
    <d v="2024-01-03T00:00:00"/>
  </r>
  <r>
    <s v="S1471"/>
    <s v="Sneha Nair"/>
    <x v="1"/>
    <x v="1"/>
    <s v="B1"/>
    <s v="Saurabh"/>
    <x v="1"/>
    <n v="16016"/>
    <s v="DISC30"/>
    <n v="0.3"/>
    <n v="17000"/>
    <d v="2024-01-26T00:00:00"/>
  </r>
  <r>
    <s v="S1472"/>
    <s v="Manish Kulkarni"/>
    <x v="1"/>
    <x v="1"/>
    <s v="B2"/>
    <s v="Saurabh"/>
    <x v="0"/>
    <n v="18899"/>
    <m/>
    <m/>
    <n v="17000"/>
    <d v="2024-02-24T00:00:00"/>
  </r>
  <r>
    <s v="S1473"/>
    <s v="Neha Gupta"/>
    <x v="2"/>
    <x v="2"/>
    <s v="B1"/>
    <s v="Priya"/>
    <x v="0"/>
    <n v="14292"/>
    <s v="DISC20"/>
    <n v="0.2"/>
    <n v="13000"/>
    <d v="2024-01-08T00:00:00"/>
  </r>
  <r>
    <s v="S1474"/>
    <s v="Aarav Kulkarni"/>
    <x v="2"/>
    <x v="2"/>
    <s v="B1"/>
    <s v="Saurabh"/>
    <x v="2"/>
    <n v="12524"/>
    <s v="DISC10"/>
    <n v="0.1"/>
    <n v="13000"/>
    <d v="2024-02-07T00:00:00"/>
  </r>
  <r>
    <s v="S1475"/>
    <s v="Kavita Rao"/>
    <x v="0"/>
    <x v="0"/>
    <s v="B1"/>
    <s v="Saurabh"/>
    <x v="0"/>
    <n v="15696"/>
    <m/>
    <m/>
    <n v="14000"/>
    <d v="2024-02-21T00:00:00"/>
  </r>
  <r>
    <s v="S1476"/>
    <s v="Karan Shah"/>
    <x v="1"/>
    <x v="1"/>
    <s v="B1"/>
    <s v="Saurabh"/>
    <x v="2"/>
    <n v="15207"/>
    <s v="DISC20"/>
    <n v="0.2"/>
    <n v="17000"/>
    <d v="2024-02-29T00:00:00"/>
  </r>
  <r>
    <s v="S1477"/>
    <s v="Kavita Verma"/>
    <x v="3"/>
    <x v="3"/>
    <s v="B2"/>
    <s v="Saurabh"/>
    <x v="2"/>
    <n v="9798"/>
    <m/>
    <m/>
    <n v="9000"/>
    <d v="2024-01-12T00:00:00"/>
  </r>
  <r>
    <s v="S1478"/>
    <s v="Pooja Patil"/>
    <x v="2"/>
    <x v="2"/>
    <s v="B2"/>
    <s v="Priya"/>
    <x v="2"/>
    <n v="14618"/>
    <s v="DISC20"/>
    <n v="0.2"/>
    <n v="13000"/>
    <d v="2024-01-03T00:00:00"/>
  </r>
  <r>
    <s v="S1479"/>
    <s v="Kavita Joshi"/>
    <x v="2"/>
    <x v="2"/>
    <s v="B3"/>
    <s v="Priya"/>
    <x v="2"/>
    <n v="12687"/>
    <s v="DISC15"/>
    <m/>
    <n v="13000"/>
    <d v="2024-01-31T00:00:00"/>
  </r>
  <r>
    <s v="S1480"/>
    <s v="Aarav Shah"/>
    <x v="1"/>
    <x v="1"/>
    <s v="B2"/>
    <s v="Saurabh"/>
    <x v="2"/>
    <n v="15816"/>
    <s v="DISC15"/>
    <m/>
    <n v="17000"/>
    <d v="2024-01-16T00:00:00"/>
  </r>
  <r>
    <s v="S1481"/>
    <s v="Rohit Patel"/>
    <x v="0"/>
    <x v="0"/>
    <s v="B2"/>
    <s v="Amit"/>
    <x v="2"/>
    <n v="13964"/>
    <s v="DISC15"/>
    <m/>
    <n v="14000"/>
    <d v="2024-02-20T00:00:00"/>
  </r>
  <r>
    <s v="S1482"/>
    <s v="Neha Jain"/>
    <x v="1"/>
    <x v="1"/>
    <s v="B2"/>
    <s v="Priya"/>
    <x v="0"/>
    <n v="15106"/>
    <s v="DISC30"/>
    <n v="0.3"/>
    <n v="17000"/>
    <d v="2024-02-08T00:00:00"/>
  </r>
  <r>
    <s v="S1483"/>
    <s v="Sneha Kulkarni"/>
    <x v="1"/>
    <x v="1"/>
    <s v="B1"/>
    <s v="Priya"/>
    <x v="1"/>
    <n v="16464"/>
    <s v="DISC15"/>
    <m/>
    <n v="17000"/>
    <d v="2024-01-15T00:00:00"/>
  </r>
  <r>
    <s v="S1484"/>
    <s v="Karan Shah"/>
    <x v="2"/>
    <x v="2"/>
    <s v="B3"/>
    <s v="Saurabh"/>
    <x v="2"/>
    <n v="13185"/>
    <s v="DISC10"/>
    <n v="0.1"/>
    <n v="13000"/>
    <d v="2024-02-18T00:00:00"/>
  </r>
  <r>
    <s v="S1485"/>
    <s v="Sneha Joshi"/>
    <x v="3"/>
    <x v="3"/>
    <s v="B2"/>
    <s v="Saurabh"/>
    <x v="0"/>
    <n v="7968"/>
    <s v="DISC15"/>
    <m/>
    <n v="9000"/>
    <d v="2024-01-21T00:00:00"/>
  </r>
  <r>
    <s v="S1486"/>
    <s v="Dev Desai"/>
    <x v="1"/>
    <x v="1"/>
    <s v="B3"/>
    <s v="Saurabh"/>
    <x v="1"/>
    <n v="17869"/>
    <s v="DISC30"/>
    <n v="0.3"/>
    <n v="17000"/>
    <d v="2024-03-01T00:00:00"/>
  </r>
  <r>
    <s v="S1487"/>
    <s v="Kavita Joshi"/>
    <x v="2"/>
    <x v="2"/>
    <s v="B3"/>
    <s v="Saurabh"/>
    <x v="2"/>
    <n v="13220"/>
    <s v="DISC30"/>
    <n v="0.3"/>
    <n v="13000"/>
    <d v="2024-01-12T00:00:00"/>
  </r>
  <r>
    <s v="S1488"/>
    <s v="Neha Kulkarni"/>
    <x v="0"/>
    <x v="0"/>
    <s v="B1"/>
    <s v="Saurabh"/>
    <x v="1"/>
    <n v="12896"/>
    <s v="DISC10"/>
    <n v="0.1"/>
    <n v="14000"/>
    <d v="2024-02-03T00:00:00"/>
  </r>
  <r>
    <s v="S1489"/>
    <s v="Neha Kulkarni"/>
    <x v="1"/>
    <x v="1"/>
    <s v="B3"/>
    <s v="Saurabh"/>
    <x v="0"/>
    <n v="16395"/>
    <s v="DISC20"/>
    <n v="0.2"/>
    <n v="17000"/>
    <d v="2024-02-28T00:00:00"/>
  </r>
  <r>
    <s v="S1490"/>
    <s v="Dev Nair"/>
    <x v="1"/>
    <x v="1"/>
    <s v="B1"/>
    <s v="Saurabh"/>
    <x v="0"/>
    <n v="17402"/>
    <s v="DISC20"/>
    <n v="0.2"/>
    <n v="17000"/>
    <d v="2024-02-19T00:00:00"/>
  </r>
  <r>
    <s v="S1491"/>
    <s v="Riya Nair"/>
    <x v="1"/>
    <x v="1"/>
    <s v="B1"/>
    <s v="Priya"/>
    <x v="1"/>
    <n v="18858"/>
    <m/>
    <m/>
    <n v="17000"/>
    <d v="2024-02-07T00:00:00"/>
  </r>
  <r>
    <s v="S1492"/>
    <s v="Riya Jain"/>
    <x v="1"/>
    <x v="1"/>
    <s v="B2"/>
    <s v="Saurabh"/>
    <x v="0"/>
    <n v="17999"/>
    <m/>
    <m/>
    <n v="17000"/>
    <d v="2024-02-20T00:00:00"/>
  </r>
  <r>
    <s v="S1493"/>
    <s v="Rohit Iyer"/>
    <x v="1"/>
    <x v="1"/>
    <s v="B1"/>
    <s v="Amit"/>
    <x v="1"/>
    <n v="17840"/>
    <s v="DISC15"/>
    <m/>
    <n v="17000"/>
    <d v="2024-02-20T00:00:00"/>
  </r>
  <r>
    <s v="S1494"/>
    <s v="Pooja Patil"/>
    <x v="2"/>
    <x v="2"/>
    <s v="B2"/>
    <s v="Priya"/>
    <x v="1"/>
    <n v="13820"/>
    <s v="DISC30"/>
    <n v="0.3"/>
    <n v="13000"/>
    <d v="2024-01-09T00:00:00"/>
  </r>
  <r>
    <s v="S1495"/>
    <s v="Karan Desai"/>
    <x v="0"/>
    <x v="0"/>
    <s v="B3"/>
    <s v="Amit"/>
    <x v="2"/>
    <n v="15484"/>
    <s v="DISC15"/>
    <m/>
    <n v="14000"/>
    <d v="2024-01-03T00:00:00"/>
  </r>
  <r>
    <s v="S1496"/>
    <s v="Karan Joshi"/>
    <x v="1"/>
    <x v="1"/>
    <s v="B3"/>
    <s v="Saurabh"/>
    <x v="1"/>
    <n v="17316"/>
    <s v="DISC10"/>
    <n v="0.1"/>
    <n v="17000"/>
    <d v="2024-02-29T00:00:00"/>
  </r>
  <r>
    <s v="S1497"/>
    <s v="Neha Mehta"/>
    <x v="1"/>
    <x v="1"/>
    <s v="B3"/>
    <s v="Saurabh"/>
    <x v="0"/>
    <n v="16420"/>
    <s v="DISC30"/>
    <n v="0.3"/>
    <n v="17000"/>
    <d v="2024-01-11T00:00:00"/>
  </r>
  <r>
    <s v="S1498"/>
    <s v="Rohit Shah"/>
    <x v="1"/>
    <x v="1"/>
    <s v="B2"/>
    <s v="Saurabh"/>
    <x v="2"/>
    <n v="15858"/>
    <s v="DISC20"/>
    <n v="0.2"/>
    <n v="17000"/>
    <d v="2024-02-14T00:00:00"/>
  </r>
  <r>
    <s v="S1499"/>
    <s v="Riya Jain"/>
    <x v="1"/>
    <x v="1"/>
    <s v="B1"/>
    <s v="Amit"/>
    <x v="0"/>
    <n v="15197"/>
    <m/>
    <m/>
    <n v="17000"/>
    <d v="2024-01-29T00:00:00"/>
  </r>
  <r>
    <s v="S1500"/>
    <s v="Anjali Verma"/>
    <x v="2"/>
    <x v="2"/>
    <s v="B2"/>
    <s v="Priya"/>
    <x v="2"/>
    <n v="12438"/>
    <s v="DISC15"/>
    <m/>
    <n v="13000"/>
    <d v="2024-01-25T00:00:00"/>
  </r>
  <r>
    <s v="S1501"/>
    <s v="Riya Nair"/>
    <x v="3"/>
    <x v="3"/>
    <s v="B3"/>
    <s v="Amit"/>
    <x v="1"/>
    <n v="7923"/>
    <s v="DISC20"/>
    <n v="0.2"/>
    <n v="9000"/>
    <d v="2024-01-29T00:00:00"/>
  </r>
  <r>
    <s v="S1502"/>
    <s v="Riya Patel"/>
    <x v="0"/>
    <x v="0"/>
    <s v="B2"/>
    <s v="Saurabh"/>
    <x v="2"/>
    <n v="13069"/>
    <s v="DISC10"/>
    <n v="0.1"/>
    <n v="14000"/>
    <d v="2024-01-05T00:00:00"/>
  </r>
  <r>
    <s v="S1503"/>
    <s v="Pooja Mehta"/>
    <x v="3"/>
    <x v="3"/>
    <s v="B1"/>
    <s v="Amit"/>
    <x v="0"/>
    <n v="9240"/>
    <s v="DISC10"/>
    <n v="0.1"/>
    <n v="9000"/>
    <d v="2024-01-22T00:00:00"/>
  </r>
  <r>
    <s v="S1504"/>
    <s v="Kavita Joshi"/>
    <x v="3"/>
    <x v="3"/>
    <s v="B3"/>
    <s v="Saurabh"/>
    <x v="2"/>
    <n v="10860"/>
    <s v="DISC20"/>
    <n v="0.2"/>
    <n v="9000"/>
    <d v="2024-02-08T00:00:00"/>
  </r>
  <r>
    <s v="S1505"/>
    <s v="Kunal Verma"/>
    <x v="2"/>
    <x v="2"/>
    <s v="B1"/>
    <s v="Saurabh"/>
    <x v="2"/>
    <n v="11841"/>
    <s v="DISC20"/>
    <n v="0.2"/>
    <n v="13000"/>
    <d v="2024-01-27T00:00:00"/>
  </r>
  <r>
    <s v="S1506"/>
    <s v="Anjali Gupta"/>
    <x v="1"/>
    <x v="1"/>
    <s v="B3"/>
    <s v="Priya"/>
    <x v="2"/>
    <n v="15972"/>
    <s v="DISC10"/>
    <n v="0.1"/>
    <n v="17000"/>
    <d v="2024-01-04T00:00:00"/>
  </r>
  <r>
    <s v="S1507"/>
    <s v="Rahul Joshi"/>
    <x v="3"/>
    <x v="3"/>
    <s v="B1"/>
    <s v="Saurabh"/>
    <x v="2"/>
    <n v="7015"/>
    <m/>
    <m/>
    <n v="9000"/>
    <d v="2024-01-06T00:00:00"/>
  </r>
  <r>
    <s v="S1508"/>
    <s v="Aditya Nair"/>
    <x v="3"/>
    <x v="3"/>
    <s v="B1"/>
    <s v="Saurabh"/>
    <x v="0"/>
    <n v="7847"/>
    <s v="DISC20"/>
    <n v="0.2"/>
    <n v="9000"/>
    <d v="2024-02-10T00:00:00"/>
  </r>
  <r>
    <s v="S1509"/>
    <s v="Aditya Shah"/>
    <x v="3"/>
    <x v="3"/>
    <s v="B1"/>
    <s v="Priya"/>
    <x v="2"/>
    <n v="8928"/>
    <m/>
    <m/>
    <n v="9000"/>
    <d v="2024-02-27T00:00:00"/>
  </r>
  <r>
    <s v="S1510"/>
    <s v="Rohit Rao"/>
    <x v="0"/>
    <x v="0"/>
    <s v="B3"/>
    <s v="Amit"/>
    <x v="2"/>
    <n v="12757"/>
    <s v="DISC30"/>
    <n v="0.3"/>
    <n v="14000"/>
    <d v="2024-02-26T00:00:00"/>
  </r>
  <r>
    <s v="S1511"/>
    <s v="Rahul Jain"/>
    <x v="2"/>
    <x v="2"/>
    <s v="B2"/>
    <s v="Saurabh"/>
    <x v="2"/>
    <n v="12801"/>
    <m/>
    <m/>
    <n v="13000"/>
    <d v="2024-01-17T00:00:00"/>
  </r>
  <r>
    <s v="S1512"/>
    <s v="Sneha Nair"/>
    <x v="1"/>
    <x v="1"/>
    <s v="B3"/>
    <s v="Saurabh"/>
    <x v="0"/>
    <n v="18081"/>
    <s v="DISC10"/>
    <n v="0.1"/>
    <n v="17000"/>
    <d v="2024-01-06T00:00:00"/>
  </r>
  <r>
    <s v="S1513"/>
    <s v="Rohit Jain"/>
    <x v="3"/>
    <x v="3"/>
    <s v="B3"/>
    <s v="Saurabh"/>
    <x v="1"/>
    <n v="7249"/>
    <m/>
    <m/>
    <n v="9000"/>
    <d v="2024-02-22T00:00:00"/>
  </r>
  <r>
    <s v="S1514"/>
    <s v="Manish Verma"/>
    <x v="3"/>
    <x v="3"/>
    <s v="B3"/>
    <s v="Saurabh"/>
    <x v="2"/>
    <n v="8224"/>
    <s v="DISC10"/>
    <n v="0.1"/>
    <n v="9000"/>
    <d v="2024-01-26T00:00:00"/>
  </r>
  <r>
    <s v="S1515"/>
    <s v="Kunal Nair"/>
    <x v="0"/>
    <x v="0"/>
    <s v="B3"/>
    <s v="Amit"/>
    <x v="1"/>
    <n v="15278"/>
    <s v="DISC15"/>
    <m/>
    <n v="14000"/>
    <d v="2024-02-13T00:00:00"/>
  </r>
  <r>
    <s v="S1516"/>
    <s v="Kavita Mehta"/>
    <x v="0"/>
    <x v="0"/>
    <s v="B2"/>
    <s v="Saurabh"/>
    <x v="0"/>
    <n v="15981"/>
    <s v="DISC20"/>
    <n v="0.2"/>
    <n v="14000"/>
    <d v="2024-02-21T00:00:00"/>
  </r>
  <r>
    <s v="S1517"/>
    <s v="Sneha Mehta"/>
    <x v="0"/>
    <x v="0"/>
    <s v="B2"/>
    <s v="Saurabh"/>
    <x v="1"/>
    <n v="13783"/>
    <s v="DISC20"/>
    <n v="0.2"/>
    <n v="14000"/>
    <d v="2024-02-22T00:00:00"/>
  </r>
  <r>
    <s v="S1518"/>
    <s v="Rohit Mehta"/>
    <x v="1"/>
    <x v="1"/>
    <s v="B2"/>
    <s v="Amit"/>
    <x v="0"/>
    <n v="15356"/>
    <m/>
    <m/>
    <n v="17000"/>
    <d v="2024-02-05T00:00:00"/>
  </r>
  <r>
    <s v="S1519"/>
    <s v="Rahul Gupta"/>
    <x v="1"/>
    <x v="1"/>
    <s v="B2"/>
    <s v="Amit"/>
    <x v="2"/>
    <n v="18756"/>
    <s v="DISC10"/>
    <n v="0.1"/>
    <n v="17000"/>
    <d v="2024-02-20T00:00:00"/>
  </r>
  <r>
    <s v="S1520"/>
    <s v="Anjali Joshi"/>
    <x v="3"/>
    <x v="3"/>
    <s v="B1"/>
    <s v="Priya"/>
    <x v="0"/>
    <n v="7607"/>
    <s v="DISC15"/>
    <m/>
    <n v="9000"/>
    <d v="2024-02-07T00:00:00"/>
  </r>
  <r>
    <s v="S1521"/>
    <s v="Kavita Patel"/>
    <x v="0"/>
    <x v="0"/>
    <s v="B1"/>
    <s v="Amit"/>
    <x v="0"/>
    <n v="15218"/>
    <s v="DISC30"/>
    <n v="0.3"/>
    <n v="14000"/>
    <d v="2024-02-25T00:00:00"/>
  </r>
  <r>
    <s v="S1522"/>
    <s v="Manish Jain"/>
    <x v="3"/>
    <x v="3"/>
    <s v="B2"/>
    <s v="Priya"/>
    <x v="1"/>
    <n v="8988"/>
    <s v="DISC15"/>
    <m/>
    <n v="9000"/>
    <d v="2024-02-08T00:00:00"/>
  </r>
  <r>
    <s v="S1523"/>
    <s v="Neha Kulkarni"/>
    <x v="2"/>
    <x v="2"/>
    <s v="B2"/>
    <s v="Priya"/>
    <x v="0"/>
    <n v="13532"/>
    <s v="DISC15"/>
    <m/>
    <n v="13000"/>
    <d v="2024-02-13T00:00:00"/>
  </r>
  <r>
    <s v="S1524"/>
    <s v="Anjali Verma"/>
    <x v="0"/>
    <x v="0"/>
    <s v="B2"/>
    <s v="Priya"/>
    <x v="1"/>
    <n v="12973"/>
    <s v="DISC10"/>
    <n v="0.1"/>
    <n v="14000"/>
    <d v="2024-02-17T00:00:00"/>
  </r>
  <r>
    <s v="S1525"/>
    <s v="Neha Rao"/>
    <x v="1"/>
    <x v="1"/>
    <s v="B1"/>
    <s v="Priya"/>
    <x v="2"/>
    <n v="16273"/>
    <s v="DISC30"/>
    <n v="0.3"/>
    <n v="17000"/>
    <d v="2024-02-23T00:00:00"/>
  </r>
  <r>
    <s v="S1526"/>
    <s v="Neha Nair"/>
    <x v="0"/>
    <x v="0"/>
    <s v="B1"/>
    <s v="Saurabh"/>
    <x v="2"/>
    <n v="15990"/>
    <m/>
    <m/>
    <n v="14000"/>
    <d v="2024-02-19T00:00:00"/>
  </r>
  <r>
    <s v="S1527"/>
    <s v="Meera Jain"/>
    <x v="1"/>
    <x v="1"/>
    <s v="B3"/>
    <s v="Priya"/>
    <x v="1"/>
    <n v="17644"/>
    <s v="DISC10"/>
    <n v="0.1"/>
    <n v="17000"/>
    <d v="2024-01-13T00:00:00"/>
  </r>
  <r>
    <s v="S1528"/>
    <s v="Neha Patil"/>
    <x v="3"/>
    <x v="3"/>
    <s v="B3"/>
    <s v="Priya"/>
    <x v="1"/>
    <n v="10552"/>
    <s v="DISC30"/>
    <n v="0.3"/>
    <n v="9000"/>
    <d v="2024-02-22T00:00:00"/>
  </r>
  <r>
    <s v="S1529"/>
    <s v="Aarav Gupta"/>
    <x v="2"/>
    <x v="2"/>
    <s v="B1"/>
    <s v="Priya"/>
    <x v="1"/>
    <n v="13075"/>
    <m/>
    <m/>
    <n v="13000"/>
    <d v="2024-01-09T00:00:00"/>
  </r>
  <r>
    <s v="S1530"/>
    <s v="Dev Nair"/>
    <x v="0"/>
    <x v="0"/>
    <s v="B1"/>
    <s v="Saurabh"/>
    <x v="0"/>
    <n v="15428"/>
    <s v="DISC10"/>
    <n v="0.1"/>
    <n v="14000"/>
    <d v="2024-01-16T00:00:00"/>
  </r>
  <r>
    <s v="S1531"/>
    <s v="Aarav Iyer"/>
    <x v="0"/>
    <x v="0"/>
    <s v="B2"/>
    <s v="Amit"/>
    <x v="0"/>
    <n v="13122"/>
    <s v="DISC30"/>
    <n v="0.3"/>
    <n v="14000"/>
    <d v="2024-02-22T00:00:00"/>
  </r>
  <r>
    <s v="S1532"/>
    <s v="Neha Gupta"/>
    <x v="3"/>
    <x v="3"/>
    <s v="B3"/>
    <s v="Saurabh"/>
    <x v="1"/>
    <n v="7125"/>
    <s v="DISC20"/>
    <n v="0.2"/>
    <n v="9000"/>
    <d v="2024-01-24T00:00:00"/>
  </r>
  <r>
    <s v="S1533"/>
    <s v="Neha Joshi"/>
    <x v="3"/>
    <x v="3"/>
    <s v="B1"/>
    <s v="Priya"/>
    <x v="1"/>
    <n v="9258"/>
    <s v="DISC30"/>
    <n v="0.3"/>
    <n v="9000"/>
    <d v="2024-01-23T00:00:00"/>
  </r>
  <r>
    <s v="S1534"/>
    <s v="Karan Nair"/>
    <x v="1"/>
    <x v="1"/>
    <s v="B3"/>
    <s v="Amit"/>
    <x v="0"/>
    <n v="16167"/>
    <s v="DISC10"/>
    <n v="0.1"/>
    <n v="17000"/>
    <d v="2024-01-25T00:00:00"/>
  </r>
  <r>
    <s v="S1535"/>
    <s v="Aarav Mehta"/>
    <x v="2"/>
    <x v="2"/>
    <s v="B1"/>
    <s v="Amit"/>
    <x v="0"/>
    <n v="13775"/>
    <s v="DISC20"/>
    <n v="0.2"/>
    <n v="13000"/>
    <d v="2024-01-18T00:00:00"/>
  </r>
  <r>
    <s v="S1536"/>
    <s v="Rohit Verma"/>
    <x v="0"/>
    <x v="0"/>
    <s v="B3"/>
    <s v="Saurabh"/>
    <x v="2"/>
    <n v="15733"/>
    <s v="DISC20"/>
    <n v="0.2"/>
    <n v="14000"/>
    <d v="2024-02-11T00:00:00"/>
  </r>
  <r>
    <s v="S1537"/>
    <s v="Karan Joshi"/>
    <x v="0"/>
    <x v="0"/>
    <s v="B1"/>
    <s v="Priya"/>
    <x v="1"/>
    <n v="15297"/>
    <s v="DISC30"/>
    <n v="0.3"/>
    <n v="14000"/>
    <d v="2024-02-15T00:00:00"/>
  </r>
  <r>
    <s v="S1538"/>
    <s v="Anjali Singh"/>
    <x v="1"/>
    <x v="1"/>
    <s v="B2"/>
    <s v="Priya"/>
    <x v="2"/>
    <n v="16880"/>
    <s v="DISC30"/>
    <n v="0.3"/>
    <n v="17000"/>
    <d v="2024-01-14T00:00:00"/>
  </r>
  <r>
    <s v="S1539"/>
    <s v="Neha Rao"/>
    <x v="3"/>
    <x v="3"/>
    <s v="B3"/>
    <s v="Saurabh"/>
    <x v="0"/>
    <n v="9095"/>
    <s v="DISC30"/>
    <n v="0.3"/>
    <n v="9000"/>
    <d v="2024-02-05T00:00:00"/>
  </r>
  <r>
    <s v="S1540"/>
    <s v="Rohit Joshi"/>
    <x v="1"/>
    <x v="1"/>
    <s v="B2"/>
    <s v="Amit"/>
    <x v="0"/>
    <n v="16973"/>
    <s v="DISC10"/>
    <n v="0.1"/>
    <n v="17000"/>
    <d v="2024-01-22T00:00:00"/>
  </r>
  <r>
    <s v="S1541"/>
    <s v="Aditya Singh"/>
    <x v="1"/>
    <x v="1"/>
    <s v="B2"/>
    <s v="Priya"/>
    <x v="1"/>
    <n v="17912"/>
    <s v="DISC30"/>
    <n v="0.3"/>
    <n v="17000"/>
    <d v="2024-01-13T00:00:00"/>
  </r>
  <r>
    <s v="S1542"/>
    <s v="Karan Gupta"/>
    <x v="2"/>
    <x v="2"/>
    <s v="B1"/>
    <s v="Amit"/>
    <x v="2"/>
    <n v="13705"/>
    <s v="DISC30"/>
    <n v="0.3"/>
    <n v="13000"/>
    <d v="2024-02-13T00:00:00"/>
  </r>
  <r>
    <s v="S1543"/>
    <s v="Karan Desai"/>
    <x v="0"/>
    <x v="0"/>
    <s v="B3"/>
    <s v="Priya"/>
    <x v="2"/>
    <n v="13062"/>
    <m/>
    <m/>
    <n v="14000"/>
    <d v="2024-01-26T00:00:00"/>
  </r>
  <r>
    <s v="S1544"/>
    <s v="Rahul Desai"/>
    <x v="0"/>
    <x v="0"/>
    <s v="B3"/>
    <s v="Amit"/>
    <x v="1"/>
    <n v="15342"/>
    <s v="DISC20"/>
    <n v="0.2"/>
    <n v="14000"/>
    <d v="2024-01-22T00:00:00"/>
  </r>
  <r>
    <s v="S1545"/>
    <s v="Anjali Desai"/>
    <x v="2"/>
    <x v="2"/>
    <s v="B3"/>
    <s v="Amit"/>
    <x v="1"/>
    <n v="14214"/>
    <m/>
    <m/>
    <n v="13000"/>
    <d v="2024-02-28T00:00:00"/>
  </r>
  <r>
    <s v="S1546"/>
    <s v="Rohit Jain"/>
    <x v="1"/>
    <x v="1"/>
    <s v="B1"/>
    <s v="Amit"/>
    <x v="1"/>
    <n v="15741"/>
    <s v="DISC30"/>
    <n v="0.3"/>
    <n v="17000"/>
    <d v="2024-01-07T00:00:00"/>
  </r>
  <r>
    <s v="S1547"/>
    <s v="Neha Mehta"/>
    <x v="1"/>
    <x v="1"/>
    <s v="B3"/>
    <s v="Amit"/>
    <x v="0"/>
    <n v="18878"/>
    <s v="DISC30"/>
    <n v="0.3"/>
    <n v="17000"/>
    <d v="2024-02-11T00:00:00"/>
  </r>
  <r>
    <s v="S1548"/>
    <s v="Riya Patil"/>
    <x v="1"/>
    <x v="1"/>
    <s v="B1"/>
    <s v="Amit"/>
    <x v="2"/>
    <n v="16722"/>
    <s v="DISC30"/>
    <n v="0.3"/>
    <n v="17000"/>
    <d v="2024-01-24T00:00:00"/>
  </r>
  <r>
    <s v="S1549"/>
    <s v="Aditya Joshi"/>
    <x v="1"/>
    <x v="1"/>
    <s v="B2"/>
    <s v="Saurabh"/>
    <x v="2"/>
    <n v="15219"/>
    <s v="DISC15"/>
    <m/>
    <n v="17000"/>
    <d v="2024-02-07T00:00:00"/>
  </r>
  <r>
    <s v="S1550"/>
    <s v="Kavita Shah"/>
    <x v="3"/>
    <x v="3"/>
    <s v="B1"/>
    <s v="Amit"/>
    <x v="0"/>
    <n v="10553"/>
    <m/>
    <m/>
    <n v="9000"/>
    <d v="2024-02-03T00:00:00"/>
  </r>
  <r>
    <s v="S1551"/>
    <s v="Aditya Verma"/>
    <x v="0"/>
    <x v="0"/>
    <s v="B1"/>
    <s v="Saurabh"/>
    <x v="0"/>
    <n v="13403"/>
    <m/>
    <m/>
    <n v="14000"/>
    <d v="2024-02-06T00:00:00"/>
  </r>
  <r>
    <s v="S1552"/>
    <s v="Kunal Iyer"/>
    <x v="2"/>
    <x v="2"/>
    <s v="B2"/>
    <s v="Amit"/>
    <x v="0"/>
    <n v="14190"/>
    <s v="DISC10"/>
    <n v="0.1"/>
    <n v="13000"/>
    <d v="2024-02-01T00:00:00"/>
  </r>
  <r>
    <s v="S1553"/>
    <s v="Pooja Singh"/>
    <x v="2"/>
    <x v="2"/>
    <s v="B2"/>
    <s v="Amit"/>
    <x v="0"/>
    <n v="11019"/>
    <m/>
    <m/>
    <n v="13000"/>
    <d v="2024-01-18T00:00:00"/>
  </r>
  <r>
    <s v="S1554"/>
    <s v="Sneha Patel"/>
    <x v="2"/>
    <x v="2"/>
    <s v="B3"/>
    <s v="Saurabh"/>
    <x v="2"/>
    <n v="14216"/>
    <s v="DISC10"/>
    <n v="0.1"/>
    <n v="13000"/>
    <d v="2024-01-09T00:00:00"/>
  </r>
  <r>
    <s v="S1555"/>
    <s v="Kavita Verma"/>
    <x v="3"/>
    <x v="3"/>
    <s v="B2"/>
    <s v="Priya"/>
    <x v="2"/>
    <n v="8570"/>
    <s v="DISC10"/>
    <n v="0.1"/>
    <n v="9000"/>
    <d v="2024-01-03T00:00:00"/>
  </r>
  <r>
    <s v="S1556"/>
    <s v="Manish Patil"/>
    <x v="1"/>
    <x v="1"/>
    <s v="B1"/>
    <s v="Priya"/>
    <x v="1"/>
    <n v="15780"/>
    <s v="DISC10"/>
    <n v="0.1"/>
    <n v="17000"/>
    <d v="2024-02-13T00:00:00"/>
  </r>
  <r>
    <s v="S1557"/>
    <s v="Aarav Singh"/>
    <x v="2"/>
    <x v="2"/>
    <s v="B1"/>
    <s v="Amit"/>
    <x v="2"/>
    <n v="12278"/>
    <s v="DISC20"/>
    <n v="0.2"/>
    <n v="13000"/>
    <d v="2024-01-07T00:00:00"/>
  </r>
  <r>
    <s v="S1558"/>
    <s v="Rahul Gupta"/>
    <x v="1"/>
    <x v="1"/>
    <s v="B1"/>
    <s v="Saurabh"/>
    <x v="0"/>
    <n v="16221"/>
    <s v="DISC30"/>
    <n v="0.3"/>
    <n v="17000"/>
    <d v="2024-01-30T00:00:00"/>
  </r>
  <r>
    <s v="S1559"/>
    <s v="Anjali Gupta"/>
    <x v="1"/>
    <x v="1"/>
    <s v="B2"/>
    <s v="Amit"/>
    <x v="0"/>
    <n v="16403"/>
    <m/>
    <m/>
    <n v="17000"/>
    <d v="2024-01-23T00:00:00"/>
  </r>
  <r>
    <s v="S1560"/>
    <s v="Dev Patil"/>
    <x v="2"/>
    <x v="2"/>
    <s v="B2"/>
    <s v="Saurabh"/>
    <x v="0"/>
    <n v="11918"/>
    <s v="DISC20"/>
    <n v="0.2"/>
    <n v="13000"/>
    <d v="2024-01-14T00:00:00"/>
  </r>
  <r>
    <s v="S1561"/>
    <s v="Anjali Kulkarni"/>
    <x v="2"/>
    <x v="2"/>
    <s v="B1"/>
    <s v="Priya"/>
    <x v="1"/>
    <n v="13664"/>
    <s v="DISC10"/>
    <n v="0.1"/>
    <n v="13000"/>
    <d v="2024-01-25T00:00:00"/>
  </r>
  <r>
    <s v="S1562"/>
    <s v="Kunal Singh"/>
    <x v="1"/>
    <x v="1"/>
    <s v="B3"/>
    <s v="Amit"/>
    <x v="0"/>
    <n v="17432"/>
    <s v="DISC10"/>
    <n v="0.1"/>
    <n v="17000"/>
    <d v="2024-02-12T00:00:00"/>
  </r>
  <r>
    <s v="S1563"/>
    <s v="Riya Singh"/>
    <x v="0"/>
    <x v="0"/>
    <s v="B1"/>
    <s v="Amit"/>
    <x v="0"/>
    <n v="13707"/>
    <m/>
    <m/>
    <n v="14000"/>
    <d v="2024-01-25T00:00:00"/>
  </r>
  <r>
    <s v="S1564"/>
    <s v="Riya Gupta"/>
    <x v="1"/>
    <x v="1"/>
    <s v="B2"/>
    <s v="Amit"/>
    <x v="0"/>
    <n v="15841"/>
    <s v="DISC10"/>
    <n v="0.1"/>
    <n v="17000"/>
    <d v="2024-01-20T00:00:00"/>
  </r>
  <r>
    <s v="S1565"/>
    <s v="Rahul Singh"/>
    <x v="0"/>
    <x v="0"/>
    <s v="B3"/>
    <s v="Amit"/>
    <x v="2"/>
    <n v="14550"/>
    <s v="DISC15"/>
    <m/>
    <n v="14000"/>
    <d v="2024-02-14T00:00:00"/>
  </r>
  <r>
    <s v="S1566"/>
    <s v="Karan Verma"/>
    <x v="0"/>
    <x v="0"/>
    <s v="B3"/>
    <s v="Amit"/>
    <x v="1"/>
    <n v="12482"/>
    <s v="DISC30"/>
    <n v="0.3"/>
    <n v="14000"/>
    <d v="2024-01-08T00:00:00"/>
  </r>
  <r>
    <s v="S1567"/>
    <s v="Dev Shah"/>
    <x v="3"/>
    <x v="3"/>
    <s v="B1"/>
    <s v="Amit"/>
    <x v="0"/>
    <n v="10186"/>
    <s v="DISC30"/>
    <n v="0.3"/>
    <n v="9000"/>
    <d v="2024-02-23T00:00:00"/>
  </r>
  <r>
    <s v="S1568"/>
    <s v="Manish Patil"/>
    <x v="1"/>
    <x v="1"/>
    <s v="B3"/>
    <s v="Priya"/>
    <x v="2"/>
    <n v="15656"/>
    <s v="DISC10"/>
    <n v="0.1"/>
    <n v="17000"/>
    <d v="2024-02-05T00:00:00"/>
  </r>
  <r>
    <s v="S1569"/>
    <s v="Neha Patil"/>
    <x v="3"/>
    <x v="3"/>
    <s v="B2"/>
    <s v="Saurabh"/>
    <x v="0"/>
    <n v="7052"/>
    <s v="DISC10"/>
    <n v="0.1"/>
    <n v="9000"/>
    <d v="2024-02-28T00:00:00"/>
  </r>
  <r>
    <s v="S1570"/>
    <s v="Riya Nair"/>
    <x v="3"/>
    <x v="3"/>
    <s v="B1"/>
    <s v="Saurabh"/>
    <x v="1"/>
    <n v="7307"/>
    <s v="DISC10"/>
    <n v="0.1"/>
    <n v="9000"/>
    <d v="2024-02-27T00:00:00"/>
  </r>
  <r>
    <s v="S1571"/>
    <s v="Aditya Singh"/>
    <x v="2"/>
    <x v="2"/>
    <s v="B2"/>
    <s v="Priya"/>
    <x v="2"/>
    <n v="12901"/>
    <s v="DISC10"/>
    <n v="0.1"/>
    <n v="13000"/>
    <d v="2024-01-07T00:00:00"/>
  </r>
  <r>
    <s v="S1572"/>
    <s v="Meera Mehta"/>
    <x v="0"/>
    <x v="0"/>
    <s v="B2"/>
    <s v="Priya"/>
    <x v="1"/>
    <n v="13280"/>
    <m/>
    <m/>
    <n v="14000"/>
    <d v="2024-02-17T00:00:00"/>
  </r>
  <r>
    <s v="S1573"/>
    <s v="Riya Shah"/>
    <x v="0"/>
    <x v="0"/>
    <s v="B1"/>
    <s v="Saurabh"/>
    <x v="1"/>
    <n v="14650"/>
    <s v="DISC20"/>
    <n v="0.2"/>
    <n v="14000"/>
    <d v="2024-01-22T00:00:00"/>
  </r>
  <r>
    <s v="S1574"/>
    <s v="Pooja Iyer"/>
    <x v="1"/>
    <x v="1"/>
    <s v="B3"/>
    <s v="Saurabh"/>
    <x v="2"/>
    <n v="18338"/>
    <s v="DISC30"/>
    <n v="0.3"/>
    <n v="17000"/>
    <d v="2024-01-12T00:00:00"/>
  </r>
  <r>
    <s v="S1575"/>
    <s v="Riya Verma"/>
    <x v="3"/>
    <x v="3"/>
    <s v="B2"/>
    <s v="Priya"/>
    <x v="2"/>
    <n v="9825"/>
    <m/>
    <m/>
    <n v="9000"/>
    <d v="2024-02-21T00:00:00"/>
  </r>
  <r>
    <s v="S1576"/>
    <s v="Rahul Singh"/>
    <x v="2"/>
    <x v="2"/>
    <s v="B1"/>
    <s v="Saurabh"/>
    <x v="1"/>
    <n v="13975"/>
    <s v="DISC10"/>
    <n v="0.1"/>
    <n v="13000"/>
    <d v="2024-03-01T00:00:00"/>
  </r>
  <r>
    <s v="S1577"/>
    <s v="Meera Mehta"/>
    <x v="0"/>
    <x v="0"/>
    <s v="B2"/>
    <s v="Amit"/>
    <x v="2"/>
    <n v="15286"/>
    <s v="DISC15"/>
    <m/>
    <n v="14000"/>
    <d v="2024-02-13T00:00:00"/>
  </r>
  <r>
    <s v="S1578"/>
    <s v="Neha Mehta"/>
    <x v="3"/>
    <x v="3"/>
    <s v="B2"/>
    <s v="Amit"/>
    <x v="0"/>
    <n v="10533"/>
    <s v="DISC20"/>
    <n v="0.2"/>
    <n v="9000"/>
    <d v="2024-01-31T00:00:00"/>
  </r>
  <r>
    <s v="S1579"/>
    <s v="Kunal Iyer"/>
    <x v="0"/>
    <x v="0"/>
    <s v="B2"/>
    <s v="Priya"/>
    <x v="0"/>
    <n v="12259"/>
    <s v="DISC30"/>
    <n v="0.3"/>
    <n v="14000"/>
    <d v="2024-02-11T00:00:00"/>
  </r>
  <r>
    <s v="S1580"/>
    <s v="Pooja Kulkarni"/>
    <x v="2"/>
    <x v="2"/>
    <s v="B3"/>
    <s v="Priya"/>
    <x v="1"/>
    <n v="13142"/>
    <s v="DISC15"/>
    <m/>
    <n v="13000"/>
    <d v="2024-01-07T00:00:00"/>
  </r>
  <r>
    <s v="S1581"/>
    <s v="Rahul Singh"/>
    <x v="2"/>
    <x v="2"/>
    <s v="B2"/>
    <s v="Priya"/>
    <x v="1"/>
    <n v="13770"/>
    <m/>
    <m/>
    <n v="13000"/>
    <d v="2024-01-10T00:00:00"/>
  </r>
  <r>
    <s v="S1582"/>
    <s v="Meera Nair"/>
    <x v="0"/>
    <x v="0"/>
    <s v="B1"/>
    <s v="Amit"/>
    <x v="0"/>
    <n v="14070"/>
    <m/>
    <m/>
    <n v="14000"/>
    <d v="2024-02-24T00:00:00"/>
  </r>
  <r>
    <s v="S1583"/>
    <s v="Neha Nair"/>
    <x v="2"/>
    <x v="2"/>
    <s v="B1"/>
    <s v="Priya"/>
    <x v="2"/>
    <n v="11986"/>
    <s v="DISC30"/>
    <n v="0.3"/>
    <n v="13000"/>
    <d v="2024-01-18T00:00:00"/>
  </r>
  <r>
    <s v="S1584"/>
    <s v="Aarav Gupta"/>
    <x v="2"/>
    <x v="2"/>
    <s v="B3"/>
    <s v="Amit"/>
    <x v="2"/>
    <n v="12651"/>
    <s v="DISC20"/>
    <n v="0.2"/>
    <n v="13000"/>
    <d v="2024-01-06T00:00:00"/>
  </r>
  <r>
    <s v="S1585"/>
    <s v="Neha Iyer"/>
    <x v="3"/>
    <x v="3"/>
    <s v="B1"/>
    <s v="Priya"/>
    <x v="2"/>
    <n v="8294"/>
    <s v="DISC10"/>
    <n v="0.1"/>
    <n v="9000"/>
    <d v="2024-02-01T00:00:00"/>
  </r>
  <r>
    <s v="S1586"/>
    <s v="Anjali Singh"/>
    <x v="0"/>
    <x v="0"/>
    <s v="B1"/>
    <s v="Priya"/>
    <x v="2"/>
    <n v="12146"/>
    <s v="DISC15"/>
    <m/>
    <n v="14000"/>
    <d v="2024-02-05T00:00:00"/>
  </r>
  <r>
    <s v="S1587"/>
    <s v="Aarav Nair"/>
    <x v="0"/>
    <x v="0"/>
    <s v="B3"/>
    <s v="Amit"/>
    <x v="1"/>
    <n v="13247"/>
    <s v="DISC15"/>
    <m/>
    <n v="14000"/>
    <d v="2024-02-05T00:00:00"/>
  </r>
  <r>
    <s v="S1588"/>
    <s v="Sneha Singh"/>
    <x v="3"/>
    <x v="3"/>
    <s v="B2"/>
    <s v="Priya"/>
    <x v="0"/>
    <n v="10344"/>
    <s v="DISC20"/>
    <n v="0.2"/>
    <n v="9000"/>
    <d v="2024-02-24T00:00:00"/>
  </r>
  <r>
    <s v="S1589"/>
    <s v="Neha Jain"/>
    <x v="3"/>
    <x v="3"/>
    <s v="B3"/>
    <s v="Amit"/>
    <x v="2"/>
    <n v="9932"/>
    <m/>
    <m/>
    <n v="9000"/>
    <d v="2024-01-08T00:00:00"/>
  </r>
  <r>
    <s v="S1590"/>
    <s v="Riya Patel"/>
    <x v="2"/>
    <x v="2"/>
    <s v="B1"/>
    <s v="Priya"/>
    <x v="2"/>
    <n v="14399"/>
    <s v="DISC30"/>
    <n v="0.3"/>
    <n v="13000"/>
    <d v="2024-02-05T00:00:00"/>
  </r>
  <r>
    <s v="S1591"/>
    <s v="Manish Jain"/>
    <x v="0"/>
    <x v="0"/>
    <s v="B1"/>
    <s v="Saurabh"/>
    <x v="2"/>
    <n v="12575"/>
    <m/>
    <m/>
    <n v="14000"/>
    <d v="2024-01-07T00:00:00"/>
  </r>
  <r>
    <s v="S1592"/>
    <s v="Aditya Joshi"/>
    <x v="2"/>
    <x v="2"/>
    <s v="B1"/>
    <s v="Saurabh"/>
    <x v="2"/>
    <n v="11883"/>
    <m/>
    <m/>
    <n v="13000"/>
    <d v="2024-02-22T00:00:00"/>
  </r>
  <r>
    <s v="S1593"/>
    <s v="Dev Patil"/>
    <x v="1"/>
    <x v="1"/>
    <s v="B1"/>
    <s v="Priya"/>
    <x v="0"/>
    <n v="18795"/>
    <s v="DISC15"/>
    <m/>
    <n v="17000"/>
    <d v="2024-01-08T00:00:00"/>
  </r>
  <r>
    <s v="S1594"/>
    <s v="Dev Iyer"/>
    <x v="3"/>
    <x v="3"/>
    <s v="B3"/>
    <s v="Amit"/>
    <x v="1"/>
    <n v="7551"/>
    <m/>
    <m/>
    <n v="9000"/>
    <d v="2024-01-01T00:00:00"/>
  </r>
  <r>
    <s v="S1595"/>
    <s v="Manish Desai"/>
    <x v="0"/>
    <x v="0"/>
    <s v="B3"/>
    <s v="Priya"/>
    <x v="1"/>
    <n v="13978"/>
    <s v="DISC15"/>
    <m/>
    <n v="14000"/>
    <d v="2024-02-19T00:00:00"/>
  </r>
  <r>
    <s v="S1596"/>
    <s v="Kunal Mehta"/>
    <x v="2"/>
    <x v="2"/>
    <s v="B3"/>
    <s v="Saurabh"/>
    <x v="0"/>
    <n v="12586"/>
    <s v="DISC15"/>
    <m/>
    <n v="13000"/>
    <d v="2024-02-08T00:00:00"/>
  </r>
  <r>
    <s v="S1597"/>
    <s v="Kunal Jain"/>
    <x v="3"/>
    <x v="3"/>
    <s v="B2"/>
    <s v="Amit"/>
    <x v="1"/>
    <n v="10122"/>
    <s v="DISC20"/>
    <n v="0.2"/>
    <n v="9000"/>
    <d v="2024-01-18T00:00:00"/>
  </r>
  <r>
    <s v="S1598"/>
    <s v="Rahul Jain"/>
    <x v="1"/>
    <x v="1"/>
    <s v="B2"/>
    <s v="Saurabh"/>
    <x v="0"/>
    <n v="16690"/>
    <s v="DISC15"/>
    <m/>
    <n v="17000"/>
    <d v="2024-02-14T00:00:00"/>
  </r>
  <r>
    <s v="S1599"/>
    <s v="Kunal Desai"/>
    <x v="1"/>
    <x v="1"/>
    <s v="B3"/>
    <s v="Amit"/>
    <x v="2"/>
    <n v="17915"/>
    <s v="DISC15"/>
    <m/>
    <n v="17000"/>
    <d v="2024-02-10T00:00:00"/>
  </r>
  <r>
    <s v="S1600"/>
    <s v="Sneha Patil"/>
    <x v="2"/>
    <x v="2"/>
    <s v="B3"/>
    <s v="Amit"/>
    <x v="2"/>
    <n v="13812"/>
    <s v="DISC30"/>
    <n v="0.3"/>
    <n v="13000"/>
    <d v="2024-02-28T00:00:00"/>
  </r>
  <r>
    <s v="S1601"/>
    <s v="Rohit Mehta"/>
    <x v="2"/>
    <x v="2"/>
    <s v="B3"/>
    <s v="Amit"/>
    <x v="1"/>
    <n v="13608"/>
    <s v="DISC30"/>
    <n v="0.3"/>
    <n v="13000"/>
    <d v="2024-02-15T00:00:00"/>
  </r>
  <r>
    <s v="S1602"/>
    <s v="Riya Patel"/>
    <x v="1"/>
    <x v="1"/>
    <s v="B3"/>
    <s v="Priya"/>
    <x v="1"/>
    <n v="17337"/>
    <m/>
    <m/>
    <n v="17000"/>
    <d v="2024-02-13T00:00:00"/>
  </r>
  <r>
    <s v="S1603"/>
    <s v="Anjali Nair"/>
    <x v="1"/>
    <x v="1"/>
    <s v="B2"/>
    <s v="Saurabh"/>
    <x v="1"/>
    <n v="15436"/>
    <s v="DISC10"/>
    <n v="0.1"/>
    <n v="17000"/>
    <d v="2024-01-25T00:00:00"/>
  </r>
  <r>
    <s v="S1604"/>
    <s v="Karan Kulkarni"/>
    <x v="0"/>
    <x v="0"/>
    <s v="B1"/>
    <s v="Priya"/>
    <x v="0"/>
    <n v="13173"/>
    <s v="DISC30"/>
    <n v="0.3"/>
    <n v="14000"/>
    <d v="2024-01-10T00:00:00"/>
  </r>
  <r>
    <s v="S1605"/>
    <s v="Meera Kulkarni"/>
    <x v="1"/>
    <x v="1"/>
    <s v="B1"/>
    <s v="Amit"/>
    <x v="0"/>
    <n v="16469"/>
    <m/>
    <m/>
    <n v="17000"/>
    <d v="2024-01-07T00:00:00"/>
  </r>
  <r>
    <s v="S1606"/>
    <s v="Kavita Nair"/>
    <x v="2"/>
    <x v="2"/>
    <s v="B3"/>
    <s v="Amit"/>
    <x v="1"/>
    <n v="12592"/>
    <s v="DISC20"/>
    <n v="0.2"/>
    <n v="13000"/>
    <d v="2024-02-02T00:00:00"/>
  </r>
  <r>
    <s v="S1607"/>
    <s v="Dev Patel"/>
    <x v="1"/>
    <x v="1"/>
    <s v="B3"/>
    <s v="Amit"/>
    <x v="0"/>
    <n v="18794"/>
    <m/>
    <m/>
    <n v="17000"/>
    <d v="2024-01-25T00:00:00"/>
  </r>
  <r>
    <s v="S1608"/>
    <s v="Rahul Patel"/>
    <x v="1"/>
    <x v="1"/>
    <s v="B3"/>
    <s v="Saurabh"/>
    <x v="0"/>
    <n v="18046"/>
    <s v="DISC30"/>
    <n v="0.3"/>
    <n v="17000"/>
    <d v="2024-01-13T00:00:00"/>
  </r>
  <r>
    <s v="S1609"/>
    <s v="Kavita Nair"/>
    <x v="3"/>
    <x v="3"/>
    <s v="B1"/>
    <s v="Amit"/>
    <x v="1"/>
    <n v="9906"/>
    <s v="DISC30"/>
    <n v="0.3"/>
    <n v="9000"/>
    <d v="2024-02-18T00:00:00"/>
  </r>
  <r>
    <s v="S1610"/>
    <s v="Kavita Gupta"/>
    <x v="2"/>
    <x v="2"/>
    <s v="B3"/>
    <s v="Saurabh"/>
    <x v="2"/>
    <n v="12838"/>
    <s v="DISC20"/>
    <n v="0.2"/>
    <n v="13000"/>
    <d v="2024-02-13T00:00:00"/>
  </r>
  <r>
    <s v="S1611"/>
    <s v="Riya Mehta"/>
    <x v="2"/>
    <x v="2"/>
    <s v="B3"/>
    <s v="Amit"/>
    <x v="0"/>
    <n v="12545"/>
    <s v="DISC10"/>
    <n v="0.1"/>
    <n v="13000"/>
    <d v="2024-01-28T00:00:00"/>
  </r>
  <r>
    <s v="S1612"/>
    <s v="Aditya Gupta"/>
    <x v="1"/>
    <x v="1"/>
    <s v="B1"/>
    <s v="Saurabh"/>
    <x v="1"/>
    <n v="18465"/>
    <s v="DISC30"/>
    <n v="0.3"/>
    <n v="17000"/>
    <d v="2024-01-01T00:00:00"/>
  </r>
  <r>
    <s v="S1613"/>
    <s v="Pooja Iyer"/>
    <x v="2"/>
    <x v="2"/>
    <s v="B1"/>
    <s v="Saurabh"/>
    <x v="2"/>
    <n v="13444"/>
    <s v="DISC10"/>
    <n v="0.1"/>
    <n v="13000"/>
    <d v="2024-02-19T00:00:00"/>
  </r>
  <r>
    <s v="S1614"/>
    <s v="Kunal Singh"/>
    <x v="1"/>
    <x v="1"/>
    <s v="B2"/>
    <s v="Amit"/>
    <x v="1"/>
    <n v="16466"/>
    <s v="DISC10"/>
    <n v="0.1"/>
    <n v="17000"/>
    <d v="2024-02-20T00:00:00"/>
  </r>
  <r>
    <s v="S1615"/>
    <s v="Anjali Jain"/>
    <x v="2"/>
    <x v="2"/>
    <s v="B1"/>
    <s v="Amit"/>
    <x v="0"/>
    <n v="14220"/>
    <s v="DISC15"/>
    <m/>
    <n v="13000"/>
    <d v="2024-01-11T00:00:00"/>
  </r>
  <r>
    <s v="S1616"/>
    <s v="Rahul Gupta"/>
    <x v="3"/>
    <x v="3"/>
    <s v="B1"/>
    <s v="Priya"/>
    <x v="0"/>
    <n v="10618"/>
    <s v="DISC20"/>
    <n v="0.2"/>
    <n v="9000"/>
    <d v="2024-02-12T00:00:00"/>
  </r>
  <r>
    <s v="S1617"/>
    <s v="Pooja Jain"/>
    <x v="1"/>
    <x v="1"/>
    <s v="B2"/>
    <s v="Saurabh"/>
    <x v="1"/>
    <n v="17172"/>
    <m/>
    <m/>
    <n v="17000"/>
    <d v="2024-02-05T00:00:00"/>
  </r>
  <r>
    <s v="S1618"/>
    <s v="Meera Patel"/>
    <x v="0"/>
    <x v="0"/>
    <s v="B1"/>
    <s v="Amit"/>
    <x v="2"/>
    <n v="13825"/>
    <s v="DISC20"/>
    <n v="0.2"/>
    <n v="14000"/>
    <d v="2024-02-27T00:00:00"/>
  </r>
  <r>
    <s v="S1619"/>
    <s v="Rohit Joshi"/>
    <x v="2"/>
    <x v="2"/>
    <s v="B1"/>
    <s v="Amit"/>
    <x v="2"/>
    <n v="12562"/>
    <s v="DISC10"/>
    <n v="0.1"/>
    <n v="13000"/>
    <d v="2024-01-25T00:00:00"/>
  </r>
  <r>
    <s v="S1620"/>
    <s v="Aditya Gupta"/>
    <x v="1"/>
    <x v="1"/>
    <s v="B1"/>
    <s v="Amit"/>
    <x v="2"/>
    <n v="17106"/>
    <s v="DISC15"/>
    <m/>
    <n v="17000"/>
    <d v="2024-01-29T00:00:00"/>
  </r>
  <r>
    <s v="S1621"/>
    <s v="Neha Kulkarni"/>
    <x v="1"/>
    <x v="1"/>
    <s v="B3"/>
    <s v="Saurabh"/>
    <x v="2"/>
    <n v="17104"/>
    <s v="DISC10"/>
    <n v="0.1"/>
    <n v="17000"/>
    <d v="2024-03-01T00:00:00"/>
  </r>
  <r>
    <s v="S1622"/>
    <s v="Riya Mehta"/>
    <x v="0"/>
    <x v="0"/>
    <s v="B3"/>
    <s v="Saurabh"/>
    <x v="0"/>
    <n v="14745"/>
    <s v="DISC20"/>
    <n v="0.2"/>
    <n v="14000"/>
    <d v="2024-02-25T00:00:00"/>
  </r>
  <r>
    <s v="S1623"/>
    <s v="Rohit Verma"/>
    <x v="0"/>
    <x v="0"/>
    <s v="B1"/>
    <s v="Amit"/>
    <x v="1"/>
    <n v="15598"/>
    <m/>
    <m/>
    <n v="14000"/>
    <d v="2024-02-11T00:00:00"/>
  </r>
  <r>
    <s v="S1624"/>
    <s v="Meera Shah"/>
    <x v="2"/>
    <x v="2"/>
    <s v="B1"/>
    <s v="Priya"/>
    <x v="1"/>
    <n v="12358"/>
    <s v="DISC10"/>
    <n v="0.1"/>
    <n v="13000"/>
    <d v="2024-01-06T00:00:00"/>
  </r>
  <r>
    <s v="S1625"/>
    <s v="Riya Kulkarni"/>
    <x v="2"/>
    <x v="2"/>
    <s v="B2"/>
    <s v="Amit"/>
    <x v="0"/>
    <n v="13355"/>
    <s v="DISC20"/>
    <n v="0.2"/>
    <n v="13000"/>
    <d v="2024-02-28T00:00:00"/>
  </r>
  <r>
    <s v="S1626"/>
    <s v="Aditya Verma"/>
    <x v="3"/>
    <x v="3"/>
    <s v="B2"/>
    <s v="Amit"/>
    <x v="2"/>
    <n v="8773"/>
    <s v="DISC30"/>
    <n v="0.3"/>
    <n v="9000"/>
    <d v="2024-01-02T00:00:00"/>
  </r>
  <r>
    <s v="S1627"/>
    <s v="Rahul Singh"/>
    <x v="0"/>
    <x v="0"/>
    <s v="B3"/>
    <s v="Saurabh"/>
    <x v="1"/>
    <n v="14950"/>
    <s v="DISC15"/>
    <m/>
    <n v="14000"/>
    <d v="2024-01-05T00:00:00"/>
  </r>
  <r>
    <s v="S1628"/>
    <s v="Dev Desai"/>
    <x v="0"/>
    <x v="0"/>
    <s v="B3"/>
    <s v="Saurabh"/>
    <x v="2"/>
    <n v="15801"/>
    <s v="DISC15"/>
    <m/>
    <n v="14000"/>
    <d v="2024-01-07T00:00:00"/>
  </r>
  <r>
    <s v="S1629"/>
    <s v="Aditya Patel"/>
    <x v="1"/>
    <x v="1"/>
    <s v="B3"/>
    <s v="Saurabh"/>
    <x v="2"/>
    <n v="18134"/>
    <m/>
    <m/>
    <n v="17000"/>
    <d v="2024-01-25T00:00:00"/>
  </r>
  <r>
    <s v="S1630"/>
    <s v="Rahul Nair"/>
    <x v="0"/>
    <x v="0"/>
    <s v="B2"/>
    <s v="Saurabh"/>
    <x v="1"/>
    <n v="12900"/>
    <s v="DISC20"/>
    <n v="0.2"/>
    <n v="14000"/>
    <d v="2024-02-17T00:00:00"/>
  </r>
  <r>
    <s v="S1631"/>
    <s v="Rahul Patel"/>
    <x v="1"/>
    <x v="1"/>
    <s v="B3"/>
    <s v="Saurabh"/>
    <x v="2"/>
    <n v="17774"/>
    <s v="DISC30"/>
    <n v="0.3"/>
    <n v="17000"/>
    <d v="2024-03-01T00:00:00"/>
  </r>
  <r>
    <s v="S1632"/>
    <s v="Aarav Gupta"/>
    <x v="2"/>
    <x v="2"/>
    <s v="B1"/>
    <s v="Saurabh"/>
    <x v="0"/>
    <n v="13345"/>
    <s v="DISC15"/>
    <m/>
    <n v="13000"/>
    <d v="2024-01-26T00:00:00"/>
  </r>
  <r>
    <s v="S1633"/>
    <s v="Manish Gupta"/>
    <x v="0"/>
    <x v="0"/>
    <s v="B2"/>
    <s v="Saurabh"/>
    <x v="1"/>
    <n v="15036"/>
    <s v="DISC30"/>
    <n v="0.3"/>
    <n v="14000"/>
    <d v="2024-01-14T00:00:00"/>
  </r>
  <r>
    <s v="S1634"/>
    <s v="Rahul Singh"/>
    <x v="2"/>
    <x v="2"/>
    <s v="B1"/>
    <s v="Saurabh"/>
    <x v="0"/>
    <n v="13526"/>
    <s v="DISC30"/>
    <n v="0.3"/>
    <n v="13000"/>
    <d v="2024-01-13T00:00:00"/>
  </r>
  <r>
    <s v="S1635"/>
    <s v="Riya Mehta"/>
    <x v="0"/>
    <x v="0"/>
    <s v="B3"/>
    <s v="Priya"/>
    <x v="1"/>
    <n v="14251"/>
    <s v="DISC10"/>
    <n v="0.1"/>
    <n v="14000"/>
    <d v="2024-01-19T00:00:00"/>
  </r>
  <r>
    <s v="S1636"/>
    <s v="Rohit Shah"/>
    <x v="1"/>
    <x v="1"/>
    <s v="B1"/>
    <s v="Saurabh"/>
    <x v="1"/>
    <n v="17378"/>
    <m/>
    <m/>
    <n v="17000"/>
    <d v="2024-03-01T00:00:00"/>
  </r>
  <r>
    <s v="S1637"/>
    <s v="Pooja Jain"/>
    <x v="2"/>
    <x v="2"/>
    <s v="B3"/>
    <s v="Amit"/>
    <x v="0"/>
    <n v="11409"/>
    <s v="DISC30"/>
    <n v="0.3"/>
    <n v="13000"/>
    <d v="2024-02-09T00:00:00"/>
  </r>
  <r>
    <s v="S1638"/>
    <s v="Riya Patil"/>
    <x v="1"/>
    <x v="1"/>
    <s v="B2"/>
    <s v="Priya"/>
    <x v="2"/>
    <n v="17524"/>
    <s v="DISC30"/>
    <n v="0.3"/>
    <n v="17000"/>
    <d v="2024-02-14T00:00:00"/>
  </r>
  <r>
    <s v="S1639"/>
    <s v="Kavita Mehta"/>
    <x v="1"/>
    <x v="1"/>
    <s v="B2"/>
    <s v="Priya"/>
    <x v="0"/>
    <n v="15019"/>
    <s v="DISC30"/>
    <n v="0.3"/>
    <n v="17000"/>
    <d v="2024-01-16T00:00:00"/>
  </r>
  <r>
    <s v="S1640"/>
    <s v="Dev Patil"/>
    <x v="3"/>
    <x v="3"/>
    <s v="B2"/>
    <s v="Priya"/>
    <x v="0"/>
    <n v="9783"/>
    <s v="DISC30"/>
    <n v="0.3"/>
    <n v="9000"/>
    <d v="2024-02-26T00:00:00"/>
  </r>
  <r>
    <s v="S1641"/>
    <s v="Neha Iyer"/>
    <x v="3"/>
    <x v="3"/>
    <s v="B2"/>
    <s v="Priya"/>
    <x v="2"/>
    <n v="9259"/>
    <s v="DISC10"/>
    <n v="0.1"/>
    <n v="9000"/>
    <d v="2024-01-12T00:00:00"/>
  </r>
  <r>
    <s v="S1642"/>
    <s v="Rohit Joshi"/>
    <x v="0"/>
    <x v="0"/>
    <s v="B2"/>
    <s v="Saurabh"/>
    <x v="1"/>
    <n v="12804"/>
    <s v="DISC30"/>
    <n v="0.3"/>
    <n v="14000"/>
    <d v="2024-02-16T00:00:00"/>
  </r>
  <r>
    <s v="S1643"/>
    <s v="Kunal Singh"/>
    <x v="0"/>
    <x v="0"/>
    <s v="B3"/>
    <s v="Saurabh"/>
    <x v="0"/>
    <n v="15479"/>
    <s v="DISC15"/>
    <m/>
    <n v="14000"/>
    <d v="2024-02-10T00:00:00"/>
  </r>
  <r>
    <s v="S1644"/>
    <s v="Aarav Nair"/>
    <x v="3"/>
    <x v="3"/>
    <s v="B3"/>
    <s v="Saurabh"/>
    <x v="0"/>
    <n v="9259"/>
    <s v="DISC30"/>
    <n v="0.3"/>
    <n v="9000"/>
    <d v="2024-02-04T00:00:00"/>
  </r>
  <r>
    <s v="S1645"/>
    <s v="Kunal Gupta"/>
    <x v="3"/>
    <x v="3"/>
    <s v="B3"/>
    <s v="Saurabh"/>
    <x v="2"/>
    <n v="8607"/>
    <s v="DISC20"/>
    <n v="0.2"/>
    <n v="9000"/>
    <d v="2024-02-27T00:00:00"/>
  </r>
  <r>
    <s v="S1646"/>
    <s v="Dev Joshi"/>
    <x v="1"/>
    <x v="1"/>
    <s v="B1"/>
    <s v="Priya"/>
    <x v="1"/>
    <n v="17090"/>
    <s v="DISC10"/>
    <n v="0.1"/>
    <n v="17000"/>
    <d v="2024-01-26T00:00:00"/>
  </r>
  <r>
    <s v="S1647"/>
    <s v="Pooja Gupta"/>
    <x v="0"/>
    <x v="0"/>
    <s v="B3"/>
    <s v="Saurabh"/>
    <x v="1"/>
    <n v="14802"/>
    <s v="DISC20"/>
    <n v="0.2"/>
    <n v="14000"/>
    <d v="2024-02-18T00:00:00"/>
  </r>
  <r>
    <s v="S1648"/>
    <s v="Manish Mehta"/>
    <x v="3"/>
    <x v="3"/>
    <s v="B1"/>
    <s v="Saurabh"/>
    <x v="1"/>
    <n v="10885"/>
    <s v="DISC15"/>
    <m/>
    <n v="9000"/>
    <d v="2024-02-12T00:00:00"/>
  </r>
  <r>
    <s v="S1649"/>
    <s v="Meera Mehta"/>
    <x v="3"/>
    <x v="3"/>
    <s v="B2"/>
    <s v="Saurabh"/>
    <x v="0"/>
    <n v="10118"/>
    <m/>
    <m/>
    <n v="9000"/>
    <d v="2024-01-15T00:00:00"/>
  </r>
  <r>
    <s v="S1650"/>
    <s v="Riya Rao"/>
    <x v="1"/>
    <x v="1"/>
    <s v="B1"/>
    <s v="Saurabh"/>
    <x v="1"/>
    <n v="15846"/>
    <s v="DISC15"/>
    <m/>
    <n v="17000"/>
    <d v="2024-02-28T00:00:00"/>
  </r>
  <r>
    <s v="S1651"/>
    <s v="Dev Jain"/>
    <x v="3"/>
    <x v="3"/>
    <s v="B2"/>
    <s v="Priya"/>
    <x v="0"/>
    <n v="7163"/>
    <s v="DISC30"/>
    <n v="0.3"/>
    <n v="9000"/>
    <d v="2024-01-07T00:00:00"/>
  </r>
  <r>
    <s v="S1652"/>
    <s v="Anjali Gupta"/>
    <x v="1"/>
    <x v="1"/>
    <s v="B3"/>
    <s v="Priya"/>
    <x v="1"/>
    <n v="17229"/>
    <s v="DISC15"/>
    <m/>
    <n v="17000"/>
    <d v="2024-01-12T00:00:00"/>
  </r>
  <r>
    <s v="S1653"/>
    <s v="Rahul Singh"/>
    <x v="3"/>
    <x v="3"/>
    <s v="B2"/>
    <s v="Amit"/>
    <x v="1"/>
    <n v="10679"/>
    <s v="DISC10"/>
    <n v="0.1"/>
    <n v="9000"/>
    <d v="2024-02-03T00:00:00"/>
  </r>
  <r>
    <s v="S1654"/>
    <s v="Aditya Verma"/>
    <x v="2"/>
    <x v="2"/>
    <s v="B3"/>
    <s v="Priya"/>
    <x v="2"/>
    <n v="14347"/>
    <s v="DISC30"/>
    <n v="0.3"/>
    <n v="13000"/>
    <d v="2024-02-01T00:00:00"/>
  </r>
  <r>
    <s v="S1655"/>
    <s v="Dev Iyer"/>
    <x v="0"/>
    <x v="0"/>
    <s v="B3"/>
    <s v="Saurabh"/>
    <x v="2"/>
    <n v="12678"/>
    <s v="DISC20"/>
    <n v="0.2"/>
    <n v="14000"/>
    <d v="2024-01-05T00:00:00"/>
  </r>
  <r>
    <s v="S1656"/>
    <s v="Manish Singh"/>
    <x v="1"/>
    <x v="1"/>
    <s v="B1"/>
    <s v="Saurabh"/>
    <x v="0"/>
    <n v="15644"/>
    <s v="DISC30"/>
    <n v="0.3"/>
    <n v="17000"/>
    <d v="2024-02-08T00:00:00"/>
  </r>
  <r>
    <s v="S1657"/>
    <s v="Anjali Nair"/>
    <x v="0"/>
    <x v="0"/>
    <s v="B3"/>
    <s v="Saurabh"/>
    <x v="2"/>
    <n v="15322"/>
    <s v="DISC30"/>
    <n v="0.3"/>
    <n v="14000"/>
    <d v="2024-02-16T00:00:00"/>
  </r>
  <r>
    <s v="S1658"/>
    <s v="Riya Iyer"/>
    <x v="3"/>
    <x v="3"/>
    <s v="B2"/>
    <s v="Saurabh"/>
    <x v="1"/>
    <n v="7660"/>
    <m/>
    <m/>
    <n v="9000"/>
    <d v="2024-01-02T00:00:00"/>
  </r>
  <r>
    <s v="S1659"/>
    <s v="Sneha Kulkarni"/>
    <x v="2"/>
    <x v="2"/>
    <s v="B3"/>
    <s v="Amit"/>
    <x v="0"/>
    <n v="11551"/>
    <s v="DISC15"/>
    <m/>
    <n v="13000"/>
    <d v="2024-01-03T00:00:00"/>
  </r>
  <r>
    <s v="S1660"/>
    <s v="Kunal Joshi"/>
    <x v="2"/>
    <x v="2"/>
    <s v="B1"/>
    <s v="Saurabh"/>
    <x v="2"/>
    <n v="14778"/>
    <s v="DISC20"/>
    <n v="0.2"/>
    <n v="13000"/>
    <d v="2024-02-03T00:00:00"/>
  </r>
  <r>
    <s v="S1661"/>
    <s v="Rahul Joshi"/>
    <x v="0"/>
    <x v="0"/>
    <s v="B3"/>
    <s v="Amit"/>
    <x v="1"/>
    <n v="15364"/>
    <s v="DISC30"/>
    <n v="0.3"/>
    <n v="14000"/>
    <d v="2024-03-01T00:00:00"/>
  </r>
  <r>
    <s v="S1662"/>
    <s v="Riya Patil"/>
    <x v="3"/>
    <x v="3"/>
    <s v="B3"/>
    <s v="Priya"/>
    <x v="2"/>
    <n v="7698"/>
    <s v="DISC20"/>
    <n v="0.2"/>
    <n v="9000"/>
    <d v="2024-02-23T00:00:00"/>
  </r>
  <r>
    <s v="S1663"/>
    <s v="Rahul Joshi"/>
    <x v="2"/>
    <x v="2"/>
    <s v="B3"/>
    <s v="Saurabh"/>
    <x v="1"/>
    <n v="13701"/>
    <s v="DISC15"/>
    <m/>
    <n v="13000"/>
    <d v="2024-01-17T00:00:00"/>
  </r>
  <r>
    <s v="S1664"/>
    <s v="Karan Desai"/>
    <x v="1"/>
    <x v="1"/>
    <s v="B2"/>
    <s v="Amit"/>
    <x v="1"/>
    <n v="15281"/>
    <s v="DISC20"/>
    <n v="0.2"/>
    <n v="17000"/>
    <d v="2024-01-25T00:00:00"/>
  </r>
  <r>
    <s v="S1665"/>
    <s v="Rahul Mehta"/>
    <x v="0"/>
    <x v="0"/>
    <s v="B1"/>
    <s v="Saurabh"/>
    <x v="1"/>
    <n v="15520"/>
    <s v="DISC15"/>
    <m/>
    <n v="14000"/>
    <d v="2024-02-13T00:00:00"/>
  </r>
  <r>
    <s v="S1666"/>
    <s v="Rahul Nair"/>
    <x v="2"/>
    <x v="2"/>
    <s v="B3"/>
    <s v="Saurabh"/>
    <x v="0"/>
    <n v="12949"/>
    <s v="DISC15"/>
    <m/>
    <n v="13000"/>
    <d v="2024-02-08T00:00:00"/>
  </r>
  <r>
    <s v="S1667"/>
    <s v="Aarav Patel"/>
    <x v="0"/>
    <x v="0"/>
    <s v="B1"/>
    <s v="Priya"/>
    <x v="1"/>
    <n v="12533"/>
    <s v="DISC15"/>
    <m/>
    <n v="14000"/>
    <d v="2024-02-04T00:00:00"/>
  </r>
  <r>
    <s v="S1668"/>
    <s v="Meera Kulkarni"/>
    <x v="3"/>
    <x v="3"/>
    <s v="B3"/>
    <s v="Priya"/>
    <x v="2"/>
    <n v="10583"/>
    <s v="DISC10"/>
    <n v="0.1"/>
    <n v="9000"/>
    <d v="2024-02-14T00:00:00"/>
  </r>
  <r>
    <s v="S1669"/>
    <s v="Manish Verma"/>
    <x v="2"/>
    <x v="2"/>
    <s v="B2"/>
    <s v="Priya"/>
    <x v="2"/>
    <n v="13412"/>
    <s v="DISC15"/>
    <m/>
    <n v="13000"/>
    <d v="2024-01-07T00:00:00"/>
  </r>
  <r>
    <s v="S1670"/>
    <s v="Rahul Mehta"/>
    <x v="1"/>
    <x v="1"/>
    <s v="B2"/>
    <s v="Saurabh"/>
    <x v="0"/>
    <n v="16160"/>
    <s v="DISC15"/>
    <m/>
    <n v="17000"/>
    <d v="2024-02-26T00:00:00"/>
  </r>
  <r>
    <s v="S1671"/>
    <s v="Manish Verma"/>
    <x v="1"/>
    <x v="1"/>
    <s v="B1"/>
    <s v="Saurabh"/>
    <x v="1"/>
    <n v="18045"/>
    <s v="DISC10"/>
    <n v="0.1"/>
    <n v="17000"/>
    <d v="2024-02-06T00:00:00"/>
  </r>
  <r>
    <s v="S1672"/>
    <s v="Manish Shah"/>
    <x v="0"/>
    <x v="0"/>
    <s v="B2"/>
    <s v="Amit"/>
    <x v="0"/>
    <n v="14817"/>
    <s v="DISC30"/>
    <n v="0.3"/>
    <n v="14000"/>
    <d v="2024-01-27T00:00:00"/>
  </r>
  <r>
    <s v="S1673"/>
    <s v="Pooja Shah"/>
    <x v="2"/>
    <x v="2"/>
    <s v="B2"/>
    <s v="Amit"/>
    <x v="1"/>
    <n v="12038"/>
    <s v="DISC30"/>
    <n v="0.3"/>
    <n v="13000"/>
    <d v="2024-02-24T00:00:00"/>
  </r>
  <r>
    <s v="S1674"/>
    <s v="Manish Verma"/>
    <x v="1"/>
    <x v="1"/>
    <s v="B3"/>
    <s v="Priya"/>
    <x v="1"/>
    <n v="16627"/>
    <s v="DISC20"/>
    <n v="0.2"/>
    <n v="17000"/>
    <d v="2024-01-27T00:00:00"/>
  </r>
  <r>
    <s v="S1675"/>
    <s v="Manish Patel"/>
    <x v="3"/>
    <x v="3"/>
    <s v="B1"/>
    <s v="Priya"/>
    <x v="1"/>
    <n v="9272"/>
    <m/>
    <m/>
    <n v="9000"/>
    <d v="2024-01-17T00:00:00"/>
  </r>
  <r>
    <s v="S1676"/>
    <s v="Aditya Joshi"/>
    <x v="1"/>
    <x v="1"/>
    <s v="B3"/>
    <s v="Priya"/>
    <x v="1"/>
    <n v="15565"/>
    <s v="DISC10"/>
    <n v="0.1"/>
    <n v="17000"/>
    <d v="2024-02-17T00:00:00"/>
  </r>
  <r>
    <s v="S1677"/>
    <s v="Sneha Iyer"/>
    <x v="2"/>
    <x v="2"/>
    <s v="B1"/>
    <s v="Saurabh"/>
    <x v="1"/>
    <n v="12640"/>
    <s v="DISC30"/>
    <n v="0.3"/>
    <n v="13000"/>
    <d v="2024-02-21T00:00:00"/>
  </r>
  <r>
    <s v="S1678"/>
    <s v="Manish Joshi"/>
    <x v="0"/>
    <x v="0"/>
    <s v="B1"/>
    <s v="Priya"/>
    <x v="1"/>
    <n v="12021"/>
    <s v="DISC10"/>
    <n v="0.1"/>
    <n v="14000"/>
    <d v="2024-02-22T00:00:00"/>
  </r>
  <r>
    <s v="S1679"/>
    <s v="Karan Iyer"/>
    <x v="3"/>
    <x v="3"/>
    <s v="B1"/>
    <s v="Saurabh"/>
    <x v="2"/>
    <n v="7908"/>
    <s v="DISC30"/>
    <n v="0.3"/>
    <n v="9000"/>
    <d v="2024-01-06T00:00:00"/>
  </r>
  <r>
    <s v="S1680"/>
    <s v="Kavita Kulkarni"/>
    <x v="3"/>
    <x v="3"/>
    <s v="B2"/>
    <s v="Amit"/>
    <x v="1"/>
    <n v="9134"/>
    <s v="DISC30"/>
    <n v="0.3"/>
    <n v="9000"/>
    <d v="2024-02-15T00:00:00"/>
  </r>
  <r>
    <s v="S1681"/>
    <s v="Kavita Kulkarni"/>
    <x v="2"/>
    <x v="2"/>
    <s v="B3"/>
    <s v="Priya"/>
    <x v="2"/>
    <n v="11043"/>
    <s v="DISC20"/>
    <n v="0.2"/>
    <n v="13000"/>
    <d v="2024-02-24T00:00:00"/>
  </r>
  <r>
    <s v="S1682"/>
    <s v="Rohit Patel"/>
    <x v="1"/>
    <x v="1"/>
    <s v="B1"/>
    <s v="Saurabh"/>
    <x v="1"/>
    <n v="17091"/>
    <s v="DISC15"/>
    <m/>
    <n v="17000"/>
    <d v="2024-02-14T00:00:00"/>
  </r>
  <r>
    <s v="S1683"/>
    <s v="Sneha Joshi"/>
    <x v="2"/>
    <x v="2"/>
    <s v="B3"/>
    <s v="Saurabh"/>
    <x v="2"/>
    <n v="11979"/>
    <s v="DISC10"/>
    <n v="0.1"/>
    <n v="13000"/>
    <d v="2024-01-11T00:00:00"/>
  </r>
  <r>
    <s v="S1684"/>
    <s v="Riya Rao"/>
    <x v="3"/>
    <x v="3"/>
    <s v="B2"/>
    <s v="Amit"/>
    <x v="2"/>
    <n v="8660"/>
    <s v="DISC15"/>
    <m/>
    <n v="9000"/>
    <d v="2024-01-13T00:00:00"/>
  </r>
  <r>
    <s v="S1685"/>
    <s v="Manish Kulkarni"/>
    <x v="0"/>
    <x v="0"/>
    <s v="B1"/>
    <s v="Amit"/>
    <x v="2"/>
    <n v="14974"/>
    <s v="DISC15"/>
    <m/>
    <n v="14000"/>
    <d v="2024-02-28T00:00:00"/>
  </r>
  <r>
    <s v="S1686"/>
    <s v="Kavita Jain"/>
    <x v="1"/>
    <x v="1"/>
    <s v="B2"/>
    <s v="Saurabh"/>
    <x v="1"/>
    <n v="18944"/>
    <s v="DISC20"/>
    <n v="0.2"/>
    <n v="17000"/>
    <d v="2024-01-30T00:00:00"/>
  </r>
  <r>
    <s v="S1687"/>
    <s v="Kunal Verma"/>
    <x v="0"/>
    <x v="0"/>
    <s v="B2"/>
    <s v="Saurabh"/>
    <x v="2"/>
    <n v="14073"/>
    <s v="DISC10"/>
    <n v="0.1"/>
    <n v="14000"/>
    <d v="2024-02-05T00:00:00"/>
  </r>
  <r>
    <s v="S1688"/>
    <s v="Riya Gupta"/>
    <x v="1"/>
    <x v="1"/>
    <s v="B2"/>
    <s v="Saurabh"/>
    <x v="1"/>
    <n v="18918"/>
    <s v="DISC30"/>
    <n v="0.3"/>
    <n v="17000"/>
    <d v="2024-02-26T00:00:00"/>
  </r>
  <r>
    <s v="S1689"/>
    <s v="Manish Nair"/>
    <x v="1"/>
    <x v="1"/>
    <s v="B3"/>
    <s v="Priya"/>
    <x v="2"/>
    <n v="17306"/>
    <m/>
    <m/>
    <n v="17000"/>
    <d v="2024-02-19T00:00:00"/>
  </r>
  <r>
    <s v="S1690"/>
    <s v="Sneha Patel"/>
    <x v="1"/>
    <x v="1"/>
    <s v="B2"/>
    <s v="Amit"/>
    <x v="2"/>
    <n v="18672"/>
    <s v="DISC15"/>
    <m/>
    <n v="17000"/>
    <d v="2024-02-25T00:00:00"/>
  </r>
  <r>
    <s v="S1691"/>
    <s v="Aarav Iyer"/>
    <x v="0"/>
    <x v="0"/>
    <s v="B2"/>
    <s v="Saurabh"/>
    <x v="2"/>
    <n v="14595"/>
    <s v="DISC20"/>
    <n v="0.2"/>
    <n v="14000"/>
    <d v="2024-02-13T00:00:00"/>
  </r>
  <r>
    <s v="S1692"/>
    <s v="Anjali Patil"/>
    <x v="1"/>
    <x v="1"/>
    <s v="B2"/>
    <s v="Priya"/>
    <x v="1"/>
    <n v="17194"/>
    <s v="DISC10"/>
    <n v="0.1"/>
    <n v="17000"/>
    <d v="2024-02-14T00:00:00"/>
  </r>
  <r>
    <s v="S1693"/>
    <s v="Meera Rao"/>
    <x v="2"/>
    <x v="2"/>
    <s v="B2"/>
    <s v="Saurabh"/>
    <x v="2"/>
    <n v="13759"/>
    <s v="DISC30"/>
    <n v="0.3"/>
    <n v="13000"/>
    <d v="2024-01-05T00:00:00"/>
  </r>
  <r>
    <s v="S1694"/>
    <s v="Manish Mehta"/>
    <x v="3"/>
    <x v="3"/>
    <s v="B2"/>
    <s v="Priya"/>
    <x v="0"/>
    <n v="10663"/>
    <s v="DISC15"/>
    <m/>
    <n v="9000"/>
    <d v="2024-01-18T00:00:00"/>
  </r>
  <r>
    <s v="S1695"/>
    <s v="Karan Desai"/>
    <x v="2"/>
    <x v="2"/>
    <s v="B2"/>
    <s v="Amit"/>
    <x v="0"/>
    <n v="11961"/>
    <s v="DISC20"/>
    <n v="0.2"/>
    <n v="13000"/>
    <d v="2024-02-25T00:00:00"/>
  </r>
  <r>
    <s v="S1696"/>
    <s v="Aditya Patil"/>
    <x v="2"/>
    <x v="2"/>
    <s v="B1"/>
    <s v="Saurabh"/>
    <x v="1"/>
    <n v="12458"/>
    <s v="DISC20"/>
    <n v="0.2"/>
    <n v="13000"/>
    <d v="2024-02-19T00:00:00"/>
  </r>
  <r>
    <s v="S1697"/>
    <s v="Riya Shah"/>
    <x v="0"/>
    <x v="0"/>
    <s v="B3"/>
    <s v="Amit"/>
    <x v="2"/>
    <n v="14514"/>
    <s v="DISC10"/>
    <n v="0.1"/>
    <n v="14000"/>
    <d v="2024-02-18T00:00:00"/>
  </r>
  <r>
    <s v="S1698"/>
    <s v="Meera Gupta"/>
    <x v="0"/>
    <x v="0"/>
    <s v="B2"/>
    <s v="Priya"/>
    <x v="1"/>
    <n v="13291"/>
    <m/>
    <m/>
    <n v="14000"/>
    <d v="2024-02-27T00:00:00"/>
  </r>
  <r>
    <s v="S1699"/>
    <s v="Kunal Joshi"/>
    <x v="1"/>
    <x v="1"/>
    <s v="B2"/>
    <s v="Saurabh"/>
    <x v="1"/>
    <n v="16147"/>
    <m/>
    <m/>
    <n v="17000"/>
    <d v="2024-01-15T00:00:00"/>
  </r>
  <r>
    <s v="S1700"/>
    <s v="Dev Joshi"/>
    <x v="2"/>
    <x v="2"/>
    <s v="B1"/>
    <s v="Amit"/>
    <x v="2"/>
    <n v="12959"/>
    <s v="DISC15"/>
    <m/>
    <n v="13000"/>
    <d v="2024-01-03T00:00:00"/>
  </r>
  <r>
    <s v="S1701"/>
    <s v="Manish Jain"/>
    <x v="3"/>
    <x v="3"/>
    <s v="B3"/>
    <s v="Saurabh"/>
    <x v="2"/>
    <n v="10999"/>
    <s v="DISC10"/>
    <n v="0.1"/>
    <n v="9000"/>
    <d v="2024-02-14T00:00:00"/>
  </r>
  <r>
    <s v="S1702"/>
    <s v="Manish Iyer"/>
    <x v="1"/>
    <x v="1"/>
    <s v="B3"/>
    <s v="Saurabh"/>
    <x v="0"/>
    <n v="17761"/>
    <s v="DISC20"/>
    <n v="0.2"/>
    <n v="17000"/>
    <d v="2024-01-25T00:00:00"/>
  </r>
  <r>
    <s v="S1703"/>
    <s v="Kavita Shah"/>
    <x v="1"/>
    <x v="1"/>
    <s v="B2"/>
    <s v="Amit"/>
    <x v="2"/>
    <n v="15766"/>
    <s v="DISC15"/>
    <m/>
    <n v="17000"/>
    <d v="2024-01-17T00:00:00"/>
  </r>
  <r>
    <s v="S1704"/>
    <s v="Sneha Rao"/>
    <x v="3"/>
    <x v="3"/>
    <s v="B3"/>
    <s v="Priya"/>
    <x v="2"/>
    <n v="7753"/>
    <m/>
    <m/>
    <n v="9000"/>
    <d v="2024-01-28T00:00:00"/>
  </r>
  <r>
    <s v="S1705"/>
    <s v="Sneha Verma"/>
    <x v="1"/>
    <x v="1"/>
    <s v="B2"/>
    <s v="Priya"/>
    <x v="2"/>
    <n v="16846"/>
    <s v="DISC20"/>
    <n v="0.2"/>
    <n v="17000"/>
    <d v="2024-02-06T00:00:00"/>
  </r>
  <r>
    <s v="S1706"/>
    <s v="Karan Joshi"/>
    <x v="2"/>
    <x v="2"/>
    <s v="B1"/>
    <s v="Amit"/>
    <x v="2"/>
    <n v="14293"/>
    <s v="DISC20"/>
    <n v="0.2"/>
    <n v="13000"/>
    <d v="2024-02-05T00:00:00"/>
  </r>
  <r>
    <s v="S1707"/>
    <s v="Rahul Nair"/>
    <x v="3"/>
    <x v="3"/>
    <s v="B1"/>
    <s v="Saurabh"/>
    <x v="1"/>
    <n v="7612"/>
    <m/>
    <m/>
    <n v="9000"/>
    <d v="2024-02-21T00:00:00"/>
  </r>
  <r>
    <s v="S1708"/>
    <s v="Aarav Mehta"/>
    <x v="3"/>
    <x v="3"/>
    <s v="B2"/>
    <s v="Saurabh"/>
    <x v="1"/>
    <n v="9117"/>
    <s v="DISC15"/>
    <m/>
    <n v="9000"/>
    <d v="2024-02-16T00:00:00"/>
  </r>
  <r>
    <s v="S1709"/>
    <s v="Pooja Patel"/>
    <x v="3"/>
    <x v="3"/>
    <s v="B2"/>
    <s v="Priya"/>
    <x v="1"/>
    <n v="10516"/>
    <s v="DISC15"/>
    <m/>
    <n v="9000"/>
    <d v="2024-01-04T00:00:00"/>
  </r>
  <r>
    <s v="S1710"/>
    <s v="Rahul Shah"/>
    <x v="2"/>
    <x v="2"/>
    <s v="B1"/>
    <s v="Saurabh"/>
    <x v="2"/>
    <n v="12951"/>
    <s v="DISC10"/>
    <n v="0.1"/>
    <n v="13000"/>
    <d v="2024-01-29T00:00:00"/>
  </r>
  <r>
    <s v="S1711"/>
    <s v="Anjali Jain"/>
    <x v="1"/>
    <x v="1"/>
    <s v="B2"/>
    <s v="Priya"/>
    <x v="1"/>
    <n v="17283"/>
    <s v="DISC30"/>
    <n v="0.3"/>
    <n v="17000"/>
    <d v="2024-01-23T00:00:00"/>
  </r>
  <r>
    <s v="S1712"/>
    <s v="Aarav Verma"/>
    <x v="0"/>
    <x v="0"/>
    <s v="B2"/>
    <s v="Amit"/>
    <x v="1"/>
    <n v="12814"/>
    <s v="DISC15"/>
    <m/>
    <n v="14000"/>
    <d v="2024-02-06T00:00:00"/>
  </r>
  <r>
    <s v="S1713"/>
    <s v="Rohit Singh"/>
    <x v="2"/>
    <x v="2"/>
    <s v="B2"/>
    <s v="Priya"/>
    <x v="2"/>
    <n v="13757"/>
    <s v="DISC15"/>
    <m/>
    <n v="13000"/>
    <d v="2024-02-01T00:00:00"/>
  </r>
  <r>
    <s v="S1714"/>
    <s v="Dev Desai"/>
    <x v="3"/>
    <x v="3"/>
    <s v="B1"/>
    <s v="Priya"/>
    <x v="1"/>
    <n v="8173"/>
    <m/>
    <m/>
    <n v="9000"/>
    <d v="2024-02-10T00:00:00"/>
  </r>
  <r>
    <s v="S1715"/>
    <s v="Karan Nair"/>
    <x v="2"/>
    <x v="2"/>
    <s v="B3"/>
    <s v="Priya"/>
    <x v="2"/>
    <n v="13585"/>
    <s v="DISC15"/>
    <m/>
    <n v="13000"/>
    <d v="2024-02-06T00:00:00"/>
  </r>
  <r>
    <s v="S1716"/>
    <s v="Rahul Nair"/>
    <x v="0"/>
    <x v="0"/>
    <s v="B1"/>
    <s v="Saurabh"/>
    <x v="2"/>
    <n v="12934"/>
    <s v="DISC30"/>
    <n v="0.3"/>
    <n v="14000"/>
    <d v="2024-01-21T00:00:00"/>
  </r>
  <r>
    <s v="S1717"/>
    <s v="Rohit Rao"/>
    <x v="1"/>
    <x v="1"/>
    <s v="B3"/>
    <s v="Amit"/>
    <x v="2"/>
    <n v="16111"/>
    <m/>
    <m/>
    <n v="17000"/>
    <d v="2024-02-19T00:00:00"/>
  </r>
  <r>
    <s v="S1718"/>
    <s v="Meera Jain"/>
    <x v="3"/>
    <x v="3"/>
    <s v="B2"/>
    <s v="Saurabh"/>
    <x v="0"/>
    <n v="10498"/>
    <s v="DISC10"/>
    <n v="0.1"/>
    <n v="9000"/>
    <d v="2024-01-09T00:00:00"/>
  </r>
  <r>
    <s v="S1719"/>
    <s v="Anjali Patil"/>
    <x v="1"/>
    <x v="1"/>
    <s v="B3"/>
    <s v="Amit"/>
    <x v="1"/>
    <n v="15327"/>
    <s v="DISC20"/>
    <n v="0.2"/>
    <n v="17000"/>
    <d v="2024-01-11T00:00:00"/>
  </r>
  <r>
    <s v="S1720"/>
    <s v="Rahul Shah"/>
    <x v="0"/>
    <x v="0"/>
    <s v="B1"/>
    <s v="Priya"/>
    <x v="1"/>
    <n v="12220"/>
    <s v="DISC10"/>
    <n v="0.1"/>
    <n v="14000"/>
    <d v="2024-02-19T00:00:00"/>
  </r>
  <r>
    <s v="S1721"/>
    <s v="Rahul Gupta"/>
    <x v="0"/>
    <x v="0"/>
    <s v="B1"/>
    <s v="Priya"/>
    <x v="1"/>
    <n v="12636"/>
    <s v="DISC10"/>
    <n v="0.1"/>
    <n v="14000"/>
    <d v="2024-02-11T00:00:00"/>
  </r>
  <r>
    <s v="S1722"/>
    <s v="Kunal Verma"/>
    <x v="1"/>
    <x v="1"/>
    <s v="B1"/>
    <s v="Saurabh"/>
    <x v="1"/>
    <n v="16163"/>
    <m/>
    <m/>
    <n v="17000"/>
    <d v="2024-02-10T00:00:00"/>
  </r>
  <r>
    <s v="S1723"/>
    <s v="Karan Mehta"/>
    <x v="2"/>
    <x v="2"/>
    <s v="B1"/>
    <s v="Saurabh"/>
    <x v="1"/>
    <n v="12461"/>
    <s v="DISC30"/>
    <n v="0.3"/>
    <n v="13000"/>
    <d v="2024-02-25T00:00:00"/>
  </r>
  <r>
    <s v="S1724"/>
    <s v="Neha Iyer"/>
    <x v="1"/>
    <x v="1"/>
    <s v="B3"/>
    <s v="Priya"/>
    <x v="0"/>
    <n v="18971"/>
    <s v="DISC15"/>
    <m/>
    <n v="17000"/>
    <d v="2024-01-12T00:00:00"/>
  </r>
  <r>
    <s v="S1725"/>
    <s v="Kavita Joshi"/>
    <x v="3"/>
    <x v="3"/>
    <s v="B3"/>
    <s v="Amit"/>
    <x v="1"/>
    <n v="10593"/>
    <s v="DISC15"/>
    <m/>
    <n v="9000"/>
    <d v="2024-01-28T00:00:00"/>
  </r>
  <r>
    <s v="S1726"/>
    <s v="Manish Singh"/>
    <x v="1"/>
    <x v="1"/>
    <s v="B2"/>
    <s v="Priya"/>
    <x v="1"/>
    <n v="15930"/>
    <s v="DISC10"/>
    <n v="0.1"/>
    <n v="17000"/>
    <d v="2024-01-29T00:00:00"/>
  </r>
  <r>
    <s v="S1727"/>
    <s v="Aditya Jain"/>
    <x v="3"/>
    <x v="3"/>
    <s v="B2"/>
    <s v="Saurabh"/>
    <x v="2"/>
    <n v="7043"/>
    <s v="DISC10"/>
    <n v="0.1"/>
    <n v="9000"/>
    <d v="2024-02-03T00:00:00"/>
  </r>
  <r>
    <s v="S1728"/>
    <s v="Meera Patel"/>
    <x v="2"/>
    <x v="2"/>
    <s v="B2"/>
    <s v="Priya"/>
    <x v="2"/>
    <n v="13191"/>
    <s v="DISC10"/>
    <n v="0.1"/>
    <n v="13000"/>
    <d v="2024-02-14T00:00:00"/>
  </r>
  <r>
    <s v="S1729"/>
    <s v="Kunal Iyer"/>
    <x v="3"/>
    <x v="3"/>
    <s v="B2"/>
    <s v="Saurabh"/>
    <x v="2"/>
    <n v="10268"/>
    <s v="DISC30"/>
    <n v="0.3"/>
    <n v="9000"/>
    <d v="2024-02-08T00:00:00"/>
  </r>
  <r>
    <s v="S1730"/>
    <s v="Sneha Patel"/>
    <x v="0"/>
    <x v="0"/>
    <s v="B3"/>
    <s v="Priya"/>
    <x v="0"/>
    <n v="13686"/>
    <s v="DISC15"/>
    <m/>
    <n v="14000"/>
    <d v="2024-01-28T00:00:00"/>
  </r>
  <r>
    <s v="S1731"/>
    <s v="Rahul Patil"/>
    <x v="2"/>
    <x v="2"/>
    <s v="B3"/>
    <s v="Amit"/>
    <x v="1"/>
    <n v="12596"/>
    <m/>
    <m/>
    <n v="13000"/>
    <d v="2024-01-15T00:00:00"/>
  </r>
  <r>
    <s v="S1732"/>
    <s v="Aditya Shah"/>
    <x v="3"/>
    <x v="3"/>
    <s v="B3"/>
    <s v="Saurabh"/>
    <x v="1"/>
    <n v="10131"/>
    <s v="DISC15"/>
    <m/>
    <n v="9000"/>
    <d v="2024-02-21T00:00:00"/>
  </r>
  <r>
    <s v="S1733"/>
    <s v="Anjali Singh"/>
    <x v="1"/>
    <x v="1"/>
    <s v="B2"/>
    <s v="Amit"/>
    <x v="1"/>
    <n v="17178"/>
    <s v="DISC30"/>
    <n v="0.3"/>
    <n v="17000"/>
    <d v="2024-01-27T00:00:00"/>
  </r>
  <r>
    <s v="S1734"/>
    <s v="Sneha Nair"/>
    <x v="0"/>
    <x v="0"/>
    <s v="B1"/>
    <s v="Saurabh"/>
    <x v="2"/>
    <n v="12452"/>
    <m/>
    <m/>
    <n v="14000"/>
    <d v="2024-02-09T00:00:00"/>
  </r>
  <r>
    <s v="S1735"/>
    <s v="Neha Rao"/>
    <x v="3"/>
    <x v="3"/>
    <s v="B1"/>
    <s v="Priya"/>
    <x v="0"/>
    <n v="7623"/>
    <s v="DISC10"/>
    <n v="0.1"/>
    <n v="9000"/>
    <d v="2024-02-04T00:00:00"/>
  </r>
  <r>
    <s v="S1736"/>
    <s v="Aarav Mehta"/>
    <x v="0"/>
    <x v="0"/>
    <s v="B2"/>
    <s v="Priya"/>
    <x v="0"/>
    <n v="14929"/>
    <m/>
    <m/>
    <n v="14000"/>
    <d v="2024-02-16T00:00:00"/>
  </r>
  <r>
    <s v="S1737"/>
    <s v="Aarav Patil"/>
    <x v="0"/>
    <x v="0"/>
    <s v="B1"/>
    <s v="Saurabh"/>
    <x v="2"/>
    <n v="12889"/>
    <s v="DISC30"/>
    <n v="0.3"/>
    <n v="14000"/>
    <d v="2024-01-27T00:00:00"/>
  </r>
  <r>
    <s v="S1738"/>
    <s v="Aditya Patel"/>
    <x v="3"/>
    <x v="3"/>
    <s v="B2"/>
    <s v="Priya"/>
    <x v="1"/>
    <n v="10241"/>
    <s v="DISC10"/>
    <n v="0.1"/>
    <n v="9000"/>
    <d v="2024-01-22T00:00:00"/>
  </r>
  <r>
    <s v="S1739"/>
    <s v="Riya Nair"/>
    <x v="2"/>
    <x v="2"/>
    <s v="B1"/>
    <s v="Priya"/>
    <x v="2"/>
    <n v="11292"/>
    <s v="DISC15"/>
    <m/>
    <n v="13000"/>
    <d v="2024-01-31T00:00:00"/>
  </r>
  <r>
    <s v="S1740"/>
    <s v="Karan Patil"/>
    <x v="1"/>
    <x v="1"/>
    <s v="B2"/>
    <s v="Saurabh"/>
    <x v="0"/>
    <n v="18991"/>
    <s v="DISC20"/>
    <n v="0.2"/>
    <n v="17000"/>
    <d v="2024-01-25T00:00:00"/>
  </r>
  <r>
    <s v="S1741"/>
    <s v="Dev Iyer"/>
    <x v="2"/>
    <x v="2"/>
    <s v="B3"/>
    <s v="Saurabh"/>
    <x v="0"/>
    <n v="12887"/>
    <s v="DISC10"/>
    <n v="0.1"/>
    <n v="13000"/>
    <d v="2024-02-03T00:00:00"/>
  </r>
  <r>
    <s v="S1742"/>
    <s v="Rohit Patil"/>
    <x v="3"/>
    <x v="3"/>
    <s v="B2"/>
    <s v="Amit"/>
    <x v="2"/>
    <n v="10834"/>
    <s v="DISC30"/>
    <n v="0.3"/>
    <n v="9000"/>
    <d v="2024-01-11T00:00:00"/>
  </r>
  <r>
    <s v="S1743"/>
    <s v="Rohit Desai"/>
    <x v="0"/>
    <x v="0"/>
    <s v="B3"/>
    <s v="Amit"/>
    <x v="1"/>
    <n v="12500"/>
    <s v="DISC30"/>
    <n v="0.3"/>
    <n v="14000"/>
    <d v="2024-01-31T00:00:00"/>
  </r>
  <r>
    <s v="S1744"/>
    <s v="Rohit Rao"/>
    <x v="2"/>
    <x v="2"/>
    <s v="B2"/>
    <s v="Saurabh"/>
    <x v="1"/>
    <n v="11892"/>
    <s v="DISC10"/>
    <n v="0.1"/>
    <n v="13000"/>
    <d v="2024-01-16T00:00:00"/>
  </r>
  <r>
    <s v="S1745"/>
    <s v="Rohit Verma"/>
    <x v="1"/>
    <x v="1"/>
    <s v="B1"/>
    <s v="Saurabh"/>
    <x v="2"/>
    <n v="17394"/>
    <s v="DISC10"/>
    <n v="0.1"/>
    <n v="17000"/>
    <d v="2024-01-26T00:00:00"/>
  </r>
  <r>
    <s v="S1746"/>
    <s v="Dev Patil"/>
    <x v="0"/>
    <x v="0"/>
    <s v="B1"/>
    <s v="Amit"/>
    <x v="1"/>
    <n v="13946"/>
    <s v="DISC15"/>
    <m/>
    <n v="14000"/>
    <d v="2024-01-10T00:00:00"/>
  </r>
  <r>
    <s v="S1747"/>
    <s v="Pooja Patel"/>
    <x v="0"/>
    <x v="0"/>
    <s v="B1"/>
    <s v="Saurabh"/>
    <x v="2"/>
    <n v="12374"/>
    <s v="DISC15"/>
    <m/>
    <n v="14000"/>
    <d v="2024-01-22T00:00:00"/>
  </r>
  <r>
    <s v="S1748"/>
    <s v="Kunal Patel"/>
    <x v="0"/>
    <x v="0"/>
    <s v="B1"/>
    <s v="Priya"/>
    <x v="1"/>
    <n v="12630"/>
    <s v="DISC15"/>
    <m/>
    <n v="14000"/>
    <d v="2024-02-20T00:00:00"/>
  </r>
  <r>
    <s v="S1749"/>
    <s v="Riya Mehta"/>
    <x v="3"/>
    <x v="3"/>
    <s v="B1"/>
    <s v="Priya"/>
    <x v="1"/>
    <n v="10229"/>
    <s v="DISC30"/>
    <n v="0.3"/>
    <n v="9000"/>
    <d v="2024-02-21T00:00:00"/>
  </r>
  <r>
    <s v="S1750"/>
    <s v="Kunal Iyer"/>
    <x v="2"/>
    <x v="2"/>
    <s v="B1"/>
    <s v="Amit"/>
    <x v="2"/>
    <n v="12467"/>
    <s v="DISC20"/>
    <n v="0.2"/>
    <n v="13000"/>
    <d v="2024-01-17T00:00:00"/>
  </r>
  <r>
    <s v="S1751"/>
    <s v="Kunal Kulkarni"/>
    <x v="3"/>
    <x v="3"/>
    <s v="B3"/>
    <s v="Priya"/>
    <x v="1"/>
    <n v="8207"/>
    <s v="DISC15"/>
    <m/>
    <n v="9000"/>
    <d v="2024-02-14T00:00:00"/>
  </r>
  <r>
    <s v="S1752"/>
    <s v="Neha Patil"/>
    <x v="2"/>
    <x v="2"/>
    <s v="B3"/>
    <s v="Priya"/>
    <x v="2"/>
    <n v="13999"/>
    <m/>
    <m/>
    <n v="13000"/>
    <d v="2024-01-18T00:00:00"/>
  </r>
  <r>
    <s v="S1753"/>
    <s v="Meera Nair"/>
    <x v="2"/>
    <x v="2"/>
    <s v="B1"/>
    <s v="Amit"/>
    <x v="0"/>
    <n v="12840"/>
    <s v="DISC30"/>
    <n v="0.3"/>
    <n v="13000"/>
    <d v="2024-02-22T00:00:00"/>
  </r>
  <r>
    <s v="S1754"/>
    <s v="Aditya Gupta"/>
    <x v="1"/>
    <x v="1"/>
    <s v="B2"/>
    <s v="Saurabh"/>
    <x v="1"/>
    <n v="17072"/>
    <m/>
    <m/>
    <n v="17000"/>
    <d v="2024-02-16T00:00:00"/>
  </r>
  <r>
    <s v="S1755"/>
    <s v="Karan Kulkarni"/>
    <x v="1"/>
    <x v="1"/>
    <s v="B3"/>
    <s v="Saurabh"/>
    <x v="2"/>
    <n v="17953"/>
    <s v="DISC10"/>
    <n v="0.1"/>
    <n v="17000"/>
    <d v="2024-02-12T00:00:00"/>
  </r>
  <r>
    <s v="S1756"/>
    <s v="Manish Nair"/>
    <x v="3"/>
    <x v="3"/>
    <s v="B1"/>
    <s v="Amit"/>
    <x v="1"/>
    <n v="9037"/>
    <s v="DISC15"/>
    <m/>
    <n v="9000"/>
    <d v="2024-01-10T00:00:00"/>
  </r>
  <r>
    <s v="S1757"/>
    <s v="Kavita Rao"/>
    <x v="1"/>
    <x v="1"/>
    <s v="B2"/>
    <s v="Amit"/>
    <x v="2"/>
    <n v="15452"/>
    <s v="DISC10"/>
    <n v="0.1"/>
    <n v="17000"/>
    <d v="2024-02-03T00:00:00"/>
  </r>
  <r>
    <s v="S1758"/>
    <s v="Rohit Shah"/>
    <x v="0"/>
    <x v="0"/>
    <s v="B1"/>
    <s v="Saurabh"/>
    <x v="0"/>
    <n v="12827"/>
    <s v="DISC10"/>
    <n v="0.1"/>
    <n v="14000"/>
    <d v="2024-02-01T00:00:00"/>
  </r>
  <r>
    <s v="S1759"/>
    <s v="Sneha Shah"/>
    <x v="0"/>
    <x v="0"/>
    <s v="B3"/>
    <s v="Amit"/>
    <x v="2"/>
    <n v="14694"/>
    <m/>
    <m/>
    <n v="14000"/>
    <d v="2024-02-03T00:00:00"/>
  </r>
  <r>
    <s v="S1760"/>
    <s v="Kavita Desai"/>
    <x v="1"/>
    <x v="1"/>
    <s v="B1"/>
    <s v="Priya"/>
    <x v="0"/>
    <n v="17481"/>
    <s v="DISC10"/>
    <n v="0.1"/>
    <n v="17000"/>
    <d v="2024-01-01T00:00:00"/>
  </r>
  <r>
    <s v="S1761"/>
    <s v="Kunal Patil"/>
    <x v="3"/>
    <x v="3"/>
    <s v="B1"/>
    <s v="Priya"/>
    <x v="1"/>
    <n v="7248"/>
    <s v="DISC30"/>
    <n v="0.3"/>
    <n v="9000"/>
    <d v="2024-02-05T00:00:00"/>
  </r>
  <r>
    <s v="S1762"/>
    <s v="Anjali Verma"/>
    <x v="1"/>
    <x v="1"/>
    <s v="B3"/>
    <s v="Saurabh"/>
    <x v="1"/>
    <n v="16088"/>
    <s v="DISC15"/>
    <m/>
    <n v="17000"/>
    <d v="2024-01-03T00:00:00"/>
  </r>
  <r>
    <s v="S1763"/>
    <s v="Anjali Shah"/>
    <x v="1"/>
    <x v="1"/>
    <s v="B1"/>
    <s v="Saurabh"/>
    <x v="1"/>
    <n v="15397"/>
    <s v="DISC10"/>
    <n v="0.1"/>
    <n v="17000"/>
    <d v="2024-02-16T00:00:00"/>
  </r>
  <r>
    <s v="S1764"/>
    <s v="Sneha Gupta"/>
    <x v="3"/>
    <x v="3"/>
    <s v="B1"/>
    <s v="Saurabh"/>
    <x v="1"/>
    <n v="9690"/>
    <s v="DISC20"/>
    <n v="0.2"/>
    <n v="9000"/>
    <d v="2024-02-06T00:00:00"/>
  </r>
  <r>
    <s v="S1765"/>
    <s v="Rohit Mehta"/>
    <x v="3"/>
    <x v="3"/>
    <s v="B3"/>
    <s v="Saurabh"/>
    <x v="1"/>
    <n v="9361"/>
    <s v="DISC30"/>
    <n v="0.3"/>
    <n v="9000"/>
    <d v="2024-02-13T00:00:00"/>
  </r>
  <r>
    <s v="S1766"/>
    <s v="Neha Desai"/>
    <x v="3"/>
    <x v="3"/>
    <s v="B1"/>
    <s v="Saurabh"/>
    <x v="0"/>
    <n v="9252"/>
    <m/>
    <m/>
    <n v="9000"/>
    <d v="2024-02-02T00:00:00"/>
  </r>
  <r>
    <s v="S1767"/>
    <s v="Pooja Singh"/>
    <x v="2"/>
    <x v="2"/>
    <s v="B3"/>
    <s v="Amit"/>
    <x v="2"/>
    <n v="14823"/>
    <s v="DISC30"/>
    <n v="0.3"/>
    <n v="13000"/>
    <d v="2024-02-27T00:00:00"/>
  </r>
  <r>
    <s v="S1768"/>
    <s v="Pooja Gupta"/>
    <x v="1"/>
    <x v="1"/>
    <s v="B2"/>
    <s v="Priya"/>
    <x v="1"/>
    <n v="16763"/>
    <s v="DISC30"/>
    <n v="0.3"/>
    <n v="17000"/>
    <d v="2024-02-08T00:00:00"/>
  </r>
  <r>
    <s v="S1769"/>
    <s v="Sneha Joshi"/>
    <x v="2"/>
    <x v="2"/>
    <s v="B2"/>
    <s v="Amit"/>
    <x v="1"/>
    <n v="12040"/>
    <s v="DISC30"/>
    <n v="0.3"/>
    <n v="13000"/>
    <d v="2024-01-29T00:00:00"/>
  </r>
  <r>
    <s v="S1770"/>
    <s v="Neha Verma"/>
    <x v="0"/>
    <x v="0"/>
    <s v="B3"/>
    <s v="Saurabh"/>
    <x v="2"/>
    <n v="14440"/>
    <s v="DISC10"/>
    <n v="0.1"/>
    <n v="14000"/>
    <d v="2024-02-03T00:00:00"/>
  </r>
  <r>
    <s v="S1771"/>
    <s v="Karan Rao"/>
    <x v="0"/>
    <x v="0"/>
    <s v="B2"/>
    <s v="Saurabh"/>
    <x v="0"/>
    <n v="15505"/>
    <s v="DISC30"/>
    <n v="0.3"/>
    <n v="14000"/>
    <d v="2024-01-02T00:00:00"/>
  </r>
  <r>
    <s v="S1772"/>
    <s v="Dev Nair"/>
    <x v="1"/>
    <x v="1"/>
    <s v="B3"/>
    <s v="Amit"/>
    <x v="1"/>
    <n v="17337"/>
    <s v="DISC15"/>
    <m/>
    <n v="17000"/>
    <d v="2024-01-10T00:00:00"/>
  </r>
  <r>
    <s v="S1773"/>
    <s v="Riya Kulkarni"/>
    <x v="3"/>
    <x v="3"/>
    <s v="B2"/>
    <s v="Saurabh"/>
    <x v="0"/>
    <n v="8085"/>
    <s v="DISC30"/>
    <n v="0.3"/>
    <n v="9000"/>
    <d v="2024-02-26T00:00:00"/>
  </r>
  <r>
    <s v="S1774"/>
    <s v="Kavita Patil"/>
    <x v="2"/>
    <x v="2"/>
    <s v="B2"/>
    <s v="Priya"/>
    <x v="0"/>
    <n v="13336"/>
    <m/>
    <m/>
    <n v="13000"/>
    <d v="2024-02-06T00:00:00"/>
  </r>
  <r>
    <s v="S1775"/>
    <s v="Kunal Patil"/>
    <x v="0"/>
    <x v="0"/>
    <s v="B3"/>
    <s v="Priya"/>
    <x v="2"/>
    <n v="12708"/>
    <m/>
    <m/>
    <n v="14000"/>
    <d v="2024-02-22T00:00:00"/>
  </r>
  <r>
    <s v="S1776"/>
    <s v="Kunal Desai"/>
    <x v="0"/>
    <x v="0"/>
    <s v="B3"/>
    <s v="Amit"/>
    <x v="2"/>
    <n v="12153"/>
    <s v="DISC15"/>
    <m/>
    <n v="14000"/>
    <d v="2024-01-25T00:00:00"/>
  </r>
  <r>
    <s v="S1777"/>
    <s v="Riya Patel"/>
    <x v="0"/>
    <x v="0"/>
    <s v="B2"/>
    <s v="Priya"/>
    <x v="2"/>
    <n v="13706"/>
    <s v="DISC10"/>
    <n v="0.1"/>
    <n v="14000"/>
    <d v="2024-02-25T00:00:00"/>
  </r>
  <r>
    <s v="S1778"/>
    <s v="Dev Patil"/>
    <x v="0"/>
    <x v="0"/>
    <s v="B3"/>
    <s v="Amit"/>
    <x v="2"/>
    <n v="12221"/>
    <s v="DISC30"/>
    <n v="0.3"/>
    <n v="14000"/>
    <d v="2024-02-03T00:00:00"/>
  </r>
  <r>
    <s v="S1779"/>
    <s v="Aarav Jain"/>
    <x v="2"/>
    <x v="2"/>
    <s v="B2"/>
    <s v="Amit"/>
    <x v="1"/>
    <n v="11904"/>
    <s v="DISC20"/>
    <n v="0.2"/>
    <n v="13000"/>
    <d v="2024-01-04T00:00:00"/>
  </r>
  <r>
    <s v="S1780"/>
    <s v="Rohit Desai"/>
    <x v="3"/>
    <x v="3"/>
    <s v="B2"/>
    <s v="Amit"/>
    <x v="1"/>
    <n v="9067"/>
    <s v="DISC10"/>
    <n v="0.1"/>
    <n v="9000"/>
    <d v="2024-01-15T00:00:00"/>
  </r>
  <r>
    <s v="S1781"/>
    <s v="Rahul Rao"/>
    <x v="3"/>
    <x v="3"/>
    <s v="B1"/>
    <s v="Saurabh"/>
    <x v="2"/>
    <n v="7338"/>
    <m/>
    <m/>
    <n v="9000"/>
    <d v="2024-02-06T00:00:00"/>
  </r>
  <r>
    <s v="S1782"/>
    <s v="Anjali Kulkarni"/>
    <x v="3"/>
    <x v="3"/>
    <s v="B2"/>
    <s v="Saurabh"/>
    <x v="2"/>
    <n v="9055"/>
    <m/>
    <m/>
    <n v="9000"/>
    <d v="2024-02-19T00:00:00"/>
  </r>
  <r>
    <s v="S1783"/>
    <s v="Anjali Mehta"/>
    <x v="2"/>
    <x v="2"/>
    <s v="B2"/>
    <s v="Amit"/>
    <x v="0"/>
    <n v="12998"/>
    <m/>
    <m/>
    <n v="13000"/>
    <d v="2024-02-11T00:00:00"/>
  </r>
  <r>
    <s v="S1784"/>
    <s v="Kavita Patil"/>
    <x v="2"/>
    <x v="2"/>
    <s v="B1"/>
    <s v="Saurabh"/>
    <x v="2"/>
    <n v="14181"/>
    <m/>
    <m/>
    <n v="13000"/>
    <d v="2024-01-21T00:00:00"/>
  </r>
  <r>
    <s v="S1785"/>
    <s v="Rohit Joshi"/>
    <x v="0"/>
    <x v="0"/>
    <s v="B1"/>
    <s v="Amit"/>
    <x v="2"/>
    <n v="13734"/>
    <s v="DISC30"/>
    <n v="0.3"/>
    <n v="14000"/>
    <d v="2024-01-23T00:00:00"/>
  </r>
  <r>
    <s v="S1786"/>
    <s v="Sneha Jain"/>
    <x v="1"/>
    <x v="1"/>
    <s v="B3"/>
    <s v="Amit"/>
    <x v="0"/>
    <n v="18152"/>
    <s v="DISC30"/>
    <n v="0.3"/>
    <n v="17000"/>
    <d v="2024-01-11T00:00:00"/>
  </r>
  <r>
    <s v="S1787"/>
    <s v="Pooja Joshi"/>
    <x v="3"/>
    <x v="3"/>
    <s v="B3"/>
    <s v="Saurabh"/>
    <x v="2"/>
    <n v="7183"/>
    <s v="DISC20"/>
    <n v="0.2"/>
    <n v="9000"/>
    <d v="2024-01-13T00:00:00"/>
  </r>
  <r>
    <s v="S1788"/>
    <s v="Rohit Jain"/>
    <x v="2"/>
    <x v="2"/>
    <s v="B3"/>
    <s v="Saurabh"/>
    <x v="0"/>
    <n v="14029"/>
    <s v="DISC10"/>
    <n v="0.1"/>
    <n v="13000"/>
    <d v="2024-01-16T00:00:00"/>
  </r>
  <r>
    <s v="S1789"/>
    <s v="Kavita Mehta"/>
    <x v="1"/>
    <x v="1"/>
    <s v="B1"/>
    <s v="Priya"/>
    <x v="1"/>
    <n v="18294"/>
    <s v="DISC10"/>
    <n v="0.1"/>
    <n v="17000"/>
    <d v="2024-01-20T00:00:00"/>
  </r>
  <r>
    <s v="S1790"/>
    <s v="Neha Iyer"/>
    <x v="0"/>
    <x v="0"/>
    <s v="B2"/>
    <s v="Saurabh"/>
    <x v="1"/>
    <n v="14203"/>
    <s v="DISC20"/>
    <n v="0.2"/>
    <n v="14000"/>
    <d v="2024-01-14T00:00:00"/>
  </r>
  <r>
    <s v="S1791"/>
    <s v="Manish Gupta"/>
    <x v="1"/>
    <x v="1"/>
    <s v="B3"/>
    <s v="Priya"/>
    <x v="1"/>
    <n v="17989"/>
    <s v="DISC20"/>
    <n v="0.2"/>
    <n v="17000"/>
    <d v="2024-02-14T00:00:00"/>
  </r>
  <r>
    <s v="S1792"/>
    <s v="Anjali Singh"/>
    <x v="0"/>
    <x v="0"/>
    <s v="B2"/>
    <s v="Amit"/>
    <x v="1"/>
    <n v="14157"/>
    <s v="DISC10"/>
    <n v="0.1"/>
    <n v="14000"/>
    <d v="2024-01-17T00:00:00"/>
  </r>
  <r>
    <s v="S1793"/>
    <s v="Karan Kulkarni"/>
    <x v="1"/>
    <x v="1"/>
    <s v="B1"/>
    <s v="Amit"/>
    <x v="1"/>
    <n v="16111"/>
    <s v="DISC10"/>
    <n v="0.1"/>
    <n v="17000"/>
    <d v="2024-01-30T00:00:00"/>
  </r>
  <r>
    <s v="S1794"/>
    <s v="Rohit Kulkarni"/>
    <x v="0"/>
    <x v="0"/>
    <s v="B2"/>
    <s v="Amit"/>
    <x v="2"/>
    <n v="14715"/>
    <s v="DISC30"/>
    <n v="0.3"/>
    <n v="14000"/>
    <d v="2024-02-25T00:00:00"/>
  </r>
  <r>
    <s v="S1795"/>
    <s v="Riya Kulkarni"/>
    <x v="1"/>
    <x v="1"/>
    <s v="B3"/>
    <s v="Priya"/>
    <x v="0"/>
    <n v="16559"/>
    <s v="DISC15"/>
    <m/>
    <n v="17000"/>
    <d v="2024-02-15T00:00:00"/>
  </r>
  <r>
    <s v="S1796"/>
    <s v="Riya Jain"/>
    <x v="3"/>
    <x v="3"/>
    <s v="B3"/>
    <s v="Amit"/>
    <x v="0"/>
    <n v="7763"/>
    <s v="DISC20"/>
    <n v="0.2"/>
    <n v="9000"/>
    <d v="2024-02-02T00:00:00"/>
  </r>
  <r>
    <s v="S1797"/>
    <s v="Neha Gupta"/>
    <x v="0"/>
    <x v="0"/>
    <s v="B1"/>
    <s v="Saurabh"/>
    <x v="1"/>
    <n v="13248"/>
    <s v="DISC30"/>
    <n v="0.3"/>
    <n v="14000"/>
    <d v="2024-02-01T00:00:00"/>
  </r>
  <r>
    <s v="S1798"/>
    <s v="Rahul Desai"/>
    <x v="2"/>
    <x v="2"/>
    <s v="B1"/>
    <s v="Priya"/>
    <x v="1"/>
    <n v="12441"/>
    <s v="DISC30"/>
    <n v="0.3"/>
    <n v="13000"/>
    <d v="2024-02-10T00:00:00"/>
  </r>
  <r>
    <s v="S1799"/>
    <s v="Aditya Patil"/>
    <x v="1"/>
    <x v="1"/>
    <s v="B1"/>
    <s v="Amit"/>
    <x v="2"/>
    <n v="18599"/>
    <m/>
    <m/>
    <n v="17000"/>
    <d v="2024-02-26T00:00:00"/>
  </r>
  <r>
    <s v="S1800"/>
    <s v="Meera Kulkarni"/>
    <x v="1"/>
    <x v="1"/>
    <s v="B1"/>
    <s v="Saurabh"/>
    <x v="2"/>
    <n v="18674"/>
    <m/>
    <m/>
    <n v="17000"/>
    <d v="2024-02-12T00:00:00"/>
  </r>
  <r>
    <s v="S1801"/>
    <s v="Karan Shah"/>
    <x v="3"/>
    <x v="3"/>
    <s v="B3"/>
    <s v="Amit"/>
    <x v="1"/>
    <n v="10574"/>
    <s v="DISC20"/>
    <n v="0.2"/>
    <n v="9000"/>
    <d v="2024-01-27T00:00:00"/>
  </r>
  <r>
    <s v="S1802"/>
    <s v="Sneha Joshi"/>
    <x v="2"/>
    <x v="2"/>
    <s v="B2"/>
    <s v="Priya"/>
    <x v="1"/>
    <n v="12348"/>
    <m/>
    <m/>
    <n v="13000"/>
    <d v="2024-02-04T00:00:00"/>
  </r>
  <r>
    <s v="S1803"/>
    <s v="Karan Patil"/>
    <x v="2"/>
    <x v="2"/>
    <s v="B3"/>
    <s v="Amit"/>
    <x v="1"/>
    <n v="14277"/>
    <s v="DISC20"/>
    <n v="0.2"/>
    <n v="13000"/>
    <d v="2024-02-25T00:00:00"/>
  </r>
  <r>
    <s v="S1804"/>
    <s v="Karan Rao"/>
    <x v="2"/>
    <x v="2"/>
    <s v="B2"/>
    <s v="Saurabh"/>
    <x v="1"/>
    <n v="14821"/>
    <s v="DISC15"/>
    <m/>
    <n v="13000"/>
    <d v="2024-02-28T00:00:00"/>
  </r>
  <r>
    <s v="S1805"/>
    <s v="Karan Jain"/>
    <x v="0"/>
    <x v="0"/>
    <s v="B3"/>
    <s v="Amit"/>
    <x v="1"/>
    <n v="12484"/>
    <s v="DISC20"/>
    <n v="0.2"/>
    <n v="14000"/>
    <d v="2024-01-21T00:00:00"/>
  </r>
  <r>
    <s v="S1806"/>
    <s v="Meera Mehta"/>
    <x v="0"/>
    <x v="0"/>
    <s v="B2"/>
    <s v="Priya"/>
    <x v="2"/>
    <n v="13242"/>
    <m/>
    <m/>
    <n v="14000"/>
    <d v="2024-02-17T00:00:00"/>
  </r>
  <r>
    <s v="S1807"/>
    <s v="Kunal Nair"/>
    <x v="1"/>
    <x v="1"/>
    <s v="B1"/>
    <s v="Saurabh"/>
    <x v="0"/>
    <n v="15538"/>
    <s v="DISC20"/>
    <n v="0.2"/>
    <n v="17000"/>
    <d v="2024-01-02T00:00:00"/>
  </r>
  <r>
    <s v="S1808"/>
    <s v="Dev Joshi"/>
    <x v="1"/>
    <x v="1"/>
    <s v="B3"/>
    <s v="Amit"/>
    <x v="1"/>
    <n v="15945"/>
    <s v="DISC15"/>
    <m/>
    <n v="17000"/>
    <d v="2024-01-15T00:00:00"/>
  </r>
  <r>
    <s v="S1809"/>
    <s v="Sneha Singh"/>
    <x v="0"/>
    <x v="0"/>
    <s v="B2"/>
    <s v="Saurabh"/>
    <x v="1"/>
    <n v="15194"/>
    <m/>
    <m/>
    <n v="14000"/>
    <d v="2024-01-09T00:00:00"/>
  </r>
  <r>
    <s v="S1810"/>
    <s v="Manish Nair"/>
    <x v="3"/>
    <x v="3"/>
    <s v="B3"/>
    <s v="Amit"/>
    <x v="2"/>
    <n v="7753"/>
    <m/>
    <m/>
    <n v="9000"/>
    <d v="2024-02-01T00:00:00"/>
  </r>
  <r>
    <s v="S1811"/>
    <s v="Neha Mehta"/>
    <x v="2"/>
    <x v="2"/>
    <s v="B1"/>
    <s v="Saurabh"/>
    <x v="0"/>
    <n v="12673"/>
    <s v="DISC10"/>
    <n v="0.1"/>
    <n v="13000"/>
    <d v="2024-02-29T00:00:00"/>
  </r>
  <r>
    <s v="S1812"/>
    <s v="Aditya Verma"/>
    <x v="2"/>
    <x v="2"/>
    <s v="B3"/>
    <s v="Amit"/>
    <x v="0"/>
    <n v="14103"/>
    <s v="DISC20"/>
    <n v="0.2"/>
    <n v="13000"/>
    <d v="2024-01-05T00:00:00"/>
  </r>
  <r>
    <s v="S1813"/>
    <s v="Karan Iyer"/>
    <x v="3"/>
    <x v="3"/>
    <s v="B3"/>
    <s v="Priya"/>
    <x v="2"/>
    <n v="10635"/>
    <s v="DISC20"/>
    <n v="0.2"/>
    <n v="9000"/>
    <d v="2024-01-28T00:00:00"/>
  </r>
  <r>
    <s v="S1814"/>
    <s v="Rahul Patel"/>
    <x v="0"/>
    <x v="0"/>
    <s v="B3"/>
    <s v="Amit"/>
    <x v="2"/>
    <n v="14949"/>
    <s v="DISC30"/>
    <n v="0.3"/>
    <n v="14000"/>
    <d v="2024-01-26T00:00:00"/>
  </r>
  <r>
    <s v="S1815"/>
    <s v="Kavita Desai"/>
    <x v="0"/>
    <x v="0"/>
    <s v="B3"/>
    <s v="Saurabh"/>
    <x v="2"/>
    <n v="13871"/>
    <s v="DISC10"/>
    <n v="0.1"/>
    <n v="14000"/>
    <d v="2024-02-26T00:00:00"/>
  </r>
  <r>
    <s v="S1816"/>
    <s v="Sneha Gupta"/>
    <x v="3"/>
    <x v="3"/>
    <s v="B3"/>
    <s v="Saurabh"/>
    <x v="1"/>
    <n v="8586"/>
    <s v="DISC15"/>
    <m/>
    <n v="9000"/>
    <d v="2024-02-18T00:00:00"/>
  </r>
  <r>
    <s v="S1817"/>
    <s v="Rohit Kulkarni"/>
    <x v="2"/>
    <x v="2"/>
    <s v="B2"/>
    <s v="Priya"/>
    <x v="2"/>
    <n v="14622"/>
    <s v="DISC30"/>
    <n v="0.3"/>
    <n v="13000"/>
    <d v="2024-02-19T00:00:00"/>
  </r>
  <r>
    <s v="S1818"/>
    <s v="Meera Rao"/>
    <x v="3"/>
    <x v="3"/>
    <s v="B1"/>
    <s v="Priya"/>
    <x v="2"/>
    <n v="9511"/>
    <s v="DISC10"/>
    <n v="0.1"/>
    <n v="9000"/>
    <d v="2024-02-14T00:00:00"/>
  </r>
  <r>
    <s v="S1819"/>
    <s v="Manish Mehta"/>
    <x v="3"/>
    <x v="3"/>
    <s v="B3"/>
    <s v="Priya"/>
    <x v="0"/>
    <n v="9959"/>
    <s v="DISC15"/>
    <m/>
    <n v="9000"/>
    <d v="2024-01-08T00:00:00"/>
  </r>
  <r>
    <s v="S1820"/>
    <s v="Karan Patel"/>
    <x v="2"/>
    <x v="2"/>
    <s v="B2"/>
    <s v="Priya"/>
    <x v="2"/>
    <n v="12846"/>
    <s v="DISC10"/>
    <n v="0.1"/>
    <n v="13000"/>
    <d v="2024-01-12T00:00:00"/>
  </r>
  <r>
    <s v="S1821"/>
    <s v="Neha Joshi"/>
    <x v="2"/>
    <x v="2"/>
    <s v="B2"/>
    <s v="Saurabh"/>
    <x v="2"/>
    <n v="12327"/>
    <s v="DISC20"/>
    <n v="0.2"/>
    <n v="13000"/>
    <d v="2024-02-15T00:00:00"/>
  </r>
  <r>
    <s v="S1822"/>
    <s v="Anjali Shah"/>
    <x v="0"/>
    <x v="0"/>
    <s v="B1"/>
    <s v="Amit"/>
    <x v="2"/>
    <n v="14597"/>
    <s v="DISC30"/>
    <n v="0.3"/>
    <n v="14000"/>
    <d v="2024-01-06T00:00:00"/>
  </r>
  <r>
    <s v="S1823"/>
    <s v="Manish Desai"/>
    <x v="3"/>
    <x v="3"/>
    <s v="B3"/>
    <s v="Amit"/>
    <x v="1"/>
    <n v="10890"/>
    <s v="DISC20"/>
    <n v="0.2"/>
    <n v="9000"/>
    <d v="2024-01-25T00:00:00"/>
  </r>
  <r>
    <s v="S1824"/>
    <s v="Manish Verma"/>
    <x v="0"/>
    <x v="0"/>
    <s v="B1"/>
    <s v="Priya"/>
    <x v="1"/>
    <n v="15568"/>
    <s v="DISC20"/>
    <n v="0.2"/>
    <n v="14000"/>
    <d v="2024-01-11T00:00:00"/>
  </r>
  <r>
    <s v="S1825"/>
    <s v="Meera Mehta"/>
    <x v="2"/>
    <x v="2"/>
    <s v="B3"/>
    <s v="Saurabh"/>
    <x v="2"/>
    <n v="12261"/>
    <s v="DISC30"/>
    <n v="0.3"/>
    <n v="13000"/>
    <d v="2024-02-16T00:00:00"/>
  </r>
  <r>
    <s v="S1826"/>
    <s v="Dev Iyer"/>
    <x v="1"/>
    <x v="1"/>
    <s v="B3"/>
    <s v="Saurabh"/>
    <x v="0"/>
    <n v="18680"/>
    <s v="DISC20"/>
    <n v="0.2"/>
    <n v="17000"/>
    <d v="2024-01-13T00:00:00"/>
  </r>
  <r>
    <s v="S1827"/>
    <s v="Aarav Joshi"/>
    <x v="1"/>
    <x v="1"/>
    <s v="B1"/>
    <s v="Priya"/>
    <x v="2"/>
    <n v="18503"/>
    <m/>
    <m/>
    <n v="17000"/>
    <d v="2024-02-04T00:00:00"/>
  </r>
  <r>
    <s v="S1828"/>
    <s v="Dev Kulkarni"/>
    <x v="3"/>
    <x v="3"/>
    <s v="B1"/>
    <s v="Saurabh"/>
    <x v="1"/>
    <n v="9701"/>
    <m/>
    <m/>
    <n v="9000"/>
    <d v="2024-01-30T00:00:00"/>
  </r>
  <r>
    <s v="S1829"/>
    <s v="Rahul Iyer"/>
    <x v="0"/>
    <x v="0"/>
    <s v="B3"/>
    <s v="Amit"/>
    <x v="0"/>
    <n v="13002"/>
    <s v="DISC15"/>
    <m/>
    <n v="14000"/>
    <d v="2024-01-18T00:00:00"/>
  </r>
  <r>
    <s v="S1830"/>
    <s v="Kavita Singh"/>
    <x v="2"/>
    <x v="2"/>
    <s v="B1"/>
    <s v="Saurabh"/>
    <x v="0"/>
    <n v="11225"/>
    <s v="DISC30"/>
    <n v="0.3"/>
    <n v="13000"/>
    <d v="2024-01-03T00:00:00"/>
  </r>
  <r>
    <s v="S1831"/>
    <s v="Karan Nair"/>
    <x v="0"/>
    <x v="0"/>
    <s v="B3"/>
    <s v="Amit"/>
    <x v="1"/>
    <n v="13222"/>
    <s v="DISC30"/>
    <n v="0.3"/>
    <n v="14000"/>
    <d v="2024-02-28T00:00:00"/>
  </r>
  <r>
    <s v="S1832"/>
    <s v="Riya Kulkarni"/>
    <x v="0"/>
    <x v="0"/>
    <s v="B2"/>
    <s v="Saurabh"/>
    <x v="0"/>
    <n v="14752"/>
    <s v="DISC30"/>
    <n v="0.3"/>
    <n v="14000"/>
    <d v="2024-02-09T00:00:00"/>
  </r>
  <r>
    <s v="S1833"/>
    <s v="Rohit Desai"/>
    <x v="2"/>
    <x v="2"/>
    <s v="B2"/>
    <s v="Amit"/>
    <x v="1"/>
    <n v="12475"/>
    <s v="DISC10"/>
    <n v="0.1"/>
    <n v="13000"/>
    <d v="2024-01-06T00:00:00"/>
  </r>
  <r>
    <s v="S1834"/>
    <s v="Dev Rao"/>
    <x v="1"/>
    <x v="1"/>
    <s v="B2"/>
    <s v="Priya"/>
    <x v="0"/>
    <n v="18106"/>
    <m/>
    <m/>
    <n v="17000"/>
    <d v="2024-02-23T00:00:00"/>
  </r>
  <r>
    <s v="S1835"/>
    <s v="Manish Shah"/>
    <x v="1"/>
    <x v="1"/>
    <s v="B2"/>
    <s v="Saurabh"/>
    <x v="0"/>
    <n v="17845"/>
    <s v="DISC30"/>
    <n v="0.3"/>
    <n v="17000"/>
    <d v="2024-01-22T00:00:00"/>
  </r>
  <r>
    <s v="S1836"/>
    <s v="Manish Verma"/>
    <x v="2"/>
    <x v="2"/>
    <s v="B3"/>
    <s v="Saurabh"/>
    <x v="1"/>
    <n v="11238"/>
    <s v="DISC10"/>
    <n v="0.1"/>
    <n v="13000"/>
    <d v="2024-02-06T00:00:00"/>
  </r>
  <r>
    <s v="S1837"/>
    <s v="Anjali Singh"/>
    <x v="0"/>
    <x v="0"/>
    <s v="B2"/>
    <s v="Amit"/>
    <x v="1"/>
    <n v="14477"/>
    <s v="DISC30"/>
    <n v="0.3"/>
    <n v="14000"/>
    <d v="2024-01-28T00:00:00"/>
  </r>
  <r>
    <s v="S1838"/>
    <s v="Kavita Nair"/>
    <x v="1"/>
    <x v="1"/>
    <s v="B2"/>
    <s v="Amit"/>
    <x v="1"/>
    <n v="17552"/>
    <s v="DISC30"/>
    <n v="0.3"/>
    <n v="17000"/>
    <d v="2024-02-29T00:00:00"/>
  </r>
  <r>
    <s v="S1839"/>
    <s v="Karan Joshi"/>
    <x v="3"/>
    <x v="3"/>
    <s v="B3"/>
    <s v="Amit"/>
    <x v="1"/>
    <n v="9038"/>
    <m/>
    <m/>
    <n v="9000"/>
    <d v="2024-02-21T00:00:00"/>
  </r>
  <r>
    <s v="S1840"/>
    <s v="Karan Joshi"/>
    <x v="2"/>
    <x v="2"/>
    <s v="B3"/>
    <s v="Priya"/>
    <x v="0"/>
    <n v="11006"/>
    <s v="DISC10"/>
    <n v="0.1"/>
    <n v="13000"/>
    <d v="2024-01-02T00:00:00"/>
  </r>
  <r>
    <s v="S1841"/>
    <s v="Neha Singh"/>
    <x v="0"/>
    <x v="0"/>
    <s v="B3"/>
    <s v="Saurabh"/>
    <x v="1"/>
    <n v="13698"/>
    <m/>
    <m/>
    <n v="14000"/>
    <d v="2024-01-03T00:00:00"/>
  </r>
  <r>
    <s v="S1842"/>
    <s v="Pooja Jain"/>
    <x v="2"/>
    <x v="2"/>
    <s v="B1"/>
    <s v="Amit"/>
    <x v="0"/>
    <n v="13826"/>
    <s v="DISC30"/>
    <n v="0.3"/>
    <n v="13000"/>
    <d v="2024-01-17T00:00:00"/>
  </r>
  <r>
    <s v="S1843"/>
    <s v="Dev Shah"/>
    <x v="1"/>
    <x v="1"/>
    <s v="B2"/>
    <s v="Amit"/>
    <x v="1"/>
    <n v="16326"/>
    <s v="DISC10"/>
    <n v="0.1"/>
    <n v="17000"/>
    <d v="2024-01-08T00:00:00"/>
  </r>
  <r>
    <s v="S1844"/>
    <s v="Rohit Jain"/>
    <x v="1"/>
    <x v="1"/>
    <s v="B2"/>
    <s v="Amit"/>
    <x v="1"/>
    <n v="17523"/>
    <s v="DISC10"/>
    <n v="0.1"/>
    <n v="17000"/>
    <d v="2024-02-23T00:00:00"/>
  </r>
  <r>
    <s v="S1845"/>
    <s v="Karan Patil"/>
    <x v="1"/>
    <x v="1"/>
    <s v="B2"/>
    <s v="Amit"/>
    <x v="2"/>
    <n v="18752"/>
    <m/>
    <m/>
    <n v="17000"/>
    <d v="2024-02-21T00:00:00"/>
  </r>
  <r>
    <s v="S1846"/>
    <s v="Aarav Singh"/>
    <x v="2"/>
    <x v="2"/>
    <s v="B2"/>
    <s v="Saurabh"/>
    <x v="1"/>
    <n v="12886"/>
    <s v="DISC15"/>
    <m/>
    <n v="13000"/>
    <d v="2024-02-27T00:00:00"/>
  </r>
  <r>
    <s v="S1847"/>
    <s v="Pooja Iyer"/>
    <x v="3"/>
    <x v="3"/>
    <s v="B3"/>
    <s v="Saurabh"/>
    <x v="1"/>
    <n v="8226"/>
    <s v="DISC15"/>
    <m/>
    <n v="9000"/>
    <d v="2024-02-16T00:00:00"/>
  </r>
  <r>
    <s v="S1848"/>
    <s v="Rohit Jain"/>
    <x v="0"/>
    <x v="0"/>
    <s v="B1"/>
    <s v="Amit"/>
    <x v="1"/>
    <n v="13358"/>
    <s v="DISC30"/>
    <n v="0.3"/>
    <n v="14000"/>
    <d v="2024-01-05T00:00:00"/>
  </r>
  <r>
    <s v="S1849"/>
    <s v="Karan Rao"/>
    <x v="0"/>
    <x v="0"/>
    <s v="B2"/>
    <s v="Priya"/>
    <x v="1"/>
    <n v="14188"/>
    <s v="DISC20"/>
    <n v="0.2"/>
    <n v="14000"/>
    <d v="2024-02-06T00:00:00"/>
  </r>
  <r>
    <s v="S1850"/>
    <s v="Kavita Verma"/>
    <x v="2"/>
    <x v="2"/>
    <s v="B3"/>
    <s v="Saurabh"/>
    <x v="2"/>
    <n v="13888"/>
    <s v="DISC30"/>
    <n v="0.3"/>
    <n v="13000"/>
    <d v="2024-02-15T00:00:00"/>
  </r>
  <r>
    <s v="S1851"/>
    <s v="Aarav Rao"/>
    <x v="3"/>
    <x v="3"/>
    <s v="B1"/>
    <s v="Priya"/>
    <x v="0"/>
    <n v="8522"/>
    <m/>
    <m/>
    <n v="9000"/>
    <d v="2024-02-23T00:00:00"/>
  </r>
  <r>
    <s v="S1852"/>
    <s v="Aditya Patil"/>
    <x v="1"/>
    <x v="1"/>
    <s v="B1"/>
    <s v="Saurabh"/>
    <x v="2"/>
    <n v="18215"/>
    <s v="DISC10"/>
    <n v="0.1"/>
    <n v="17000"/>
    <d v="2024-02-19T00:00:00"/>
  </r>
  <r>
    <s v="S1853"/>
    <s v="Sneha Shah"/>
    <x v="3"/>
    <x v="3"/>
    <s v="B3"/>
    <s v="Saurabh"/>
    <x v="2"/>
    <n v="10706"/>
    <s v="DISC15"/>
    <m/>
    <n v="9000"/>
    <d v="2024-01-10T00:00:00"/>
  </r>
  <r>
    <s v="S1854"/>
    <s v="Sneha Jain"/>
    <x v="3"/>
    <x v="3"/>
    <s v="B3"/>
    <s v="Amit"/>
    <x v="2"/>
    <n v="10176"/>
    <s v="DISC30"/>
    <n v="0.3"/>
    <n v="9000"/>
    <d v="2024-01-10T00:00:00"/>
  </r>
  <r>
    <s v="S1855"/>
    <s v="Dev Nair"/>
    <x v="0"/>
    <x v="0"/>
    <s v="B3"/>
    <s v="Amit"/>
    <x v="0"/>
    <n v="12840"/>
    <s v="DISC10"/>
    <n v="0.1"/>
    <n v="14000"/>
    <d v="2024-01-30T00:00:00"/>
  </r>
  <r>
    <s v="S1856"/>
    <s v="Rahul Desai"/>
    <x v="0"/>
    <x v="0"/>
    <s v="B1"/>
    <s v="Priya"/>
    <x v="0"/>
    <n v="14814"/>
    <s v="DISC15"/>
    <m/>
    <n v="14000"/>
    <d v="2024-02-25T00:00:00"/>
  </r>
  <r>
    <s v="S1857"/>
    <s v="Riya Jain"/>
    <x v="3"/>
    <x v="3"/>
    <s v="B1"/>
    <s v="Saurabh"/>
    <x v="1"/>
    <n v="10138"/>
    <s v="DISC30"/>
    <n v="0.3"/>
    <n v="9000"/>
    <d v="2024-01-02T00:00:00"/>
  </r>
  <r>
    <s v="S1858"/>
    <s v="Kavita Patel"/>
    <x v="1"/>
    <x v="1"/>
    <s v="B3"/>
    <s v="Saurabh"/>
    <x v="2"/>
    <n v="15821"/>
    <s v="DISC20"/>
    <n v="0.2"/>
    <n v="17000"/>
    <d v="2024-01-19T00:00:00"/>
  </r>
  <r>
    <s v="S1859"/>
    <s v="Aditya Gupta"/>
    <x v="1"/>
    <x v="1"/>
    <s v="B2"/>
    <s v="Amit"/>
    <x v="0"/>
    <n v="16116"/>
    <s v="DISC20"/>
    <n v="0.2"/>
    <n v="17000"/>
    <d v="2024-01-11T00:00:00"/>
  </r>
  <r>
    <s v="S1860"/>
    <s v="Aditya Shah"/>
    <x v="0"/>
    <x v="0"/>
    <s v="B3"/>
    <s v="Amit"/>
    <x v="1"/>
    <n v="12419"/>
    <s v="DISC20"/>
    <n v="0.2"/>
    <n v="14000"/>
    <d v="2024-02-04T00:00:00"/>
  </r>
  <r>
    <s v="S1861"/>
    <s v="Pooja Gupta"/>
    <x v="1"/>
    <x v="1"/>
    <s v="B2"/>
    <s v="Saurabh"/>
    <x v="1"/>
    <n v="18293"/>
    <s v="DISC30"/>
    <n v="0.3"/>
    <n v="17000"/>
    <d v="2024-02-06T00:00:00"/>
  </r>
  <r>
    <s v="S1862"/>
    <s v="Sneha Mehta"/>
    <x v="0"/>
    <x v="0"/>
    <s v="B2"/>
    <s v="Amit"/>
    <x v="2"/>
    <n v="14214"/>
    <m/>
    <m/>
    <n v="14000"/>
    <d v="2024-01-04T00:00:00"/>
  </r>
  <r>
    <s v="S1863"/>
    <s v="Karan Kulkarni"/>
    <x v="3"/>
    <x v="3"/>
    <s v="B3"/>
    <s v="Saurabh"/>
    <x v="0"/>
    <n v="8571"/>
    <s v="DISC10"/>
    <n v="0.1"/>
    <n v="9000"/>
    <d v="2024-01-06T00:00:00"/>
  </r>
  <r>
    <s v="S1864"/>
    <s v="Rahul Verma"/>
    <x v="2"/>
    <x v="2"/>
    <s v="B3"/>
    <s v="Amit"/>
    <x v="1"/>
    <n v="13578"/>
    <m/>
    <m/>
    <n v="13000"/>
    <d v="2024-02-09T00:00:00"/>
  </r>
  <r>
    <s v="S1865"/>
    <s v="Pooja Rao"/>
    <x v="1"/>
    <x v="1"/>
    <s v="B1"/>
    <s v="Amit"/>
    <x v="1"/>
    <n v="18314"/>
    <s v="DISC15"/>
    <m/>
    <n v="17000"/>
    <d v="2024-01-06T00:00:00"/>
  </r>
  <r>
    <s v="S1866"/>
    <s v="Kunal Patel"/>
    <x v="3"/>
    <x v="3"/>
    <s v="B3"/>
    <s v="Saurabh"/>
    <x v="0"/>
    <n v="10329"/>
    <m/>
    <m/>
    <n v="9000"/>
    <d v="2024-01-07T00:00:00"/>
  </r>
  <r>
    <s v="S1867"/>
    <s v="Neha Rao"/>
    <x v="3"/>
    <x v="3"/>
    <s v="B2"/>
    <s v="Saurabh"/>
    <x v="0"/>
    <n v="7588"/>
    <s v="DISC15"/>
    <m/>
    <n v="9000"/>
    <d v="2024-01-17T00:00:00"/>
  </r>
  <r>
    <s v="S1868"/>
    <s v="Kunal Jain"/>
    <x v="3"/>
    <x v="3"/>
    <s v="B1"/>
    <s v="Amit"/>
    <x v="1"/>
    <n v="8353"/>
    <s v="DISC30"/>
    <n v="0.3"/>
    <n v="9000"/>
    <d v="2024-01-30T00:00:00"/>
  </r>
  <r>
    <s v="S1869"/>
    <s v="Neha Kulkarni"/>
    <x v="0"/>
    <x v="0"/>
    <s v="B2"/>
    <s v="Saurabh"/>
    <x v="2"/>
    <n v="13960"/>
    <m/>
    <m/>
    <n v="14000"/>
    <d v="2024-02-24T00:00:00"/>
  </r>
  <r>
    <s v="S1870"/>
    <s v="Karan Rao"/>
    <x v="1"/>
    <x v="1"/>
    <s v="B3"/>
    <s v="Amit"/>
    <x v="0"/>
    <n v="17080"/>
    <s v="DISC10"/>
    <n v="0.1"/>
    <n v="17000"/>
    <d v="2024-01-26T00:00:00"/>
  </r>
  <r>
    <s v="S1871"/>
    <s v="Meera Desai"/>
    <x v="0"/>
    <x v="0"/>
    <s v="B2"/>
    <s v="Amit"/>
    <x v="1"/>
    <n v="12290"/>
    <s v="DISC30"/>
    <n v="0.3"/>
    <n v="14000"/>
    <d v="2024-02-04T00:00:00"/>
  </r>
  <r>
    <s v="S1872"/>
    <s v="Neha Verma"/>
    <x v="3"/>
    <x v="3"/>
    <s v="B1"/>
    <s v="Amit"/>
    <x v="0"/>
    <n v="9244"/>
    <s v="DISC20"/>
    <n v="0.2"/>
    <n v="9000"/>
    <d v="2024-01-31T00:00:00"/>
  </r>
  <r>
    <s v="S1873"/>
    <s v="Rahul Shah"/>
    <x v="1"/>
    <x v="1"/>
    <s v="B1"/>
    <s v="Amit"/>
    <x v="1"/>
    <n v="16765"/>
    <m/>
    <m/>
    <n v="17000"/>
    <d v="2024-02-06T00:00:00"/>
  </r>
  <r>
    <s v="S1874"/>
    <s v="Dev Jain"/>
    <x v="2"/>
    <x v="2"/>
    <s v="B1"/>
    <s v="Amit"/>
    <x v="1"/>
    <n v="11319"/>
    <s v="DISC15"/>
    <m/>
    <n v="13000"/>
    <d v="2024-02-23T00:00:00"/>
  </r>
  <r>
    <s v="S1875"/>
    <s v="Neha Shah"/>
    <x v="3"/>
    <x v="3"/>
    <s v="B2"/>
    <s v="Amit"/>
    <x v="0"/>
    <n v="10367"/>
    <m/>
    <m/>
    <n v="9000"/>
    <d v="2024-01-12T00:00:00"/>
  </r>
  <r>
    <s v="S1876"/>
    <s v="Aditya Verma"/>
    <x v="0"/>
    <x v="0"/>
    <s v="B3"/>
    <s v="Saurabh"/>
    <x v="1"/>
    <n v="15334"/>
    <s v="DISC15"/>
    <m/>
    <n v="14000"/>
    <d v="2024-02-19T00:00:00"/>
  </r>
  <r>
    <s v="S1877"/>
    <s v="Meera Verma"/>
    <x v="1"/>
    <x v="1"/>
    <s v="B2"/>
    <s v="Amit"/>
    <x v="1"/>
    <n v="15251"/>
    <s v="DISC10"/>
    <n v="0.1"/>
    <n v="17000"/>
    <d v="2024-01-14T00:00:00"/>
  </r>
  <r>
    <s v="S1878"/>
    <s v="Meera Mehta"/>
    <x v="0"/>
    <x v="0"/>
    <s v="B1"/>
    <s v="Amit"/>
    <x v="0"/>
    <n v="13855"/>
    <s v="DISC15"/>
    <m/>
    <n v="14000"/>
    <d v="2024-01-19T00:00:00"/>
  </r>
  <r>
    <s v="S1879"/>
    <s v="Rahul Joshi"/>
    <x v="3"/>
    <x v="3"/>
    <s v="B1"/>
    <s v="Saurabh"/>
    <x v="1"/>
    <n v="10593"/>
    <s v="DISC30"/>
    <n v="0.3"/>
    <n v="9000"/>
    <d v="2024-01-20T00:00:00"/>
  </r>
  <r>
    <s v="S1880"/>
    <s v="Kavita Patel"/>
    <x v="1"/>
    <x v="1"/>
    <s v="B2"/>
    <s v="Amit"/>
    <x v="2"/>
    <n v="15365"/>
    <s v="DISC15"/>
    <m/>
    <n v="17000"/>
    <d v="2024-01-01T00:00:00"/>
  </r>
  <r>
    <s v="S1881"/>
    <s v="Kavita Gupta"/>
    <x v="3"/>
    <x v="3"/>
    <s v="B1"/>
    <s v="Priya"/>
    <x v="0"/>
    <n v="8512"/>
    <s v="DISC15"/>
    <m/>
    <n v="9000"/>
    <d v="2024-01-04T00:00:00"/>
  </r>
  <r>
    <s v="S1882"/>
    <s v="Aarav Desai"/>
    <x v="1"/>
    <x v="1"/>
    <s v="B1"/>
    <s v="Priya"/>
    <x v="0"/>
    <n v="15963"/>
    <m/>
    <m/>
    <n v="17000"/>
    <d v="2024-02-14T00:00:00"/>
  </r>
  <r>
    <s v="S1883"/>
    <s v="Kavita Verma"/>
    <x v="1"/>
    <x v="1"/>
    <s v="B3"/>
    <s v="Priya"/>
    <x v="2"/>
    <n v="16562"/>
    <m/>
    <m/>
    <n v="17000"/>
    <d v="2024-02-04T00:00:00"/>
  </r>
  <r>
    <s v="S1884"/>
    <s v="Sneha Singh"/>
    <x v="2"/>
    <x v="2"/>
    <s v="B2"/>
    <s v="Saurabh"/>
    <x v="0"/>
    <n v="13275"/>
    <m/>
    <m/>
    <n v="13000"/>
    <d v="2024-02-23T00:00:00"/>
  </r>
  <r>
    <s v="S1885"/>
    <s v="Kunal Jain"/>
    <x v="3"/>
    <x v="3"/>
    <s v="B1"/>
    <s v="Priya"/>
    <x v="1"/>
    <n v="7514"/>
    <s v="DISC20"/>
    <n v="0.2"/>
    <n v="9000"/>
    <d v="2024-01-01T00:00:00"/>
  </r>
  <r>
    <s v="S1886"/>
    <s v="Riya Singh"/>
    <x v="0"/>
    <x v="0"/>
    <s v="B1"/>
    <s v="Amit"/>
    <x v="2"/>
    <n v="14694"/>
    <m/>
    <m/>
    <n v="14000"/>
    <d v="2024-01-09T00:00:00"/>
  </r>
  <r>
    <s v="S1887"/>
    <s v="Riya Mehta"/>
    <x v="3"/>
    <x v="3"/>
    <s v="B2"/>
    <s v="Amit"/>
    <x v="1"/>
    <n v="10810"/>
    <m/>
    <m/>
    <n v="9000"/>
    <d v="2024-02-09T00:00:00"/>
  </r>
  <r>
    <s v="S1888"/>
    <s v="Karan Iyer"/>
    <x v="3"/>
    <x v="3"/>
    <s v="B3"/>
    <s v="Priya"/>
    <x v="2"/>
    <n v="8455"/>
    <s v="DISC20"/>
    <n v="0.2"/>
    <n v="9000"/>
    <d v="2024-01-12T00:00:00"/>
  </r>
  <r>
    <s v="S1889"/>
    <s v="Rahul Joshi"/>
    <x v="0"/>
    <x v="0"/>
    <s v="B3"/>
    <s v="Priya"/>
    <x v="1"/>
    <n v="12969"/>
    <s v="DISC15"/>
    <m/>
    <n v="14000"/>
    <d v="2024-01-18T00:00:00"/>
  </r>
  <r>
    <s v="S1890"/>
    <s v="Rahul Gupta"/>
    <x v="1"/>
    <x v="1"/>
    <s v="B1"/>
    <s v="Saurabh"/>
    <x v="1"/>
    <n v="16979"/>
    <s v="DISC30"/>
    <n v="0.3"/>
    <n v="17000"/>
    <d v="2024-01-08T00:00:00"/>
  </r>
  <r>
    <s v="S1891"/>
    <s v="Kavita Iyer"/>
    <x v="0"/>
    <x v="0"/>
    <s v="B1"/>
    <s v="Amit"/>
    <x v="1"/>
    <n v="14156"/>
    <s v="DISC30"/>
    <n v="0.3"/>
    <n v="14000"/>
    <d v="2024-01-30T00:00:00"/>
  </r>
  <r>
    <s v="S1892"/>
    <s v="Manish Shah"/>
    <x v="0"/>
    <x v="0"/>
    <s v="B1"/>
    <s v="Priya"/>
    <x v="1"/>
    <n v="15037"/>
    <s v="DISC10"/>
    <n v="0.1"/>
    <n v="14000"/>
    <d v="2024-02-13T00:00:00"/>
  </r>
  <r>
    <s v="S1893"/>
    <s v="Rohit Gupta"/>
    <x v="1"/>
    <x v="1"/>
    <s v="B3"/>
    <s v="Saurabh"/>
    <x v="2"/>
    <n v="17191"/>
    <s v="DISC10"/>
    <n v="0.1"/>
    <n v="17000"/>
    <d v="2024-01-31T00:00:00"/>
  </r>
  <r>
    <s v="S1894"/>
    <s v="Neha Gupta"/>
    <x v="3"/>
    <x v="3"/>
    <s v="B3"/>
    <s v="Amit"/>
    <x v="2"/>
    <n v="8724"/>
    <s v="DISC30"/>
    <n v="0.3"/>
    <n v="9000"/>
    <d v="2024-02-21T00:00:00"/>
  </r>
  <r>
    <s v="S1895"/>
    <s v="Aditya Rao"/>
    <x v="2"/>
    <x v="2"/>
    <s v="B1"/>
    <s v="Amit"/>
    <x v="1"/>
    <n v="14069"/>
    <s v="DISC30"/>
    <n v="0.3"/>
    <n v="13000"/>
    <d v="2024-02-16T00:00:00"/>
  </r>
  <r>
    <s v="S1896"/>
    <s v="Dev Joshi"/>
    <x v="1"/>
    <x v="1"/>
    <s v="B1"/>
    <s v="Amit"/>
    <x v="2"/>
    <n v="17368"/>
    <s v="DISC20"/>
    <n v="0.2"/>
    <n v="17000"/>
    <d v="2024-02-06T00:00:00"/>
  </r>
  <r>
    <s v="S1897"/>
    <s v="Aarav Singh"/>
    <x v="1"/>
    <x v="1"/>
    <s v="B3"/>
    <s v="Amit"/>
    <x v="0"/>
    <n v="16174"/>
    <m/>
    <m/>
    <n v="17000"/>
    <d v="2024-01-06T00:00:00"/>
  </r>
  <r>
    <s v="S1898"/>
    <s v="Karan Gupta"/>
    <x v="0"/>
    <x v="0"/>
    <s v="B2"/>
    <s v="Priya"/>
    <x v="0"/>
    <n v="14522"/>
    <s v="DISC30"/>
    <n v="0.3"/>
    <n v="14000"/>
    <d v="2024-01-18T00:00:00"/>
  </r>
  <r>
    <s v="S1899"/>
    <s v="Meera Rao"/>
    <x v="0"/>
    <x v="0"/>
    <s v="B3"/>
    <s v="Saurabh"/>
    <x v="1"/>
    <n v="12715"/>
    <s v="DISC15"/>
    <m/>
    <n v="14000"/>
    <d v="2024-02-17T00:00:00"/>
  </r>
  <r>
    <s v="S1900"/>
    <s v="Karan Singh"/>
    <x v="3"/>
    <x v="3"/>
    <s v="B2"/>
    <s v="Saurabh"/>
    <x v="2"/>
    <n v="10205"/>
    <s v="DISC20"/>
    <n v="0.2"/>
    <n v="9000"/>
    <d v="2024-02-01T00:00:00"/>
  </r>
  <r>
    <s v="S1901"/>
    <s v="Karan Patel"/>
    <x v="0"/>
    <x v="0"/>
    <s v="B2"/>
    <s v="Saurabh"/>
    <x v="0"/>
    <n v="14439"/>
    <s v="DISC20"/>
    <n v="0.2"/>
    <n v="14000"/>
    <d v="2024-02-23T00:00:00"/>
  </r>
  <r>
    <s v="S1902"/>
    <s v="Neha Patel"/>
    <x v="3"/>
    <x v="3"/>
    <s v="B2"/>
    <s v="Saurabh"/>
    <x v="1"/>
    <n v="8802"/>
    <s v="DISC20"/>
    <n v="0.2"/>
    <n v="9000"/>
    <d v="2024-01-14T00:00:00"/>
  </r>
  <r>
    <s v="S1903"/>
    <s v="Kavita Desai"/>
    <x v="1"/>
    <x v="1"/>
    <s v="B1"/>
    <s v="Amit"/>
    <x v="2"/>
    <n v="18094"/>
    <s v="DISC10"/>
    <n v="0.1"/>
    <n v="17000"/>
    <d v="2024-01-04T00:00:00"/>
  </r>
  <r>
    <s v="S1904"/>
    <s v="Karan Iyer"/>
    <x v="3"/>
    <x v="3"/>
    <s v="B2"/>
    <s v="Priya"/>
    <x v="2"/>
    <n v="10056"/>
    <s v="DISC15"/>
    <m/>
    <n v="9000"/>
    <d v="2024-01-15T00:00:00"/>
  </r>
  <r>
    <s v="S1905"/>
    <s v="Rahul Singh"/>
    <x v="3"/>
    <x v="3"/>
    <s v="B2"/>
    <s v="Priya"/>
    <x v="0"/>
    <n v="9172"/>
    <m/>
    <m/>
    <n v="9000"/>
    <d v="2024-01-01T00:00:00"/>
  </r>
  <r>
    <s v="S1906"/>
    <s v="Aditya Patel"/>
    <x v="3"/>
    <x v="3"/>
    <s v="B2"/>
    <s v="Amit"/>
    <x v="2"/>
    <n v="10939"/>
    <s v="DISC15"/>
    <m/>
    <n v="9000"/>
    <d v="2024-02-13T00:00:00"/>
  </r>
  <r>
    <s v="S1907"/>
    <s v="Aarav Shah"/>
    <x v="1"/>
    <x v="1"/>
    <s v="B2"/>
    <s v="Amit"/>
    <x v="1"/>
    <n v="18515"/>
    <s v="DISC30"/>
    <n v="0.3"/>
    <n v="17000"/>
    <d v="2024-01-22T00:00:00"/>
  </r>
  <r>
    <s v="S1908"/>
    <s v="Aditya Rao"/>
    <x v="0"/>
    <x v="0"/>
    <s v="B2"/>
    <s v="Amit"/>
    <x v="1"/>
    <n v="13602"/>
    <m/>
    <m/>
    <n v="14000"/>
    <d v="2024-02-19T00:00:00"/>
  </r>
  <r>
    <s v="S1909"/>
    <s v="Rohit Desai"/>
    <x v="2"/>
    <x v="2"/>
    <s v="B3"/>
    <s v="Amit"/>
    <x v="1"/>
    <n v="14155"/>
    <s v="DISC20"/>
    <n v="0.2"/>
    <n v="13000"/>
    <d v="2024-02-03T00:00:00"/>
  </r>
  <r>
    <s v="S1910"/>
    <s v="Pooja Singh"/>
    <x v="2"/>
    <x v="2"/>
    <s v="B2"/>
    <s v="Amit"/>
    <x v="0"/>
    <n v="13755"/>
    <s v="DISC10"/>
    <n v="0.1"/>
    <n v="13000"/>
    <d v="2024-02-23T00:00:00"/>
  </r>
  <r>
    <s v="S1911"/>
    <s v="Riya Kulkarni"/>
    <x v="3"/>
    <x v="3"/>
    <s v="B1"/>
    <s v="Amit"/>
    <x v="0"/>
    <n v="9807"/>
    <m/>
    <m/>
    <n v="9000"/>
    <d v="2024-01-23T00:00:00"/>
  </r>
  <r>
    <s v="S1912"/>
    <s v="Sneha Desai"/>
    <x v="1"/>
    <x v="1"/>
    <s v="B2"/>
    <s v="Saurabh"/>
    <x v="0"/>
    <n v="15097"/>
    <s v="DISC15"/>
    <m/>
    <n v="17000"/>
    <d v="2024-01-06T00:00:00"/>
  </r>
  <r>
    <s v="S1913"/>
    <s v="Aarav Joshi"/>
    <x v="2"/>
    <x v="2"/>
    <s v="B3"/>
    <s v="Amit"/>
    <x v="0"/>
    <n v="13900"/>
    <s v="DISC10"/>
    <n v="0.1"/>
    <n v="13000"/>
    <d v="2024-01-06T00:00:00"/>
  </r>
  <r>
    <s v="S1914"/>
    <s v="Meera Joshi"/>
    <x v="2"/>
    <x v="2"/>
    <s v="B2"/>
    <s v="Amit"/>
    <x v="1"/>
    <n v="13318"/>
    <s v="DISC20"/>
    <n v="0.2"/>
    <n v="13000"/>
    <d v="2024-02-27T00:00:00"/>
  </r>
  <r>
    <s v="S1915"/>
    <s v="Riya Desai"/>
    <x v="2"/>
    <x v="2"/>
    <s v="B2"/>
    <s v="Priya"/>
    <x v="2"/>
    <n v="13705"/>
    <s v="DISC10"/>
    <n v="0.1"/>
    <n v="13000"/>
    <d v="2024-02-10T00:00:00"/>
  </r>
  <r>
    <s v="S1916"/>
    <s v="Neha Rao"/>
    <x v="3"/>
    <x v="3"/>
    <s v="B3"/>
    <s v="Amit"/>
    <x v="2"/>
    <n v="8054"/>
    <s v="DISC20"/>
    <n v="0.2"/>
    <n v="9000"/>
    <d v="2024-02-19T00:00:00"/>
  </r>
  <r>
    <s v="S1917"/>
    <s v="Riya Rao"/>
    <x v="0"/>
    <x v="0"/>
    <s v="B2"/>
    <s v="Priya"/>
    <x v="2"/>
    <n v="12246"/>
    <s v="DISC30"/>
    <n v="0.3"/>
    <n v="14000"/>
    <d v="2024-02-22T00:00:00"/>
  </r>
  <r>
    <s v="S1918"/>
    <s v="Aditya Mehta"/>
    <x v="3"/>
    <x v="3"/>
    <s v="B1"/>
    <s v="Priya"/>
    <x v="0"/>
    <n v="9499"/>
    <m/>
    <m/>
    <n v="9000"/>
    <d v="2024-01-12T00:00:00"/>
  </r>
  <r>
    <s v="S1919"/>
    <s v="Rohit Iyer"/>
    <x v="0"/>
    <x v="0"/>
    <s v="B1"/>
    <s v="Amit"/>
    <x v="2"/>
    <n v="12894"/>
    <s v="DISC15"/>
    <m/>
    <n v="14000"/>
    <d v="2024-02-11T00:00:00"/>
  </r>
  <r>
    <s v="S1920"/>
    <s v="Riya Iyer"/>
    <x v="1"/>
    <x v="1"/>
    <s v="B1"/>
    <s v="Saurabh"/>
    <x v="0"/>
    <n v="15288"/>
    <s v="DISC15"/>
    <m/>
    <n v="17000"/>
    <d v="2024-02-16T00:00:00"/>
  </r>
  <r>
    <s v="S1921"/>
    <s v="Aditya Patel"/>
    <x v="3"/>
    <x v="3"/>
    <s v="B1"/>
    <s v="Priya"/>
    <x v="0"/>
    <n v="9674"/>
    <s v="DISC10"/>
    <n v="0.1"/>
    <n v="9000"/>
    <d v="2024-02-29T00:00:00"/>
  </r>
  <r>
    <s v="S1922"/>
    <s v="Aarav Singh"/>
    <x v="3"/>
    <x v="3"/>
    <s v="B2"/>
    <s v="Saurabh"/>
    <x v="1"/>
    <n v="8350"/>
    <m/>
    <m/>
    <n v="9000"/>
    <d v="2024-02-06T00:00:00"/>
  </r>
  <r>
    <s v="S1923"/>
    <s v="Aarav Gupta"/>
    <x v="3"/>
    <x v="3"/>
    <s v="B2"/>
    <s v="Priya"/>
    <x v="2"/>
    <n v="10457"/>
    <s v="DISC10"/>
    <n v="0.1"/>
    <n v="9000"/>
    <d v="2024-02-04T00:00:00"/>
  </r>
  <r>
    <s v="S1924"/>
    <s v="Sneha Kulkarni"/>
    <x v="3"/>
    <x v="3"/>
    <s v="B3"/>
    <s v="Priya"/>
    <x v="0"/>
    <n v="9323"/>
    <s v="DISC15"/>
    <m/>
    <n v="9000"/>
    <d v="2024-02-29T00:00:00"/>
  </r>
  <r>
    <s v="S1925"/>
    <s v="Pooja Jain"/>
    <x v="1"/>
    <x v="1"/>
    <s v="B2"/>
    <s v="Saurabh"/>
    <x v="1"/>
    <n v="18927"/>
    <s v="DISC10"/>
    <n v="0.1"/>
    <n v="17000"/>
    <d v="2024-01-24T00:00:00"/>
  </r>
  <r>
    <s v="S1926"/>
    <s v="Manish Nair"/>
    <x v="1"/>
    <x v="1"/>
    <s v="B1"/>
    <s v="Priya"/>
    <x v="2"/>
    <n v="17653"/>
    <s v="DISC20"/>
    <n v="0.2"/>
    <n v="17000"/>
    <d v="2024-01-12T00:00:00"/>
  </r>
  <r>
    <s v="S1927"/>
    <s v="Manish Kulkarni"/>
    <x v="3"/>
    <x v="3"/>
    <s v="B3"/>
    <s v="Saurabh"/>
    <x v="2"/>
    <n v="9850"/>
    <m/>
    <m/>
    <n v="9000"/>
    <d v="2024-02-27T00:00:00"/>
  </r>
  <r>
    <s v="S1928"/>
    <s v="Riya Singh"/>
    <x v="1"/>
    <x v="1"/>
    <s v="B2"/>
    <s v="Saurabh"/>
    <x v="1"/>
    <n v="16793"/>
    <s v="DISC20"/>
    <n v="0.2"/>
    <n v="17000"/>
    <d v="2024-01-09T00:00:00"/>
  </r>
  <r>
    <s v="S1929"/>
    <s v="Aarav Patil"/>
    <x v="0"/>
    <x v="0"/>
    <s v="B3"/>
    <s v="Amit"/>
    <x v="0"/>
    <n v="14003"/>
    <m/>
    <m/>
    <n v="14000"/>
    <d v="2024-01-05T00:00:00"/>
  </r>
  <r>
    <s v="S1930"/>
    <s v="Dev Gupta"/>
    <x v="1"/>
    <x v="1"/>
    <s v="B2"/>
    <s v="Amit"/>
    <x v="2"/>
    <n v="18959"/>
    <s v="DISC10"/>
    <n v="0.1"/>
    <n v="17000"/>
    <d v="2024-01-03T00:00:00"/>
  </r>
  <r>
    <s v="S1931"/>
    <s v="Pooja Kulkarni"/>
    <x v="1"/>
    <x v="1"/>
    <s v="B3"/>
    <s v="Saurabh"/>
    <x v="2"/>
    <n v="15484"/>
    <s v="DISC20"/>
    <n v="0.2"/>
    <n v="17000"/>
    <d v="2024-02-21T00:00:00"/>
  </r>
  <r>
    <s v="S1932"/>
    <s v="Rohit Singh"/>
    <x v="3"/>
    <x v="3"/>
    <s v="B3"/>
    <s v="Amit"/>
    <x v="0"/>
    <n v="10035"/>
    <s v="DISC15"/>
    <m/>
    <n v="9000"/>
    <d v="2024-01-15T00:00:00"/>
  </r>
  <r>
    <s v="S1933"/>
    <s v="Kunal Shah"/>
    <x v="0"/>
    <x v="0"/>
    <s v="B3"/>
    <s v="Saurabh"/>
    <x v="2"/>
    <n v="14678"/>
    <s v="DISC10"/>
    <n v="0.1"/>
    <n v="14000"/>
    <d v="2024-01-31T00:00:00"/>
  </r>
  <r>
    <s v="S1934"/>
    <s v="Kunal Joshi"/>
    <x v="0"/>
    <x v="0"/>
    <s v="B1"/>
    <s v="Amit"/>
    <x v="1"/>
    <n v="12534"/>
    <s v="DISC10"/>
    <n v="0.1"/>
    <n v="14000"/>
    <d v="2024-01-12T00:00:00"/>
  </r>
  <r>
    <s v="S1935"/>
    <s v="Rohit Kulkarni"/>
    <x v="1"/>
    <x v="1"/>
    <s v="B1"/>
    <s v="Priya"/>
    <x v="1"/>
    <n v="15699"/>
    <s v="DISC15"/>
    <m/>
    <n v="17000"/>
    <d v="2024-01-05T00:00:00"/>
  </r>
  <r>
    <s v="S1936"/>
    <s v="Meera Nair"/>
    <x v="0"/>
    <x v="0"/>
    <s v="B1"/>
    <s v="Priya"/>
    <x v="1"/>
    <n v="15273"/>
    <s v="DISC15"/>
    <m/>
    <n v="14000"/>
    <d v="2024-01-15T00:00:00"/>
  </r>
  <r>
    <s v="S1937"/>
    <s v="Riya Patel"/>
    <x v="2"/>
    <x v="2"/>
    <s v="B2"/>
    <s v="Priya"/>
    <x v="1"/>
    <n v="13778"/>
    <m/>
    <m/>
    <n v="13000"/>
    <d v="2024-01-21T00:00:00"/>
  </r>
  <r>
    <s v="S1938"/>
    <s v="Riya Singh"/>
    <x v="2"/>
    <x v="2"/>
    <s v="B2"/>
    <s v="Saurabh"/>
    <x v="0"/>
    <n v="13429"/>
    <s v="DISC20"/>
    <n v="0.2"/>
    <n v="13000"/>
    <d v="2024-01-22T00:00:00"/>
  </r>
  <r>
    <s v="S1939"/>
    <s v="Riya Shah"/>
    <x v="1"/>
    <x v="1"/>
    <s v="B1"/>
    <s v="Priya"/>
    <x v="0"/>
    <n v="17852"/>
    <s v="DISC30"/>
    <n v="0.3"/>
    <n v="17000"/>
    <d v="2024-02-05T00:00:00"/>
  </r>
  <r>
    <s v="S1940"/>
    <s v="Karan Iyer"/>
    <x v="2"/>
    <x v="2"/>
    <s v="B3"/>
    <s v="Saurabh"/>
    <x v="0"/>
    <n v="11409"/>
    <s v="DISC15"/>
    <m/>
    <n v="13000"/>
    <d v="2024-01-25T00:00:00"/>
  </r>
  <r>
    <s v="S1941"/>
    <s v="Dev Mehta"/>
    <x v="0"/>
    <x v="0"/>
    <s v="B2"/>
    <s v="Saurabh"/>
    <x v="0"/>
    <n v="12029"/>
    <s v="DISC20"/>
    <n v="0.2"/>
    <n v="14000"/>
    <d v="2024-02-29T00:00:00"/>
  </r>
  <r>
    <s v="S1942"/>
    <s v="Riya Desai"/>
    <x v="1"/>
    <x v="1"/>
    <s v="B2"/>
    <s v="Amit"/>
    <x v="2"/>
    <n v="17835"/>
    <s v="DISC20"/>
    <n v="0.2"/>
    <n v="17000"/>
    <d v="2024-01-14T00:00:00"/>
  </r>
  <r>
    <s v="S1943"/>
    <s v="Karan Singh"/>
    <x v="1"/>
    <x v="1"/>
    <s v="B3"/>
    <s v="Priya"/>
    <x v="2"/>
    <n v="15979"/>
    <s v="DISC20"/>
    <n v="0.2"/>
    <n v="17000"/>
    <d v="2024-02-09T00:00:00"/>
  </r>
  <r>
    <s v="S1944"/>
    <s v="Anjali Kulkarni"/>
    <x v="2"/>
    <x v="2"/>
    <s v="B3"/>
    <s v="Priya"/>
    <x v="1"/>
    <n v="14892"/>
    <s v="DISC10"/>
    <n v="0.1"/>
    <n v="13000"/>
    <d v="2024-02-10T00:00:00"/>
  </r>
  <r>
    <s v="S1945"/>
    <s v="Meera Patel"/>
    <x v="1"/>
    <x v="1"/>
    <s v="B2"/>
    <s v="Priya"/>
    <x v="0"/>
    <n v="17284"/>
    <s v="DISC20"/>
    <n v="0.2"/>
    <n v="17000"/>
    <d v="2024-01-13T00:00:00"/>
  </r>
  <r>
    <s v="S1946"/>
    <s v="Riya Gupta"/>
    <x v="0"/>
    <x v="0"/>
    <s v="B3"/>
    <s v="Priya"/>
    <x v="1"/>
    <n v="14078"/>
    <s v="DISC20"/>
    <n v="0.2"/>
    <n v="14000"/>
    <d v="2024-01-30T00:00:00"/>
  </r>
  <r>
    <s v="S1947"/>
    <s v="Dev Singh"/>
    <x v="2"/>
    <x v="2"/>
    <s v="B2"/>
    <s v="Saurabh"/>
    <x v="0"/>
    <n v="11461"/>
    <s v="DISC20"/>
    <n v="0.2"/>
    <n v="13000"/>
    <d v="2024-02-13T00:00:00"/>
  </r>
  <r>
    <s v="S1948"/>
    <s v="Meera Iyer"/>
    <x v="3"/>
    <x v="3"/>
    <s v="B1"/>
    <s v="Saurabh"/>
    <x v="1"/>
    <n v="10779"/>
    <s v="DISC10"/>
    <n v="0.1"/>
    <n v="9000"/>
    <d v="2024-01-04T00:00:00"/>
  </r>
  <r>
    <s v="S1949"/>
    <s v="Rohit Jain"/>
    <x v="1"/>
    <x v="1"/>
    <s v="B1"/>
    <s v="Priya"/>
    <x v="2"/>
    <n v="16369"/>
    <s v="DISC15"/>
    <m/>
    <n v="17000"/>
    <d v="2024-02-21T00:00:00"/>
  </r>
  <r>
    <s v="S1950"/>
    <s v="Kunal Patel"/>
    <x v="3"/>
    <x v="3"/>
    <s v="B1"/>
    <s v="Saurabh"/>
    <x v="1"/>
    <n v="7214"/>
    <s v="DISC15"/>
    <m/>
    <n v="9000"/>
    <d v="2024-01-12T00:00:00"/>
  </r>
  <r>
    <s v="S1951"/>
    <s v="Karan Patel"/>
    <x v="0"/>
    <x v="0"/>
    <s v="B2"/>
    <s v="Amit"/>
    <x v="0"/>
    <n v="12290"/>
    <s v="DISC20"/>
    <n v="0.2"/>
    <n v="14000"/>
    <d v="2024-02-16T00:00:00"/>
  </r>
  <r>
    <s v="S1952"/>
    <s v="Neha Joshi"/>
    <x v="1"/>
    <x v="1"/>
    <s v="B2"/>
    <s v="Saurabh"/>
    <x v="1"/>
    <n v="17772"/>
    <s v="DISC30"/>
    <n v="0.3"/>
    <n v="17000"/>
    <d v="2024-01-15T00:00:00"/>
  </r>
  <r>
    <s v="S1953"/>
    <s v="Dev Shah"/>
    <x v="1"/>
    <x v="1"/>
    <s v="B1"/>
    <s v="Saurabh"/>
    <x v="0"/>
    <n v="18021"/>
    <m/>
    <m/>
    <n v="17000"/>
    <d v="2024-02-25T00:00:00"/>
  </r>
  <r>
    <s v="S1954"/>
    <s v="Sneha Verma"/>
    <x v="2"/>
    <x v="2"/>
    <s v="B1"/>
    <s v="Priya"/>
    <x v="1"/>
    <n v="12984"/>
    <s v="DISC10"/>
    <n v="0.1"/>
    <n v="13000"/>
    <d v="2024-02-26T00:00:00"/>
  </r>
  <r>
    <s v="S1955"/>
    <s v="Rahul Mehta"/>
    <x v="2"/>
    <x v="2"/>
    <s v="B3"/>
    <s v="Priya"/>
    <x v="0"/>
    <n v="12586"/>
    <s v="DISC30"/>
    <n v="0.3"/>
    <n v="13000"/>
    <d v="2024-01-09T00:00:00"/>
  </r>
  <r>
    <s v="S1956"/>
    <s v="Neha Desai"/>
    <x v="2"/>
    <x v="2"/>
    <s v="B3"/>
    <s v="Priya"/>
    <x v="2"/>
    <n v="11828"/>
    <s v="DISC30"/>
    <n v="0.3"/>
    <n v="13000"/>
    <d v="2024-01-09T00:00:00"/>
  </r>
  <r>
    <s v="S1957"/>
    <s v="Aarav Desai"/>
    <x v="0"/>
    <x v="0"/>
    <s v="B2"/>
    <s v="Saurabh"/>
    <x v="0"/>
    <n v="15488"/>
    <m/>
    <m/>
    <n v="14000"/>
    <d v="2024-01-30T00:00:00"/>
  </r>
  <r>
    <s v="S1958"/>
    <s v="Rahul Mehta"/>
    <x v="1"/>
    <x v="1"/>
    <s v="B1"/>
    <s v="Priya"/>
    <x v="1"/>
    <n v="15642"/>
    <s v="DISC15"/>
    <m/>
    <n v="17000"/>
    <d v="2024-02-27T00:00:00"/>
  </r>
  <r>
    <s v="S1959"/>
    <s v="Karan Joshi"/>
    <x v="2"/>
    <x v="2"/>
    <s v="B1"/>
    <s v="Priya"/>
    <x v="1"/>
    <n v="13003"/>
    <s v="DISC20"/>
    <n v="0.2"/>
    <n v="13000"/>
    <d v="2024-02-07T00:00:00"/>
  </r>
  <r>
    <s v="S1960"/>
    <s v="Neha Nair"/>
    <x v="3"/>
    <x v="3"/>
    <s v="B2"/>
    <s v="Saurabh"/>
    <x v="1"/>
    <n v="8753"/>
    <s v="DISC20"/>
    <n v="0.2"/>
    <n v="9000"/>
    <d v="2024-01-16T00:00:00"/>
  </r>
  <r>
    <s v="S1961"/>
    <s v="Pooja Verma"/>
    <x v="2"/>
    <x v="2"/>
    <s v="B3"/>
    <s v="Saurabh"/>
    <x v="1"/>
    <n v="14679"/>
    <s v="DISC10"/>
    <n v="0.1"/>
    <n v="13000"/>
    <d v="2024-01-27T00:00:00"/>
  </r>
  <r>
    <s v="S1962"/>
    <s v="Aarav Kulkarni"/>
    <x v="3"/>
    <x v="3"/>
    <s v="B3"/>
    <s v="Amit"/>
    <x v="0"/>
    <n v="8743"/>
    <s v="DISC15"/>
    <m/>
    <n v="9000"/>
    <d v="2024-01-26T00:00:00"/>
  </r>
  <r>
    <s v="S1963"/>
    <s v="Neha Patel"/>
    <x v="0"/>
    <x v="0"/>
    <s v="B2"/>
    <s v="Priya"/>
    <x v="0"/>
    <n v="12340"/>
    <s v="DISC15"/>
    <m/>
    <n v="14000"/>
    <d v="2024-02-18T00:00:00"/>
  </r>
  <r>
    <s v="S1964"/>
    <s v="Aarav Desai"/>
    <x v="3"/>
    <x v="3"/>
    <s v="B1"/>
    <s v="Saurabh"/>
    <x v="2"/>
    <n v="8211"/>
    <s v="DISC20"/>
    <n v="0.2"/>
    <n v="9000"/>
    <d v="2024-02-11T00:00:00"/>
  </r>
  <r>
    <s v="S1965"/>
    <s v="Riya Kulkarni"/>
    <x v="3"/>
    <x v="3"/>
    <s v="B3"/>
    <s v="Priya"/>
    <x v="0"/>
    <n v="9880"/>
    <m/>
    <m/>
    <n v="9000"/>
    <d v="2024-02-24T00:00:00"/>
  </r>
  <r>
    <s v="S1966"/>
    <s v="Kavita Desai"/>
    <x v="0"/>
    <x v="0"/>
    <s v="B2"/>
    <s v="Priya"/>
    <x v="0"/>
    <n v="15580"/>
    <m/>
    <m/>
    <n v="14000"/>
    <d v="2024-01-12T00:00:00"/>
  </r>
  <r>
    <s v="S1967"/>
    <s v="Dev Nair"/>
    <x v="1"/>
    <x v="1"/>
    <s v="B3"/>
    <s v="Priya"/>
    <x v="1"/>
    <n v="17594"/>
    <s v="DISC10"/>
    <n v="0.1"/>
    <n v="17000"/>
    <d v="2024-02-25T00:00:00"/>
  </r>
  <r>
    <s v="S1968"/>
    <s v="Rohit Shah"/>
    <x v="3"/>
    <x v="3"/>
    <s v="B3"/>
    <s v="Priya"/>
    <x v="1"/>
    <n v="7133"/>
    <s v="DISC30"/>
    <n v="0.3"/>
    <n v="9000"/>
    <d v="2024-01-28T00:00:00"/>
  </r>
  <r>
    <s v="S1969"/>
    <s v="Dev Rao"/>
    <x v="2"/>
    <x v="2"/>
    <s v="B3"/>
    <s v="Saurabh"/>
    <x v="1"/>
    <n v="14607"/>
    <s v="DISC30"/>
    <n v="0.3"/>
    <n v="13000"/>
    <d v="2024-02-17T00:00:00"/>
  </r>
  <r>
    <s v="S1970"/>
    <s v="Kunal Kulkarni"/>
    <x v="1"/>
    <x v="1"/>
    <s v="B1"/>
    <s v="Saurabh"/>
    <x v="2"/>
    <n v="16497"/>
    <m/>
    <m/>
    <n v="17000"/>
    <d v="2024-02-09T00:00:00"/>
  </r>
  <r>
    <s v="S1971"/>
    <s v="Aarav Jain"/>
    <x v="1"/>
    <x v="1"/>
    <s v="B1"/>
    <s v="Amit"/>
    <x v="1"/>
    <n v="17887"/>
    <s v="DISC10"/>
    <n v="0.1"/>
    <n v="17000"/>
    <d v="2024-02-05T00:00:00"/>
  </r>
  <r>
    <s v="S1972"/>
    <s v="Anjali Patel"/>
    <x v="2"/>
    <x v="2"/>
    <s v="B1"/>
    <s v="Priya"/>
    <x v="0"/>
    <n v="13210"/>
    <s v="DISC10"/>
    <n v="0.1"/>
    <n v="13000"/>
    <d v="2024-02-11T00:00:00"/>
  </r>
  <r>
    <s v="S1973"/>
    <s v="Neha Desai"/>
    <x v="2"/>
    <x v="2"/>
    <s v="B3"/>
    <s v="Saurabh"/>
    <x v="2"/>
    <n v="12444"/>
    <s v="DISC30"/>
    <n v="0.3"/>
    <n v="13000"/>
    <d v="2024-02-02T00:00:00"/>
  </r>
  <r>
    <s v="S1974"/>
    <s v="Rohit Verma"/>
    <x v="1"/>
    <x v="1"/>
    <s v="B1"/>
    <s v="Saurabh"/>
    <x v="2"/>
    <n v="16414"/>
    <m/>
    <m/>
    <n v="17000"/>
    <d v="2024-02-01T00:00:00"/>
  </r>
  <r>
    <s v="S1975"/>
    <s v="Manish Gupta"/>
    <x v="0"/>
    <x v="0"/>
    <s v="B2"/>
    <s v="Amit"/>
    <x v="1"/>
    <n v="14778"/>
    <s v="DISC15"/>
    <m/>
    <n v="14000"/>
    <d v="2024-02-27T00:00:00"/>
  </r>
  <r>
    <s v="S1976"/>
    <s v="Aditya Iyer"/>
    <x v="1"/>
    <x v="1"/>
    <s v="B3"/>
    <s v="Amit"/>
    <x v="0"/>
    <n v="15771"/>
    <m/>
    <m/>
    <n v="17000"/>
    <d v="2024-01-06T00:00:00"/>
  </r>
  <r>
    <s v="S1977"/>
    <s v="Riya Verma"/>
    <x v="2"/>
    <x v="2"/>
    <s v="B2"/>
    <s v="Saurabh"/>
    <x v="0"/>
    <n v="11674"/>
    <s v="DISC30"/>
    <n v="0.3"/>
    <n v="13000"/>
    <d v="2024-01-08T00:00:00"/>
  </r>
  <r>
    <s v="S1978"/>
    <s v="Anjali Mehta"/>
    <x v="3"/>
    <x v="3"/>
    <s v="B1"/>
    <s v="Saurabh"/>
    <x v="1"/>
    <n v="10899"/>
    <s v="DISC10"/>
    <n v="0.1"/>
    <n v="9000"/>
    <d v="2024-01-19T00:00:00"/>
  </r>
  <r>
    <s v="S1979"/>
    <s v="Rahul Singh"/>
    <x v="2"/>
    <x v="2"/>
    <s v="B2"/>
    <s v="Priya"/>
    <x v="2"/>
    <n v="12818"/>
    <s v="DISC10"/>
    <n v="0.1"/>
    <n v="13000"/>
    <d v="2024-01-19T00:00:00"/>
  </r>
  <r>
    <s v="S1980"/>
    <s v="Sneha Shah"/>
    <x v="0"/>
    <x v="0"/>
    <s v="B1"/>
    <s v="Amit"/>
    <x v="1"/>
    <n v="13375"/>
    <m/>
    <m/>
    <n v="14000"/>
    <d v="2024-02-07T00:00:00"/>
  </r>
  <r>
    <s v="S1981"/>
    <s v="Pooja Singh"/>
    <x v="1"/>
    <x v="1"/>
    <s v="B2"/>
    <s v="Amit"/>
    <x v="1"/>
    <n v="17854"/>
    <s v="DISC15"/>
    <m/>
    <n v="17000"/>
    <d v="2024-02-23T00:00:00"/>
  </r>
  <r>
    <s v="S1982"/>
    <s v="Manish Iyer"/>
    <x v="3"/>
    <x v="3"/>
    <s v="B2"/>
    <s v="Amit"/>
    <x v="0"/>
    <n v="10679"/>
    <s v="DISC30"/>
    <n v="0.3"/>
    <n v="9000"/>
    <d v="2024-01-11T00:00:00"/>
  </r>
  <r>
    <s v="S1983"/>
    <s v="Dev Rao"/>
    <x v="2"/>
    <x v="2"/>
    <s v="B2"/>
    <s v="Priya"/>
    <x v="2"/>
    <n v="14152"/>
    <s v="DISC10"/>
    <n v="0.1"/>
    <n v="13000"/>
    <d v="2024-01-10T00:00:00"/>
  </r>
  <r>
    <s v="S1984"/>
    <s v="Pooja Rao"/>
    <x v="3"/>
    <x v="3"/>
    <s v="B1"/>
    <s v="Amit"/>
    <x v="0"/>
    <n v="9915"/>
    <s v="DISC15"/>
    <m/>
    <n v="9000"/>
    <d v="2024-01-19T00:00:00"/>
  </r>
  <r>
    <s v="S1985"/>
    <s v="Karan Mehta"/>
    <x v="2"/>
    <x v="2"/>
    <s v="B1"/>
    <s v="Saurabh"/>
    <x v="0"/>
    <n v="11168"/>
    <s v="DISC30"/>
    <n v="0.3"/>
    <n v="13000"/>
    <d v="2024-02-06T00:00:00"/>
  </r>
  <r>
    <s v="S1986"/>
    <s v="Karan Iyer"/>
    <x v="1"/>
    <x v="1"/>
    <s v="B2"/>
    <s v="Saurabh"/>
    <x v="0"/>
    <n v="17303"/>
    <s v="DISC10"/>
    <n v="0.1"/>
    <n v="17000"/>
    <d v="2024-02-12T00:00:00"/>
  </r>
  <r>
    <s v="S1987"/>
    <s v="Pooja Jain"/>
    <x v="2"/>
    <x v="2"/>
    <s v="B2"/>
    <s v="Priya"/>
    <x v="1"/>
    <n v="14995"/>
    <s v="DISC20"/>
    <n v="0.2"/>
    <n v="13000"/>
    <d v="2024-02-04T00:00:00"/>
  </r>
  <r>
    <s v="S1988"/>
    <s v="Aditya Shah"/>
    <x v="0"/>
    <x v="0"/>
    <s v="B2"/>
    <s v="Priya"/>
    <x v="0"/>
    <n v="15882"/>
    <m/>
    <m/>
    <n v="14000"/>
    <d v="2024-02-29T00:00:00"/>
  </r>
  <r>
    <s v="S1989"/>
    <s v="Pooja Mehta"/>
    <x v="0"/>
    <x v="0"/>
    <s v="B3"/>
    <s v="Amit"/>
    <x v="1"/>
    <n v="13356"/>
    <s v="DISC30"/>
    <n v="0.3"/>
    <n v="14000"/>
    <d v="2024-01-31T00:00:00"/>
  </r>
  <r>
    <s v="S1990"/>
    <s v="Kunal Rao"/>
    <x v="2"/>
    <x v="2"/>
    <s v="B3"/>
    <s v="Amit"/>
    <x v="2"/>
    <n v="12387"/>
    <s v="DISC10"/>
    <n v="0.1"/>
    <n v="13000"/>
    <d v="2024-02-16T00:00:00"/>
  </r>
  <r>
    <s v="S1991"/>
    <s v="Neha Kulkarni"/>
    <x v="2"/>
    <x v="2"/>
    <s v="B3"/>
    <s v="Amit"/>
    <x v="0"/>
    <n v="12261"/>
    <s v="DISC10"/>
    <n v="0.1"/>
    <n v="13000"/>
    <d v="2024-01-26T00:00:00"/>
  </r>
  <r>
    <s v="S1992"/>
    <s v="Kavita Nair"/>
    <x v="2"/>
    <x v="2"/>
    <s v="B2"/>
    <s v="Priya"/>
    <x v="0"/>
    <n v="12336"/>
    <s v="DISC10"/>
    <n v="0.1"/>
    <n v="13000"/>
    <d v="2024-02-08T00:00:00"/>
  </r>
  <r>
    <s v="S1993"/>
    <s v="Rohit Patil"/>
    <x v="2"/>
    <x v="2"/>
    <s v="B2"/>
    <s v="Saurabh"/>
    <x v="0"/>
    <n v="11342"/>
    <s v="DISC15"/>
    <m/>
    <n v="13000"/>
    <d v="2024-02-24T00:00:00"/>
  </r>
  <r>
    <s v="S1994"/>
    <s v="Neha Singh"/>
    <x v="0"/>
    <x v="0"/>
    <s v="B3"/>
    <s v="Priya"/>
    <x v="0"/>
    <n v="14008"/>
    <s v="DISC30"/>
    <n v="0.3"/>
    <n v="14000"/>
    <d v="2024-02-08T00:00:00"/>
  </r>
  <r>
    <s v="S1995"/>
    <s v="Kavita Gupta"/>
    <x v="0"/>
    <x v="0"/>
    <s v="B3"/>
    <s v="Priya"/>
    <x v="2"/>
    <n v="12605"/>
    <m/>
    <m/>
    <n v="14000"/>
    <d v="2024-01-24T00:00:00"/>
  </r>
  <r>
    <s v="S1996"/>
    <s v="Rahul Jain"/>
    <x v="0"/>
    <x v="0"/>
    <s v="B2"/>
    <s v="Priya"/>
    <x v="2"/>
    <n v="13261"/>
    <m/>
    <m/>
    <n v="14000"/>
    <d v="2024-02-25T00:00:00"/>
  </r>
  <r>
    <s v="S1997"/>
    <s v="Manish Shah"/>
    <x v="2"/>
    <x v="2"/>
    <s v="B3"/>
    <s v="Priya"/>
    <x v="1"/>
    <n v="12702"/>
    <m/>
    <m/>
    <n v="13000"/>
    <d v="2024-01-19T00:00:00"/>
  </r>
  <r>
    <s v="S1998"/>
    <s v="Karan Patel"/>
    <x v="3"/>
    <x v="3"/>
    <s v="B3"/>
    <s v="Priya"/>
    <x v="0"/>
    <n v="10422"/>
    <s v="DISC15"/>
    <m/>
    <n v="9000"/>
    <d v="2024-02-08T00:00:00"/>
  </r>
  <r>
    <s v="S1999"/>
    <s v="Riya Mehta"/>
    <x v="2"/>
    <x v="2"/>
    <s v="B2"/>
    <s v="Priya"/>
    <x v="1"/>
    <n v="12373"/>
    <s v="DISC10"/>
    <n v="0.1"/>
    <n v="13000"/>
    <d v="2024-02-29T00: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Rohit Shah"/>
    <s v="C201"/>
    <x v="0"/>
    <s v="B3"/>
    <x v="0"/>
    <x v="0"/>
    <n v="12914"/>
    <x v="0"/>
    <n v="0.2"/>
    <n v="14000"/>
    <x v="0"/>
    <x v="0"/>
    <n v="20"/>
    <n v="10331.200000000001"/>
  </r>
  <r>
    <x v="1"/>
    <s v="Riya Singh"/>
    <s v="C201"/>
    <x v="0"/>
    <s v="B3"/>
    <x v="0"/>
    <x v="0"/>
    <n v="12122"/>
    <x v="1"/>
    <n v="0.1"/>
    <n v="14000"/>
    <x v="1"/>
    <x v="0"/>
    <n v="10"/>
    <n v="10909.8"/>
  </r>
  <r>
    <x v="2"/>
    <s v="Sneha Gupta"/>
    <s v="C201"/>
    <x v="0"/>
    <s v="B3"/>
    <x v="1"/>
    <x v="1"/>
    <n v="14661"/>
    <x v="2"/>
    <m/>
    <n v="14000"/>
    <x v="2"/>
    <x v="0"/>
    <n v="15"/>
    <n v="12461.85"/>
  </r>
  <r>
    <x v="3"/>
    <s v="Sneha Iyer"/>
    <s v="C203"/>
    <x v="1"/>
    <s v="B1"/>
    <x v="1"/>
    <x v="1"/>
    <n v="16731"/>
    <x v="3"/>
    <n v="0.3"/>
    <n v="17000"/>
    <x v="3"/>
    <x v="0"/>
    <n v="30"/>
    <n v="11711.7"/>
  </r>
  <r>
    <x v="4"/>
    <s v="Karan Patil"/>
    <s v="C203"/>
    <x v="1"/>
    <s v="B1"/>
    <x v="1"/>
    <x v="2"/>
    <n v="15396"/>
    <x v="3"/>
    <n v="0.3"/>
    <n v="17000"/>
    <x v="4"/>
    <x v="0"/>
    <n v="30"/>
    <n v="10777.2"/>
  </r>
  <r>
    <x v="5"/>
    <s v="Pooja Joshi"/>
    <s v="C203"/>
    <x v="1"/>
    <s v="B1"/>
    <x v="2"/>
    <x v="2"/>
    <n v="17196"/>
    <x v="1"/>
    <n v="0.1"/>
    <n v="17000"/>
    <x v="5"/>
    <x v="0"/>
    <n v="10"/>
    <n v="15476.4"/>
  </r>
  <r>
    <x v="6"/>
    <s v="Rahul Shah"/>
    <s v="C203"/>
    <x v="1"/>
    <s v="B3"/>
    <x v="2"/>
    <x v="2"/>
    <n v="17364"/>
    <x v="0"/>
    <n v="0.2"/>
    <n v="17000"/>
    <x v="6"/>
    <x v="0"/>
    <n v="20"/>
    <n v="13891.2"/>
  </r>
  <r>
    <x v="7"/>
    <s v="Riya Kulkarni"/>
    <s v="C202"/>
    <x v="2"/>
    <s v="B2"/>
    <x v="1"/>
    <x v="0"/>
    <n v="14549"/>
    <x v="1"/>
    <n v="0.1"/>
    <n v="13000"/>
    <x v="7"/>
    <x v="0"/>
    <n v="10"/>
    <n v="13094.1"/>
  </r>
  <r>
    <x v="8"/>
    <s v="Aditya Iyer"/>
    <s v="C203"/>
    <x v="1"/>
    <s v="B1"/>
    <x v="0"/>
    <x v="2"/>
    <n v="15858"/>
    <x v="3"/>
    <n v="0.3"/>
    <n v="17000"/>
    <x v="8"/>
    <x v="0"/>
    <n v="30"/>
    <n v="11100.6"/>
  </r>
  <r>
    <x v="9"/>
    <s v="Kunal Singh"/>
    <s v="C201"/>
    <x v="0"/>
    <s v="B3"/>
    <x v="2"/>
    <x v="0"/>
    <n v="14187"/>
    <x v="0"/>
    <n v="0.2"/>
    <n v="14000"/>
    <x v="9"/>
    <x v="0"/>
    <n v="20"/>
    <n v="11349.6"/>
  </r>
  <r>
    <x v="10"/>
    <s v="Neha Verma"/>
    <s v="C203"/>
    <x v="1"/>
    <s v="B3"/>
    <x v="2"/>
    <x v="1"/>
    <n v="15899"/>
    <x v="3"/>
    <n v="0.3"/>
    <n v="17000"/>
    <x v="10"/>
    <x v="0"/>
    <n v="30"/>
    <n v="11129.3"/>
  </r>
  <r>
    <x v="11"/>
    <s v="Dev Patel"/>
    <s v="C201"/>
    <x v="0"/>
    <s v="B1"/>
    <x v="1"/>
    <x v="2"/>
    <n v="13643"/>
    <x v="3"/>
    <n v="0.3"/>
    <n v="14000"/>
    <x v="11"/>
    <x v="0"/>
    <n v="30"/>
    <n v="9550.1"/>
  </r>
  <r>
    <x v="12"/>
    <s v="Sneha Joshi"/>
    <s v="C203"/>
    <x v="1"/>
    <s v="B1"/>
    <x v="2"/>
    <x v="2"/>
    <n v="16620"/>
    <x v="4"/>
    <m/>
    <n v="17000"/>
    <x v="12"/>
    <x v="1"/>
    <n v="0"/>
    <n v="16620"/>
  </r>
  <r>
    <x v="13"/>
    <s v="Aditya Mehta"/>
    <s v="C202"/>
    <x v="2"/>
    <s v="B3"/>
    <x v="2"/>
    <x v="1"/>
    <n v="12076"/>
    <x v="2"/>
    <m/>
    <n v="13000"/>
    <x v="13"/>
    <x v="0"/>
    <n v="15"/>
    <n v="10264.6"/>
  </r>
  <r>
    <x v="14"/>
    <s v="Kunal Joshi"/>
    <s v="C204"/>
    <x v="3"/>
    <s v="B2"/>
    <x v="1"/>
    <x v="0"/>
    <n v="9087"/>
    <x v="4"/>
    <m/>
    <n v="9000"/>
    <x v="14"/>
    <x v="1"/>
    <n v="0"/>
    <n v="9087"/>
  </r>
  <r>
    <x v="15"/>
    <s v="Dev Kulkarni"/>
    <s v="C201"/>
    <x v="0"/>
    <s v="B1"/>
    <x v="2"/>
    <x v="0"/>
    <n v="15244"/>
    <x v="4"/>
    <m/>
    <n v="14000"/>
    <x v="15"/>
    <x v="1"/>
    <n v="0"/>
    <n v="15244"/>
  </r>
  <r>
    <x v="16"/>
    <s v="Riya Verma"/>
    <s v="C204"/>
    <x v="3"/>
    <s v="B3"/>
    <x v="0"/>
    <x v="1"/>
    <n v="8029"/>
    <x v="2"/>
    <m/>
    <n v="9000"/>
    <x v="16"/>
    <x v="0"/>
    <n v="15"/>
    <n v="6824.65"/>
  </r>
  <r>
    <x v="17"/>
    <s v="Aarav Singh"/>
    <s v="C201"/>
    <x v="0"/>
    <s v="B3"/>
    <x v="2"/>
    <x v="2"/>
    <n v="15148"/>
    <x v="3"/>
    <n v="0.3"/>
    <n v="14000"/>
    <x v="17"/>
    <x v="0"/>
    <n v="30"/>
    <n v="10603.6"/>
  </r>
  <r>
    <x v="18"/>
    <s v="Aditya Verma"/>
    <s v="C202"/>
    <x v="2"/>
    <s v="B2"/>
    <x v="1"/>
    <x v="1"/>
    <n v="14587"/>
    <x v="3"/>
    <n v="0.3"/>
    <n v="13000"/>
    <x v="18"/>
    <x v="0"/>
    <n v="30"/>
    <n v="10210.9"/>
  </r>
  <r>
    <x v="19"/>
    <s v="Dev Mehta"/>
    <s v="C201"/>
    <x v="0"/>
    <s v="B3"/>
    <x v="0"/>
    <x v="1"/>
    <n v="14079"/>
    <x v="2"/>
    <m/>
    <n v="14000"/>
    <x v="19"/>
    <x v="0"/>
    <n v="15"/>
    <n v="11967.15"/>
  </r>
  <r>
    <x v="20"/>
    <s v="Karan Jain"/>
    <s v="C202"/>
    <x v="2"/>
    <s v="B3"/>
    <x v="2"/>
    <x v="0"/>
    <n v="13453"/>
    <x v="3"/>
    <n v="0.3"/>
    <n v="13000"/>
    <x v="20"/>
    <x v="0"/>
    <n v="30"/>
    <n v="9417.1"/>
  </r>
  <r>
    <x v="21"/>
    <s v="Aarav Shah"/>
    <s v="C203"/>
    <x v="1"/>
    <s v="B2"/>
    <x v="1"/>
    <x v="0"/>
    <n v="15986"/>
    <x v="2"/>
    <m/>
    <n v="17000"/>
    <x v="21"/>
    <x v="0"/>
    <n v="15"/>
    <n v="13588.1"/>
  </r>
  <r>
    <x v="22"/>
    <s v="Riya Shah"/>
    <s v="C204"/>
    <x v="3"/>
    <s v="B1"/>
    <x v="2"/>
    <x v="0"/>
    <n v="7525"/>
    <x v="4"/>
    <m/>
    <n v="9000"/>
    <x v="21"/>
    <x v="1"/>
    <n v="0"/>
    <n v="7525"/>
  </r>
  <r>
    <x v="23"/>
    <s v="Manish Mehta"/>
    <s v="C203"/>
    <x v="1"/>
    <s v="B3"/>
    <x v="2"/>
    <x v="2"/>
    <n v="18950"/>
    <x v="0"/>
    <n v="0.2"/>
    <n v="17000"/>
    <x v="5"/>
    <x v="0"/>
    <n v="20"/>
    <n v="15160"/>
  </r>
  <r>
    <x v="24"/>
    <s v="Manish Patel"/>
    <s v="C202"/>
    <x v="2"/>
    <s v="B3"/>
    <x v="0"/>
    <x v="2"/>
    <n v="13751"/>
    <x v="3"/>
    <n v="0.3"/>
    <n v="13000"/>
    <x v="22"/>
    <x v="0"/>
    <n v="30"/>
    <n v="9625.7000000000007"/>
  </r>
  <r>
    <x v="25"/>
    <s v="Kunal Gupta"/>
    <s v="C204"/>
    <x v="3"/>
    <s v="B1"/>
    <x v="1"/>
    <x v="0"/>
    <n v="7262"/>
    <x v="3"/>
    <n v="0.3"/>
    <n v="9000"/>
    <x v="23"/>
    <x v="0"/>
    <n v="30"/>
    <n v="5083.3999999999996"/>
  </r>
  <r>
    <x v="26"/>
    <s v="Kavita Gupta"/>
    <s v="C202"/>
    <x v="2"/>
    <s v="B3"/>
    <x v="1"/>
    <x v="0"/>
    <n v="11290"/>
    <x v="1"/>
    <n v="0.1"/>
    <n v="13000"/>
    <x v="24"/>
    <x v="0"/>
    <n v="10"/>
    <n v="10161"/>
  </r>
  <r>
    <x v="27"/>
    <s v="Riya Kulkarni"/>
    <s v="C203"/>
    <x v="1"/>
    <s v="B1"/>
    <x v="2"/>
    <x v="0"/>
    <n v="16140"/>
    <x v="4"/>
    <m/>
    <n v="17000"/>
    <x v="1"/>
    <x v="1"/>
    <n v="0"/>
    <n v="16140"/>
  </r>
  <r>
    <x v="28"/>
    <s v="Manish Mehta"/>
    <s v="C204"/>
    <x v="3"/>
    <s v="B1"/>
    <x v="0"/>
    <x v="2"/>
    <n v="7779"/>
    <x v="1"/>
    <n v="0.1"/>
    <n v="9000"/>
    <x v="25"/>
    <x v="0"/>
    <n v="10"/>
    <n v="7001.1"/>
  </r>
  <r>
    <x v="29"/>
    <s v="Rohit Verma"/>
    <s v="C203"/>
    <x v="1"/>
    <s v="B2"/>
    <x v="0"/>
    <x v="2"/>
    <n v="18538"/>
    <x v="1"/>
    <n v="0.1"/>
    <n v="17000"/>
    <x v="26"/>
    <x v="0"/>
    <n v="10"/>
    <n v="16684.2"/>
  </r>
  <r>
    <x v="30"/>
    <s v="Rohit Singh"/>
    <s v="C201"/>
    <x v="0"/>
    <s v="B1"/>
    <x v="0"/>
    <x v="1"/>
    <n v="13389"/>
    <x v="1"/>
    <n v="0.1"/>
    <n v="14000"/>
    <x v="27"/>
    <x v="0"/>
    <n v="10"/>
    <n v="12050.1"/>
  </r>
  <r>
    <x v="31"/>
    <s v="Sneha Patil"/>
    <s v="C204"/>
    <x v="3"/>
    <s v="B1"/>
    <x v="0"/>
    <x v="0"/>
    <n v="8140"/>
    <x v="4"/>
    <m/>
    <n v="9000"/>
    <x v="27"/>
    <x v="1"/>
    <n v="0"/>
    <n v="8140"/>
  </r>
  <r>
    <x v="32"/>
    <s v="Meera Shah"/>
    <s v="C204"/>
    <x v="3"/>
    <s v="B3"/>
    <x v="1"/>
    <x v="0"/>
    <n v="9671"/>
    <x v="2"/>
    <m/>
    <n v="9000"/>
    <x v="10"/>
    <x v="0"/>
    <n v="15"/>
    <n v="8220.35"/>
  </r>
  <r>
    <x v="33"/>
    <s v="Aarav Shah"/>
    <s v="C202"/>
    <x v="2"/>
    <s v="B1"/>
    <x v="0"/>
    <x v="2"/>
    <n v="12971"/>
    <x v="0"/>
    <n v="0.2"/>
    <n v="13000"/>
    <x v="16"/>
    <x v="0"/>
    <n v="20"/>
    <n v="10376.799999999999"/>
  </r>
  <r>
    <x v="34"/>
    <s v="Rahul Kulkarni"/>
    <s v="C202"/>
    <x v="2"/>
    <s v="B2"/>
    <x v="1"/>
    <x v="2"/>
    <n v="12086"/>
    <x v="4"/>
    <m/>
    <n v="13000"/>
    <x v="28"/>
    <x v="1"/>
    <n v="0"/>
    <n v="12086"/>
  </r>
  <r>
    <x v="35"/>
    <s v="Rahul Desai"/>
    <s v="C204"/>
    <x v="3"/>
    <s v="B1"/>
    <x v="1"/>
    <x v="2"/>
    <n v="7891"/>
    <x v="1"/>
    <n v="0.1"/>
    <n v="9000"/>
    <x v="29"/>
    <x v="0"/>
    <n v="10"/>
    <n v="7101.9"/>
  </r>
  <r>
    <x v="36"/>
    <s v="Anjali Gupta"/>
    <s v="C201"/>
    <x v="0"/>
    <s v="B3"/>
    <x v="0"/>
    <x v="0"/>
    <n v="12205"/>
    <x v="2"/>
    <m/>
    <n v="14000"/>
    <x v="30"/>
    <x v="0"/>
    <n v="15"/>
    <n v="10374.25"/>
  </r>
  <r>
    <x v="37"/>
    <s v="Manish Nair"/>
    <s v="C202"/>
    <x v="2"/>
    <s v="B1"/>
    <x v="2"/>
    <x v="0"/>
    <n v="14487"/>
    <x v="0"/>
    <n v="0.2"/>
    <n v="13000"/>
    <x v="11"/>
    <x v="0"/>
    <n v="20"/>
    <n v="11589.6"/>
  </r>
  <r>
    <x v="38"/>
    <s v="Kavita Shah"/>
    <s v="C202"/>
    <x v="2"/>
    <s v="B2"/>
    <x v="1"/>
    <x v="1"/>
    <n v="12008"/>
    <x v="2"/>
    <m/>
    <n v="13000"/>
    <x v="15"/>
    <x v="0"/>
    <n v="15"/>
    <n v="10206.799999999999"/>
  </r>
  <r>
    <x v="39"/>
    <s v="Aarav Joshi"/>
    <s v="C201"/>
    <x v="0"/>
    <s v="B2"/>
    <x v="2"/>
    <x v="1"/>
    <n v="14315"/>
    <x v="2"/>
    <m/>
    <n v="14000"/>
    <x v="31"/>
    <x v="0"/>
    <n v="15"/>
    <n v="12167.75"/>
  </r>
  <r>
    <x v="40"/>
    <s v="Kunal Rao"/>
    <s v="C202"/>
    <x v="2"/>
    <s v="B3"/>
    <x v="2"/>
    <x v="2"/>
    <n v="11977"/>
    <x v="3"/>
    <n v="0.3"/>
    <n v="13000"/>
    <x v="32"/>
    <x v="0"/>
    <n v="30"/>
    <n v="8383.9"/>
  </r>
  <r>
    <x v="41"/>
    <s v="Karan Singh"/>
    <s v="C203"/>
    <x v="1"/>
    <s v="B2"/>
    <x v="0"/>
    <x v="0"/>
    <n v="15038"/>
    <x v="4"/>
    <m/>
    <n v="17000"/>
    <x v="33"/>
    <x v="1"/>
    <n v="0"/>
    <n v="15038"/>
  </r>
  <r>
    <x v="42"/>
    <s v="Kavita Shah"/>
    <s v="C201"/>
    <x v="0"/>
    <s v="B3"/>
    <x v="1"/>
    <x v="1"/>
    <n v="13086"/>
    <x v="0"/>
    <n v="0.2"/>
    <n v="14000"/>
    <x v="5"/>
    <x v="0"/>
    <n v="20"/>
    <n v="10468.799999999999"/>
  </r>
  <r>
    <x v="43"/>
    <s v="Pooja Shah"/>
    <s v="C202"/>
    <x v="2"/>
    <s v="B2"/>
    <x v="0"/>
    <x v="0"/>
    <n v="12794"/>
    <x v="2"/>
    <m/>
    <n v="13000"/>
    <x v="6"/>
    <x v="0"/>
    <n v="15"/>
    <n v="10874.9"/>
  </r>
  <r>
    <x v="44"/>
    <s v="Aditya Joshi"/>
    <s v="C201"/>
    <x v="0"/>
    <s v="B3"/>
    <x v="2"/>
    <x v="2"/>
    <n v="15816"/>
    <x v="1"/>
    <n v="0.1"/>
    <n v="14000"/>
    <x v="21"/>
    <x v="0"/>
    <n v="10"/>
    <n v="14234.4"/>
  </r>
  <r>
    <x v="45"/>
    <s v="Kunal Mehta"/>
    <s v="C203"/>
    <x v="1"/>
    <s v="B1"/>
    <x v="1"/>
    <x v="1"/>
    <n v="17266"/>
    <x v="0"/>
    <n v="0.2"/>
    <n v="17000"/>
    <x v="3"/>
    <x v="0"/>
    <n v="20"/>
    <n v="13812.8"/>
  </r>
  <r>
    <x v="46"/>
    <s v="Aditya Joshi"/>
    <s v="C202"/>
    <x v="2"/>
    <s v="B3"/>
    <x v="0"/>
    <x v="0"/>
    <n v="13815"/>
    <x v="3"/>
    <n v="0.3"/>
    <n v="13000"/>
    <x v="18"/>
    <x v="0"/>
    <n v="30"/>
    <n v="9670.5"/>
  </r>
  <r>
    <x v="47"/>
    <s v="Neha Rao"/>
    <s v="C201"/>
    <x v="0"/>
    <s v="B1"/>
    <x v="2"/>
    <x v="2"/>
    <n v="15397"/>
    <x v="3"/>
    <n v="0.3"/>
    <n v="14000"/>
    <x v="34"/>
    <x v="0"/>
    <n v="30"/>
    <n v="10777.9"/>
  </r>
  <r>
    <x v="48"/>
    <s v="Aarav Jain"/>
    <s v="C202"/>
    <x v="2"/>
    <s v="B3"/>
    <x v="0"/>
    <x v="0"/>
    <n v="14036"/>
    <x v="4"/>
    <m/>
    <n v="13000"/>
    <x v="35"/>
    <x v="1"/>
    <n v="0"/>
    <n v="14036"/>
  </r>
  <r>
    <x v="49"/>
    <s v="Anjali Verma"/>
    <s v="C201"/>
    <x v="0"/>
    <s v="B1"/>
    <x v="1"/>
    <x v="1"/>
    <n v="15702"/>
    <x v="0"/>
    <n v="0.2"/>
    <n v="14000"/>
    <x v="36"/>
    <x v="0"/>
    <n v="20"/>
    <n v="12561.6"/>
  </r>
  <r>
    <x v="50"/>
    <s v="Aarav Nair"/>
    <s v="C203"/>
    <x v="1"/>
    <s v="B3"/>
    <x v="2"/>
    <x v="0"/>
    <n v="16760"/>
    <x v="0"/>
    <n v="0.2"/>
    <n v="17000"/>
    <x v="34"/>
    <x v="0"/>
    <n v="20"/>
    <n v="13408"/>
  </r>
  <r>
    <x v="51"/>
    <s v="Aditya Jain"/>
    <s v="C201"/>
    <x v="0"/>
    <s v="B2"/>
    <x v="1"/>
    <x v="1"/>
    <n v="13022"/>
    <x v="1"/>
    <n v="0.1"/>
    <n v="14000"/>
    <x v="37"/>
    <x v="0"/>
    <n v="10"/>
    <n v="11719.8"/>
  </r>
  <r>
    <x v="52"/>
    <s v="Dev Gupta"/>
    <s v="C204"/>
    <x v="3"/>
    <s v="B3"/>
    <x v="2"/>
    <x v="0"/>
    <n v="10791"/>
    <x v="0"/>
    <n v="0.2"/>
    <n v="9000"/>
    <x v="16"/>
    <x v="0"/>
    <n v="20"/>
    <n v="8632.7999999999993"/>
  </r>
  <r>
    <x v="53"/>
    <s v="Karan Patel"/>
    <s v="C202"/>
    <x v="2"/>
    <s v="B2"/>
    <x v="1"/>
    <x v="0"/>
    <n v="14016"/>
    <x v="3"/>
    <n v="0.3"/>
    <n v="13000"/>
    <x v="38"/>
    <x v="0"/>
    <n v="30"/>
    <n v="9811.2000000000007"/>
  </r>
  <r>
    <x v="54"/>
    <s v="Kunal Verma"/>
    <s v="C202"/>
    <x v="2"/>
    <s v="B2"/>
    <x v="1"/>
    <x v="1"/>
    <n v="11442"/>
    <x v="4"/>
    <m/>
    <n v="13000"/>
    <x v="16"/>
    <x v="1"/>
    <n v="0"/>
    <n v="11442"/>
  </r>
  <r>
    <x v="55"/>
    <s v="Aarav Nair"/>
    <s v="C204"/>
    <x v="3"/>
    <s v="B1"/>
    <x v="1"/>
    <x v="2"/>
    <n v="8432"/>
    <x v="3"/>
    <n v="0.3"/>
    <n v="9000"/>
    <x v="39"/>
    <x v="0"/>
    <n v="30"/>
    <n v="5902.4"/>
  </r>
  <r>
    <x v="56"/>
    <s v="Dev Nair"/>
    <s v="C202"/>
    <x v="2"/>
    <s v="B1"/>
    <x v="1"/>
    <x v="1"/>
    <n v="11791"/>
    <x v="4"/>
    <m/>
    <n v="13000"/>
    <x v="40"/>
    <x v="1"/>
    <n v="0"/>
    <n v="11791"/>
  </r>
  <r>
    <x v="57"/>
    <s v="Aditya Nair"/>
    <s v="C201"/>
    <x v="0"/>
    <s v="B2"/>
    <x v="0"/>
    <x v="1"/>
    <n v="14086"/>
    <x v="4"/>
    <m/>
    <n v="14000"/>
    <x v="26"/>
    <x v="1"/>
    <n v="0"/>
    <n v="14086"/>
  </r>
  <r>
    <x v="58"/>
    <s v="Meera Gupta"/>
    <s v="C203"/>
    <x v="1"/>
    <s v="B1"/>
    <x v="1"/>
    <x v="2"/>
    <n v="15731"/>
    <x v="2"/>
    <m/>
    <n v="17000"/>
    <x v="41"/>
    <x v="0"/>
    <n v="15"/>
    <n v="13371.35"/>
  </r>
  <r>
    <x v="59"/>
    <s v="Aarav Shah"/>
    <s v="C204"/>
    <x v="3"/>
    <s v="B2"/>
    <x v="2"/>
    <x v="2"/>
    <n v="8787"/>
    <x v="2"/>
    <m/>
    <n v="9000"/>
    <x v="18"/>
    <x v="0"/>
    <n v="15"/>
    <n v="7468.95"/>
  </r>
  <r>
    <x v="60"/>
    <s v="Riya Verma"/>
    <s v="C202"/>
    <x v="2"/>
    <s v="B2"/>
    <x v="1"/>
    <x v="1"/>
    <n v="12786"/>
    <x v="1"/>
    <n v="0.1"/>
    <n v="13000"/>
    <x v="42"/>
    <x v="0"/>
    <n v="10"/>
    <n v="11507.4"/>
  </r>
  <r>
    <x v="61"/>
    <s v="Kunal Patel"/>
    <s v="C202"/>
    <x v="2"/>
    <s v="B2"/>
    <x v="0"/>
    <x v="0"/>
    <n v="14886"/>
    <x v="3"/>
    <n v="0.3"/>
    <n v="13000"/>
    <x v="33"/>
    <x v="0"/>
    <n v="30"/>
    <n v="10420.200000000001"/>
  </r>
  <r>
    <x v="62"/>
    <s v="Pooja Singh"/>
    <s v="C201"/>
    <x v="0"/>
    <s v="B3"/>
    <x v="0"/>
    <x v="1"/>
    <n v="13266"/>
    <x v="4"/>
    <m/>
    <n v="14000"/>
    <x v="31"/>
    <x v="1"/>
    <n v="0"/>
    <n v="13266"/>
  </r>
  <r>
    <x v="63"/>
    <s v="Rahul Desai"/>
    <s v="C203"/>
    <x v="1"/>
    <s v="B3"/>
    <x v="1"/>
    <x v="0"/>
    <n v="16722"/>
    <x v="4"/>
    <m/>
    <n v="17000"/>
    <x v="26"/>
    <x v="1"/>
    <n v="0"/>
    <n v="16722"/>
  </r>
  <r>
    <x v="64"/>
    <s v="Anjali Mehta"/>
    <s v="C203"/>
    <x v="1"/>
    <s v="B2"/>
    <x v="2"/>
    <x v="0"/>
    <n v="16244"/>
    <x v="3"/>
    <n v="0.3"/>
    <n v="17000"/>
    <x v="1"/>
    <x v="0"/>
    <n v="30"/>
    <n v="11370.8"/>
  </r>
  <r>
    <x v="65"/>
    <s v="Rahul Patel"/>
    <s v="C203"/>
    <x v="1"/>
    <s v="B2"/>
    <x v="0"/>
    <x v="2"/>
    <n v="17767"/>
    <x v="0"/>
    <n v="0.2"/>
    <n v="17000"/>
    <x v="18"/>
    <x v="0"/>
    <n v="20"/>
    <n v="14213.6"/>
  </r>
  <r>
    <x v="66"/>
    <s v="Neha Patel"/>
    <s v="C202"/>
    <x v="2"/>
    <s v="B3"/>
    <x v="1"/>
    <x v="2"/>
    <n v="13111"/>
    <x v="2"/>
    <m/>
    <n v="13000"/>
    <x v="40"/>
    <x v="0"/>
    <n v="15"/>
    <n v="11144.35"/>
  </r>
  <r>
    <x v="67"/>
    <s v="Riya Nair"/>
    <s v="C202"/>
    <x v="2"/>
    <s v="B3"/>
    <x v="0"/>
    <x v="0"/>
    <n v="14303"/>
    <x v="0"/>
    <n v="0.2"/>
    <n v="13000"/>
    <x v="12"/>
    <x v="0"/>
    <n v="20"/>
    <n v="11442.4"/>
  </r>
  <r>
    <x v="68"/>
    <s v="Aarav Kulkarni"/>
    <s v="C202"/>
    <x v="2"/>
    <s v="B2"/>
    <x v="2"/>
    <x v="0"/>
    <n v="12865"/>
    <x v="4"/>
    <m/>
    <n v="13000"/>
    <x v="43"/>
    <x v="1"/>
    <n v="0"/>
    <n v="12865"/>
  </r>
  <r>
    <x v="69"/>
    <s v="Rohit Joshi"/>
    <s v="C202"/>
    <x v="2"/>
    <s v="B3"/>
    <x v="2"/>
    <x v="2"/>
    <n v="13024"/>
    <x v="4"/>
    <m/>
    <n v="13000"/>
    <x v="27"/>
    <x v="1"/>
    <n v="0"/>
    <n v="13024"/>
  </r>
  <r>
    <x v="70"/>
    <s v="Karan Singh"/>
    <s v="C201"/>
    <x v="0"/>
    <s v="B1"/>
    <x v="0"/>
    <x v="0"/>
    <n v="12720"/>
    <x v="2"/>
    <m/>
    <n v="14000"/>
    <x v="44"/>
    <x v="0"/>
    <n v="15"/>
    <n v="10812"/>
  </r>
  <r>
    <x v="71"/>
    <s v="Aarav Gupta"/>
    <s v="C202"/>
    <x v="2"/>
    <s v="B1"/>
    <x v="0"/>
    <x v="0"/>
    <n v="14282"/>
    <x v="4"/>
    <m/>
    <n v="13000"/>
    <x v="45"/>
    <x v="1"/>
    <n v="0"/>
    <n v="14282"/>
  </r>
  <r>
    <x v="72"/>
    <s v="Manish Gupta"/>
    <s v="C203"/>
    <x v="1"/>
    <s v="B2"/>
    <x v="2"/>
    <x v="1"/>
    <n v="18653"/>
    <x v="2"/>
    <m/>
    <n v="17000"/>
    <x v="13"/>
    <x v="0"/>
    <n v="15"/>
    <n v="15855.05"/>
  </r>
  <r>
    <x v="73"/>
    <s v="Meera Gupta"/>
    <s v="C204"/>
    <x v="3"/>
    <s v="B1"/>
    <x v="2"/>
    <x v="2"/>
    <n v="8843"/>
    <x v="3"/>
    <n v="0.3"/>
    <n v="9000"/>
    <x v="46"/>
    <x v="0"/>
    <n v="30"/>
    <n v="6190.1"/>
  </r>
  <r>
    <x v="74"/>
    <s v="Sneha Nair"/>
    <s v="C203"/>
    <x v="1"/>
    <s v="B3"/>
    <x v="0"/>
    <x v="1"/>
    <n v="15979"/>
    <x v="3"/>
    <n v="0.3"/>
    <n v="17000"/>
    <x v="22"/>
    <x v="0"/>
    <n v="30"/>
    <n v="11185.3"/>
  </r>
  <r>
    <x v="75"/>
    <s v="Riya Desai"/>
    <s v="C203"/>
    <x v="1"/>
    <s v="B1"/>
    <x v="0"/>
    <x v="2"/>
    <n v="16309"/>
    <x v="2"/>
    <m/>
    <n v="17000"/>
    <x v="14"/>
    <x v="0"/>
    <n v="15"/>
    <n v="13862.65"/>
  </r>
  <r>
    <x v="76"/>
    <s v="Karan Mehta"/>
    <s v="C202"/>
    <x v="2"/>
    <s v="B2"/>
    <x v="2"/>
    <x v="0"/>
    <n v="13893"/>
    <x v="0"/>
    <n v="0.2"/>
    <n v="13000"/>
    <x v="11"/>
    <x v="0"/>
    <n v="20"/>
    <n v="11114.4"/>
  </r>
  <r>
    <x v="77"/>
    <s v="Rahul Verma"/>
    <s v="C203"/>
    <x v="1"/>
    <s v="B3"/>
    <x v="0"/>
    <x v="2"/>
    <n v="15255"/>
    <x v="0"/>
    <n v="0.2"/>
    <n v="17000"/>
    <x v="10"/>
    <x v="0"/>
    <n v="20"/>
    <n v="12204"/>
  </r>
  <r>
    <x v="78"/>
    <s v="Rahul Verma"/>
    <s v="C201"/>
    <x v="0"/>
    <s v="B3"/>
    <x v="0"/>
    <x v="2"/>
    <n v="12024"/>
    <x v="3"/>
    <n v="0.3"/>
    <n v="14000"/>
    <x v="47"/>
    <x v="0"/>
    <n v="30"/>
    <n v="8416.7999999999993"/>
  </r>
  <r>
    <x v="79"/>
    <s v="Dev Verma"/>
    <s v="C204"/>
    <x v="3"/>
    <s v="B3"/>
    <x v="2"/>
    <x v="1"/>
    <n v="9236"/>
    <x v="2"/>
    <m/>
    <n v="9000"/>
    <x v="48"/>
    <x v="0"/>
    <n v="15"/>
    <n v="7850.6"/>
  </r>
  <r>
    <x v="80"/>
    <s v="Sneha Iyer"/>
    <s v="C202"/>
    <x v="2"/>
    <s v="B2"/>
    <x v="0"/>
    <x v="2"/>
    <n v="11118"/>
    <x v="4"/>
    <m/>
    <n v="13000"/>
    <x v="40"/>
    <x v="1"/>
    <n v="0"/>
    <n v="11118"/>
  </r>
  <r>
    <x v="81"/>
    <s v="Rohit Singh"/>
    <s v="C204"/>
    <x v="3"/>
    <s v="B3"/>
    <x v="1"/>
    <x v="2"/>
    <n v="10766"/>
    <x v="0"/>
    <n v="0.2"/>
    <n v="9000"/>
    <x v="33"/>
    <x v="0"/>
    <n v="20"/>
    <n v="8612.7999999999993"/>
  </r>
  <r>
    <x v="82"/>
    <s v="Manish Kulkarni"/>
    <s v="C204"/>
    <x v="3"/>
    <s v="B3"/>
    <x v="2"/>
    <x v="1"/>
    <n v="7111"/>
    <x v="1"/>
    <n v="0.1"/>
    <n v="9000"/>
    <x v="49"/>
    <x v="0"/>
    <n v="10"/>
    <n v="6399.9"/>
  </r>
  <r>
    <x v="83"/>
    <s v="Rahul Mehta"/>
    <s v="C204"/>
    <x v="3"/>
    <s v="B1"/>
    <x v="1"/>
    <x v="2"/>
    <n v="8552"/>
    <x v="3"/>
    <n v="0.3"/>
    <n v="9000"/>
    <x v="1"/>
    <x v="0"/>
    <n v="30"/>
    <n v="5986.4"/>
  </r>
  <r>
    <x v="84"/>
    <s v="Neha Jain"/>
    <s v="C203"/>
    <x v="1"/>
    <s v="B2"/>
    <x v="0"/>
    <x v="2"/>
    <n v="16033"/>
    <x v="1"/>
    <n v="0.1"/>
    <n v="17000"/>
    <x v="30"/>
    <x v="0"/>
    <n v="10"/>
    <n v="14429.7"/>
  </r>
  <r>
    <x v="85"/>
    <s v="Aarav Desai"/>
    <s v="C201"/>
    <x v="0"/>
    <s v="B2"/>
    <x v="1"/>
    <x v="1"/>
    <n v="12281"/>
    <x v="1"/>
    <n v="0.1"/>
    <n v="14000"/>
    <x v="46"/>
    <x v="0"/>
    <n v="10"/>
    <n v="11052.9"/>
  </r>
  <r>
    <x v="86"/>
    <s v="Aarav Patil"/>
    <s v="C202"/>
    <x v="2"/>
    <s v="B1"/>
    <x v="2"/>
    <x v="0"/>
    <n v="11977"/>
    <x v="0"/>
    <n v="0.2"/>
    <n v="13000"/>
    <x v="30"/>
    <x v="0"/>
    <n v="20"/>
    <n v="9581.6"/>
  </r>
  <r>
    <x v="87"/>
    <s v="Rohit Shah"/>
    <s v="C202"/>
    <x v="2"/>
    <s v="B2"/>
    <x v="2"/>
    <x v="2"/>
    <n v="14141"/>
    <x v="3"/>
    <n v="0.3"/>
    <n v="13000"/>
    <x v="9"/>
    <x v="0"/>
    <n v="30"/>
    <n v="9898.7000000000007"/>
  </r>
  <r>
    <x v="88"/>
    <s v="Kavita Joshi"/>
    <s v="C201"/>
    <x v="0"/>
    <s v="B1"/>
    <x v="0"/>
    <x v="0"/>
    <n v="14370"/>
    <x v="1"/>
    <n v="0.1"/>
    <n v="14000"/>
    <x v="5"/>
    <x v="0"/>
    <n v="10"/>
    <n v="12933"/>
  </r>
  <r>
    <x v="89"/>
    <s v="Aditya Joshi"/>
    <s v="C204"/>
    <x v="3"/>
    <s v="B2"/>
    <x v="2"/>
    <x v="0"/>
    <n v="7311"/>
    <x v="2"/>
    <m/>
    <n v="9000"/>
    <x v="8"/>
    <x v="0"/>
    <n v="15"/>
    <n v="6214.35"/>
  </r>
  <r>
    <x v="90"/>
    <s v="Meera Singh"/>
    <s v="C202"/>
    <x v="2"/>
    <s v="B1"/>
    <x v="2"/>
    <x v="2"/>
    <n v="14482"/>
    <x v="2"/>
    <m/>
    <n v="13000"/>
    <x v="50"/>
    <x v="0"/>
    <n v="15"/>
    <n v="12309.7"/>
  </r>
  <r>
    <x v="91"/>
    <s v="Riya Patel"/>
    <s v="C201"/>
    <x v="0"/>
    <s v="B2"/>
    <x v="2"/>
    <x v="2"/>
    <n v="14709"/>
    <x v="3"/>
    <n v="0.3"/>
    <n v="14000"/>
    <x v="11"/>
    <x v="0"/>
    <n v="30"/>
    <n v="10296.299999999999"/>
  </r>
  <r>
    <x v="92"/>
    <s v="Manish Singh"/>
    <s v="C203"/>
    <x v="1"/>
    <s v="B1"/>
    <x v="0"/>
    <x v="2"/>
    <n v="15432"/>
    <x v="4"/>
    <m/>
    <n v="17000"/>
    <x v="51"/>
    <x v="1"/>
    <n v="0"/>
    <n v="15432"/>
  </r>
  <r>
    <x v="93"/>
    <s v="Rohit Nair"/>
    <s v="C204"/>
    <x v="3"/>
    <s v="B3"/>
    <x v="1"/>
    <x v="2"/>
    <n v="7721"/>
    <x v="2"/>
    <m/>
    <n v="9000"/>
    <x v="49"/>
    <x v="0"/>
    <n v="15"/>
    <n v="6562.85"/>
  </r>
  <r>
    <x v="94"/>
    <s v="Aditya Joshi"/>
    <s v="C204"/>
    <x v="3"/>
    <s v="B2"/>
    <x v="0"/>
    <x v="1"/>
    <n v="9426"/>
    <x v="3"/>
    <n v="0.3"/>
    <n v="9000"/>
    <x v="31"/>
    <x v="0"/>
    <n v="30"/>
    <n v="6598.2"/>
  </r>
  <r>
    <x v="95"/>
    <s v="Meera Patil"/>
    <s v="C201"/>
    <x v="0"/>
    <s v="B2"/>
    <x v="0"/>
    <x v="0"/>
    <n v="15073"/>
    <x v="4"/>
    <m/>
    <n v="14000"/>
    <x v="52"/>
    <x v="1"/>
    <n v="0"/>
    <n v="15073"/>
  </r>
  <r>
    <x v="96"/>
    <s v="Kavita Singh"/>
    <s v="C204"/>
    <x v="3"/>
    <s v="B2"/>
    <x v="1"/>
    <x v="2"/>
    <n v="10485"/>
    <x v="3"/>
    <n v="0.3"/>
    <n v="9000"/>
    <x v="53"/>
    <x v="0"/>
    <n v="30"/>
    <n v="7339.5"/>
  </r>
  <r>
    <x v="97"/>
    <s v="Neha Patil"/>
    <s v="C203"/>
    <x v="1"/>
    <s v="B2"/>
    <x v="0"/>
    <x v="2"/>
    <n v="18605"/>
    <x v="2"/>
    <m/>
    <n v="17000"/>
    <x v="8"/>
    <x v="0"/>
    <n v="15"/>
    <n v="15814.25"/>
  </r>
  <r>
    <x v="98"/>
    <s v="Kunal Rao"/>
    <s v="C201"/>
    <x v="0"/>
    <s v="B3"/>
    <x v="1"/>
    <x v="0"/>
    <n v="12988"/>
    <x v="4"/>
    <m/>
    <n v="14000"/>
    <x v="20"/>
    <x v="1"/>
    <n v="0"/>
    <n v="12988"/>
  </r>
  <r>
    <x v="99"/>
    <s v="Manish Patel"/>
    <s v="C202"/>
    <x v="2"/>
    <s v="B3"/>
    <x v="0"/>
    <x v="1"/>
    <n v="13915"/>
    <x v="4"/>
    <m/>
    <n v="13000"/>
    <x v="22"/>
    <x v="1"/>
    <n v="0"/>
    <n v="13915"/>
  </r>
  <r>
    <x v="100"/>
    <s v="Dev Kulkarni"/>
    <s v="C201"/>
    <x v="0"/>
    <s v="B2"/>
    <x v="1"/>
    <x v="2"/>
    <n v="14833"/>
    <x v="0"/>
    <n v="0.2"/>
    <n v="14000"/>
    <x v="47"/>
    <x v="0"/>
    <n v="20"/>
    <n v="11866.4"/>
  </r>
  <r>
    <x v="101"/>
    <s v="Rohit Joshi"/>
    <s v="C203"/>
    <x v="1"/>
    <s v="B2"/>
    <x v="2"/>
    <x v="1"/>
    <n v="16408"/>
    <x v="4"/>
    <m/>
    <n v="17000"/>
    <x v="0"/>
    <x v="1"/>
    <n v="0"/>
    <n v="16408"/>
  </r>
  <r>
    <x v="102"/>
    <s v="Manish Jain"/>
    <s v="C203"/>
    <x v="1"/>
    <s v="B3"/>
    <x v="0"/>
    <x v="2"/>
    <n v="16255"/>
    <x v="3"/>
    <n v="0.3"/>
    <n v="17000"/>
    <x v="24"/>
    <x v="0"/>
    <n v="30"/>
    <n v="11378.5"/>
  </r>
  <r>
    <x v="103"/>
    <s v="Riya Desai"/>
    <s v="C202"/>
    <x v="2"/>
    <s v="B2"/>
    <x v="1"/>
    <x v="1"/>
    <n v="13194"/>
    <x v="0"/>
    <n v="0.2"/>
    <n v="13000"/>
    <x v="19"/>
    <x v="0"/>
    <n v="20"/>
    <n v="10555.2"/>
  </r>
  <r>
    <x v="104"/>
    <s v="Sneha Desai"/>
    <s v="C204"/>
    <x v="3"/>
    <s v="B2"/>
    <x v="2"/>
    <x v="1"/>
    <n v="11000"/>
    <x v="2"/>
    <m/>
    <n v="9000"/>
    <x v="15"/>
    <x v="0"/>
    <n v="15"/>
    <n v="9350"/>
  </r>
  <r>
    <x v="105"/>
    <s v="Aditya Shah"/>
    <s v="C202"/>
    <x v="2"/>
    <s v="B2"/>
    <x v="1"/>
    <x v="2"/>
    <n v="11734"/>
    <x v="3"/>
    <n v="0.3"/>
    <n v="13000"/>
    <x v="54"/>
    <x v="0"/>
    <n v="30"/>
    <n v="8213.7999999999993"/>
  </r>
  <r>
    <x v="106"/>
    <s v="Anjali Gupta"/>
    <s v="C202"/>
    <x v="2"/>
    <s v="B2"/>
    <x v="1"/>
    <x v="0"/>
    <n v="13266"/>
    <x v="3"/>
    <n v="0.3"/>
    <n v="13000"/>
    <x v="8"/>
    <x v="0"/>
    <n v="30"/>
    <n v="9286.2000000000007"/>
  </r>
  <r>
    <x v="107"/>
    <s v="Karan Singh"/>
    <s v="C204"/>
    <x v="3"/>
    <s v="B1"/>
    <x v="1"/>
    <x v="1"/>
    <n v="8164"/>
    <x v="4"/>
    <m/>
    <n v="9000"/>
    <x v="30"/>
    <x v="1"/>
    <n v="0"/>
    <n v="8164"/>
  </r>
  <r>
    <x v="108"/>
    <s v="Neha Jain"/>
    <s v="C202"/>
    <x v="2"/>
    <s v="B1"/>
    <x v="0"/>
    <x v="2"/>
    <n v="11467"/>
    <x v="1"/>
    <n v="0.1"/>
    <n v="13000"/>
    <x v="32"/>
    <x v="0"/>
    <n v="10"/>
    <n v="10320.299999999999"/>
  </r>
  <r>
    <x v="109"/>
    <s v="Neha Shah"/>
    <s v="C201"/>
    <x v="0"/>
    <s v="B1"/>
    <x v="1"/>
    <x v="1"/>
    <n v="15887"/>
    <x v="3"/>
    <n v="0.3"/>
    <n v="14000"/>
    <x v="14"/>
    <x v="0"/>
    <n v="30"/>
    <n v="11120.9"/>
  </r>
  <r>
    <x v="110"/>
    <s v="Sneha Shah"/>
    <s v="C204"/>
    <x v="3"/>
    <s v="B3"/>
    <x v="2"/>
    <x v="1"/>
    <n v="7924"/>
    <x v="2"/>
    <m/>
    <n v="9000"/>
    <x v="7"/>
    <x v="0"/>
    <n v="15"/>
    <n v="6735.4"/>
  </r>
  <r>
    <x v="111"/>
    <s v="Neha Iyer"/>
    <s v="C203"/>
    <x v="1"/>
    <s v="B3"/>
    <x v="0"/>
    <x v="2"/>
    <n v="17329"/>
    <x v="2"/>
    <m/>
    <n v="17000"/>
    <x v="55"/>
    <x v="0"/>
    <n v="15"/>
    <n v="14729.65"/>
  </r>
  <r>
    <x v="112"/>
    <s v="Kavita Desai"/>
    <s v="C201"/>
    <x v="0"/>
    <s v="B1"/>
    <x v="2"/>
    <x v="0"/>
    <n v="13083"/>
    <x v="1"/>
    <n v="0.1"/>
    <n v="14000"/>
    <x v="9"/>
    <x v="0"/>
    <n v="10"/>
    <n v="11774.7"/>
  </r>
  <r>
    <x v="113"/>
    <s v="Sneha Mehta"/>
    <s v="C201"/>
    <x v="0"/>
    <s v="B1"/>
    <x v="1"/>
    <x v="2"/>
    <n v="13845"/>
    <x v="2"/>
    <m/>
    <n v="14000"/>
    <x v="30"/>
    <x v="0"/>
    <n v="15"/>
    <n v="11768.25"/>
  </r>
  <r>
    <x v="114"/>
    <s v="Aditya Kulkarni"/>
    <s v="C202"/>
    <x v="2"/>
    <s v="B2"/>
    <x v="2"/>
    <x v="2"/>
    <n v="13879"/>
    <x v="4"/>
    <m/>
    <n v="13000"/>
    <x v="11"/>
    <x v="1"/>
    <n v="0"/>
    <n v="13879"/>
  </r>
  <r>
    <x v="115"/>
    <s v="Rohit Patil"/>
    <s v="C203"/>
    <x v="1"/>
    <s v="B3"/>
    <x v="2"/>
    <x v="1"/>
    <n v="18292"/>
    <x v="0"/>
    <n v="0.2"/>
    <n v="17000"/>
    <x v="13"/>
    <x v="0"/>
    <n v="20"/>
    <n v="14633.6"/>
  </r>
  <r>
    <x v="116"/>
    <s v="Riya Gupta"/>
    <s v="C202"/>
    <x v="2"/>
    <s v="B3"/>
    <x v="1"/>
    <x v="2"/>
    <n v="14385"/>
    <x v="0"/>
    <n v="0.2"/>
    <n v="13000"/>
    <x v="11"/>
    <x v="0"/>
    <n v="20"/>
    <n v="11508"/>
  </r>
  <r>
    <x v="117"/>
    <s v="Aarav Mehta"/>
    <s v="C203"/>
    <x v="1"/>
    <s v="B3"/>
    <x v="2"/>
    <x v="1"/>
    <n v="18773"/>
    <x v="3"/>
    <n v="0.3"/>
    <n v="17000"/>
    <x v="22"/>
    <x v="0"/>
    <n v="30"/>
    <n v="13141.1"/>
  </r>
  <r>
    <x v="118"/>
    <s v="Riya Iyer"/>
    <s v="C203"/>
    <x v="1"/>
    <s v="B3"/>
    <x v="0"/>
    <x v="2"/>
    <n v="17049"/>
    <x v="2"/>
    <m/>
    <n v="17000"/>
    <x v="20"/>
    <x v="0"/>
    <n v="15"/>
    <n v="14491.65"/>
  </r>
  <r>
    <x v="119"/>
    <s v="Neha Shah"/>
    <s v="C201"/>
    <x v="0"/>
    <s v="B2"/>
    <x v="2"/>
    <x v="2"/>
    <n v="14472"/>
    <x v="3"/>
    <n v="0.3"/>
    <n v="14000"/>
    <x v="23"/>
    <x v="0"/>
    <n v="30"/>
    <n v="10130.4"/>
  </r>
  <r>
    <x v="120"/>
    <s v="Riya Patil"/>
    <s v="C201"/>
    <x v="0"/>
    <s v="B3"/>
    <x v="0"/>
    <x v="1"/>
    <n v="12164"/>
    <x v="0"/>
    <n v="0.2"/>
    <n v="14000"/>
    <x v="30"/>
    <x v="0"/>
    <n v="20"/>
    <n v="9731.2000000000007"/>
  </r>
  <r>
    <x v="121"/>
    <s v="Manish Singh"/>
    <s v="C204"/>
    <x v="3"/>
    <s v="B2"/>
    <x v="1"/>
    <x v="1"/>
    <n v="8785"/>
    <x v="4"/>
    <m/>
    <n v="9000"/>
    <x v="14"/>
    <x v="1"/>
    <n v="0"/>
    <n v="8785"/>
  </r>
  <r>
    <x v="122"/>
    <s v="Neha Jain"/>
    <s v="C204"/>
    <x v="3"/>
    <s v="B2"/>
    <x v="0"/>
    <x v="1"/>
    <n v="7428"/>
    <x v="0"/>
    <n v="0.2"/>
    <n v="9000"/>
    <x v="40"/>
    <x v="0"/>
    <n v="20"/>
    <n v="5942.4"/>
  </r>
  <r>
    <x v="123"/>
    <s v="Rahul Desai"/>
    <s v="C204"/>
    <x v="3"/>
    <s v="B2"/>
    <x v="2"/>
    <x v="2"/>
    <n v="10332"/>
    <x v="2"/>
    <m/>
    <n v="9000"/>
    <x v="34"/>
    <x v="0"/>
    <n v="15"/>
    <n v="8782.2000000000007"/>
  </r>
  <r>
    <x v="124"/>
    <s v="Neha Shah"/>
    <s v="C203"/>
    <x v="1"/>
    <s v="B2"/>
    <x v="0"/>
    <x v="0"/>
    <n v="18973"/>
    <x v="4"/>
    <m/>
    <n v="17000"/>
    <x v="16"/>
    <x v="1"/>
    <n v="0"/>
    <n v="18973"/>
  </r>
  <r>
    <x v="125"/>
    <s v="Manish Nair"/>
    <s v="C201"/>
    <x v="0"/>
    <s v="B3"/>
    <x v="2"/>
    <x v="2"/>
    <n v="13692"/>
    <x v="1"/>
    <n v="0.1"/>
    <n v="14000"/>
    <x v="19"/>
    <x v="0"/>
    <n v="10"/>
    <n v="12322.8"/>
  </r>
  <r>
    <x v="126"/>
    <s v="Manish Jain"/>
    <s v="C204"/>
    <x v="3"/>
    <s v="B3"/>
    <x v="0"/>
    <x v="0"/>
    <n v="7833"/>
    <x v="3"/>
    <n v="0.3"/>
    <n v="9000"/>
    <x v="35"/>
    <x v="0"/>
    <n v="30"/>
    <n v="5483.1"/>
  </r>
  <r>
    <x v="127"/>
    <s v="Karan Rao"/>
    <s v="C204"/>
    <x v="3"/>
    <s v="B3"/>
    <x v="0"/>
    <x v="0"/>
    <n v="7118"/>
    <x v="2"/>
    <m/>
    <n v="9000"/>
    <x v="50"/>
    <x v="0"/>
    <n v="15"/>
    <n v="6050.3"/>
  </r>
  <r>
    <x v="128"/>
    <s v="Sneha Desai"/>
    <s v="C202"/>
    <x v="2"/>
    <s v="B2"/>
    <x v="2"/>
    <x v="0"/>
    <n v="13262"/>
    <x v="4"/>
    <m/>
    <n v="13000"/>
    <x v="14"/>
    <x v="1"/>
    <n v="0"/>
    <n v="13262"/>
  </r>
  <r>
    <x v="129"/>
    <s v="Sneha Nair"/>
    <s v="C201"/>
    <x v="0"/>
    <s v="B2"/>
    <x v="1"/>
    <x v="1"/>
    <n v="15408"/>
    <x v="0"/>
    <n v="0.2"/>
    <n v="14000"/>
    <x v="20"/>
    <x v="0"/>
    <n v="20"/>
    <n v="12326.4"/>
  </r>
  <r>
    <x v="130"/>
    <s v="Kunal Desai"/>
    <s v="C203"/>
    <x v="1"/>
    <s v="B3"/>
    <x v="2"/>
    <x v="2"/>
    <n v="16701"/>
    <x v="4"/>
    <m/>
    <n v="17000"/>
    <x v="30"/>
    <x v="1"/>
    <n v="0"/>
    <n v="16701"/>
  </r>
  <r>
    <x v="131"/>
    <s v="Sneha Iyer"/>
    <s v="C202"/>
    <x v="2"/>
    <s v="B2"/>
    <x v="1"/>
    <x v="1"/>
    <n v="13081"/>
    <x v="0"/>
    <n v="0.2"/>
    <n v="13000"/>
    <x v="16"/>
    <x v="0"/>
    <n v="20"/>
    <n v="10464.799999999999"/>
  </r>
  <r>
    <x v="132"/>
    <s v="Riya Rao"/>
    <s v="C204"/>
    <x v="3"/>
    <s v="B2"/>
    <x v="2"/>
    <x v="2"/>
    <n v="10360"/>
    <x v="1"/>
    <n v="0.1"/>
    <n v="9000"/>
    <x v="28"/>
    <x v="0"/>
    <n v="10"/>
    <n v="9324"/>
  </r>
  <r>
    <x v="133"/>
    <s v="Anjali Rao"/>
    <s v="C204"/>
    <x v="3"/>
    <s v="B1"/>
    <x v="0"/>
    <x v="1"/>
    <n v="8983"/>
    <x v="3"/>
    <n v="0.3"/>
    <n v="9000"/>
    <x v="40"/>
    <x v="0"/>
    <n v="30"/>
    <n v="6288.1"/>
  </r>
  <r>
    <x v="134"/>
    <s v="Manish Patel"/>
    <s v="C204"/>
    <x v="3"/>
    <s v="B2"/>
    <x v="0"/>
    <x v="0"/>
    <n v="9856"/>
    <x v="0"/>
    <n v="0.2"/>
    <n v="9000"/>
    <x v="52"/>
    <x v="0"/>
    <n v="20"/>
    <n v="7884.8"/>
  </r>
  <r>
    <x v="135"/>
    <s v="Rahul Patil"/>
    <s v="C204"/>
    <x v="3"/>
    <s v="B1"/>
    <x v="0"/>
    <x v="1"/>
    <n v="8937"/>
    <x v="4"/>
    <m/>
    <n v="9000"/>
    <x v="7"/>
    <x v="1"/>
    <n v="0"/>
    <n v="8937"/>
  </r>
  <r>
    <x v="136"/>
    <s v="Rohit Patel"/>
    <s v="C202"/>
    <x v="2"/>
    <s v="B2"/>
    <x v="1"/>
    <x v="0"/>
    <n v="13057"/>
    <x v="2"/>
    <m/>
    <n v="13000"/>
    <x v="40"/>
    <x v="0"/>
    <n v="15"/>
    <n v="11098.45"/>
  </r>
  <r>
    <x v="137"/>
    <s v="Meera Shah"/>
    <s v="C204"/>
    <x v="3"/>
    <s v="B1"/>
    <x v="2"/>
    <x v="2"/>
    <n v="7062"/>
    <x v="0"/>
    <n v="0.2"/>
    <n v="9000"/>
    <x v="2"/>
    <x v="0"/>
    <n v="20"/>
    <n v="5649.6"/>
  </r>
  <r>
    <x v="138"/>
    <s v="Meera Singh"/>
    <s v="C202"/>
    <x v="2"/>
    <s v="B1"/>
    <x v="0"/>
    <x v="2"/>
    <n v="12386"/>
    <x v="2"/>
    <m/>
    <n v="13000"/>
    <x v="8"/>
    <x v="0"/>
    <n v="15"/>
    <n v="10528.1"/>
  </r>
  <r>
    <x v="139"/>
    <s v="Rahul Singh"/>
    <s v="C201"/>
    <x v="0"/>
    <s v="B2"/>
    <x v="2"/>
    <x v="1"/>
    <n v="13556"/>
    <x v="3"/>
    <n v="0.3"/>
    <n v="14000"/>
    <x v="56"/>
    <x v="0"/>
    <n v="30"/>
    <n v="9489.2000000000007"/>
  </r>
  <r>
    <x v="140"/>
    <s v="Anjali Patel"/>
    <s v="C204"/>
    <x v="3"/>
    <s v="B3"/>
    <x v="1"/>
    <x v="1"/>
    <n v="7280"/>
    <x v="0"/>
    <n v="0.2"/>
    <n v="9000"/>
    <x v="56"/>
    <x v="0"/>
    <n v="20"/>
    <n v="5824"/>
  </r>
  <r>
    <x v="141"/>
    <s v="Rohit Rao"/>
    <s v="C202"/>
    <x v="2"/>
    <s v="B3"/>
    <x v="1"/>
    <x v="2"/>
    <n v="11403"/>
    <x v="1"/>
    <n v="0.1"/>
    <n v="13000"/>
    <x v="22"/>
    <x v="0"/>
    <n v="10"/>
    <n v="10262.700000000001"/>
  </r>
  <r>
    <x v="142"/>
    <s v="Karan Desai"/>
    <s v="C203"/>
    <x v="1"/>
    <s v="B1"/>
    <x v="1"/>
    <x v="2"/>
    <n v="18261"/>
    <x v="1"/>
    <n v="0.1"/>
    <n v="17000"/>
    <x v="28"/>
    <x v="0"/>
    <n v="10"/>
    <n v="16434.900000000001"/>
  </r>
  <r>
    <x v="143"/>
    <s v="Pooja Jain"/>
    <s v="C204"/>
    <x v="3"/>
    <s v="B1"/>
    <x v="1"/>
    <x v="1"/>
    <n v="8687"/>
    <x v="2"/>
    <m/>
    <n v="9000"/>
    <x v="26"/>
    <x v="0"/>
    <n v="15"/>
    <n v="7383.95"/>
  </r>
  <r>
    <x v="144"/>
    <s v="Dev Mehta"/>
    <s v="C202"/>
    <x v="2"/>
    <s v="B1"/>
    <x v="1"/>
    <x v="1"/>
    <n v="14566"/>
    <x v="4"/>
    <m/>
    <n v="13000"/>
    <x v="33"/>
    <x v="1"/>
    <n v="0"/>
    <n v="14566"/>
  </r>
  <r>
    <x v="145"/>
    <s v="Rohit Patil"/>
    <s v="C204"/>
    <x v="3"/>
    <s v="B3"/>
    <x v="1"/>
    <x v="0"/>
    <n v="8888"/>
    <x v="3"/>
    <n v="0.3"/>
    <n v="9000"/>
    <x v="44"/>
    <x v="0"/>
    <n v="30"/>
    <n v="6221.6"/>
  </r>
  <r>
    <x v="146"/>
    <s v="Aditya Singh"/>
    <s v="C201"/>
    <x v="0"/>
    <s v="B2"/>
    <x v="0"/>
    <x v="1"/>
    <n v="14238"/>
    <x v="0"/>
    <n v="0.2"/>
    <n v="14000"/>
    <x v="11"/>
    <x v="0"/>
    <n v="20"/>
    <n v="11390.4"/>
  </r>
  <r>
    <x v="147"/>
    <s v="Neha Jain"/>
    <s v="C203"/>
    <x v="1"/>
    <s v="B3"/>
    <x v="0"/>
    <x v="1"/>
    <n v="16024"/>
    <x v="4"/>
    <m/>
    <n v="17000"/>
    <x v="4"/>
    <x v="1"/>
    <n v="0"/>
    <n v="16024"/>
  </r>
  <r>
    <x v="148"/>
    <s v="Aditya Patil"/>
    <s v="C204"/>
    <x v="3"/>
    <s v="B2"/>
    <x v="1"/>
    <x v="0"/>
    <n v="8562"/>
    <x v="2"/>
    <m/>
    <n v="9000"/>
    <x v="37"/>
    <x v="0"/>
    <n v="15"/>
    <n v="7277.7"/>
  </r>
  <r>
    <x v="149"/>
    <s v="Kavita Rao"/>
    <s v="C203"/>
    <x v="1"/>
    <s v="B1"/>
    <x v="2"/>
    <x v="2"/>
    <n v="16124"/>
    <x v="1"/>
    <n v="0.1"/>
    <n v="17000"/>
    <x v="52"/>
    <x v="0"/>
    <n v="10"/>
    <n v="14511.6"/>
  </r>
  <r>
    <x v="150"/>
    <s v="Meera Singh"/>
    <s v="C201"/>
    <x v="0"/>
    <s v="B3"/>
    <x v="2"/>
    <x v="2"/>
    <n v="15411"/>
    <x v="3"/>
    <n v="0.3"/>
    <n v="14000"/>
    <x v="57"/>
    <x v="0"/>
    <n v="30"/>
    <n v="10787.7"/>
  </r>
  <r>
    <x v="151"/>
    <s v="Dev Patil"/>
    <s v="C203"/>
    <x v="1"/>
    <s v="B1"/>
    <x v="2"/>
    <x v="0"/>
    <n v="17543"/>
    <x v="3"/>
    <n v="0.3"/>
    <n v="17000"/>
    <x v="26"/>
    <x v="0"/>
    <n v="30"/>
    <n v="12280.1"/>
  </r>
  <r>
    <x v="152"/>
    <s v="Dev Desai"/>
    <s v="C202"/>
    <x v="2"/>
    <s v="B3"/>
    <x v="1"/>
    <x v="1"/>
    <n v="13647"/>
    <x v="1"/>
    <n v="0.1"/>
    <n v="13000"/>
    <x v="47"/>
    <x v="0"/>
    <n v="10"/>
    <n v="12282.3"/>
  </r>
  <r>
    <x v="153"/>
    <s v="Dev Iyer"/>
    <s v="C201"/>
    <x v="0"/>
    <s v="B3"/>
    <x v="0"/>
    <x v="1"/>
    <n v="12538"/>
    <x v="1"/>
    <n v="0.1"/>
    <n v="14000"/>
    <x v="58"/>
    <x v="0"/>
    <n v="10"/>
    <n v="11284.2"/>
  </r>
  <r>
    <x v="154"/>
    <s v="Aditya Jain"/>
    <s v="C204"/>
    <x v="3"/>
    <s v="B1"/>
    <x v="1"/>
    <x v="0"/>
    <n v="10221"/>
    <x v="2"/>
    <m/>
    <n v="9000"/>
    <x v="43"/>
    <x v="0"/>
    <n v="15"/>
    <n v="8687.85"/>
  </r>
  <r>
    <x v="155"/>
    <s v="Pooja Gupta"/>
    <s v="C203"/>
    <x v="1"/>
    <s v="B1"/>
    <x v="0"/>
    <x v="2"/>
    <n v="18962"/>
    <x v="3"/>
    <n v="0.3"/>
    <n v="17000"/>
    <x v="0"/>
    <x v="0"/>
    <n v="30"/>
    <n v="13273.4"/>
  </r>
  <r>
    <x v="156"/>
    <s v="Meera Jain"/>
    <s v="C201"/>
    <x v="0"/>
    <s v="B2"/>
    <x v="1"/>
    <x v="0"/>
    <n v="15089"/>
    <x v="0"/>
    <n v="0.2"/>
    <n v="14000"/>
    <x v="16"/>
    <x v="0"/>
    <n v="20"/>
    <n v="12071.2"/>
  </r>
  <r>
    <x v="157"/>
    <s v="Rohit Desai"/>
    <s v="C204"/>
    <x v="3"/>
    <s v="B3"/>
    <x v="0"/>
    <x v="0"/>
    <n v="10238"/>
    <x v="4"/>
    <m/>
    <n v="9000"/>
    <x v="54"/>
    <x v="1"/>
    <n v="0"/>
    <n v="10238"/>
  </r>
  <r>
    <x v="158"/>
    <s v="Aditya Gupta"/>
    <s v="C201"/>
    <x v="0"/>
    <s v="B2"/>
    <x v="0"/>
    <x v="1"/>
    <n v="15067"/>
    <x v="3"/>
    <n v="0.3"/>
    <n v="14000"/>
    <x v="29"/>
    <x v="0"/>
    <n v="30"/>
    <n v="10546.9"/>
  </r>
  <r>
    <x v="159"/>
    <s v="Rahul Nair"/>
    <s v="C203"/>
    <x v="1"/>
    <s v="B1"/>
    <x v="2"/>
    <x v="0"/>
    <n v="16931"/>
    <x v="1"/>
    <n v="0.1"/>
    <n v="17000"/>
    <x v="33"/>
    <x v="0"/>
    <n v="10"/>
    <n v="15237.9"/>
  </r>
  <r>
    <x v="160"/>
    <s v="Kunal Gupta"/>
    <s v="C203"/>
    <x v="1"/>
    <s v="B3"/>
    <x v="1"/>
    <x v="1"/>
    <n v="15258"/>
    <x v="4"/>
    <m/>
    <n v="17000"/>
    <x v="58"/>
    <x v="1"/>
    <n v="0"/>
    <n v="15258"/>
  </r>
  <r>
    <x v="161"/>
    <s v="Anjali Rao"/>
    <s v="C204"/>
    <x v="3"/>
    <s v="B1"/>
    <x v="1"/>
    <x v="0"/>
    <n v="10875"/>
    <x v="1"/>
    <n v="0.1"/>
    <n v="9000"/>
    <x v="47"/>
    <x v="0"/>
    <n v="10"/>
    <n v="9787.5"/>
  </r>
  <r>
    <x v="162"/>
    <s v="Neha Shah"/>
    <s v="C201"/>
    <x v="0"/>
    <s v="B1"/>
    <x v="2"/>
    <x v="0"/>
    <n v="13591"/>
    <x v="4"/>
    <m/>
    <n v="14000"/>
    <x v="51"/>
    <x v="1"/>
    <n v="0"/>
    <n v="13591"/>
  </r>
  <r>
    <x v="163"/>
    <s v="Rohit Desai"/>
    <s v="C204"/>
    <x v="3"/>
    <s v="B3"/>
    <x v="2"/>
    <x v="1"/>
    <n v="7632"/>
    <x v="4"/>
    <m/>
    <n v="9000"/>
    <x v="49"/>
    <x v="1"/>
    <n v="0"/>
    <n v="7632"/>
  </r>
  <r>
    <x v="164"/>
    <s v="Riya Nair"/>
    <s v="C204"/>
    <x v="3"/>
    <s v="B3"/>
    <x v="0"/>
    <x v="2"/>
    <n v="7134"/>
    <x v="3"/>
    <n v="0.3"/>
    <n v="9000"/>
    <x v="1"/>
    <x v="0"/>
    <n v="30"/>
    <n v="4993.8"/>
  </r>
  <r>
    <x v="165"/>
    <s v="Neha Iyer"/>
    <s v="C202"/>
    <x v="2"/>
    <s v="B2"/>
    <x v="1"/>
    <x v="1"/>
    <n v="12504"/>
    <x v="2"/>
    <m/>
    <n v="13000"/>
    <x v="48"/>
    <x v="0"/>
    <n v="15"/>
    <n v="10628.4"/>
  </r>
  <r>
    <x v="166"/>
    <s v="Rohit Jain"/>
    <s v="C201"/>
    <x v="0"/>
    <s v="B2"/>
    <x v="0"/>
    <x v="0"/>
    <n v="15965"/>
    <x v="1"/>
    <n v="0.1"/>
    <n v="14000"/>
    <x v="21"/>
    <x v="0"/>
    <n v="10"/>
    <n v="14368.5"/>
  </r>
  <r>
    <x v="167"/>
    <s v="Meera Nair"/>
    <s v="C204"/>
    <x v="3"/>
    <s v="B1"/>
    <x v="2"/>
    <x v="0"/>
    <n v="9628"/>
    <x v="2"/>
    <m/>
    <n v="9000"/>
    <x v="23"/>
    <x v="0"/>
    <n v="15"/>
    <n v="8183.8"/>
  </r>
  <r>
    <x v="168"/>
    <s v="Aarav Patel"/>
    <s v="C203"/>
    <x v="1"/>
    <s v="B1"/>
    <x v="1"/>
    <x v="1"/>
    <n v="15840"/>
    <x v="1"/>
    <n v="0.1"/>
    <n v="17000"/>
    <x v="10"/>
    <x v="0"/>
    <n v="10"/>
    <n v="14256"/>
  </r>
  <r>
    <x v="169"/>
    <s v="Dev Gupta"/>
    <s v="C202"/>
    <x v="2"/>
    <s v="B3"/>
    <x v="1"/>
    <x v="0"/>
    <n v="12345"/>
    <x v="0"/>
    <n v="0.2"/>
    <n v="13000"/>
    <x v="38"/>
    <x v="0"/>
    <n v="20"/>
    <n v="9876"/>
  </r>
  <r>
    <x v="170"/>
    <s v="Kunal Joshi"/>
    <s v="C201"/>
    <x v="0"/>
    <s v="B2"/>
    <x v="1"/>
    <x v="0"/>
    <n v="14212"/>
    <x v="3"/>
    <n v="0.3"/>
    <n v="14000"/>
    <x v="50"/>
    <x v="0"/>
    <n v="30"/>
    <n v="9948.4"/>
  </r>
  <r>
    <x v="171"/>
    <s v="Karan Shah"/>
    <s v="C201"/>
    <x v="0"/>
    <s v="B1"/>
    <x v="1"/>
    <x v="2"/>
    <n v="15235"/>
    <x v="0"/>
    <n v="0.2"/>
    <n v="14000"/>
    <x v="29"/>
    <x v="0"/>
    <n v="20"/>
    <n v="12188"/>
  </r>
  <r>
    <x v="172"/>
    <s v="Pooja Kulkarni"/>
    <s v="C202"/>
    <x v="2"/>
    <s v="B2"/>
    <x v="1"/>
    <x v="0"/>
    <n v="14038"/>
    <x v="4"/>
    <m/>
    <n v="13000"/>
    <x v="42"/>
    <x v="1"/>
    <n v="0"/>
    <n v="14038"/>
  </r>
  <r>
    <x v="173"/>
    <s v="Riya Desai"/>
    <s v="C201"/>
    <x v="0"/>
    <s v="B2"/>
    <x v="0"/>
    <x v="2"/>
    <n v="14102"/>
    <x v="2"/>
    <m/>
    <n v="14000"/>
    <x v="25"/>
    <x v="0"/>
    <n v="15"/>
    <n v="11986.7"/>
  </r>
  <r>
    <x v="174"/>
    <s v="Neha Gupta"/>
    <s v="C202"/>
    <x v="2"/>
    <s v="B3"/>
    <x v="1"/>
    <x v="1"/>
    <n v="14208"/>
    <x v="2"/>
    <m/>
    <n v="13000"/>
    <x v="47"/>
    <x v="0"/>
    <n v="15"/>
    <n v="12076.8"/>
  </r>
  <r>
    <x v="175"/>
    <s v="Neha Singh"/>
    <s v="C201"/>
    <x v="0"/>
    <s v="B1"/>
    <x v="0"/>
    <x v="2"/>
    <n v="13746"/>
    <x v="1"/>
    <n v="0.1"/>
    <n v="14000"/>
    <x v="20"/>
    <x v="0"/>
    <n v="10"/>
    <n v="12371.4"/>
  </r>
  <r>
    <x v="176"/>
    <s v="Anjali Iyer"/>
    <s v="C201"/>
    <x v="0"/>
    <s v="B1"/>
    <x v="0"/>
    <x v="1"/>
    <n v="12607"/>
    <x v="1"/>
    <n v="0.1"/>
    <n v="14000"/>
    <x v="59"/>
    <x v="0"/>
    <n v="10"/>
    <n v="11346.3"/>
  </r>
  <r>
    <x v="177"/>
    <s v="Aditya Joshi"/>
    <s v="C203"/>
    <x v="1"/>
    <s v="B2"/>
    <x v="2"/>
    <x v="1"/>
    <n v="16207"/>
    <x v="4"/>
    <m/>
    <n v="17000"/>
    <x v="18"/>
    <x v="1"/>
    <n v="0"/>
    <n v="16207"/>
  </r>
  <r>
    <x v="178"/>
    <s v="Kavita Verma"/>
    <s v="C201"/>
    <x v="0"/>
    <s v="B3"/>
    <x v="1"/>
    <x v="1"/>
    <n v="14666"/>
    <x v="2"/>
    <m/>
    <n v="14000"/>
    <x v="60"/>
    <x v="0"/>
    <n v="15"/>
    <n v="12466.1"/>
  </r>
  <r>
    <x v="179"/>
    <s v="Meera Patil"/>
    <s v="C204"/>
    <x v="3"/>
    <s v="B2"/>
    <x v="1"/>
    <x v="2"/>
    <n v="8388"/>
    <x v="4"/>
    <m/>
    <n v="9000"/>
    <x v="32"/>
    <x v="1"/>
    <n v="0"/>
    <n v="8388"/>
  </r>
  <r>
    <x v="180"/>
    <s v="Rahul Desai"/>
    <s v="C201"/>
    <x v="0"/>
    <s v="B2"/>
    <x v="0"/>
    <x v="2"/>
    <n v="14724"/>
    <x v="3"/>
    <n v="0.3"/>
    <n v="14000"/>
    <x v="51"/>
    <x v="0"/>
    <n v="30"/>
    <n v="10306.799999999999"/>
  </r>
  <r>
    <x v="181"/>
    <s v="Karan Singh"/>
    <s v="C204"/>
    <x v="3"/>
    <s v="B1"/>
    <x v="1"/>
    <x v="0"/>
    <n v="7381"/>
    <x v="4"/>
    <m/>
    <n v="9000"/>
    <x v="25"/>
    <x v="1"/>
    <n v="0"/>
    <n v="7381"/>
  </r>
  <r>
    <x v="182"/>
    <s v="Anjali Desai"/>
    <s v="C203"/>
    <x v="1"/>
    <s v="B1"/>
    <x v="2"/>
    <x v="0"/>
    <n v="17402"/>
    <x v="2"/>
    <m/>
    <n v="17000"/>
    <x v="35"/>
    <x v="0"/>
    <n v="15"/>
    <n v="14791.7"/>
  </r>
  <r>
    <x v="183"/>
    <s v="Pooja Singh"/>
    <s v="C201"/>
    <x v="0"/>
    <s v="B2"/>
    <x v="0"/>
    <x v="1"/>
    <n v="15854"/>
    <x v="4"/>
    <m/>
    <n v="14000"/>
    <x v="16"/>
    <x v="1"/>
    <n v="0"/>
    <n v="15854"/>
  </r>
  <r>
    <x v="184"/>
    <s v="Kunal Desai"/>
    <s v="C201"/>
    <x v="0"/>
    <s v="B2"/>
    <x v="2"/>
    <x v="2"/>
    <n v="13440"/>
    <x v="1"/>
    <n v="0.1"/>
    <n v="14000"/>
    <x v="52"/>
    <x v="0"/>
    <n v="10"/>
    <n v="12096"/>
  </r>
  <r>
    <x v="185"/>
    <s v="Manish Patil"/>
    <s v="C202"/>
    <x v="2"/>
    <s v="B3"/>
    <x v="0"/>
    <x v="0"/>
    <n v="14470"/>
    <x v="1"/>
    <n v="0.1"/>
    <n v="13000"/>
    <x v="37"/>
    <x v="0"/>
    <n v="10"/>
    <n v="13023"/>
  </r>
  <r>
    <x v="186"/>
    <s v="Meera Gupta"/>
    <s v="C203"/>
    <x v="1"/>
    <s v="B1"/>
    <x v="0"/>
    <x v="1"/>
    <n v="15926"/>
    <x v="4"/>
    <m/>
    <n v="17000"/>
    <x v="4"/>
    <x v="1"/>
    <n v="0"/>
    <n v="15926"/>
  </r>
  <r>
    <x v="187"/>
    <s v="Manish Patel"/>
    <s v="C201"/>
    <x v="0"/>
    <s v="B3"/>
    <x v="2"/>
    <x v="1"/>
    <n v="13095"/>
    <x v="1"/>
    <n v="0.1"/>
    <n v="14000"/>
    <x v="53"/>
    <x v="0"/>
    <n v="10"/>
    <n v="11785.5"/>
  </r>
  <r>
    <x v="188"/>
    <s v="Aditya Desai"/>
    <s v="C203"/>
    <x v="1"/>
    <s v="B2"/>
    <x v="0"/>
    <x v="0"/>
    <n v="15743"/>
    <x v="0"/>
    <n v="0.2"/>
    <n v="17000"/>
    <x v="52"/>
    <x v="0"/>
    <n v="20"/>
    <n v="12594.4"/>
  </r>
  <r>
    <x v="189"/>
    <s v="Rohit Verma"/>
    <s v="C201"/>
    <x v="0"/>
    <s v="B1"/>
    <x v="2"/>
    <x v="1"/>
    <n v="15980"/>
    <x v="1"/>
    <n v="0.1"/>
    <n v="14000"/>
    <x v="14"/>
    <x v="0"/>
    <n v="10"/>
    <n v="14382"/>
  </r>
  <r>
    <x v="190"/>
    <s v="Anjali Gupta"/>
    <s v="C202"/>
    <x v="2"/>
    <s v="B2"/>
    <x v="0"/>
    <x v="2"/>
    <n v="12396"/>
    <x v="0"/>
    <n v="0.2"/>
    <n v="13000"/>
    <x v="51"/>
    <x v="0"/>
    <n v="20"/>
    <n v="9916.7999999999993"/>
  </r>
  <r>
    <x v="191"/>
    <s v="Aditya Desai"/>
    <s v="C203"/>
    <x v="1"/>
    <s v="B3"/>
    <x v="2"/>
    <x v="0"/>
    <n v="18618"/>
    <x v="1"/>
    <n v="0.1"/>
    <n v="17000"/>
    <x v="12"/>
    <x v="0"/>
    <n v="10"/>
    <n v="16756.2"/>
  </r>
  <r>
    <x v="192"/>
    <s v="Karan Patel"/>
    <s v="C201"/>
    <x v="0"/>
    <s v="B3"/>
    <x v="1"/>
    <x v="2"/>
    <n v="13814"/>
    <x v="4"/>
    <m/>
    <n v="14000"/>
    <x v="20"/>
    <x v="1"/>
    <n v="0"/>
    <n v="13814"/>
  </r>
  <r>
    <x v="193"/>
    <s v="Kavita Iyer"/>
    <s v="C204"/>
    <x v="3"/>
    <s v="B2"/>
    <x v="1"/>
    <x v="1"/>
    <n v="7466"/>
    <x v="3"/>
    <n v="0.3"/>
    <n v="9000"/>
    <x v="13"/>
    <x v="0"/>
    <n v="30"/>
    <n v="5226.2"/>
  </r>
  <r>
    <x v="194"/>
    <s v="Riya Rao"/>
    <s v="C204"/>
    <x v="3"/>
    <s v="B3"/>
    <x v="2"/>
    <x v="2"/>
    <n v="7186"/>
    <x v="0"/>
    <n v="0.2"/>
    <n v="9000"/>
    <x v="32"/>
    <x v="0"/>
    <n v="20"/>
    <n v="5748.8"/>
  </r>
  <r>
    <x v="195"/>
    <s v="Kavita Kulkarni"/>
    <s v="C201"/>
    <x v="0"/>
    <s v="B1"/>
    <x v="0"/>
    <x v="0"/>
    <n v="15143"/>
    <x v="0"/>
    <n v="0.2"/>
    <n v="14000"/>
    <x v="46"/>
    <x v="0"/>
    <n v="20"/>
    <n v="12114.4"/>
  </r>
  <r>
    <x v="196"/>
    <s v="Aditya Rao"/>
    <s v="C203"/>
    <x v="1"/>
    <s v="B1"/>
    <x v="1"/>
    <x v="2"/>
    <n v="18059"/>
    <x v="4"/>
    <m/>
    <n v="17000"/>
    <x v="53"/>
    <x v="1"/>
    <n v="0"/>
    <n v="18059"/>
  </r>
  <r>
    <x v="197"/>
    <s v="Karan Verma"/>
    <s v="C202"/>
    <x v="2"/>
    <s v="B3"/>
    <x v="2"/>
    <x v="1"/>
    <n v="14302"/>
    <x v="3"/>
    <n v="0.3"/>
    <n v="13000"/>
    <x v="11"/>
    <x v="0"/>
    <n v="30"/>
    <n v="10011.4"/>
  </r>
  <r>
    <x v="198"/>
    <s v="Rahul Nair"/>
    <s v="C201"/>
    <x v="0"/>
    <s v="B2"/>
    <x v="1"/>
    <x v="2"/>
    <n v="15773"/>
    <x v="1"/>
    <n v="0.1"/>
    <n v="14000"/>
    <x v="16"/>
    <x v="0"/>
    <n v="10"/>
    <n v="14195.7"/>
  </r>
  <r>
    <x v="199"/>
    <s v="Pooja Joshi"/>
    <s v="C204"/>
    <x v="3"/>
    <s v="B3"/>
    <x v="0"/>
    <x v="1"/>
    <n v="9622"/>
    <x v="4"/>
    <m/>
    <n v="9000"/>
    <x v="28"/>
    <x v="1"/>
    <n v="0"/>
    <n v="9622"/>
  </r>
  <r>
    <x v="200"/>
    <s v="Riya Verma"/>
    <s v="C201"/>
    <x v="0"/>
    <s v="B2"/>
    <x v="1"/>
    <x v="1"/>
    <n v="13884"/>
    <x v="3"/>
    <n v="0.3"/>
    <n v="14000"/>
    <x v="14"/>
    <x v="0"/>
    <n v="30"/>
    <n v="9718.7999999999993"/>
  </r>
  <r>
    <x v="201"/>
    <s v="Rahul Nair"/>
    <s v="C201"/>
    <x v="0"/>
    <s v="B1"/>
    <x v="0"/>
    <x v="1"/>
    <n v="13640"/>
    <x v="2"/>
    <m/>
    <n v="14000"/>
    <x v="14"/>
    <x v="0"/>
    <n v="15"/>
    <n v="11594"/>
  </r>
  <r>
    <x v="202"/>
    <s v="Rahul Nair"/>
    <s v="C203"/>
    <x v="1"/>
    <s v="B3"/>
    <x v="0"/>
    <x v="0"/>
    <n v="16364"/>
    <x v="0"/>
    <n v="0.2"/>
    <n v="17000"/>
    <x v="11"/>
    <x v="0"/>
    <n v="20"/>
    <n v="13091.2"/>
  </r>
  <r>
    <x v="203"/>
    <s v="Manish Singh"/>
    <s v="C201"/>
    <x v="0"/>
    <s v="B3"/>
    <x v="2"/>
    <x v="0"/>
    <n v="15710"/>
    <x v="3"/>
    <n v="0.3"/>
    <n v="14000"/>
    <x v="37"/>
    <x v="0"/>
    <n v="30"/>
    <n v="10997"/>
  </r>
  <r>
    <x v="204"/>
    <s v="Anjali Nair"/>
    <s v="C202"/>
    <x v="2"/>
    <s v="B1"/>
    <x v="1"/>
    <x v="0"/>
    <n v="12048"/>
    <x v="0"/>
    <n v="0.2"/>
    <n v="13000"/>
    <x v="53"/>
    <x v="0"/>
    <n v="20"/>
    <n v="9638.4"/>
  </r>
  <r>
    <x v="205"/>
    <s v="Kavita Mehta"/>
    <s v="C201"/>
    <x v="0"/>
    <s v="B1"/>
    <x v="2"/>
    <x v="2"/>
    <n v="13900"/>
    <x v="2"/>
    <m/>
    <n v="14000"/>
    <x v="46"/>
    <x v="0"/>
    <n v="15"/>
    <n v="11815"/>
  </r>
  <r>
    <x v="206"/>
    <s v="Kavita Iyer"/>
    <s v="C203"/>
    <x v="1"/>
    <s v="B3"/>
    <x v="0"/>
    <x v="0"/>
    <n v="16801"/>
    <x v="1"/>
    <n v="0.1"/>
    <n v="17000"/>
    <x v="30"/>
    <x v="0"/>
    <n v="10"/>
    <n v="15120.9"/>
  </r>
  <r>
    <x v="207"/>
    <s v="Neha Singh"/>
    <s v="C203"/>
    <x v="1"/>
    <s v="B2"/>
    <x v="2"/>
    <x v="0"/>
    <n v="16441"/>
    <x v="2"/>
    <m/>
    <n v="17000"/>
    <x v="11"/>
    <x v="0"/>
    <n v="15"/>
    <n v="13974.85"/>
  </r>
  <r>
    <x v="208"/>
    <s v="Aditya Iyer"/>
    <s v="C204"/>
    <x v="3"/>
    <s v="B1"/>
    <x v="1"/>
    <x v="2"/>
    <n v="10406"/>
    <x v="3"/>
    <n v="0.3"/>
    <n v="9000"/>
    <x v="11"/>
    <x v="0"/>
    <n v="30"/>
    <n v="7284.2"/>
  </r>
  <r>
    <x v="209"/>
    <s v="Rohit Nair"/>
    <s v="C201"/>
    <x v="0"/>
    <s v="B3"/>
    <x v="2"/>
    <x v="1"/>
    <n v="13574"/>
    <x v="4"/>
    <m/>
    <n v="14000"/>
    <x v="29"/>
    <x v="1"/>
    <n v="0"/>
    <n v="13574"/>
  </r>
  <r>
    <x v="210"/>
    <s v="Manish Patel"/>
    <s v="C201"/>
    <x v="0"/>
    <s v="B2"/>
    <x v="2"/>
    <x v="1"/>
    <n v="12771"/>
    <x v="3"/>
    <n v="0.3"/>
    <n v="14000"/>
    <x v="15"/>
    <x v="0"/>
    <n v="30"/>
    <n v="8939.7000000000007"/>
  </r>
  <r>
    <x v="211"/>
    <s v="Neha Gupta"/>
    <s v="C202"/>
    <x v="2"/>
    <s v="B1"/>
    <x v="0"/>
    <x v="0"/>
    <n v="14321"/>
    <x v="3"/>
    <n v="0.3"/>
    <n v="13000"/>
    <x v="6"/>
    <x v="0"/>
    <n v="30"/>
    <n v="10024.700000000001"/>
  </r>
  <r>
    <x v="212"/>
    <s v="Riya Gupta"/>
    <s v="C202"/>
    <x v="2"/>
    <s v="B1"/>
    <x v="1"/>
    <x v="1"/>
    <n v="12793"/>
    <x v="4"/>
    <m/>
    <n v="13000"/>
    <x v="42"/>
    <x v="1"/>
    <n v="0"/>
    <n v="12793"/>
  </r>
  <r>
    <x v="213"/>
    <s v="Manish Joshi"/>
    <s v="C202"/>
    <x v="2"/>
    <s v="B2"/>
    <x v="0"/>
    <x v="2"/>
    <n v="12586"/>
    <x v="4"/>
    <m/>
    <n v="13000"/>
    <x v="57"/>
    <x v="1"/>
    <n v="0"/>
    <n v="12586"/>
  </r>
  <r>
    <x v="214"/>
    <s v="Pooja Singh"/>
    <s v="C201"/>
    <x v="0"/>
    <s v="B3"/>
    <x v="2"/>
    <x v="2"/>
    <n v="12269"/>
    <x v="3"/>
    <n v="0.3"/>
    <n v="14000"/>
    <x v="25"/>
    <x v="0"/>
    <n v="30"/>
    <n v="8588.2999999999993"/>
  </r>
  <r>
    <x v="215"/>
    <s v="Manish Singh"/>
    <s v="C204"/>
    <x v="3"/>
    <s v="B2"/>
    <x v="0"/>
    <x v="1"/>
    <n v="10488"/>
    <x v="2"/>
    <m/>
    <n v="9000"/>
    <x v="16"/>
    <x v="0"/>
    <n v="15"/>
    <n v="8914.7999999999993"/>
  </r>
  <r>
    <x v="216"/>
    <s v="Karan Jain"/>
    <s v="C201"/>
    <x v="0"/>
    <s v="B3"/>
    <x v="2"/>
    <x v="0"/>
    <n v="15754"/>
    <x v="3"/>
    <n v="0.3"/>
    <n v="14000"/>
    <x v="47"/>
    <x v="0"/>
    <n v="30"/>
    <n v="11027.8"/>
  </r>
  <r>
    <x v="217"/>
    <s v="Rohit Desai"/>
    <s v="C204"/>
    <x v="3"/>
    <s v="B1"/>
    <x v="2"/>
    <x v="1"/>
    <n v="10842"/>
    <x v="1"/>
    <n v="0.1"/>
    <n v="9000"/>
    <x v="47"/>
    <x v="0"/>
    <n v="10"/>
    <n v="9757.7999999999993"/>
  </r>
  <r>
    <x v="218"/>
    <s v="Manish Verma"/>
    <s v="C203"/>
    <x v="1"/>
    <s v="B1"/>
    <x v="2"/>
    <x v="1"/>
    <n v="18395"/>
    <x v="2"/>
    <m/>
    <n v="17000"/>
    <x v="14"/>
    <x v="0"/>
    <n v="15"/>
    <n v="15635.75"/>
  </r>
  <r>
    <x v="219"/>
    <s v="Rohit Singh"/>
    <s v="C204"/>
    <x v="3"/>
    <s v="B3"/>
    <x v="0"/>
    <x v="0"/>
    <n v="8485"/>
    <x v="3"/>
    <n v="0.3"/>
    <n v="9000"/>
    <x v="53"/>
    <x v="0"/>
    <n v="30"/>
    <n v="5939.5"/>
  </r>
  <r>
    <x v="220"/>
    <s v="Sneha Jain"/>
    <s v="C204"/>
    <x v="3"/>
    <s v="B1"/>
    <x v="1"/>
    <x v="0"/>
    <n v="7634"/>
    <x v="1"/>
    <n v="0.1"/>
    <n v="9000"/>
    <x v="28"/>
    <x v="0"/>
    <n v="10"/>
    <n v="6870.6"/>
  </r>
  <r>
    <x v="221"/>
    <s v="Meera Patel"/>
    <s v="C201"/>
    <x v="0"/>
    <s v="B3"/>
    <x v="2"/>
    <x v="1"/>
    <n v="15619"/>
    <x v="2"/>
    <m/>
    <n v="14000"/>
    <x v="34"/>
    <x v="0"/>
    <n v="15"/>
    <n v="13276.15"/>
  </r>
  <r>
    <x v="222"/>
    <s v="Rohit Jain"/>
    <s v="C202"/>
    <x v="2"/>
    <s v="B3"/>
    <x v="0"/>
    <x v="0"/>
    <n v="11664"/>
    <x v="0"/>
    <n v="0.2"/>
    <n v="13000"/>
    <x v="10"/>
    <x v="0"/>
    <n v="20"/>
    <n v="9331.2000000000007"/>
  </r>
  <r>
    <x v="223"/>
    <s v="Anjali Patel"/>
    <s v="C202"/>
    <x v="2"/>
    <s v="B3"/>
    <x v="0"/>
    <x v="0"/>
    <n v="12682"/>
    <x v="3"/>
    <n v="0.3"/>
    <n v="13000"/>
    <x v="26"/>
    <x v="0"/>
    <n v="30"/>
    <n v="8877.4"/>
  </r>
  <r>
    <x v="224"/>
    <s v="Anjali Patil"/>
    <s v="C204"/>
    <x v="3"/>
    <s v="B3"/>
    <x v="0"/>
    <x v="1"/>
    <n v="10210"/>
    <x v="4"/>
    <m/>
    <n v="9000"/>
    <x v="24"/>
    <x v="1"/>
    <n v="0"/>
    <n v="10210"/>
  </r>
  <r>
    <x v="225"/>
    <s v="Manish Patil"/>
    <s v="C203"/>
    <x v="1"/>
    <s v="B2"/>
    <x v="1"/>
    <x v="2"/>
    <n v="17778"/>
    <x v="2"/>
    <m/>
    <n v="17000"/>
    <x v="22"/>
    <x v="0"/>
    <n v="15"/>
    <n v="15111.3"/>
  </r>
  <r>
    <x v="226"/>
    <s v="Neha Patel"/>
    <s v="C203"/>
    <x v="1"/>
    <s v="B2"/>
    <x v="2"/>
    <x v="1"/>
    <n v="16714"/>
    <x v="0"/>
    <n v="0.2"/>
    <n v="17000"/>
    <x v="39"/>
    <x v="0"/>
    <n v="20"/>
    <n v="13371.2"/>
  </r>
  <r>
    <x v="227"/>
    <s v="Sneha Patel"/>
    <s v="C202"/>
    <x v="2"/>
    <s v="B2"/>
    <x v="1"/>
    <x v="1"/>
    <n v="12968"/>
    <x v="3"/>
    <n v="0.3"/>
    <n v="13000"/>
    <x v="35"/>
    <x v="0"/>
    <n v="30"/>
    <n v="9077.6"/>
  </r>
  <r>
    <x v="228"/>
    <s v="Kunal Shah"/>
    <s v="C201"/>
    <x v="0"/>
    <s v="B2"/>
    <x v="1"/>
    <x v="0"/>
    <n v="13117"/>
    <x v="4"/>
    <m/>
    <n v="14000"/>
    <x v="48"/>
    <x v="1"/>
    <n v="0"/>
    <n v="13117"/>
  </r>
  <r>
    <x v="229"/>
    <s v="Manish Mehta"/>
    <s v="C204"/>
    <x v="3"/>
    <s v="B1"/>
    <x v="1"/>
    <x v="2"/>
    <n v="10623"/>
    <x v="3"/>
    <n v="0.3"/>
    <n v="9000"/>
    <x v="5"/>
    <x v="0"/>
    <n v="30"/>
    <n v="7436.1"/>
  </r>
  <r>
    <x v="230"/>
    <s v="Aarav Verma"/>
    <s v="C201"/>
    <x v="0"/>
    <s v="B2"/>
    <x v="2"/>
    <x v="2"/>
    <n v="12965"/>
    <x v="4"/>
    <m/>
    <n v="14000"/>
    <x v="14"/>
    <x v="1"/>
    <n v="0"/>
    <n v="12965"/>
  </r>
  <r>
    <x v="231"/>
    <s v="Pooja Patil"/>
    <s v="C201"/>
    <x v="0"/>
    <s v="B2"/>
    <x v="1"/>
    <x v="1"/>
    <n v="14662"/>
    <x v="3"/>
    <n v="0.3"/>
    <n v="14000"/>
    <x v="38"/>
    <x v="0"/>
    <n v="30"/>
    <n v="10263.4"/>
  </r>
  <r>
    <x v="232"/>
    <s v="Karan Mehta"/>
    <s v="C201"/>
    <x v="0"/>
    <s v="B2"/>
    <x v="0"/>
    <x v="1"/>
    <n v="15404"/>
    <x v="0"/>
    <n v="0.2"/>
    <n v="14000"/>
    <x v="46"/>
    <x v="0"/>
    <n v="20"/>
    <n v="12323.2"/>
  </r>
  <r>
    <x v="233"/>
    <s v="Anjali Iyer"/>
    <s v="C204"/>
    <x v="3"/>
    <s v="B3"/>
    <x v="1"/>
    <x v="0"/>
    <n v="7077"/>
    <x v="3"/>
    <n v="0.3"/>
    <n v="9000"/>
    <x v="1"/>
    <x v="0"/>
    <n v="30"/>
    <n v="4953.8999999999996"/>
  </r>
  <r>
    <x v="234"/>
    <s v="Meera Mehta"/>
    <s v="C204"/>
    <x v="3"/>
    <s v="B1"/>
    <x v="0"/>
    <x v="0"/>
    <n v="8233"/>
    <x v="1"/>
    <n v="0.1"/>
    <n v="9000"/>
    <x v="55"/>
    <x v="0"/>
    <n v="10"/>
    <n v="7409.7"/>
  </r>
  <r>
    <x v="235"/>
    <s v="Sneha Verma"/>
    <s v="C204"/>
    <x v="3"/>
    <s v="B1"/>
    <x v="1"/>
    <x v="2"/>
    <n v="9444"/>
    <x v="2"/>
    <m/>
    <n v="9000"/>
    <x v="23"/>
    <x v="0"/>
    <n v="15"/>
    <n v="8027.4"/>
  </r>
  <r>
    <x v="236"/>
    <s v="Rohit Gupta"/>
    <s v="C202"/>
    <x v="2"/>
    <s v="B3"/>
    <x v="1"/>
    <x v="2"/>
    <n v="12758"/>
    <x v="1"/>
    <n v="0.1"/>
    <n v="13000"/>
    <x v="33"/>
    <x v="0"/>
    <n v="10"/>
    <n v="11482.2"/>
  </r>
  <r>
    <x v="237"/>
    <s v="Pooja Patil"/>
    <s v="C204"/>
    <x v="3"/>
    <s v="B1"/>
    <x v="2"/>
    <x v="1"/>
    <n v="7350"/>
    <x v="2"/>
    <m/>
    <n v="9000"/>
    <x v="51"/>
    <x v="0"/>
    <n v="15"/>
    <n v="6247.5"/>
  </r>
  <r>
    <x v="238"/>
    <s v="Riya Gupta"/>
    <s v="C201"/>
    <x v="0"/>
    <s v="B2"/>
    <x v="0"/>
    <x v="0"/>
    <n v="14603"/>
    <x v="4"/>
    <m/>
    <n v="14000"/>
    <x v="51"/>
    <x v="1"/>
    <n v="0"/>
    <n v="14603"/>
  </r>
  <r>
    <x v="239"/>
    <s v="Aditya Desai"/>
    <s v="C201"/>
    <x v="0"/>
    <s v="B2"/>
    <x v="1"/>
    <x v="2"/>
    <n v="12987"/>
    <x v="1"/>
    <n v="0.1"/>
    <n v="14000"/>
    <x v="57"/>
    <x v="0"/>
    <n v="10"/>
    <n v="11688.3"/>
  </r>
  <r>
    <x v="240"/>
    <s v="Kavita Desai"/>
    <s v="C203"/>
    <x v="1"/>
    <s v="B1"/>
    <x v="1"/>
    <x v="2"/>
    <n v="17236"/>
    <x v="3"/>
    <n v="0.3"/>
    <n v="17000"/>
    <x v="39"/>
    <x v="0"/>
    <n v="30"/>
    <n v="12065.2"/>
  </r>
  <r>
    <x v="241"/>
    <s v="Rohit Mehta"/>
    <s v="C204"/>
    <x v="3"/>
    <s v="B3"/>
    <x v="0"/>
    <x v="1"/>
    <n v="7746"/>
    <x v="0"/>
    <n v="0.2"/>
    <n v="9000"/>
    <x v="11"/>
    <x v="0"/>
    <n v="20"/>
    <n v="6196.8"/>
  </r>
  <r>
    <x v="242"/>
    <s v="Anjali Patel"/>
    <s v="C204"/>
    <x v="3"/>
    <s v="B1"/>
    <x v="0"/>
    <x v="0"/>
    <n v="7179"/>
    <x v="0"/>
    <n v="0.2"/>
    <n v="9000"/>
    <x v="43"/>
    <x v="0"/>
    <n v="20"/>
    <n v="5743.2"/>
  </r>
  <r>
    <x v="243"/>
    <s v="Aarav Jain"/>
    <s v="C203"/>
    <x v="1"/>
    <s v="B3"/>
    <x v="0"/>
    <x v="1"/>
    <n v="16939"/>
    <x v="3"/>
    <n v="0.3"/>
    <n v="17000"/>
    <x v="34"/>
    <x v="0"/>
    <n v="30"/>
    <n v="11857.3"/>
  </r>
  <r>
    <x v="244"/>
    <s v="Dev Singh"/>
    <s v="C202"/>
    <x v="2"/>
    <s v="B2"/>
    <x v="0"/>
    <x v="0"/>
    <n v="14546"/>
    <x v="3"/>
    <n v="0.3"/>
    <n v="13000"/>
    <x v="3"/>
    <x v="0"/>
    <n v="30"/>
    <n v="10182.200000000001"/>
  </r>
  <r>
    <x v="245"/>
    <s v="Riya Patel"/>
    <s v="C203"/>
    <x v="1"/>
    <s v="B2"/>
    <x v="0"/>
    <x v="1"/>
    <n v="16801"/>
    <x v="4"/>
    <m/>
    <n v="17000"/>
    <x v="40"/>
    <x v="1"/>
    <n v="0"/>
    <n v="16801"/>
  </r>
  <r>
    <x v="246"/>
    <s v="Karan Iyer"/>
    <s v="C204"/>
    <x v="3"/>
    <s v="B2"/>
    <x v="2"/>
    <x v="2"/>
    <n v="10281"/>
    <x v="1"/>
    <n v="0.1"/>
    <n v="9000"/>
    <x v="60"/>
    <x v="0"/>
    <n v="10"/>
    <n v="9252.9"/>
  </r>
  <r>
    <x v="247"/>
    <s v="Rahul Shah"/>
    <s v="C204"/>
    <x v="3"/>
    <s v="B3"/>
    <x v="1"/>
    <x v="1"/>
    <n v="8203"/>
    <x v="3"/>
    <n v="0.3"/>
    <n v="9000"/>
    <x v="25"/>
    <x v="0"/>
    <n v="30"/>
    <n v="5742.1"/>
  </r>
  <r>
    <x v="248"/>
    <s v="Riya Jain"/>
    <s v="C203"/>
    <x v="1"/>
    <s v="B2"/>
    <x v="0"/>
    <x v="1"/>
    <n v="17939"/>
    <x v="4"/>
    <m/>
    <n v="17000"/>
    <x v="9"/>
    <x v="1"/>
    <n v="0"/>
    <n v="17939"/>
  </r>
  <r>
    <x v="249"/>
    <s v="Anjali Iyer"/>
    <s v="C203"/>
    <x v="1"/>
    <s v="B2"/>
    <x v="1"/>
    <x v="1"/>
    <n v="18563"/>
    <x v="3"/>
    <n v="0.3"/>
    <n v="17000"/>
    <x v="33"/>
    <x v="0"/>
    <n v="30"/>
    <n v="12994.1"/>
  </r>
  <r>
    <x v="250"/>
    <s v="Rahul Rao"/>
    <s v="C201"/>
    <x v="0"/>
    <s v="B1"/>
    <x v="2"/>
    <x v="1"/>
    <n v="13663"/>
    <x v="3"/>
    <n v="0.3"/>
    <n v="14000"/>
    <x v="18"/>
    <x v="0"/>
    <n v="30"/>
    <n v="9564.1"/>
  </r>
  <r>
    <x v="251"/>
    <s v="Dev Desai"/>
    <s v="C202"/>
    <x v="2"/>
    <s v="B1"/>
    <x v="1"/>
    <x v="1"/>
    <n v="13777"/>
    <x v="4"/>
    <m/>
    <n v="13000"/>
    <x v="34"/>
    <x v="1"/>
    <n v="0"/>
    <n v="13777"/>
  </r>
  <r>
    <x v="252"/>
    <s v="Karan Shah"/>
    <s v="C202"/>
    <x v="2"/>
    <s v="B3"/>
    <x v="0"/>
    <x v="2"/>
    <n v="12568"/>
    <x v="2"/>
    <m/>
    <n v="13000"/>
    <x v="34"/>
    <x v="0"/>
    <n v="15"/>
    <n v="10682.8"/>
  </r>
  <r>
    <x v="253"/>
    <s v="Kavita Mehta"/>
    <s v="C204"/>
    <x v="3"/>
    <s v="B2"/>
    <x v="0"/>
    <x v="2"/>
    <n v="10125"/>
    <x v="1"/>
    <n v="0.1"/>
    <n v="9000"/>
    <x v="52"/>
    <x v="0"/>
    <n v="10"/>
    <n v="9112.5"/>
  </r>
  <r>
    <x v="254"/>
    <s v="Karan Gupta"/>
    <s v="C203"/>
    <x v="1"/>
    <s v="B2"/>
    <x v="0"/>
    <x v="1"/>
    <n v="16141"/>
    <x v="0"/>
    <n v="0.2"/>
    <n v="17000"/>
    <x v="17"/>
    <x v="0"/>
    <n v="20"/>
    <n v="12912.8"/>
  </r>
  <r>
    <x v="255"/>
    <s v="Aarav Desai"/>
    <s v="C202"/>
    <x v="2"/>
    <s v="B2"/>
    <x v="2"/>
    <x v="2"/>
    <n v="14741"/>
    <x v="2"/>
    <m/>
    <n v="13000"/>
    <x v="17"/>
    <x v="0"/>
    <n v="15"/>
    <n v="12529.85"/>
  </r>
  <r>
    <x v="256"/>
    <s v="Aditya Patel"/>
    <s v="C203"/>
    <x v="1"/>
    <s v="B3"/>
    <x v="0"/>
    <x v="0"/>
    <n v="17506"/>
    <x v="3"/>
    <n v="0.3"/>
    <n v="17000"/>
    <x v="8"/>
    <x v="0"/>
    <n v="30"/>
    <n v="12254.2"/>
  </r>
  <r>
    <x v="257"/>
    <s v="Kunal Iyer"/>
    <s v="C202"/>
    <x v="2"/>
    <s v="B1"/>
    <x v="1"/>
    <x v="0"/>
    <n v="12851"/>
    <x v="0"/>
    <n v="0.2"/>
    <n v="13000"/>
    <x v="48"/>
    <x v="0"/>
    <n v="20"/>
    <n v="10280.799999999999"/>
  </r>
  <r>
    <x v="258"/>
    <s v="Anjali Iyer"/>
    <s v="C201"/>
    <x v="0"/>
    <s v="B3"/>
    <x v="0"/>
    <x v="1"/>
    <n v="13423"/>
    <x v="1"/>
    <n v="0.1"/>
    <n v="14000"/>
    <x v="35"/>
    <x v="0"/>
    <n v="10"/>
    <n v="12080.7"/>
  </r>
  <r>
    <x v="259"/>
    <s v="Manish Rao"/>
    <s v="C203"/>
    <x v="1"/>
    <s v="B1"/>
    <x v="2"/>
    <x v="1"/>
    <n v="18798"/>
    <x v="0"/>
    <n v="0.2"/>
    <n v="17000"/>
    <x v="38"/>
    <x v="0"/>
    <n v="20"/>
    <n v="15038.4"/>
  </r>
  <r>
    <x v="260"/>
    <s v="Pooja Gupta"/>
    <s v="C202"/>
    <x v="2"/>
    <s v="B1"/>
    <x v="1"/>
    <x v="0"/>
    <n v="11969"/>
    <x v="4"/>
    <m/>
    <n v="13000"/>
    <x v="23"/>
    <x v="1"/>
    <n v="0"/>
    <n v="11969"/>
  </r>
  <r>
    <x v="261"/>
    <s v="Pooja Gupta"/>
    <s v="C203"/>
    <x v="1"/>
    <s v="B2"/>
    <x v="2"/>
    <x v="0"/>
    <n v="17506"/>
    <x v="1"/>
    <n v="0.1"/>
    <n v="17000"/>
    <x v="11"/>
    <x v="0"/>
    <n v="10"/>
    <n v="15755.4"/>
  </r>
  <r>
    <x v="262"/>
    <s v="Aditya Verma"/>
    <s v="C204"/>
    <x v="3"/>
    <s v="B3"/>
    <x v="0"/>
    <x v="2"/>
    <n v="10372"/>
    <x v="2"/>
    <m/>
    <n v="9000"/>
    <x v="11"/>
    <x v="0"/>
    <n v="15"/>
    <n v="8816.2000000000007"/>
  </r>
  <r>
    <x v="263"/>
    <s v="Karan Jain"/>
    <s v="C201"/>
    <x v="0"/>
    <s v="B2"/>
    <x v="0"/>
    <x v="1"/>
    <n v="14119"/>
    <x v="3"/>
    <n v="0.3"/>
    <n v="14000"/>
    <x v="59"/>
    <x v="0"/>
    <n v="30"/>
    <n v="9883.2999999999993"/>
  </r>
  <r>
    <x v="264"/>
    <s v="Kunal Nair"/>
    <s v="C202"/>
    <x v="2"/>
    <s v="B1"/>
    <x v="0"/>
    <x v="1"/>
    <n v="14730"/>
    <x v="1"/>
    <n v="0.1"/>
    <n v="13000"/>
    <x v="10"/>
    <x v="0"/>
    <n v="10"/>
    <n v="13257"/>
  </r>
  <r>
    <x v="265"/>
    <s v="Riya Gupta"/>
    <s v="C202"/>
    <x v="2"/>
    <s v="B2"/>
    <x v="1"/>
    <x v="0"/>
    <n v="12321"/>
    <x v="0"/>
    <n v="0.2"/>
    <n v="13000"/>
    <x v="37"/>
    <x v="0"/>
    <n v="20"/>
    <n v="9856.7999999999993"/>
  </r>
  <r>
    <x v="266"/>
    <s v="Manish Rao"/>
    <s v="C201"/>
    <x v="0"/>
    <s v="B2"/>
    <x v="1"/>
    <x v="1"/>
    <n v="15917"/>
    <x v="2"/>
    <m/>
    <n v="14000"/>
    <x v="3"/>
    <x v="0"/>
    <n v="15"/>
    <n v="13529.45"/>
  </r>
  <r>
    <x v="267"/>
    <s v="Karan Singh"/>
    <s v="C203"/>
    <x v="1"/>
    <s v="B3"/>
    <x v="2"/>
    <x v="0"/>
    <n v="17058"/>
    <x v="0"/>
    <n v="0.2"/>
    <n v="17000"/>
    <x v="29"/>
    <x v="0"/>
    <n v="20"/>
    <n v="13646.4"/>
  </r>
  <r>
    <x v="268"/>
    <s v="Kavita Mehta"/>
    <s v="C202"/>
    <x v="2"/>
    <s v="B3"/>
    <x v="2"/>
    <x v="1"/>
    <n v="14694"/>
    <x v="2"/>
    <m/>
    <n v="13000"/>
    <x v="40"/>
    <x v="0"/>
    <n v="15"/>
    <n v="12489.9"/>
  </r>
  <r>
    <x v="269"/>
    <s v="Meera Joshi"/>
    <s v="C201"/>
    <x v="0"/>
    <s v="B1"/>
    <x v="1"/>
    <x v="0"/>
    <n v="15885"/>
    <x v="2"/>
    <m/>
    <n v="14000"/>
    <x v="41"/>
    <x v="0"/>
    <n v="15"/>
    <n v="13502.25"/>
  </r>
  <r>
    <x v="270"/>
    <s v="Rohit Patil"/>
    <s v="C204"/>
    <x v="3"/>
    <s v="B3"/>
    <x v="2"/>
    <x v="0"/>
    <n v="9039"/>
    <x v="2"/>
    <m/>
    <n v="9000"/>
    <x v="28"/>
    <x v="0"/>
    <n v="15"/>
    <n v="7683.15"/>
  </r>
  <r>
    <x v="271"/>
    <s v="Rohit Rao"/>
    <s v="C204"/>
    <x v="3"/>
    <s v="B1"/>
    <x v="2"/>
    <x v="2"/>
    <n v="8218"/>
    <x v="4"/>
    <m/>
    <n v="9000"/>
    <x v="11"/>
    <x v="1"/>
    <n v="0"/>
    <n v="8218"/>
  </r>
  <r>
    <x v="272"/>
    <s v="Anjali Kulkarni"/>
    <s v="C202"/>
    <x v="2"/>
    <s v="B2"/>
    <x v="0"/>
    <x v="2"/>
    <n v="12902"/>
    <x v="0"/>
    <n v="0.2"/>
    <n v="13000"/>
    <x v="40"/>
    <x v="0"/>
    <n v="20"/>
    <n v="10321.6"/>
  </r>
  <r>
    <x v="273"/>
    <s v="Kavita Mehta"/>
    <s v="C203"/>
    <x v="1"/>
    <s v="B3"/>
    <x v="0"/>
    <x v="1"/>
    <n v="18525"/>
    <x v="3"/>
    <n v="0.3"/>
    <n v="17000"/>
    <x v="32"/>
    <x v="0"/>
    <n v="30"/>
    <n v="12967.5"/>
  </r>
  <r>
    <x v="274"/>
    <s v="Karan Patel"/>
    <s v="C203"/>
    <x v="1"/>
    <s v="B3"/>
    <x v="2"/>
    <x v="0"/>
    <n v="16307"/>
    <x v="0"/>
    <n v="0.2"/>
    <n v="17000"/>
    <x v="44"/>
    <x v="0"/>
    <n v="20"/>
    <n v="13045.6"/>
  </r>
  <r>
    <x v="275"/>
    <s v="Riya Rao"/>
    <s v="C204"/>
    <x v="3"/>
    <s v="B1"/>
    <x v="1"/>
    <x v="0"/>
    <n v="7207"/>
    <x v="3"/>
    <n v="0.3"/>
    <n v="9000"/>
    <x v="21"/>
    <x v="0"/>
    <n v="30"/>
    <n v="5044.8999999999996"/>
  </r>
  <r>
    <x v="276"/>
    <s v="Rahul Nair"/>
    <s v="C204"/>
    <x v="3"/>
    <s v="B1"/>
    <x v="1"/>
    <x v="2"/>
    <n v="10824"/>
    <x v="2"/>
    <m/>
    <n v="9000"/>
    <x v="60"/>
    <x v="0"/>
    <n v="15"/>
    <n v="9200.4"/>
  </r>
  <r>
    <x v="277"/>
    <s v="Pooja Patil"/>
    <s v="C202"/>
    <x v="2"/>
    <s v="B2"/>
    <x v="2"/>
    <x v="2"/>
    <n v="13042"/>
    <x v="3"/>
    <n v="0.3"/>
    <n v="13000"/>
    <x v="20"/>
    <x v="0"/>
    <n v="30"/>
    <n v="9129.4"/>
  </r>
  <r>
    <x v="278"/>
    <s v="Aarav Shah"/>
    <s v="C204"/>
    <x v="3"/>
    <s v="B3"/>
    <x v="0"/>
    <x v="0"/>
    <n v="7881"/>
    <x v="2"/>
    <m/>
    <n v="9000"/>
    <x v="37"/>
    <x v="0"/>
    <n v="15"/>
    <n v="6698.85"/>
  </r>
  <r>
    <x v="279"/>
    <s v="Aarav Kulkarni"/>
    <s v="C203"/>
    <x v="1"/>
    <s v="B2"/>
    <x v="2"/>
    <x v="1"/>
    <n v="17754"/>
    <x v="4"/>
    <m/>
    <n v="17000"/>
    <x v="28"/>
    <x v="1"/>
    <n v="0"/>
    <n v="17754"/>
  </r>
  <r>
    <x v="280"/>
    <s v="Manish Kulkarni"/>
    <s v="C201"/>
    <x v="0"/>
    <s v="B2"/>
    <x v="1"/>
    <x v="2"/>
    <n v="14979"/>
    <x v="3"/>
    <n v="0.3"/>
    <n v="14000"/>
    <x v="46"/>
    <x v="0"/>
    <n v="30"/>
    <n v="10485.299999999999"/>
  </r>
  <r>
    <x v="281"/>
    <s v="Rahul Jain"/>
    <s v="C201"/>
    <x v="0"/>
    <s v="B2"/>
    <x v="1"/>
    <x v="1"/>
    <n v="14301"/>
    <x v="0"/>
    <n v="0.2"/>
    <n v="14000"/>
    <x v="51"/>
    <x v="0"/>
    <n v="20"/>
    <n v="11440.8"/>
  </r>
  <r>
    <x v="282"/>
    <s v="Manish Rao"/>
    <s v="C201"/>
    <x v="0"/>
    <s v="B2"/>
    <x v="2"/>
    <x v="2"/>
    <n v="15130"/>
    <x v="2"/>
    <m/>
    <n v="14000"/>
    <x v="3"/>
    <x v="0"/>
    <n v="15"/>
    <n v="12860.5"/>
  </r>
  <r>
    <x v="283"/>
    <s v="Meera Joshi"/>
    <s v="C201"/>
    <x v="0"/>
    <s v="B1"/>
    <x v="1"/>
    <x v="2"/>
    <n v="13528"/>
    <x v="3"/>
    <n v="0.3"/>
    <n v="14000"/>
    <x v="35"/>
    <x v="0"/>
    <n v="30"/>
    <n v="9469.6"/>
  </r>
  <r>
    <x v="284"/>
    <s v="Pooja Patel"/>
    <s v="C202"/>
    <x v="2"/>
    <s v="B1"/>
    <x v="2"/>
    <x v="1"/>
    <n v="12644"/>
    <x v="2"/>
    <m/>
    <n v="13000"/>
    <x v="34"/>
    <x v="0"/>
    <n v="15"/>
    <n v="10747.4"/>
  </r>
  <r>
    <x v="285"/>
    <s v="Aarav Kulkarni"/>
    <s v="C202"/>
    <x v="2"/>
    <s v="B3"/>
    <x v="0"/>
    <x v="2"/>
    <n v="13127"/>
    <x v="4"/>
    <m/>
    <n v="13000"/>
    <x v="12"/>
    <x v="1"/>
    <n v="0"/>
    <n v="13127"/>
  </r>
  <r>
    <x v="286"/>
    <s v="Kavita Gupta"/>
    <s v="C202"/>
    <x v="2"/>
    <s v="B2"/>
    <x v="2"/>
    <x v="2"/>
    <n v="11665"/>
    <x v="4"/>
    <m/>
    <n v="13000"/>
    <x v="33"/>
    <x v="1"/>
    <n v="0"/>
    <n v="11665"/>
  </r>
  <r>
    <x v="287"/>
    <s v="Anjali Nair"/>
    <s v="C203"/>
    <x v="1"/>
    <s v="B3"/>
    <x v="0"/>
    <x v="1"/>
    <n v="18392"/>
    <x v="2"/>
    <m/>
    <n v="17000"/>
    <x v="36"/>
    <x v="0"/>
    <n v="15"/>
    <n v="15633.2"/>
  </r>
  <r>
    <x v="288"/>
    <s v="Neha Desai"/>
    <s v="C203"/>
    <x v="1"/>
    <s v="B2"/>
    <x v="1"/>
    <x v="2"/>
    <n v="16356"/>
    <x v="1"/>
    <n v="0.1"/>
    <n v="17000"/>
    <x v="2"/>
    <x v="0"/>
    <n v="10"/>
    <n v="14720.4"/>
  </r>
  <r>
    <x v="289"/>
    <s v="Kavita Rao"/>
    <s v="C201"/>
    <x v="0"/>
    <s v="B3"/>
    <x v="0"/>
    <x v="2"/>
    <n v="15961"/>
    <x v="2"/>
    <m/>
    <n v="14000"/>
    <x v="52"/>
    <x v="0"/>
    <n v="15"/>
    <n v="13566.85"/>
  </r>
  <r>
    <x v="290"/>
    <s v="Sneha Desai"/>
    <s v="C201"/>
    <x v="0"/>
    <s v="B3"/>
    <x v="0"/>
    <x v="0"/>
    <n v="14147"/>
    <x v="2"/>
    <m/>
    <n v="14000"/>
    <x v="57"/>
    <x v="0"/>
    <n v="15"/>
    <n v="12024.95"/>
  </r>
  <r>
    <x v="291"/>
    <s v="Meera Verma"/>
    <s v="C202"/>
    <x v="2"/>
    <s v="B3"/>
    <x v="1"/>
    <x v="0"/>
    <n v="13345"/>
    <x v="1"/>
    <n v="0.1"/>
    <n v="13000"/>
    <x v="19"/>
    <x v="0"/>
    <n v="10"/>
    <n v="12010.5"/>
  </r>
  <r>
    <x v="292"/>
    <s v="Aarav Iyer"/>
    <s v="C203"/>
    <x v="1"/>
    <s v="B2"/>
    <x v="1"/>
    <x v="2"/>
    <n v="17828"/>
    <x v="0"/>
    <n v="0.2"/>
    <n v="17000"/>
    <x v="2"/>
    <x v="0"/>
    <n v="20"/>
    <n v="14262.4"/>
  </r>
  <r>
    <x v="293"/>
    <s v="Manish Patel"/>
    <s v="C204"/>
    <x v="3"/>
    <s v="B3"/>
    <x v="2"/>
    <x v="0"/>
    <n v="9890"/>
    <x v="0"/>
    <n v="0.2"/>
    <n v="9000"/>
    <x v="42"/>
    <x v="0"/>
    <n v="20"/>
    <n v="7912"/>
  </r>
  <r>
    <x v="294"/>
    <s v="Sneha Gupta"/>
    <s v="C203"/>
    <x v="1"/>
    <s v="B3"/>
    <x v="0"/>
    <x v="1"/>
    <n v="16543"/>
    <x v="3"/>
    <n v="0.3"/>
    <n v="17000"/>
    <x v="53"/>
    <x v="0"/>
    <n v="30"/>
    <n v="11580.1"/>
  </r>
  <r>
    <x v="295"/>
    <s v="Neha Gupta"/>
    <s v="C203"/>
    <x v="1"/>
    <s v="B3"/>
    <x v="0"/>
    <x v="1"/>
    <n v="18162"/>
    <x v="3"/>
    <n v="0.3"/>
    <n v="17000"/>
    <x v="33"/>
    <x v="0"/>
    <n v="30"/>
    <n v="12713.4"/>
  </r>
  <r>
    <x v="296"/>
    <s v="Neha Patil"/>
    <s v="C202"/>
    <x v="2"/>
    <s v="B2"/>
    <x v="2"/>
    <x v="2"/>
    <n v="11921"/>
    <x v="3"/>
    <n v="0.3"/>
    <n v="13000"/>
    <x v="57"/>
    <x v="0"/>
    <n v="30"/>
    <n v="8344.7000000000007"/>
  </r>
  <r>
    <x v="297"/>
    <s v="Aditya Desai"/>
    <s v="C202"/>
    <x v="2"/>
    <s v="B3"/>
    <x v="2"/>
    <x v="2"/>
    <n v="12298"/>
    <x v="4"/>
    <m/>
    <n v="13000"/>
    <x v="37"/>
    <x v="1"/>
    <n v="0"/>
    <n v="12298"/>
  </r>
  <r>
    <x v="298"/>
    <s v="Manish Patel"/>
    <s v="C203"/>
    <x v="1"/>
    <s v="B2"/>
    <x v="1"/>
    <x v="1"/>
    <n v="17771"/>
    <x v="2"/>
    <m/>
    <n v="17000"/>
    <x v="7"/>
    <x v="0"/>
    <n v="15"/>
    <n v="15105.35"/>
  </r>
  <r>
    <x v="299"/>
    <s v="Kunal Verma"/>
    <s v="C203"/>
    <x v="1"/>
    <s v="B1"/>
    <x v="0"/>
    <x v="0"/>
    <n v="16178"/>
    <x v="1"/>
    <n v="0.1"/>
    <n v="17000"/>
    <x v="37"/>
    <x v="0"/>
    <n v="10"/>
    <n v="14560.2"/>
  </r>
  <r>
    <x v="300"/>
    <s v="Kunal Iyer"/>
    <s v="C203"/>
    <x v="1"/>
    <s v="B3"/>
    <x v="0"/>
    <x v="0"/>
    <n v="15827"/>
    <x v="2"/>
    <m/>
    <n v="17000"/>
    <x v="3"/>
    <x v="0"/>
    <n v="15"/>
    <n v="13452.95"/>
  </r>
  <r>
    <x v="301"/>
    <s v="Kunal Gupta"/>
    <s v="C203"/>
    <x v="1"/>
    <s v="B1"/>
    <x v="1"/>
    <x v="1"/>
    <n v="18034"/>
    <x v="2"/>
    <m/>
    <n v="17000"/>
    <x v="27"/>
    <x v="0"/>
    <n v="15"/>
    <n v="15328.9"/>
  </r>
  <r>
    <x v="302"/>
    <s v="Sneha Kulkarni"/>
    <s v="C202"/>
    <x v="2"/>
    <s v="B3"/>
    <x v="1"/>
    <x v="0"/>
    <n v="11410"/>
    <x v="4"/>
    <m/>
    <n v="13000"/>
    <x v="40"/>
    <x v="1"/>
    <n v="0"/>
    <n v="11410"/>
  </r>
  <r>
    <x v="303"/>
    <s v="Anjali Iyer"/>
    <s v="C201"/>
    <x v="0"/>
    <s v="B3"/>
    <x v="1"/>
    <x v="0"/>
    <n v="15950"/>
    <x v="2"/>
    <m/>
    <n v="14000"/>
    <x v="5"/>
    <x v="0"/>
    <n v="15"/>
    <n v="13557.5"/>
  </r>
  <r>
    <x v="304"/>
    <s v="Karan Verma"/>
    <s v="C204"/>
    <x v="3"/>
    <s v="B2"/>
    <x v="2"/>
    <x v="0"/>
    <n v="10096"/>
    <x v="3"/>
    <n v="0.3"/>
    <n v="9000"/>
    <x v="31"/>
    <x v="0"/>
    <n v="30"/>
    <n v="7067.2"/>
  </r>
  <r>
    <x v="305"/>
    <s v="Aditya Singh"/>
    <s v="C201"/>
    <x v="0"/>
    <s v="B1"/>
    <x v="2"/>
    <x v="1"/>
    <n v="12951"/>
    <x v="2"/>
    <m/>
    <n v="14000"/>
    <x v="0"/>
    <x v="0"/>
    <n v="15"/>
    <n v="11008.35"/>
  </r>
  <r>
    <x v="306"/>
    <s v="Anjali Nair"/>
    <s v="C201"/>
    <x v="0"/>
    <s v="B1"/>
    <x v="0"/>
    <x v="0"/>
    <n v="15825"/>
    <x v="1"/>
    <n v="0.1"/>
    <n v="14000"/>
    <x v="10"/>
    <x v="0"/>
    <n v="10"/>
    <n v="14242.5"/>
  </r>
  <r>
    <x v="307"/>
    <s v="Rahul Patel"/>
    <s v="C204"/>
    <x v="3"/>
    <s v="B1"/>
    <x v="2"/>
    <x v="2"/>
    <n v="10591"/>
    <x v="1"/>
    <n v="0.1"/>
    <n v="9000"/>
    <x v="54"/>
    <x v="0"/>
    <n v="10"/>
    <n v="9531.9"/>
  </r>
  <r>
    <x v="308"/>
    <s v="Aditya Joshi"/>
    <s v="C201"/>
    <x v="0"/>
    <s v="B2"/>
    <x v="0"/>
    <x v="2"/>
    <n v="14626"/>
    <x v="2"/>
    <m/>
    <n v="14000"/>
    <x v="42"/>
    <x v="0"/>
    <n v="15"/>
    <n v="12432.1"/>
  </r>
  <r>
    <x v="309"/>
    <s v="Neha Mehta"/>
    <s v="C204"/>
    <x v="3"/>
    <s v="B2"/>
    <x v="1"/>
    <x v="0"/>
    <n v="8354"/>
    <x v="0"/>
    <n v="0.2"/>
    <n v="9000"/>
    <x v="60"/>
    <x v="0"/>
    <n v="20"/>
    <n v="6683.2"/>
  </r>
  <r>
    <x v="310"/>
    <s v="Neha Singh"/>
    <s v="C203"/>
    <x v="1"/>
    <s v="B3"/>
    <x v="1"/>
    <x v="0"/>
    <n v="18017"/>
    <x v="3"/>
    <n v="0.3"/>
    <n v="17000"/>
    <x v="38"/>
    <x v="0"/>
    <n v="30"/>
    <n v="12611.9"/>
  </r>
  <r>
    <x v="311"/>
    <s v="Aditya Joshi"/>
    <s v="C202"/>
    <x v="2"/>
    <s v="B1"/>
    <x v="2"/>
    <x v="1"/>
    <n v="14674"/>
    <x v="4"/>
    <m/>
    <n v="13000"/>
    <x v="39"/>
    <x v="1"/>
    <n v="0"/>
    <n v="14674"/>
  </r>
  <r>
    <x v="312"/>
    <s v="Rahul Gupta"/>
    <s v="C203"/>
    <x v="1"/>
    <s v="B1"/>
    <x v="0"/>
    <x v="1"/>
    <n v="15390"/>
    <x v="0"/>
    <n v="0.2"/>
    <n v="17000"/>
    <x v="59"/>
    <x v="0"/>
    <n v="20"/>
    <n v="12312"/>
  </r>
  <r>
    <x v="313"/>
    <s v="Neha Jain"/>
    <s v="C202"/>
    <x v="2"/>
    <s v="B1"/>
    <x v="0"/>
    <x v="2"/>
    <n v="11964"/>
    <x v="4"/>
    <m/>
    <n v="13000"/>
    <x v="46"/>
    <x v="1"/>
    <n v="0"/>
    <n v="11964"/>
  </r>
  <r>
    <x v="314"/>
    <s v="Aditya Jain"/>
    <s v="C203"/>
    <x v="1"/>
    <s v="B3"/>
    <x v="2"/>
    <x v="1"/>
    <n v="15046"/>
    <x v="3"/>
    <n v="0.3"/>
    <n v="17000"/>
    <x v="49"/>
    <x v="0"/>
    <n v="30"/>
    <n v="10532.2"/>
  </r>
  <r>
    <x v="315"/>
    <s v="Pooja Desai"/>
    <s v="C202"/>
    <x v="2"/>
    <s v="B1"/>
    <x v="2"/>
    <x v="0"/>
    <n v="12906"/>
    <x v="3"/>
    <n v="0.3"/>
    <n v="13000"/>
    <x v="9"/>
    <x v="0"/>
    <n v="30"/>
    <n v="9034.2000000000007"/>
  </r>
  <r>
    <x v="316"/>
    <s v="Rahul Singh"/>
    <s v="C203"/>
    <x v="1"/>
    <s v="B3"/>
    <x v="1"/>
    <x v="1"/>
    <n v="18752"/>
    <x v="3"/>
    <n v="0.3"/>
    <n v="17000"/>
    <x v="51"/>
    <x v="0"/>
    <n v="30"/>
    <n v="13126.4"/>
  </r>
  <r>
    <x v="317"/>
    <s v="Kavita Patil"/>
    <s v="C202"/>
    <x v="2"/>
    <s v="B1"/>
    <x v="0"/>
    <x v="0"/>
    <n v="12863"/>
    <x v="2"/>
    <m/>
    <n v="13000"/>
    <x v="51"/>
    <x v="0"/>
    <n v="15"/>
    <n v="10933.55"/>
  </r>
  <r>
    <x v="318"/>
    <s v="Rahul Desai"/>
    <s v="C204"/>
    <x v="3"/>
    <s v="B3"/>
    <x v="2"/>
    <x v="0"/>
    <n v="10120"/>
    <x v="0"/>
    <n v="0.2"/>
    <n v="9000"/>
    <x v="26"/>
    <x v="0"/>
    <n v="20"/>
    <n v="8096"/>
  </r>
  <r>
    <x v="319"/>
    <s v="Dev Joshi"/>
    <s v="C201"/>
    <x v="0"/>
    <s v="B3"/>
    <x v="0"/>
    <x v="1"/>
    <n v="14882"/>
    <x v="3"/>
    <n v="0.3"/>
    <n v="14000"/>
    <x v="11"/>
    <x v="0"/>
    <n v="30"/>
    <n v="10417.4"/>
  </r>
  <r>
    <x v="320"/>
    <s v="Kunal Joshi"/>
    <s v="C201"/>
    <x v="0"/>
    <s v="B1"/>
    <x v="2"/>
    <x v="1"/>
    <n v="12828"/>
    <x v="2"/>
    <m/>
    <n v="14000"/>
    <x v="36"/>
    <x v="0"/>
    <n v="15"/>
    <n v="10903.8"/>
  </r>
  <r>
    <x v="321"/>
    <s v="Karan Mehta"/>
    <s v="C203"/>
    <x v="1"/>
    <s v="B3"/>
    <x v="0"/>
    <x v="0"/>
    <n v="17786"/>
    <x v="0"/>
    <n v="0.2"/>
    <n v="17000"/>
    <x v="6"/>
    <x v="0"/>
    <n v="20"/>
    <n v="14228.8"/>
  </r>
  <r>
    <x v="322"/>
    <s v="Kavita Iyer"/>
    <s v="C201"/>
    <x v="0"/>
    <s v="B3"/>
    <x v="0"/>
    <x v="0"/>
    <n v="13857"/>
    <x v="0"/>
    <n v="0.2"/>
    <n v="14000"/>
    <x v="18"/>
    <x v="0"/>
    <n v="20"/>
    <n v="11085.6"/>
  </r>
  <r>
    <x v="323"/>
    <s v="Rahul Iyer"/>
    <s v="C201"/>
    <x v="0"/>
    <s v="B3"/>
    <x v="0"/>
    <x v="1"/>
    <n v="15305"/>
    <x v="3"/>
    <n v="0.3"/>
    <n v="14000"/>
    <x v="60"/>
    <x v="0"/>
    <n v="30"/>
    <n v="10713.5"/>
  </r>
  <r>
    <x v="324"/>
    <s v="Aarav Verma"/>
    <s v="C203"/>
    <x v="1"/>
    <s v="B1"/>
    <x v="2"/>
    <x v="0"/>
    <n v="17368"/>
    <x v="1"/>
    <n v="0.1"/>
    <n v="17000"/>
    <x v="34"/>
    <x v="0"/>
    <n v="10"/>
    <n v="15631.2"/>
  </r>
  <r>
    <x v="325"/>
    <s v="Rahul Jain"/>
    <s v="C201"/>
    <x v="0"/>
    <s v="B3"/>
    <x v="1"/>
    <x v="0"/>
    <n v="15824"/>
    <x v="4"/>
    <m/>
    <n v="14000"/>
    <x v="34"/>
    <x v="1"/>
    <n v="0"/>
    <n v="15824"/>
  </r>
  <r>
    <x v="326"/>
    <s v="Aditya Verma"/>
    <s v="C202"/>
    <x v="2"/>
    <s v="B1"/>
    <x v="2"/>
    <x v="1"/>
    <n v="13645"/>
    <x v="4"/>
    <m/>
    <n v="13000"/>
    <x v="51"/>
    <x v="1"/>
    <n v="0"/>
    <n v="13645"/>
  </r>
  <r>
    <x v="327"/>
    <s v="Kunal Verma"/>
    <s v="C204"/>
    <x v="3"/>
    <s v="B2"/>
    <x v="0"/>
    <x v="0"/>
    <n v="9796"/>
    <x v="2"/>
    <m/>
    <n v="9000"/>
    <x v="59"/>
    <x v="0"/>
    <n v="15"/>
    <n v="8326.6"/>
  </r>
  <r>
    <x v="328"/>
    <s v="Rohit Nair"/>
    <s v="C203"/>
    <x v="1"/>
    <s v="B1"/>
    <x v="1"/>
    <x v="1"/>
    <n v="16609"/>
    <x v="2"/>
    <m/>
    <n v="17000"/>
    <x v="59"/>
    <x v="0"/>
    <n v="15"/>
    <n v="14117.65"/>
  </r>
  <r>
    <x v="329"/>
    <s v="Anjali Patil"/>
    <s v="C201"/>
    <x v="0"/>
    <s v="B1"/>
    <x v="0"/>
    <x v="2"/>
    <n v="14758"/>
    <x v="2"/>
    <m/>
    <n v="14000"/>
    <x v="13"/>
    <x v="0"/>
    <n v="15"/>
    <n v="12544.3"/>
  </r>
  <r>
    <x v="330"/>
    <s v="Manish Verma"/>
    <s v="C202"/>
    <x v="2"/>
    <s v="B1"/>
    <x v="0"/>
    <x v="2"/>
    <n v="11635"/>
    <x v="3"/>
    <n v="0.3"/>
    <n v="13000"/>
    <x v="19"/>
    <x v="0"/>
    <n v="30"/>
    <n v="8144.5"/>
  </r>
  <r>
    <x v="331"/>
    <s v="Kunal Desai"/>
    <s v="C201"/>
    <x v="0"/>
    <s v="B1"/>
    <x v="2"/>
    <x v="2"/>
    <n v="14518"/>
    <x v="1"/>
    <n v="0.1"/>
    <n v="14000"/>
    <x v="27"/>
    <x v="0"/>
    <n v="10"/>
    <n v="13066.2"/>
  </r>
  <r>
    <x v="332"/>
    <s v="Sneha Shah"/>
    <s v="C201"/>
    <x v="0"/>
    <s v="B3"/>
    <x v="1"/>
    <x v="2"/>
    <n v="14448"/>
    <x v="1"/>
    <n v="0.1"/>
    <n v="14000"/>
    <x v="27"/>
    <x v="0"/>
    <n v="10"/>
    <n v="13003.2"/>
  </r>
  <r>
    <x v="333"/>
    <s v="Anjali Kulkarni"/>
    <s v="C204"/>
    <x v="3"/>
    <s v="B2"/>
    <x v="1"/>
    <x v="1"/>
    <n v="7889"/>
    <x v="1"/>
    <n v="0.1"/>
    <n v="9000"/>
    <x v="59"/>
    <x v="0"/>
    <n v="10"/>
    <n v="7100.1"/>
  </r>
  <r>
    <x v="334"/>
    <s v="Manish Rao"/>
    <s v="C202"/>
    <x v="2"/>
    <s v="B3"/>
    <x v="2"/>
    <x v="2"/>
    <n v="13365"/>
    <x v="2"/>
    <m/>
    <n v="13000"/>
    <x v="57"/>
    <x v="0"/>
    <n v="15"/>
    <n v="11360.25"/>
  </r>
  <r>
    <x v="335"/>
    <s v="Rohit Nair"/>
    <s v="C203"/>
    <x v="1"/>
    <s v="B1"/>
    <x v="0"/>
    <x v="0"/>
    <n v="17704"/>
    <x v="2"/>
    <m/>
    <n v="17000"/>
    <x v="24"/>
    <x v="0"/>
    <n v="15"/>
    <n v="15048.4"/>
  </r>
  <r>
    <x v="336"/>
    <s v="Rahul Rao"/>
    <s v="C203"/>
    <x v="1"/>
    <s v="B1"/>
    <x v="2"/>
    <x v="1"/>
    <n v="18603"/>
    <x v="0"/>
    <n v="0.2"/>
    <n v="17000"/>
    <x v="56"/>
    <x v="0"/>
    <n v="20"/>
    <n v="14882.4"/>
  </r>
  <r>
    <x v="337"/>
    <s v="Rohit Verma"/>
    <s v="C204"/>
    <x v="3"/>
    <s v="B1"/>
    <x v="0"/>
    <x v="1"/>
    <n v="9749"/>
    <x v="4"/>
    <m/>
    <n v="9000"/>
    <x v="38"/>
    <x v="1"/>
    <n v="0"/>
    <n v="9749"/>
  </r>
  <r>
    <x v="338"/>
    <s v="Manish Jain"/>
    <s v="C204"/>
    <x v="3"/>
    <s v="B2"/>
    <x v="1"/>
    <x v="2"/>
    <n v="8541"/>
    <x v="0"/>
    <n v="0.2"/>
    <n v="9000"/>
    <x v="46"/>
    <x v="0"/>
    <n v="20"/>
    <n v="6832.8"/>
  </r>
  <r>
    <x v="339"/>
    <s v="Manish Iyer"/>
    <s v="C202"/>
    <x v="2"/>
    <s v="B1"/>
    <x v="0"/>
    <x v="1"/>
    <n v="11591"/>
    <x v="4"/>
    <m/>
    <n v="13000"/>
    <x v="58"/>
    <x v="1"/>
    <n v="0"/>
    <n v="11591"/>
  </r>
  <r>
    <x v="340"/>
    <s v="Aarav Gupta"/>
    <s v="C204"/>
    <x v="3"/>
    <s v="B2"/>
    <x v="2"/>
    <x v="1"/>
    <n v="7549"/>
    <x v="4"/>
    <m/>
    <n v="9000"/>
    <x v="27"/>
    <x v="1"/>
    <n v="0"/>
    <n v="7549"/>
  </r>
  <r>
    <x v="341"/>
    <s v="Aditya Patil"/>
    <s v="C203"/>
    <x v="1"/>
    <s v="B3"/>
    <x v="1"/>
    <x v="2"/>
    <n v="18469"/>
    <x v="3"/>
    <n v="0.3"/>
    <n v="17000"/>
    <x v="14"/>
    <x v="0"/>
    <n v="30"/>
    <n v="12928.3"/>
  </r>
  <r>
    <x v="342"/>
    <s v="Manish Desai"/>
    <s v="C202"/>
    <x v="2"/>
    <s v="B1"/>
    <x v="0"/>
    <x v="2"/>
    <n v="13759"/>
    <x v="2"/>
    <m/>
    <n v="13000"/>
    <x v="15"/>
    <x v="0"/>
    <n v="15"/>
    <n v="11695.15"/>
  </r>
  <r>
    <x v="343"/>
    <s v="Aarav Nair"/>
    <s v="C201"/>
    <x v="0"/>
    <s v="B1"/>
    <x v="2"/>
    <x v="1"/>
    <n v="14750"/>
    <x v="2"/>
    <m/>
    <n v="14000"/>
    <x v="1"/>
    <x v="0"/>
    <n v="15"/>
    <n v="12537.5"/>
  </r>
  <r>
    <x v="344"/>
    <s v="Neha Patil"/>
    <s v="C203"/>
    <x v="1"/>
    <s v="B2"/>
    <x v="1"/>
    <x v="0"/>
    <n v="18838"/>
    <x v="0"/>
    <n v="0.2"/>
    <n v="17000"/>
    <x v="0"/>
    <x v="0"/>
    <n v="20"/>
    <n v="15070.4"/>
  </r>
  <r>
    <x v="345"/>
    <s v="Riya Desai"/>
    <s v="C204"/>
    <x v="3"/>
    <s v="B1"/>
    <x v="2"/>
    <x v="1"/>
    <n v="9882"/>
    <x v="0"/>
    <n v="0.2"/>
    <n v="9000"/>
    <x v="32"/>
    <x v="0"/>
    <n v="20"/>
    <n v="7905.6"/>
  </r>
  <r>
    <x v="346"/>
    <s v="Kunal Patil"/>
    <s v="C203"/>
    <x v="1"/>
    <s v="B2"/>
    <x v="0"/>
    <x v="2"/>
    <n v="17185"/>
    <x v="3"/>
    <n v="0.3"/>
    <n v="17000"/>
    <x v="47"/>
    <x v="0"/>
    <n v="30"/>
    <n v="12029.5"/>
  </r>
  <r>
    <x v="347"/>
    <s v="Aditya Jain"/>
    <s v="C204"/>
    <x v="3"/>
    <s v="B2"/>
    <x v="1"/>
    <x v="1"/>
    <n v="8923"/>
    <x v="3"/>
    <n v="0.3"/>
    <n v="9000"/>
    <x v="58"/>
    <x v="0"/>
    <n v="30"/>
    <n v="6246.1"/>
  </r>
  <r>
    <x v="348"/>
    <s v="Sneha Jain"/>
    <s v="C203"/>
    <x v="1"/>
    <s v="B2"/>
    <x v="1"/>
    <x v="1"/>
    <n v="18539"/>
    <x v="0"/>
    <n v="0.2"/>
    <n v="17000"/>
    <x v="0"/>
    <x v="0"/>
    <n v="20"/>
    <n v="14831.2"/>
  </r>
  <r>
    <x v="349"/>
    <s v="Karan Kulkarni"/>
    <s v="C203"/>
    <x v="1"/>
    <s v="B3"/>
    <x v="2"/>
    <x v="1"/>
    <n v="17949"/>
    <x v="4"/>
    <m/>
    <n v="17000"/>
    <x v="28"/>
    <x v="1"/>
    <n v="0"/>
    <n v="17949"/>
  </r>
  <r>
    <x v="350"/>
    <s v="Karan Patil"/>
    <s v="C203"/>
    <x v="1"/>
    <s v="B1"/>
    <x v="0"/>
    <x v="1"/>
    <n v="18413"/>
    <x v="0"/>
    <n v="0.2"/>
    <n v="17000"/>
    <x v="20"/>
    <x v="0"/>
    <n v="20"/>
    <n v="14730.4"/>
  </r>
  <r>
    <x v="351"/>
    <s v="Manish Singh"/>
    <s v="C203"/>
    <x v="1"/>
    <s v="B2"/>
    <x v="0"/>
    <x v="1"/>
    <n v="17628"/>
    <x v="4"/>
    <m/>
    <n v="17000"/>
    <x v="44"/>
    <x v="1"/>
    <n v="0"/>
    <n v="17628"/>
  </r>
  <r>
    <x v="352"/>
    <s v="Karan Desai"/>
    <s v="C203"/>
    <x v="1"/>
    <s v="B1"/>
    <x v="1"/>
    <x v="1"/>
    <n v="17238"/>
    <x v="4"/>
    <m/>
    <n v="17000"/>
    <x v="53"/>
    <x v="1"/>
    <n v="0"/>
    <n v="17238"/>
  </r>
  <r>
    <x v="353"/>
    <s v="Kunal Gupta"/>
    <s v="C201"/>
    <x v="0"/>
    <s v="B3"/>
    <x v="1"/>
    <x v="0"/>
    <n v="15871"/>
    <x v="1"/>
    <n v="0.1"/>
    <n v="14000"/>
    <x v="46"/>
    <x v="0"/>
    <n v="10"/>
    <n v="14283.9"/>
  </r>
  <r>
    <x v="354"/>
    <s v="Aarav Verma"/>
    <s v="C202"/>
    <x v="2"/>
    <s v="B3"/>
    <x v="1"/>
    <x v="0"/>
    <n v="13896"/>
    <x v="0"/>
    <n v="0.2"/>
    <n v="13000"/>
    <x v="54"/>
    <x v="0"/>
    <n v="20"/>
    <n v="11116.8"/>
  </r>
  <r>
    <x v="355"/>
    <s v="Sneha Gupta"/>
    <s v="C204"/>
    <x v="3"/>
    <s v="B2"/>
    <x v="1"/>
    <x v="1"/>
    <n v="9612"/>
    <x v="2"/>
    <m/>
    <n v="9000"/>
    <x v="58"/>
    <x v="0"/>
    <n v="15"/>
    <n v="8170.2"/>
  </r>
  <r>
    <x v="356"/>
    <s v="Neha Singh"/>
    <s v="C204"/>
    <x v="3"/>
    <s v="B1"/>
    <x v="1"/>
    <x v="1"/>
    <n v="9259"/>
    <x v="4"/>
    <m/>
    <n v="9000"/>
    <x v="54"/>
    <x v="1"/>
    <n v="0"/>
    <n v="9259"/>
  </r>
  <r>
    <x v="357"/>
    <s v="Aarav Gupta"/>
    <s v="C203"/>
    <x v="1"/>
    <s v="B3"/>
    <x v="0"/>
    <x v="0"/>
    <n v="17057"/>
    <x v="4"/>
    <m/>
    <n v="17000"/>
    <x v="50"/>
    <x v="1"/>
    <n v="0"/>
    <n v="17057"/>
  </r>
  <r>
    <x v="358"/>
    <s v="Kunal Mehta"/>
    <s v="C201"/>
    <x v="0"/>
    <s v="B1"/>
    <x v="2"/>
    <x v="0"/>
    <n v="12987"/>
    <x v="0"/>
    <n v="0.2"/>
    <n v="14000"/>
    <x v="33"/>
    <x v="0"/>
    <n v="20"/>
    <n v="10389.6"/>
  </r>
  <r>
    <x v="359"/>
    <s v="Manish Rao"/>
    <s v="C203"/>
    <x v="1"/>
    <s v="B2"/>
    <x v="0"/>
    <x v="0"/>
    <n v="16528"/>
    <x v="4"/>
    <m/>
    <n v="17000"/>
    <x v="44"/>
    <x v="1"/>
    <n v="0"/>
    <n v="16528"/>
  </r>
  <r>
    <x v="360"/>
    <s v="Kavita Patil"/>
    <s v="C202"/>
    <x v="2"/>
    <s v="B2"/>
    <x v="2"/>
    <x v="0"/>
    <n v="13677"/>
    <x v="1"/>
    <n v="0.1"/>
    <n v="13000"/>
    <x v="14"/>
    <x v="0"/>
    <n v="10"/>
    <n v="12309.3"/>
  </r>
  <r>
    <x v="361"/>
    <s v="Rahul Verma"/>
    <s v="C204"/>
    <x v="3"/>
    <s v="B3"/>
    <x v="0"/>
    <x v="0"/>
    <n v="9608"/>
    <x v="1"/>
    <n v="0.1"/>
    <n v="9000"/>
    <x v="8"/>
    <x v="0"/>
    <n v="10"/>
    <n v="8647.2000000000007"/>
  </r>
  <r>
    <x v="362"/>
    <s v="Karan Shah"/>
    <s v="C204"/>
    <x v="3"/>
    <s v="B2"/>
    <x v="2"/>
    <x v="2"/>
    <n v="9317"/>
    <x v="1"/>
    <n v="0.1"/>
    <n v="9000"/>
    <x v="48"/>
    <x v="0"/>
    <n v="10"/>
    <n v="8385.2999999999993"/>
  </r>
  <r>
    <x v="363"/>
    <s v="Manish Kulkarni"/>
    <s v="C202"/>
    <x v="2"/>
    <s v="B1"/>
    <x v="2"/>
    <x v="1"/>
    <n v="12947"/>
    <x v="3"/>
    <n v="0.3"/>
    <n v="13000"/>
    <x v="34"/>
    <x v="0"/>
    <n v="30"/>
    <n v="9062.9"/>
  </r>
  <r>
    <x v="364"/>
    <s v="Kunal Shah"/>
    <s v="C203"/>
    <x v="1"/>
    <s v="B3"/>
    <x v="2"/>
    <x v="1"/>
    <n v="15134"/>
    <x v="0"/>
    <n v="0.2"/>
    <n v="17000"/>
    <x v="5"/>
    <x v="0"/>
    <n v="20"/>
    <n v="12107.2"/>
  </r>
  <r>
    <x v="365"/>
    <s v="Meera Jain"/>
    <s v="C201"/>
    <x v="0"/>
    <s v="B1"/>
    <x v="2"/>
    <x v="0"/>
    <n v="15081"/>
    <x v="4"/>
    <m/>
    <n v="14000"/>
    <x v="5"/>
    <x v="1"/>
    <n v="0"/>
    <n v="15081"/>
  </r>
  <r>
    <x v="366"/>
    <s v="Riya Rao"/>
    <s v="C202"/>
    <x v="2"/>
    <s v="B3"/>
    <x v="1"/>
    <x v="1"/>
    <n v="14418"/>
    <x v="4"/>
    <m/>
    <n v="13000"/>
    <x v="26"/>
    <x v="1"/>
    <n v="0"/>
    <n v="14418"/>
  </r>
  <r>
    <x v="367"/>
    <s v="Kunal Gupta"/>
    <s v="C203"/>
    <x v="1"/>
    <s v="B2"/>
    <x v="2"/>
    <x v="0"/>
    <n v="18237"/>
    <x v="1"/>
    <n v="0.1"/>
    <n v="17000"/>
    <x v="18"/>
    <x v="0"/>
    <n v="10"/>
    <n v="16413.3"/>
  </r>
  <r>
    <x v="368"/>
    <s v="Anjali Jain"/>
    <s v="C201"/>
    <x v="0"/>
    <s v="B1"/>
    <x v="0"/>
    <x v="0"/>
    <n v="15435"/>
    <x v="1"/>
    <n v="0.1"/>
    <n v="14000"/>
    <x v="40"/>
    <x v="0"/>
    <n v="10"/>
    <n v="13891.5"/>
  </r>
  <r>
    <x v="369"/>
    <s v="Kavita Patel"/>
    <s v="C204"/>
    <x v="3"/>
    <s v="B2"/>
    <x v="1"/>
    <x v="1"/>
    <n v="8119"/>
    <x v="4"/>
    <m/>
    <n v="9000"/>
    <x v="20"/>
    <x v="1"/>
    <n v="0"/>
    <n v="8119"/>
  </r>
  <r>
    <x v="370"/>
    <s v="Sneha Jain"/>
    <s v="C204"/>
    <x v="3"/>
    <s v="B2"/>
    <x v="1"/>
    <x v="1"/>
    <n v="9399"/>
    <x v="4"/>
    <m/>
    <n v="9000"/>
    <x v="14"/>
    <x v="1"/>
    <n v="0"/>
    <n v="9399"/>
  </r>
  <r>
    <x v="371"/>
    <s v="Dev Joshi"/>
    <s v="C203"/>
    <x v="1"/>
    <s v="B1"/>
    <x v="2"/>
    <x v="0"/>
    <n v="15336"/>
    <x v="3"/>
    <n v="0.3"/>
    <n v="17000"/>
    <x v="12"/>
    <x v="0"/>
    <n v="30"/>
    <n v="10735.2"/>
  </r>
  <r>
    <x v="372"/>
    <s v="Rahul Desai"/>
    <s v="C202"/>
    <x v="2"/>
    <s v="B3"/>
    <x v="0"/>
    <x v="2"/>
    <n v="12477"/>
    <x v="1"/>
    <n v="0.1"/>
    <n v="13000"/>
    <x v="14"/>
    <x v="0"/>
    <n v="10"/>
    <n v="11229.3"/>
  </r>
  <r>
    <x v="373"/>
    <s v="Aarav Rao"/>
    <s v="C204"/>
    <x v="3"/>
    <s v="B2"/>
    <x v="0"/>
    <x v="0"/>
    <n v="7542"/>
    <x v="1"/>
    <n v="0.1"/>
    <n v="9000"/>
    <x v="53"/>
    <x v="0"/>
    <n v="10"/>
    <n v="6787.8"/>
  </r>
  <r>
    <x v="374"/>
    <s v="Rahul Iyer"/>
    <s v="C204"/>
    <x v="3"/>
    <s v="B1"/>
    <x v="1"/>
    <x v="0"/>
    <n v="8449"/>
    <x v="2"/>
    <m/>
    <n v="9000"/>
    <x v="14"/>
    <x v="0"/>
    <n v="15"/>
    <n v="7181.65"/>
  </r>
  <r>
    <x v="375"/>
    <s v="Kavita Joshi"/>
    <s v="C203"/>
    <x v="1"/>
    <s v="B2"/>
    <x v="1"/>
    <x v="2"/>
    <n v="16694"/>
    <x v="4"/>
    <m/>
    <n v="17000"/>
    <x v="57"/>
    <x v="1"/>
    <n v="0"/>
    <n v="16694"/>
  </r>
  <r>
    <x v="376"/>
    <s v="Riya Desai"/>
    <s v="C202"/>
    <x v="2"/>
    <s v="B3"/>
    <x v="2"/>
    <x v="0"/>
    <n v="13807"/>
    <x v="4"/>
    <m/>
    <n v="13000"/>
    <x v="9"/>
    <x v="1"/>
    <n v="0"/>
    <n v="13807"/>
  </r>
  <r>
    <x v="377"/>
    <s v="Karan Rao"/>
    <s v="C203"/>
    <x v="1"/>
    <s v="B2"/>
    <x v="0"/>
    <x v="0"/>
    <n v="15259"/>
    <x v="0"/>
    <n v="0.2"/>
    <n v="17000"/>
    <x v="13"/>
    <x v="0"/>
    <n v="20"/>
    <n v="12207.2"/>
  </r>
  <r>
    <x v="378"/>
    <s v="Aditya Verma"/>
    <s v="C203"/>
    <x v="1"/>
    <s v="B2"/>
    <x v="1"/>
    <x v="2"/>
    <n v="16030"/>
    <x v="0"/>
    <n v="0.2"/>
    <n v="17000"/>
    <x v="60"/>
    <x v="0"/>
    <n v="20"/>
    <n v="12824"/>
  </r>
  <r>
    <x v="379"/>
    <s v="Rohit Iyer"/>
    <s v="C202"/>
    <x v="2"/>
    <s v="B2"/>
    <x v="1"/>
    <x v="0"/>
    <n v="12247"/>
    <x v="1"/>
    <n v="0.1"/>
    <n v="13000"/>
    <x v="21"/>
    <x v="0"/>
    <n v="10"/>
    <n v="11022.3"/>
  </r>
  <r>
    <x v="380"/>
    <s v="Rahul Jain"/>
    <s v="C204"/>
    <x v="3"/>
    <s v="B2"/>
    <x v="0"/>
    <x v="2"/>
    <n v="8763"/>
    <x v="2"/>
    <m/>
    <n v="9000"/>
    <x v="59"/>
    <x v="0"/>
    <n v="15"/>
    <n v="7448.55"/>
  </r>
  <r>
    <x v="381"/>
    <s v="Aditya Jain"/>
    <s v="C202"/>
    <x v="2"/>
    <s v="B2"/>
    <x v="0"/>
    <x v="0"/>
    <n v="14950"/>
    <x v="4"/>
    <m/>
    <n v="13000"/>
    <x v="31"/>
    <x v="1"/>
    <n v="0"/>
    <n v="14950"/>
  </r>
  <r>
    <x v="382"/>
    <s v="Aditya Desai"/>
    <s v="C204"/>
    <x v="3"/>
    <s v="B3"/>
    <x v="1"/>
    <x v="2"/>
    <n v="8540"/>
    <x v="3"/>
    <n v="0.3"/>
    <n v="9000"/>
    <x v="39"/>
    <x v="0"/>
    <n v="30"/>
    <n v="5978"/>
  </r>
  <r>
    <x v="383"/>
    <s v="Dev Verma"/>
    <s v="C203"/>
    <x v="1"/>
    <s v="B1"/>
    <x v="2"/>
    <x v="0"/>
    <n v="17425"/>
    <x v="2"/>
    <m/>
    <n v="17000"/>
    <x v="53"/>
    <x v="0"/>
    <n v="15"/>
    <n v="14811.25"/>
  </r>
  <r>
    <x v="384"/>
    <s v="Rohit Patel"/>
    <s v="C201"/>
    <x v="0"/>
    <s v="B3"/>
    <x v="0"/>
    <x v="1"/>
    <n v="12858"/>
    <x v="4"/>
    <m/>
    <n v="14000"/>
    <x v="50"/>
    <x v="1"/>
    <n v="0"/>
    <n v="12858"/>
  </r>
  <r>
    <x v="385"/>
    <s v="Aditya Nair"/>
    <s v="C201"/>
    <x v="0"/>
    <s v="B2"/>
    <x v="2"/>
    <x v="2"/>
    <n v="12570"/>
    <x v="3"/>
    <n v="0.3"/>
    <n v="14000"/>
    <x v="27"/>
    <x v="0"/>
    <n v="30"/>
    <n v="8799"/>
  </r>
  <r>
    <x v="386"/>
    <s v="Aditya Singh"/>
    <s v="C202"/>
    <x v="2"/>
    <s v="B3"/>
    <x v="0"/>
    <x v="2"/>
    <n v="11302"/>
    <x v="4"/>
    <m/>
    <n v="13000"/>
    <x v="15"/>
    <x v="1"/>
    <n v="0"/>
    <n v="11302"/>
  </r>
  <r>
    <x v="387"/>
    <s v="Neha Joshi"/>
    <s v="C204"/>
    <x v="3"/>
    <s v="B3"/>
    <x v="2"/>
    <x v="1"/>
    <n v="8713"/>
    <x v="2"/>
    <m/>
    <n v="9000"/>
    <x v="34"/>
    <x v="0"/>
    <n v="15"/>
    <n v="7406.05"/>
  </r>
  <r>
    <x v="388"/>
    <s v="Dev Jain"/>
    <s v="C201"/>
    <x v="0"/>
    <s v="B1"/>
    <x v="1"/>
    <x v="1"/>
    <n v="14722"/>
    <x v="3"/>
    <n v="0.3"/>
    <n v="14000"/>
    <x v="9"/>
    <x v="0"/>
    <n v="30"/>
    <n v="10305.4"/>
  </r>
  <r>
    <x v="389"/>
    <s v="Rohit Joshi"/>
    <s v="C201"/>
    <x v="0"/>
    <s v="B3"/>
    <x v="2"/>
    <x v="1"/>
    <n v="14649"/>
    <x v="4"/>
    <m/>
    <n v="14000"/>
    <x v="46"/>
    <x v="1"/>
    <n v="0"/>
    <n v="14649"/>
  </r>
  <r>
    <x v="390"/>
    <s v="Pooja Patel"/>
    <s v="C204"/>
    <x v="3"/>
    <s v="B1"/>
    <x v="1"/>
    <x v="0"/>
    <n v="8059"/>
    <x v="0"/>
    <n v="0.2"/>
    <n v="9000"/>
    <x v="18"/>
    <x v="0"/>
    <n v="20"/>
    <n v="6447.2"/>
  </r>
  <r>
    <x v="391"/>
    <s v="Anjali Gupta"/>
    <s v="C202"/>
    <x v="2"/>
    <s v="B2"/>
    <x v="0"/>
    <x v="2"/>
    <n v="12896"/>
    <x v="2"/>
    <m/>
    <n v="13000"/>
    <x v="8"/>
    <x v="0"/>
    <n v="15"/>
    <n v="10961.6"/>
  </r>
  <r>
    <x v="392"/>
    <s v="Manish Mehta"/>
    <s v="C203"/>
    <x v="1"/>
    <s v="B1"/>
    <x v="0"/>
    <x v="0"/>
    <n v="16210"/>
    <x v="4"/>
    <m/>
    <n v="17000"/>
    <x v="58"/>
    <x v="1"/>
    <n v="0"/>
    <n v="16210"/>
  </r>
  <r>
    <x v="393"/>
    <s v="Riya Shah"/>
    <s v="C202"/>
    <x v="2"/>
    <s v="B2"/>
    <x v="0"/>
    <x v="2"/>
    <n v="12865"/>
    <x v="0"/>
    <n v="0.2"/>
    <n v="13000"/>
    <x v="42"/>
    <x v="0"/>
    <n v="20"/>
    <n v="10292"/>
  </r>
  <r>
    <x v="394"/>
    <s v="Neha Jain"/>
    <s v="C204"/>
    <x v="3"/>
    <s v="B1"/>
    <x v="0"/>
    <x v="1"/>
    <n v="9853"/>
    <x v="4"/>
    <m/>
    <n v="9000"/>
    <x v="31"/>
    <x v="1"/>
    <n v="0"/>
    <n v="9853"/>
  </r>
  <r>
    <x v="395"/>
    <s v="Riya Rao"/>
    <s v="C201"/>
    <x v="0"/>
    <s v="B3"/>
    <x v="1"/>
    <x v="0"/>
    <n v="15478"/>
    <x v="3"/>
    <n v="0.3"/>
    <n v="14000"/>
    <x v="49"/>
    <x v="0"/>
    <n v="30"/>
    <n v="10834.6"/>
  </r>
  <r>
    <x v="396"/>
    <s v="Riya Singh"/>
    <s v="C202"/>
    <x v="2"/>
    <s v="B3"/>
    <x v="1"/>
    <x v="1"/>
    <n v="11714"/>
    <x v="2"/>
    <m/>
    <n v="13000"/>
    <x v="9"/>
    <x v="0"/>
    <n v="15"/>
    <n v="9956.9"/>
  </r>
  <r>
    <x v="397"/>
    <s v="Pooja Gupta"/>
    <s v="C204"/>
    <x v="3"/>
    <s v="B2"/>
    <x v="1"/>
    <x v="2"/>
    <n v="9579"/>
    <x v="0"/>
    <n v="0.2"/>
    <n v="9000"/>
    <x v="53"/>
    <x v="0"/>
    <n v="20"/>
    <n v="7663.2"/>
  </r>
  <r>
    <x v="398"/>
    <s v="Rohit Singh"/>
    <s v="C204"/>
    <x v="3"/>
    <s v="B2"/>
    <x v="1"/>
    <x v="1"/>
    <n v="9515"/>
    <x v="0"/>
    <n v="0.2"/>
    <n v="9000"/>
    <x v="22"/>
    <x v="0"/>
    <n v="20"/>
    <n v="7612"/>
  </r>
  <r>
    <x v="399"/>
    <s v="Kavita Verma"/>
    <s v="C204"/>
    <x v="3"/>
    <s v="B1"/>
    <x v="2"/>
    <x v="0"/>
    <n v="7842"/>
    <x v="3"/>
    <n v="0.3"/>
    <n v="9000"/>
    <x v="46"/>
    <x v="0"/>
    <n v="30"/>
    <n v="5489.4"/>
  </r>
  <r>
    <x v="400"/>
    <s v="Anjali Patel"/>
    <s v="C201"/>
    <x v="0"/>
    <s v="B3"/>
    <x v="1"/>
    <x v="1"/>
    <n v="12765"/>
    <x v="3"/>
    <n v="0.3"/>
    <n v="14000"/>
    <x v="31"/>
    <x v="0"/>
    <n v="30"/>
    <n v="8935.5"/>
  </r>
  <r>
    <x v="401"/>
    <s v="Sneha Iyer"/>
    <s v="C201"/>
    <x v="0"/>
    <s v="B2"/>
    <x v="2"/>
    <x v="2"/>
    <n v="14161"/>
    <x v="3"/>
    <n v="0.3"/>
    <n v="14000"/>
    <x v="15"/>
    <x v="0"/>
    <n v="30"/>
    <n v="9912.7000000000007"/>
  </r>
  <r>
    <x v="402"/>
    <s v="Rahul Joshi"/>
    <s v="C204"/>
    <x v="3"/>
    <s v="B3"/>
    <x v="1"/>
    <x v="2"/>
    <n v="8441"/>
    <x v="4"/>
    <m/>
    <n v="9000"/>
    <x v="33"/>
    <x v="1"/>
    <n v="0"/>
    <n v="8441"/>
  </r>
  <r>
    <x v="403"/>
    <s v="Karan Nair"/>
    <s v="C203"/>
    <x v="1"/>
    <s v="B3"/>
    <x v="2"/>
    <x v="0"/>
    <n v="17752"/>
    <x v="0"/>
    <n v="0.2"/>
    <n v="17000"/>
    <x v="31"/>
    <x v="0"/>
    <n v="20"/>
    <n v="14201.6"/>
  </r>
  <r>
    <x v="404"/>
    <s v="Riya Patil"/>
    <s v="C203"/>
    <x v="1"/>
    <s v="B1"/>
    <x v="1"/>
    <x v="2"/>
    <n v="17840"/>
    <x v="0"/>
    <n v="0.2"/>
    <n v="17000"/>
    <x v="18"/>
    <x v="0"/>
    <n v="20"/>
    <n v="14272"/>
  </r>
  <r>
    <x v="405"/>
    <s v="Rahul Verma"/>
    <s v="C202"/>
    <x v="2"/>
    <s v="B3"/>
    <x v="0"/>
    <x v="2"/>
    <n v="11760"/>
    <x v="4"/>
    <m/>
    <n v="13000"/>
    <x v="56"/>
    <x v="1"/>
    <n v="0"/>
    <n v="11760"/>
  </r>
  <r>
    <x v="406"/>
    <s v="Manish Desai"/>
    <s v="C202"/>
    <x v="2"/>
    <s v="B3"/>
    <x v="1"/>
    <x v="2"/>
    <n v="12183"/>
    <x v="0"/>
    <n v="0.2"/>
    <n v="13000"/>
    <x v="53"/>
    <x v="0"/>
    <n v="20"/>
    <n v="9746.4"/>
  </r>
  <r>
    <x v="407"/>
    <s v="Pooja Nair"/>
    <s v="C204"/>
    <x v="3"/>
    <s v="B3"/>
    <x v="1"/>
    <x v="2"/>
    <n v="10898"/>
    <x v="1"/>
    <n v="0.1"/>
    <n v="9000"/>
    <x v="20"/>
    <x v="0"/>
    <n v="10"/>
    <n v="9808.2000000000007"/>
  </r>
  <r>
    <x v="408"/>
    <s v="Karan Patil"/>
    <s v="C204"/>
    <x v="3"/>
    <s v="B3"/>
    <x v="2"/>
    <x v="1"/>
    <n v="9027"/>
    <x v="4"/>
    <m/>
    <n v="9000"/>
    <x v="26"/>
    <x v="1"/>
    <n v="0"/>
    <n v="9027"/>
  </r>
  <r>
    <x v="409"/>
    <s v="Neha Verma"/>
    <s v="C204"/>
    <x v="3"/>
    <s v="B2"/>
    <x v="1"/>
    <x v="0"/>
    <n v="9315"/>
    <x v="1"/>
    <n v="0.1"/>
    <n v="9000"/>
    <x v="38"/>
    <x v="0"/>
    <n v="10"/>
    <n v="8383.5"/>
  </r>
  <r>
    <x v="410"/>
    <s v="Dev Patil"/>
    <s v="C203"/>
    <x v="1"/>
    <s v="B1"/>
    <x v="0"/>
    <x v="0"/>
    <n v="17202"/>
    <x v="3"/>
    <n v="0.3"/>
    <n v="17000"/>
    <x v="9"/>
    <x v="0"/>
    <n v="30"/>
    <n v="12041.4"/>
  </r>
  <r>
    <x v="411"/>
    <s v="Dev Iyer"/>
    <s v="C204"/>
    <x v="3"/>
    <s v="B3"/>
    <x v="2"/>
    <x v="0"/>
    <n v="9345"/>
    <x v="1"/>
    <n v="0.1"/>
    <n v="9000"/>
    <x v="3"/>
    <x v="0"/>
    <n v="10"/>
    <n v="8410.5"/>
  </r>
  <r>
    <x v="412"/>
    <s v="Dev Gupta"/>
    <s v="C203"/>
    <x v="1"/>
    <s v="B3"/>
    <x v="1"/>
    <x v="1"/>
    <n v="16807"/>
    <x v="2"/>
    <m/>
    <n v="17000"/>
    <x v="1"/>
    <x v="0"/>
    <n v="15"/>
    <n v="14285.95"/>
  </r>
  <r>
    <x v="413"/>
    <s v="Rahul Shah"/>
    <s v="C202"/>
    <x v="2"/>
    <s v="B2"/>
    <x v="1"/>
    <x v="2"/>
    <n v="12076"/>
    <x v="3"/>
    <n v="0.3"/>
    <n v="13000"/>
    <x v="16"/>
    <x v="0"/>
    <n v="30"/>
    <n v="8453.2000000000007"/>
  </r>
  <r>
    <x v="414"/>
    <s v="Meera Shah"/>
    <s v="C204"/>
    <x v="3"/>
    <s v="B1"/>
    <x v="1"/>
    <x v="0"/>
    <n v="10320"/>
    <x v="2"/>
    <m/>
    <n v="9000"/>
    <x v="8"/>
    <x v="0"/>
    <n v="15"/>
    <n v="8772"/>
  </r>
  <r>
    <x v="415"/>
    <s v="Pooja Nair"/>
    <s v="C204"/>
    <x v="3"/>
    <s v="B1"/>
    <x v="2"/>
    <x v="0"/>
    <n v="10214"/>
    <x v="0"/>
    <n v="0.2"/>
    <n v="9000"/>
    <x v="39"/>
    <x v="0"/>
    <n v="20"/>
    <n v="8171.2"/>
  </r>
  <r>
    <x v="416"/>
    <s v="Sneha Patel"/>
    <s v="C201"/>
    <x v="0"/>
    <s v="B3"/>
    <x v="0"/>
    <x v="1"/>
    <n v="13151"/>
    <x v="2"/>
    <m/>
    <n v="14000"/>
    <x v="36"/>
    <x v="0"/>
    <n v="15"/>
    <n v="11178.35"/>
  </r>
  <r>
    <x v="417"/>
    <s v="Karan Jain"/>
    <s v="C203"/>
    <x v="1"/>
    <s v="B2"/>
    <x v="2"/>
    <x v="2"/>
    <n v="18901"/>
    <x v="2"/>
    <m/>
    <n v="17000"/>
    <x v="48"/>
    <x v="0"/>
    <n v="15"/>
    <n v="16065.85"/>
  </r>
  <r>
    <x v="418"/>
    <s v="Rohit Nair"/>
    <s v="C201"/>
    <x v="0"/>
    <s v="B1"/>
    <x v="0"/>
    <x v="0"/>
    <n v="13135"/>
    <x v="0"/>
    <n v="0.2"/>
    <n v="14000"/>
    <x v="8"/>
    <x v="0"/>
    <n v="20"/>
    <n v="10508"/>
  </r>
  <r>
    <x v="419"/>
    <s v="Meera Mehta"/>
    <s v="C202"/>
    <x v="2"/>
    <s v="B1"/>
    <x v="2"/>
    <x v="2"/>
    <n v="14393"/>
    <x v="0"/>
    <n v="0.2"/>
    <n v="13000"/>
    <x v="46"/>
    <x v="0"/>
    <n v="20"/>
    <n v="11514.4"/>
  </r>
  <r>
    <x v="420"/>
    <s v="Meera Singh"/>
    <s v="C204"/>
    <x v="3"/>
    <s v="B2"/>
    <x v="1"/>
    <x v="1"/>
    <n v="9590"/>
    <x v="3"/>
    <n v="0.3"/>
    <n v="9000"/>
    <x v="56"/>
    <x v="0"/>
    <n v="30"/>
    <n v="6713"/>
  </r>
  <r>
    <x v="421"/>
    <s v="Rahul Verma"/>
    <s v="C204"/>
    <x v="3"/>
    <s v="B1"/>
    <x v="2"/>
    <x v="0"/>
    <n v="8650"/>
    <x v="2"/>
    <m/>
    <n v="9000"/>
    <x v="0"/>
    <x v="0"/>
    <n v="15"/>
    <n v="7352.5"/>
  </r>
  <r>
    <x v="422"/>
    <s v="Aditya Desai"/>
    <s v="C203"/>
    <x v="1"/>
    <s v="B2"/>
    <x v="0"/>
    <x v="2"/>
    <n v="17383"/>
    <x v="1"/>
    <n v="0.1"/>
    <n v="17000"/>
    <x v="16"/>
    <x v="0"/>
    <n v="10"/>
    <n v="15644.7"/>
  </r>
  <r>
    <x v="423"/>
    <s v="Dev Nair"/>
    <s v="C201"/>
    <x v="0"/>
    <s v="B3"/>
    <x v="0"/>
    <x v="1"/>
    <n v="14720"/>
    <x v="3"/>
    <n v="0.3"/>
    <n v="14000"/>
    <x v="4"/>
    <x v="0"/>
    <n v="30"/>
    <n v="10304"/>
  </r>
  <r>
    <x v="424"/>
    <s v="Riya Patel"/>
    <s v="C204"/>
    <x v="3"/>
    <s v="B1"/>
    <x v="0"/>
    <x v="0"/>
    <n v="9026"/>
    <x v="3"/>
    <n v="0.3"/>
    <n v="9000"/>
    <x v="31"/>
    <x v="0"/>
    <n v="30"/>
    <n v="6318.2"/>
  </r>
  <r>
    <x v="425"/>
    <s v="Meera Rao"/>
    <s v="C203"/>
    <x v="1"/>
    <s v="B3"/>
    <x v="2"/>
    <x v="0"/>
    <n v="17318"/>
    <x v="4"/>
    <m/>
    <n v="17000"/>
    <x v="38"/>
    <x v="1"/>
    <n v="0"/>
    <n v="17318"/>
  </r>
  <r>
    <x v="426"/>
    <s v="Pooja Singh"/>
    <s v="C201"/>
    <x v="0"/>
    <s v="B1"/>
    <x v="1"/>
    <x v="1"/>
    <n v="15210"/>
    <x v="4"/>
    <m/>
    <n v="14000"/>
    <x v="23"/>
    <x v="1"/>
    <n v="0"/>
    <n v="15210"/>
  </r>
  <r>
    <x v="427"/>
    <s v="Riya Nair"/>
    <s v="C202"/>
    <x v="2"/>
    <s v="B2"/>
    <x v="0"/>
    <x v="0"/>
    <n v="14924"/>
    <x v="4"/>
    <m/>
    <n v="13000"/>
    <x v="19"/>
    <x v="1"/>
    <n v="0"/>
    <n v="14924"/>
  </r>
  <r>
    <x v="428"/>
    <s v="Anjali Mehta"/>
    <s v="C203"/>
    <x v="1"/>
    <s v="B1"/>
    <x v="0"/>
    <x v="0"/>
    <n v="17681"/>
    <x v="3"/>
    <n v="0.3"/>
    <n v="17000"/>
    <x v="41"/>
    <x v="0"/>
    <n v="30"/>
    <n v="12376.7"/>
  </r>
  <r>
    <x v="429"/>
    <s v="Riya Jain"/>
    <s v="C202"/>
    <x v="2"/>
    <s v="B1"/>
    <x v="0"/>
    <x v="1"/>
    <n v="12251"/>
    <x v="0"/>
    <n v="0.2"/>
    <n v="13000"/>
    <x v="13"/>
    <x v="0"/>
    <n v="20"/>
    <n v="9800.7999999999993"/>
  </r>
  <r>
    <x v="430"/>
    <s v="Rohit Shah"/>
    <s v="C201"/>
    <x v="0"/>
    <s v="B1"/>
    <x v="1"/>
    <x v="2"/>
    <n v="12319"/>
    <x v="0"/>
    <n v="0.2"/>
    <n v="14000"/>
    <x v="29"/>
    <x v="0"/>
    <n v="20"/>
    <n v="9855.2000000000007"/>
  </r>
  <r>
    <x v="431"/>
    <s v="Sneha Gupta"/>
    <s v="C204"/>
    <x v="3"/>
    <s v="B1"/>
    <x v="1"/>
    <x v="1"/>
    <n v="8407"/>
    <x v="1"/>
    <n v="0.1"/>
    <n v="9000"/>
    <x v="16"/>
    <x v="0"/>
    <n v="10"/>
    <n v="7566.3"/>
  </r>
  <r>
    <x v="432"/>
    <s v="Rahul Desai"/>
    <s v="C202"/>
    <x v="2"/>
    <s v="B2"/>
    <x v="1"/>
    <x v="0"/>
    <n v="12569"/>
    <x v="1"/>
    <n v="0.1"/>
    <n v="13000"/>
    <x v="60"/>
    <x v="0"/>
    <n v="10"/>
    <n v="11312.1"/>
  </r>
  <r>
    <x v="433"/>
    <s v="Dev Shah"/>
    <s v="C201"/>
    <x v="0"/>
    <s v="B2"/>
    <x v="0"/>
    <x v="2"/>
    <n v="12561"/>
    <x v="4"/>
    <m/>
    <n v="14000"/>
    <x v="57"/>
    <x v="1"/>
    <n v="0"/>
    <n v="12561"/>
  </r>
  <r>
    <x v="434"/>
    <s v="Meera Patel"/>
    <s v="C202"/>
    <x v="2"/>
    <s v="B3"/>
    <x v="2"/>
    <x v="0"/>
    <n v="11280"/>
    <x v="2"/>
    <m/>
    <n v="13000"/>
    <x v="52"/>
    <x v="0"/>
    <n v="15"/>
    <n v="9588"/>
  </r>
  <r>
    <x v="435"/>
    <s v="Aarav Joshi"/>
    <s v="C202"/>
    <x v="2"/>
    <s v="B2"/>
    <x v="0"/>
    <x v="1"/>
    <n v="11872"/>
    <x v="0"/>
    <n v="0.2"/>
    <n v="13000"/>
    <x v="58"/>
    <x v="0"/>
    <n v="20"/>
    <n v="9497.6"/>
  </r>
  <r>
    <x v="436"/>
    <s v="Rahul Joshi"/>
    <s v="C204"/>
    <x v="3"/>
    <s v="B1"/>
    <x v="1"/>
    <x v="0"/>
    <n v="7573"/>
    <x v="1"/>
    <n v="0.1"/>
    <n v="9000"/>
    <x v="29"/>
    <x v="0"/>
    <n v="10"/>
    <n v="6815.7"/>
  </r>
  <r>
    <x v="437"/>
    <s v="Anjali Verma"/>
    <s v="C203"/>
    <x v="1"/>
    <s v="B2"/>
    <x v="0"/>
    <x v="0"/>
    <n v="16014"/>
    <x v="3"/>
    <n v="0.3"/>
    <n v="17000"/>
    <x v="49"/>
    <x v="0"/>
    <n v="30"/>
    <n v="11209.8"/>
  </r>
  <r>
    <x v="438"/>
    <s v="Riya Patil"/>
    <s v="C203"/>
    <x v="1"/>
    <s v="B3"/>
    <x v="1"/>
    <x v="1"/>
    <n v="18587"/>
    <x v="3"/>
    <n v="0.3"/>
    <n v="17000"/>
    <x v="1"/>
    <x v="0"/>
    <n v="30"/>
    <n v="13010.9"/>
  </r>
  <r>
    <x v="439"/>
    <s v="Manish Joshi"/>
    <s v="C202"/>
    <x v="2"/>
    <s v="B3"/>
    <x v="0"/>
    <x v="2"/>
    <n v="13646"/>
    <x v="1"/>
    <n v="0.1"/>
    <n v="13000"/>
    <x v="38"/>
    <x v="0"/>
    <n v="10"/>
    <n v="12281.4"/>
  </r>
  <r>
    <x v="440"/>
    <s v="Kunal Patel"/>
    <s v="C202"/>
    <x v="2"/>
    <s v="B2"/>
    <x v="0"/>
    <x v="0"/>
    <n v="11987"/>
    <x v="4"/>
    <m/>
    <n v="13000"/>
    <x v="56"/>
    <x v="1"/>
    <n v="0"/>
    <n v="11987"/>
  </r>
  <r>
    <x v="441"/>
    <s v="Kavita Shah"/>
    <s v="C201"/>
    <x v="0"/>
    <s v="B2"/>
    <x v="0"/>
    <x v="0"/>
    <n v="13584"/>
    <x v="2"/>
    <m/>
    <n v="14000"/>
    <x v="2"/>
    <x v="0"/>
    <n v="15"/>
    <n v="11546.4"/>
  </r>
  <r>
    <x v="442"/>
    <s v="Pooja Gupta"/>
    <s v="C202"/>
    <x v="2"/>
    <s v="B2"/>
    <x v="1"/>
    <x v="0"/>
    <n v="13405"/>
    <x v="1"/>
    <n v="0.1"/>
    <n v="13000"/>
    <x v="54"/>
    <x v="0"/>
    <n v="10"/>
    <n v="12064.5"/>
  </r>
  <r>
    <x v="443"/>
    <s v="Aditya Patil"/>
    <s v="C201"/>
    <x v="0"/>
    <s v="B1"/>
    <x v="0"/>
    <x v="1"/>
    <n v="13173"/>
    <x v="2"/>
    <m/>
    <n v="14000"/>
    <x v="57"/>
    <x v="0"/>
    <n v="15"/>
    <n v="11197.05"/>
  </r>
  <r>
    <x v="444"/>
    <s v="Rahul Verma"/>
    <s v="C204"/>
    <x v="3"/>
    <s v="B1"/>
    <x v="2"/>
    <x v="1"/>
    <n v="9202"/>
    <x v="2"/>
    <m/>
    <n v="9000"/>
    <x v="12"/>
    <x v="0"/>
    <n v="15"/>
    <n v="7821.7"/>
  </r>
  <r>
    <x v="445"/>
    <s v="Aditya Shah"/>
    <s v="C203"/>
    <x v="1"/>
    <s v="B1"/>
    <x v="2"/>
    <x v="0"/>
    <n v="18990"/>
    <x v="0"/>
    <n v="0.2"/>
    <n v="17000"/>
    <x v="36"/>
    <x v="0"/>
    <n v="20"/>
    <n v="15192"/>
  </r>
  <r>
    <x v="446"/>
    <s v="Pooja Verma"/>
    <s v="C201"/>
    <x v="0"/>
    <s v="B2"/>
    <x v="2"/>
    <x v="2"/>
    <n v="14989"/>
    <x v="0"/>
    <n v="0.2"/>
    <n v="14000"/>
    <x v="55"/>
    <x v="0"/>
    <n v="20"/>
    <n v="11991.2"/>
  </r>
  <r>
    <x v="447"/>
    <s v="Sneha Shah"/>
    <s v="C204"/>
    <x v="3"/>
    <s v="B1"/>
    <x v="0"/>
    <x v="1"/>
    <n v="9493"/>
    <x v="1"/>
    <n v="0.1"/>
    <n v="9000"/>
    <x v="47"/>
    <x v="0"/>
    <n v="10"/>
    <n v="8543.7000000000007"/>
  </r>
  <r>
    <x v="448"/>
    <s v="Rohit Desai"/>
    <s v="C202"/>
    <x v="2"/>
    <s v="B1"/>
    <x v="1"/>
    <x v="1"/>
    <n v="11562"/>
    <x v="1"/>
    <n v="0.1"/>
    <n v="13000"/>
    <x v="9"/>
    <x v="0"/>
    <n v="10"/>
    <n v="10405.799999999999"/>
  </r>
  <r>
    <x v="449"/>
    <s v="Neha Jain"/>
    <s v="C203"/>
    <x v="1"/>
    <s v="B1"/>
    <x v="0"/>
    <x v="0"/>
    <n v="18071"/>
    <x v="3"/>
    <n v="0.3"/>
    <n v="17000"/>
    <x v="60"/>
    <x v="0"/>
    <n v="30"/>
    <n v="12649.7"/>
  </r>
  <r>
    <x v="450"/>
    <s v="Kunal Shah"/>
    <s v="C201"/>
    <x v="0"/>
    <s v="B2"/>
    <x v="0"/>
    <x v="2"/>
    <n v="14145"/>
    <x v="1"/>
    <n v="0.1"/>
    <n v="14000"/>
    <x v="41"/>
    <x v="0"/>
    <n v="10"/>
    <n v="12730.5"/>
  </r>
  <r>
    <x v="451"/>
    <s v="Anjali Joshi"/>
    <s v="C201"/>
    <x v="0"/>
    <s v="B2"/>
    <x v="0"/>
    <x v="1"/>
    <n v="13475"/>
    <x v="1"/>
    <n v="0.1"/>
    <n v="14000"/>
    <x v="20"/>
    <x v="0"/>
    <n v="10"/>
    <n v="12127.5"/>
  </r>
  <r>
    <x v="452"/>
    <s v="Meera Joshi"/>
    <s v="C202"/>
    <x v="2"/>
    <s v="B2"/>
    <x v="1"/>
    <x v="2"/>
    <n v="14167"/>
    <x v="1"/>
    <n v="0.1"/>
    <n v="13000"/>
    <x v="48"/>
    <x v="0"/>
    <n v="10"/>
    <n v="12750.3"/>
  </r>
  <r>
    <x v="453"/>
    <s v="Kavita Singh"/>
    <s v="C201"/>
    <x v="0"/>
    <s v="B1"/>
    <x v="2"/>
    <x v="1"/>
    <n v="12010"/>
    <x v="1"/>
    <n v="0.1"/>
    <n v="14000"/>
    <x v="4"/>
    <x v="0"/>
    <n v="10"/>
    <n v="10809"/>
  </r>
  <r>
    <x v="454"/>
    <s v="Meera Kulkarni"/>
    <s v="C202"/>
    <x v="2"/>
    <s v="B1"/>
    <x v="0"/>
    <x v="2"/>
    <n v="12568"/>
    <x v="0"/>
    <n v="0.2"/>
    <n v="13000"/>
    <x v="53"/>
    <x v="0"/>
    <n v="20"/>
    <n v="10054.4"/>
  </r>
  <r>
    <x v="455"/>
    <s v="Kunal Nair"/>
    <s v="C201"/>
    <x v="0"/>
    <s v="B3"/>
    <x v="2"/>
    <x v="1"/>
    <n v="14685"/>
    <x v="4"/>
    <m/>
    <n v="14000"/>
    <x v="24"/>
    <x v="1"/>
    <n v="0"/>
    <n v="14685"/>
  </r>
  <r>
    <x v="456"/>
    <s v="Pooja Patil"/>
    <s v="C204"/>
    <x v="3"/>
    <s v="B3"/>
    <x v="0"/>
    <x v="2"/>
    <n v="10383"/>
    <x v="1"/>
    <n v="0.1"/>
    <n v="9000"/>
    <x v="52"/>
    <x v="0"/>
    <n v="10"/>
    <n v="9344.7000000000007"/>
  </r>
  <r>
    <x v="457"/>
    <s v="Pooja Shah"/>
    <s v="C201"/>
    <x v="0"/>
    <s v="B1"/>
    <x v="1"/>
    <x v="1"/>
    <n v="12188"/>
    <x v="4"/>
    <m/>
    <n v="14000"/>
    <x v="11"/>
    <x v="1"/>
    <n v="0"/>
    <n v="12188"/>
  </r>
  <r>
    <x v="458"/>
    <s v="Kunal Iyer"/>
    <s v="C203"/>
    <x v="1"/>
    <s v="B2"/>
    <x v="0"/>
    <x v="0"/>
    <n v="17265"/>
    <x v="4"/>
    <m/>
    <n v="17000"/>
    <x v="54"/>
    <x v="1"/>
    <n v="0"/>
    <n v="17265"/>
  </r>
  <r>
    <x v="459"/>
    <s v="Pooja Patil"/>
    <s v="C203"/>
    <x v="1"/>
    <s v="B3"/>
    <x v="0"/>
    <x v="1"/>
    <n v="17550"/>
    <x v="0"/>
    <n v="0.2"/>
    <n v="17000"/>
    <x v="44"/>
    <x v="0"/>
    <n v="20"/>
    <n v="14040"/>
  </r>
  <r>
    <x v="460"/>
    <s v="Pooja Joshi"/>
    <s v="C204"/>
    <x v="3"/>
    <s v="B1"/>
    <x v="2"/>
    <x v="1"/>
    <n v="10114"/>
    <x v="0"/>
    <n v="0.2"/>
    <n v="9000"/>
    <x v="12"/>
    <x v="0"/>
    <n v="20"/>
    <n v="8091.2"/>
  </r>
  <r>
    <x v="461"/>
    <s v="Aarav Verma"/>
    <s v="C201"/>
    <x v="0"/>
    <s v="B1"/>
    <x v="2"/>
    <x v="2"/>
    <n v="14604"/>
    <x v="1"/>
    <n v="0.1"/>
    <n v="14000"/>
    <x v="21"/>
    <x v="0"/>
    <n v="10"/>
    <n v="13143.6"/>
  </r>
  <r>
    <x v="462"/>
    <s v="Pooja Kulkarni"/>
    <s v="C204"/>
    <x v="3"/>
    <s v="B3"/>
    <x v="2"/>
    <x v="2"/>
    <n v="7425"/>
    <x v="0"/>
    <n v="0.2"/>
    <n v="9000"/>
    <x v="42"/>
    <x v="0"/>
    <n v="20"/>
    <n v="5940"/>
  </r>
  <r>
    <x v="463"/>
    <s v="Sneha Verma"/>
    <s v="C204"/>
    <x v="3"/>
    <s v="B1"/>
    <x v="1"/>
    <x v="1"/>
    <n v="8146"/>
    <x v="1"/>
    <n v="0.1"/>
    <n v="9000"/>
    <x v="34"/>
    <x v="0"/>
    <n v="10"/>
    <n v="7331.4"/>
  </r>
  <r>
    <x v="464"/>
    <s v="Kunal Patil"/>
    <s v="C204"/>
    <x v="3"/>
    <s v="B3"/>
    <x v="0"/>
    <x v="2"/>
    <n v="10991"/>
    <x v="1"/>
    <n v="0.1"/>
    <n v="9000"/>
    <x v="29"/>
    <x v="0"/>
    <n v="10"/>
    <n v="9891.9"/>
  </r>
  <r>
    <x v="465"/>
    <s v="Riya Gupta"/>
    <s v="C202"/>
    <x v="2"/>
    <s v="B3"/>
    <x v="0"/>
    <x v="0"/>
    <n v="13424"/>
    <x v="2"/>
    <m/>
    <n v="13000"/>
    <x v="55"/>
    <x v="0"/>
    <n v="15"/>
    <n v="11410.4"/>
  </r>
  <r>
    <x v="466"/>
    <s v="Rahul Singh"/>
    <s v="C202"/>
    <x v="2"/>
    <s v="B1"/>
    <x v="0"/>
    <x v="2"/>
    <n v="14485"/>
    <x v="3"/>
    <n v="0.3"/>
    <n v="13000"/>
    <x v="5"/>
    <x v="0"/>
    <n v="30"/>
    <n v="10139.5"/>
  </r>
  <r>
    <x v="467"/>
    <s v="Dev Verma"/>
    <s v="C203"/>
    <x v="1"/>
    <s v="B2"/>
    <x v="0"/>
    <x v="2"/>
    <n v="15956"/>
    <x v="1"/>
    <n v="0.1"/>
    <n v="17000"/>
    <x v="21"/>
    <x v="0"/>
    <n v="10"/>
    <n v="14360.4"/>
  </r>
  <r>
    <x v="468"/>
    <s v="Sneha Mehta"/>
    <s v="C201"/>
    <x v="0"/>
    <s v="B1"/>
    <x v="1"/>
    <x v="0"/>
    <n v="13841"/>
    <x v="4"/>
    <m/>
    <n v="14000"/>
    <x v="31"/>
    <x v="1"/>
    <n v="0"/>
    <n v="13841"/>
  </r>
  <r>
    <x v="469"/>
    <s v="Rahul Shah"/>
    <s v="C203"/>
    <x v="1"/>
    <s v="B1"/>
    <x v="0"/>
    <x v="2"/>
    <n v="16897"/>
    <x v="3"/>
    <n v="0.3"/>
    <n v="17000"/>
    <x v="4"/>
    <x v="0"/>
    <n v="30"/>
    <n v="11827.9"/>
  </r>
  <r>
    <x v="470"/>
    <s v="Riya Shah"/>
    <s v="C202"/>
    <x v="2"/>
    <s v="B3"/>
    <x v="0"/>
    <x v="1"/>
    <n v="13854"/>
    <x v="2"/>
    <m/>
    <n v="13000"/>
    <x v="34"/>
    <x v="0"/>
    <n v="15"/>
    <n v="11775.9"/>
  </r>
  <r>
    <x v="471"/>
    <s v="Sneha Nair"/>
    <s v="C203"/>
    <x v="1"/>
    <s v="B1"/>
    <x v="1"/>
    <x v="1"/>
    <n v="16016"/>
    <x v="3"/>
    <n v="0.3"/>
    <n v="17000"/>
    <x v="32"/>
    <x v="0"/>
    <n v="30"/>
    <n v="11211.2"/>
  </r>
  <r>
    <x v="472"/>
    <s v="Manish Kulkarni"/>
    <s v="C203"/>
    <x v="1"/>
    <s v="B2"/>
    <x v="1"/>
    <x v="0"/>
    <n v="18899"/>
    <x v="4"/>
    <m/>
    <n v="17000"/>
    <x v="4"/>
    <x v="1"/>
    <n v="0"/>
    <n v="18899"/>
  </r>
  <r>
    <x v="473"/>
    <s v="Neha Gupta"/>
    <s v="C202"/>
    <x v="2"/>
    <s v="B1"/>
    <x v="0"/>
    <x v="0"/>
    <n v="14292"/>
    <x v="0"/>
    <n v="0.2"/>
    <n v="13000"/>
    <x v="17"/>
    <x v="0"/>
    <n v="20"/>
    <n v="11433.6"/>
  </r>
  <r>
    <x v="474"/>
    <s v="Aarav Kulkarni"/>
    <s v="C202"/>
    <x v="2"/>
    <s v="B1"/>
    <x v="1"/>
    <x v="2"/>
    <n v="12524"/>
    <x v="1"/>
    <n v="0.1"/>
    <n v="13000"/>
    <x v="29"/>
    <x v="0"/>
    <n v="10"/>
    <n v="11271.6"/>
  </r>
  <r>
    <x v="475"/>
    <s v="Kavita Rao"/>
    <s v="C201"/>
    <x v="0"/>
    <s v="B1"/>
    <x v="1"/>
    <x v="0"/>
    <n v="15696"/>
    <x v="4"/>
    <m/>
    <n v="14000"/>
    <x v="50"/>
    <x v="1"/>
    <n v="0"/>
    <n v="15696"/>
  </r>
  <r>
    <x v="476"/>
    <s v="Karan Shah"/>
    <s v="C203"/>
    <x v="1"/>
    <s v="B1"/>
    <x v="1"/>
    <x v="2"/>
    <n v="15207"/>
    <x v="0"/>
    <n v="0.2"/>
    <n v="17000"/>
    <x v="5"/>
    <x v="0"/>
    <n v="20"/>
    <n v="12165.6"/>
  </r>
  <r>
    <x v="477"/>
    <s v="Kavita Verma"/>
    <s v="C204"/>
    <x v="3"/>
    <s v="B2"/>
    <x v="1"/>
    <x v="2"/>
    <n v="9798"/>
    <x v="4"/>
    <m/>
    <n v="9000"/>
    <x v="53"/>
    <x v="1"/>
    <n v="0"/>
    <n v="9798"/>
  </r>
  <r>
    <x v="478"/>
    <s v="Pooja Patil"/>
    <s v="C202"/>
    <x v="2"/>
    <s v="B2"/>
    <x v="0"/>
    <x v="2"/>
    <n v="14618"/>
    <x v="0"/>
    <n v="0.2"/>
    <n v="13000"/>
    <x v="34"/>
    <x v="0"/>
    <n v="20"/>
    <n v="11694.4"/>
  </r>
  <r>
    <x v="479"/>
    <s v="Kavita Joshi"/>
    <s v="C202"/>
    <x v="2"/>
    <s v="B3"/>
    <x v="0"/>
    <x v="2"/>
    <n v="12687"/>
    <x v="2"/>
    <m/>
    <n v="13000"/>
    <x v="30"/>
    <x v="0"/>
    <n v="15"/>
    <n v="10783.95"/>
  </r>
  <r>
    <x v="480"/>
    <s v="Aarav Shah"/>
    <s v="C203"/>
    <x v="1"/>
    <s v="B2"/>
    <x v="1"/>
    <x v="2"/>
    <n v="15816"/>
    <x v="2"/>
    <m/>
    <n v="17000"/>
    <x v="27"/>
    <x v="0"/>
    <n v="15"/>
    <n v="13443.6"/>
  </r>
  <r>
    <x v="481"/>
    <s v="Rohit Patel"/>
    <s v="C201"/>
    <x v="0"/>
    <s v="B2"/>
    <x v="2"/>
    <x v="2"/>
    <n v="13964"/>
    <x v="2"/>
    <m/>
    <n v="14000"/>
    <x v="38"/>
    <x v="0"/>
    <n v="15"/>
    <n v="11869.4"/>
  </r>
  <r>
    <x v="482"/>
    <s v="Neha Jain"/>
    <s v="C203"/>
    <x v="1"/>
    <s v="B2"/>
    <x v="0"/>
    <x v="0"/>
    <n v="15106"/>
    <x v="3"/>
    <n v="0.3"/>
    <n v="17000"/>
    <x v="15"/>
    <x v="0"/>
    <n v="30"/>
    <n v="10574.2"/>
  </r>
  <r>
    <x v="483"/>
    <s v="Sneha Kulkarni"/>
    <s v="C203"/>
    <x v="1"/>
    <s v="B1"/>
    <x v="0"/>
    <x v="1"/>
    <n v="16464"/>
    <x v="2"/>
    <m/>
    <n v="17000"/>
    <x v="24"/>
    <x v="0"/>
    <n v="15"/>
    <n v="13994.4"/>
  </r>
  <r>
    <x v="484"/>
    <s v="Karan Shah"/>
    <s v="C202"/>
    <x v="2"/>
    <s v="B3"/>
    <x v="1"/>
    <x v="2"/>
    <n v="13185"/>
    <x v="1"/>
    <n v="0.1"/>
    <n v="13000"/>
    <x v="46"/>
    <x v="0"/>
    <n v="10"/>
    <n v="11866.5"/>
  </r>
  <r>
    <x v="485"/>
    <s v="Sneha Joshi"/>
    <s v="C204"/>
    <x v="3"/>
    <s v="B2"/>
    <x v="1"/>
    <x v="0"/>
    <n v="7968"/>
    <x v="2"/>
    <m/>
    <n v="9000"/>
    <x v="31"/>
    <x v="0"/>
    <n v="15"/>
    <n v="6772.8"/>
  </r>
  <r>
    <x v="486"/>
    <s v="Dev Desai"/>
    <s v="C203"/>
    <x v="1"/>
    <s v="B3"/>
    <x v="1"/>
    <x v="1"/>
    <n v="17869"/>
    <x v="3"/>
    <n v="0.3"/>
    <n v="17000"/>
    <x v="21"/>
    <x v="0"/>
    <n v="30"/>
    <n v="12508.3"/>
  </r>
  <r>
    <x v="487"/>
    <s v="Kavita Joshi"/>
    <s v="C202"/>
    <x v="2"/>
    <s v="B3"/>
    <x v="1"/>
    <x v="2"/>
    <n v="13220"/>
    <x v="3"/>
    <n v="0.3"/>
    <n v="13000"/>
    <x v="53"/>
    <x v="0"/>
    <n v="30"/>
    <n v="9254"/>
  </r>
  <r>
    <x v="488"/>
    <s v="Neha Kulkarni"/>
    <s v="C201"/>
    <x v="0"/>
    <s v="B1"/>
    <x v="1"/>
    <x v="1"/>
    <n v="12896"/>
    <x v="1"/>
    <n v="0.1"/>
    <n v="14000"/>
    <x v="42"/>
    <x v="0"/>
    <n v="10"/>
    <n v="11606.4"/>
  </r>
  <r>
    <x v="489"/>
    <s v="Neha Kulkarni"/>
    <s v="C203"/>
    <x v="1"/>
    <s v="B3"/>
    <x v="1"/>
    <x v="0"/>
    <n v="16395"/>
    <x v="0"/>
    <n v="0.2"/>
    <n v="17000"/>
    <x v="58"/>
    <x v="0"/>
    <n v="20"/>
    <n v="13116"/>
  </r>
  <r>
    <x v="490"/>
    <s v="Dev Nair"/>
    <s v="C203"/>
    <x v="1"/>
    <s v="B1"/>
    <x v="1"/>
    <x v="0"/>
    <n v="17402"/>
    <x v="0"/>
    <n v="0.2"/>
    <n v="17000"/>
    <x v="57"/>
    <x v="0"/>
    <n v="20"/>
    <n v="13921.6"/>
  </r>
  <r>
    <x v="491"/>
    <s v="Riya Nair"/>
    <s v="C203"/>
    <x v="1"/>
    <s v="B1"/>
    <x v="0"/>
    <x v="1"/>
    <n v="18858"/>
    <x v="4"/>
    <m/>
    <n v="17000"/>
    <x v="29"/>
    <x v="1"/>
    <n v="0"/>
    <n v="18858"/>
  </r>
  <r>
    <x v="492"/>
    <s v="Riya Jain"/>
    <s v="C203"/>
    <x v="1"/>
    <s v="B2"/>
    <x v="1"/>
    <x v="0"/>
    <n v="17999"/>
    <x v="4"/>
    <m/>
    <n v="17000"/>
    <x v="38"/>
    <x v="1"/>
    <n v="0"/>
    <n v="17999"/>
  </r>
  <r>
    <x v="493"/>
    <s v="Rohit Iyer"/>
    <s v="C203"/>
    <x v="1"/>
    <s v="B1"/>
    <x v="2"/>
    <x v="1"/>
    <n v="17840"/>
    <x v="2"/>
    <m/>
    <n v="17000"/>
    <x v="38"/>
    <x v="0"/>
    <n v="15"/>
    <n v="15164"/>
  </r>
  <r>
    <x v="494"/>
    <s v="Pooja Patil"/>
    <s v="C202"/>
    <x v="2"/>
    <s v="B2"/>
    <x v="0"/>
    <x v="1"/>
    <n v="13820"/>
    <x v="3"/>
    <n v="0.3"/>
    <n v="13000"/>
    <x v="59"/>
    <x v="0"/>
    <n v="30"/>
    <n v="9674"/>
  </r>
  <r>
    <x v="495"/>
    <s v="Karan Desai"/>
    <s v="C201"/>
    <x v="0"/>
    <s v="B3"/>
    <x v="2"/>
    <x v="2"/>
    <n v="15484"/>
    <x v="2"/>
    <m/>
    <n v="14000"/>
    <x v="34"/>
    <x v="0"/>
    <n v="15"/>
    <n v="13161.4"/>
  </r>
  <r>
    <x v="496"/>
    <s v="Karan Joshi"/>
    <s v="C203"/>
    <x v="1"/>
    <s v="B3"/>
    <x v="1"/>
    <x v="1"/>
    <n v="17316"/>
    <x v="1"/>
    <n v="0.1"/>
    <n v="17000"/>
    <x v="5"/>
    <x v="0"/>
    <n v="10"/>
    <n v="15584.4"/>
  </r>
  <r>
    <x v="497"/>
    <s v="Neha Mehta"/>
    <s v="C203"/>
    <x v="1"/>
    <s v="B3"/>
    <x v="1"/>
    <x v="0"/>
    <n v="16420"/>
    <x v="3"/>
    <n v="0.3"/>
    <n v="17000"/>
    <x v="9"/>
    <x v="0"/>
    <n v="30"/>
    <n v="11494"/>
  </r>
  <r>
    <x v="498"/>
    <s v="Rohit Shah"/>
    <s v="C203"/>
    <x v="1"/>
    <s v="B2"/>
    <x v="1"/>
    <x v="2"/>
    <n v="15858"/>
    <x v="0"/>
    <n v="0.2"/>
    <n v="17000"/>
    <x v="8"/>
    <x v="0"/>
    <n v="20"/>
    <n v="12686.4"/>
  </r>
  <r>
    <x v="499"/>
    <s v="Riya Jain"/>
    <s v="C203"/>
    <x v="1"/>
    <s v="B1"/>
    <x v="2"/>
    <x v="0"/>
    <n v="15197"/>
    <x v="4"/>
    <m/>
    <n v="17000"/>
    <x v="22"/>
    <x v="1"/>
    <n v="0"/>
    <n v="15197"/>
  </r>
  <r>
    <x v="500"/>
    <s v="Anjali Verma"/>
    <s v="C202"/>
    <x v="2"/>
    <s v="B2"/>
    <x v="0"/>
    <x v="2"/>
    <n v="12438"/>
    <x v="2"/>
    <m/>
    <n v="13000"/>
    <x v="7"/>
    <x v="0"/>
    <n v="15"/>
    <n v="10572.3"/>
  </r>
  <r>
    <x v="501"/>
    <s v="Riya Nair"/>
    <s v="C204"/>
    <x v="3"/>
    <s v="B3"/>
    <x v="2"/>
    <x v="1"/>
    <n v="7923"/>
    <x v="0"/>
    <n v="0.2"/>
    <n v="9000"/>
    <x v="22"/>
    <x v="0"/>
    <n v="20"/>
    <n v="6338.4"/>
  </r>
  <r>
    <x v="502"/>
    <s v="Riya Patel"/>
    <s v="C201"/>
    <x v="0"/>
    <s v="B2"/>
    <x v="1"/>
    <x v="2"/>
    <n v="13069"/>
    <x v="1"/>
    <n v="0.1"/>
    <n v="14000"/>
    <x v="11"/>
    <x v="0"/>
    <n v="10"/>
    <n v="11762.1"/>
  </r>
  <r>
    <x v="503"/>
    <s v="Pooja Mehta"/>
    <s v="C204"/>
    <x v="3"/>
    <s v="B1"/>
    <x v="2"/>
    <x v="0"/>
    <n v="9240"/>
    <x v="1"/>
    <n v="0.1"/>
    <n v="9000"/>
    <x v="40"/>
    <x v="0"/>
    <n v="10"/>
    <n v="8316"/>
  </r>
  <r>
    <x v="504"/>
    <s v="Kavita Joshi"/>
    <s v="C204"/>
    <x v="3"/>
    <s v="B3"/>
    <x v="1"/>
    <x v="2"/>
    <n v="10860"/>
    <x v="0"/>
    <n v="0.2"/>
    <n v="9000"/>
    <x v="15"/>
    <x v="0"/>
    <n v="20"/>
    <n v="8688"/>
  </r>
  <r>
    <x v="505"/>
    <s v="Kunal Verma"/>
    <s v="C202"/>
    <x v="2"/>
    <s v="B1"/>
    <x v="1"/>
    <x v="2"/>
    <n v="11841"/>
    <x v="0"/>
    <n v="0.2"/>
    <n v="13000"/>
    <x v="2"/>
    <x v="0"/>
    <n v="20"/>
    <n v="9472.7999999999993"/>
  </r>
  <r>
    <x v="506"/>
    <s v="Anjali Gupta"/>
    <s v="C203"/>
    <x v="1"/>
    <s v="B3"/>
    <x v="0"/>
    <x v="2"/>
    <n v="15972"/>
    <x v="1"/>
    <n v="0.1"/>
    <n v="17000"/>
    <x v="55"/>
    <x v="0"/>
    <n v="10"/>
    <n v="14374.8"/>
  </r>
  <r>
    <x v="507"/>
    <s v="Rahul Joshi"/>
    <s v="C204"/>
    <x v="3"/>
    <s v="B1"/>
    <x v="1"/>
    <x v="2"/>
    <n v="7015"/>
    <x v="4"/>
    <m/>
    <n v="9000"/>
    <x v="14"/>
    <x v="1"/>
    <n v="0"/>
    <n v="7015"/>
  </r>
  <r>
    <x v="508"/>
    <s v="Aditya Nair"/>
    <s v="C204"/>
    <x v="3"/>
    <s v="B1"/>
    <x v="1"/>
    <x v="0"/>
    <n v="7847"/>
    <x v="0"/>
    <n v="0.2"/>
    <n v="9000"/>
    <x v="56"/>
    <x v="0"/>
    <n v="20"/>
    <n v="6277.6"/>
  </r>
  <r>
    <x v="509"/>
    <s v="Aditya Shah"/>
    <s v="C204"/>
    <x v="3"/>
    <s v="B1"/>
    <x v="0"/>
    <x v="2"/>
    <n v="8928"/>
    <x v="4"/>
    <m/>
    <n v="9000"/>
    <x v="48"/>
    <x v="1"/>
    <n v="0"/>
    <n v="8928"/>
  </r>
  <r>
    <x v="510"/>
    <s v="Rohit Rao"/>
    <s v="C201"/>
    <x v="0"/>
    <s v="B3"/>
    <x v="2"/>
    <x v="2"/>
    <n v="12757"/>
    <x v="3"/>
    <n v="0.3"/>
    <n v="14000"/>
    <x v="43"/>
    <x v="0"/>
    <n v="30"/>
    <n v="8929.9"/>
  </r>
  <r>
    <x v="511"/>
    <s v="Rahul Jain"/>
    <s v="C202"/>
    <x v="2"/>
    <s v="B2"/>
    <x v="1"/>
    <x v="2"/>
    <n v="12801"/>
    <x v="4"/>
    <m/>
    <n v="13000"/>
    <x v="41"/>
    <x v="1"/>
    <n v="0"/>
    <n v="12801"/>
  </r>
  <r>
    <x v="512"/>
    <s v="Sneha Nair"/>
    <s v="C203"/>
    <x v="1"/>
    <s v="B3"/>
    <x v="1"/>
    <x v="0"/>
    <n v="18081"/>
    <x v="1"/>
    <n v="0.1"/>
    <n v="17000"/>
    <x v="14"/>
    <x v="0"/>
    <n v="10"/>
    <n v="16272.9"/>
  </r>
  <r>
    <x v="513"/>
    <s v="Rohit Jain"/>
    <s v="C204"/>
    <x v="3"/>
    <s v="B3"/>
    <x v="1"/>
    <x v="1"/>
    <n v="7249"/>
    <x v="4"/>
    <m/>
    <n v="9000"/>
    <x v="39"/>
    <x v="1"/>
    <n v="0"/>
    <n v="7249"/>
  </r>
  <r>
    <x v="514"/>
    <s v="Manish Verma"/>
    <s v="C204"/>
    <x v="3"/>
    <s v="B3"/>
    <x v="1"/>
    <x v="2"/>
    <n v="8224"/>
    <x v="1"/>
    <n v="0.1"/>
    <n v="9000"/>
    <x v="32"/>
    <x v="0"/>
    <n v="10"/>
    <n v="7401.6"/>
  </r>
  <r>
    <x v="515"/>
    <s v="Kunal Nair"/>
    <s v="C201"/>
    <x v="0"/>
    <s v="B3"/>
    <x v="2"/>
    <x v="1"/>
    <n v="15278"/>
    <x v="2"/>
    <m/>
    <n v="14000"/>
    <x v="26"/>
    <x v="0"/>
    <n v="15"/>
    <n v="12986.3"/>
  </r>
  <r>
    <x v="516"/>
    <s v="Kavita Mehta"/>
    <s v="C201"/>
    <x v="0"/>
    <s v="B2"/>
    <x v="1"/>
    <x v="0"/>
    <n v="15981"/>
    <x v="0"/>
    <n v="0.2"/>
    <n v="14000"/>
    <x v="50"/>
    <x v="0"/>
    <n v="20"/>
    <n v="12784.8"/>
  </r>
  <r>
    <x v="517"/>
    <s v="Sneha Mehta"/>
    <s v="C201"/>
    <x v="0"/>
    <s v="B2"/>
    <x v="1"/>
    <x v="1"/>
    <n v="13783"/>
    <x v="0"/>
    <n v="0.2"/>
    <n v="14000"/>
    <x v="39"/>
    <x v="0"/>
    <n v="20"/>
    <n v="11026.4"/>
  </r>
  <r>
    <x v="518"/>
    <s v="Rohit Mehta"/>
    <s v="C203"/>
    <x v="1"/>
    <s v="B2"/>
    <x v="2"/>
    <x v="0"/>
    <n v="15356"/>
    <x v="4"/>
    <m/>
    <n v="17000"/>
    <x v="35"/>
    <x v="1"/>
    <n v="0"/>
    <n v="15356"/>
  </r>
  <r>
    <x v="519"/>
    <s v="Rahul Gupta"/>
    <s v="C203"/>
    <x v="1"/>
    <s v="B2"/>
    <x v="2"/>
    <x v="2"/>
    <n v="18756"/>
    <x v="1"/>
    <n v="0.1"/>
    <n v="17000"/>
    <x v="38"/>
    <x v="0"/>
    <n v="10"/>
    <n v="16880.400000000001"/>
  </r>
  <r>
    <x v="520"/>
    <s v="Anjali Joshi"/>
    <s v="C204"/>
    <x v="3"/>
    <s v="B1"/>
    <x v="0"/>
    <x v="0"/>
    <n v="7607"/>
    <x v="2"/>
    <m/>
    <n v="9000"/>
    <x v="29"/>
    <x v="0"/>
    <n v="15"/>
    <n v="6465.95"/>
  </r>
  <r>
    <x v="521"/>
    <s v="Kavita Patel"/>
    <s v="C201"/>
    <x v="0"/>
    <s v="B1"/>
    <x v="2"/>
    <x v="0"/>
    <n v="15218"/>
    <x v="3"/>
    <n v="0.3"/>
    <n v="14000"/>
    <x v="16"/>
    <x v="0"/>
    <n v="30"/>
    <n v="10652.6"/>
  </r>
  <r>
    <x v="522"/>
    <s v="Manish Jain"/>
    <s v="C204"/>
    <x v="3"/>
    <s v="B2"/>
    <x v="0"/>
    <x v="1"/>
    <n v="8988"/>
    <x v="2"/>
    <m/>
    <n v="9000"/>
    <x v="15"/>
    <x v="0"/>
    <n v="15"/>
    <n v="7639.8"/>
  </r>
  <r>
    <x v="523"/>
    <s v="Neha Kulkarni"/>
    <s v="C202"/>
    <x v="2"/>
    <s v="B2"/>
    <x v="0"/>
    <x v="0"/>
    <n v="13532"/>
    <x v="2"/>
    <m/>
    <n v="13000"/>
    <x v="26"/>
    <x v="0"/>
    <n v="15"/>
    <n v="11502.2"/>
  </r>
  <r>
    <x v="524"/>
    <s v="Anjali Verma"/>
    <s v="C201"/>
    <x v="0"/>
    <s v="B2"/>
    <x v="0"/>
    <x v="1"/>
    <n v="12973"/>
    <x v="1"/>
    <n v="0.1"/>
    <n v="14000"/>
    <x v="0"/>
    <x v="0"/>
    <n v="10"/>
    <n v="11675.7"/>
  </r>
  <r>
    <x v="525"/>
    <s v="Neha Rao"/>
    <s v="C203"/>
    <x v="1"/>
    <s v="B1"/>
    <x v="0"/>
    <x v="2"/>
    <n v="16273"/>
    <x v="3"/>
    <n v="0.3"/>
    <n v="17000"/>
    <x v="10"/>
    <x v="0"/>
    <n v="30"/>
    <n v="11391.1"/>
  </r>
  <r>
    <x v="526"/>
    <s v="Neha Nair"/>
    <s v="C201"/>
    <x v="0"/>
    <s v="B1"/>
    <x v="1"/>
    <x v="2"/>
    <n v="15990"/>
    <x v="4"/>
    <m/>
    <n v="14000"/>
    <x v="57"/>
    <x v="1"/>
    <n v="0"/>
    <n v="15990"/>
  </r>
  <r>
    <x v="527"/>
    <s v="Meera Jain"/>
    <s v="C203"/>
    <x v="1"/>
    <s v="B3"/>
    <x v="0"/>
    <x v="1"/>
    <n v="17644"/>
    <x v="1"/>
    <n v="0.1"/>
    <n v="17000"/>
    <x v="19"/>
    <x v="0"/>
    <n v="10"/>
    <n v="15879.6"/>
  </r>
  <r>
    <x v="528"/>
    <s v="Neha Patil"/>
    <s v="C204"/>
    <x v="3"/>
    <s v="B3"/>
    <x v="0"/>
    <x v="1"/>
    <n v="10552"/>
    <x v="3"/>
    <n v="0.3"/>
    <n v="9000"/>
    <x v="39"/>
    <x v="0"/>
    <n v="30"/>
    <n v="7386.4"/>
  </r>
  <r>
    <x v="529"/>
    <s v="Aarav Gupta"/>
    <s v="C202"/>
    <x v="2"/>
    <s v="B1"/>
    <x v="0"/>
    <x v="1"/>
    <n v="13075"/>
    <x v="4"/>
    <m/>
    <n v="13000"/>
    <x v="59"/>
    <x v="1"/>
    <n v="0"/>
    <n v="13075"/>
  </r>
  <r>
    <x v="530"/>
    <s v="Dev Nair"/>
    <s v="C201"/>
    <x v="0"/>
    <s v="B1"/>
    <x v="1"/>
    <x v="0"/>
    <n v="15428"/>
    <x v="1"/>
    <n v="0.1"/>
    <n v="14000"/>
    <x v="27"/>
    <x v="0"/>
    <n v="10"/>
    <n v="13885.2"/>
  </r>
  <r>
    <x v="531"/>
    <s v="Aarav Iyer"/>
    <s v="C201"/>
    <x v="0"/>
    <s v="B2"/>
    <x v="2"/>
    <x v="0"/>
    <n v="13122"/>
    <x v="3"/>
    <n v="0.3"/>
    <n v="14000"/>
    <x v="39"/>
    <x v="0"/>
    <n v="30"/>
    <n v="9185.4"/>
  </r>
  <r>
    <x v="532"/>
    <s v="Neha Gupta"/>
    <s v="C204"/>
    <x v="3"/>
    <s v="B3"/>
    <x v="1"/>
    <x v="1"/>
    <n v="7125"/>
    <x v="0"/>
    <n v="0.2"/>
    <n v="9000"/>
    <x v="51"/>
    <x v="0"/>
    <n v="20"/>
    <n v="5700"/>
  </r>
  <r>
    <x v="533"/>
    <s v="Neha Joshi"/>
    <s v="C204"/>
    <x v="3"/>
    <s v="B1"/>
    <x v="0"/>
    <x v="1"/>
    <n v="9258"/>
    <x v="3"/>
    <n v="0.3"/>
    <n v="9000"/>
    <x v="37"/>
    <x v="0"/>
    <n v="30"/>
    <n v="6480.6"/>
  </r>
  <r>
    <x v="534"/>
    <s v="Karan Nair"/>
    <s v="C203"/>
    <x v="1"/>
    <s v="B3"/>
    <x v="2"/>
    <x v="0"/>
    <n v="16167"/>
    <x v="1"/>
    <n v="0.1"/>
    <n v="17000"/>
    <x v="7"/>
    <x v="0"/>
    <n v="10"/>
    <n v="14550.3"/>
  </r>
  <r>
    <x v="535"/>
    <s v="Aarav Mehta"/>
    <s v="C202"/>
    <x v="2"/>
    <s v="B1"/>
    <x v="2"/>
    <x v="0"/>
    <n v="13775"/>
    <x v="0"/>
    <n v="0.2"/>
    <n v="13000"/>
    <x v="3"/>
    <x v="0"/>
    <n v="20"/>
    <n v="11020"/>
  </r>
  <r>
    <x v="536"/>
    <s v="Rohit Verma"/>
    <s v="C201"/>
    <x v="0"/>
    <s v="B3"/>
    <x v="1"/>
    <x v="2"/>
    <n v="15733"/>
    <x v="0"/>
    <n v="0.2"/>
    <n v="14000"/>
    <x v="49"/>
    <x v="0"/>
    <n v="20"/>
    <n v="12586.4"/>
  </r>
  <r>
    <x v="537"/>
    <s v="Karan Joshi"/>
    <s v="C201"/>
    <x v="0"/>
    <s v="B1"/>
    <x v="0"/>
    <x v="1"/>
    <n v="15297"/>
    <x v="3"/>
    <n v="0.3"/>
    <n v="14000"/>
    <x v="6"/>
    <x v="0"/>
    <n v="30"/>
    <n v="10707.9"/>
  </r>
  <r>
    <x v="538"/>
    <s v="Anjali Singh"/>
    <s v="C203"/>
    <x v="1"/>
    <s v="B2"/>
    <x v="0"/>
    <x v="2"/>
    <n v="16880"/>
    <x v="3"/>
    <n v="0.3"/>
    <n v="17000"/>
    <x v="1"/>
    <x v="0"/>
    <n v="30"/>
    <n v="11816"/>
  </r>
  <r>
    <x v="539"/>
    <s v="Neha Rao"/>
    <s v="C204"/>
    <x v="3"/>
    <s v="B3"/>
    <x v="1"/>
    <x v="0"/>
    <n v="9095"/>
    <x v="3"/>
    <n v="0.3"/>
    <n v="9000"/>
    <x v="35"/>
    <x v="0"/>
    <n v="30"/>
    <n v="6366.5"/>
  </r>
  <r>
    <x v="540"/>
    <s v="Rohit Joshi"/>
    <s v="C203"/>
    <x v="1"/>
    <s v="B2"/>
    <x v="2"/>
    <x v="0"/>
    <n v="16973"/>
    <x v="1"/>
    <n v="0.1"/>
    <n v="17000"/>
    <x v="40"/>
    <x v="0"/>
    <n v="10"/>
    <n v="15275.7"/>
  </r>
  <r>
    <x v="541"/>
    <s v="Aditya Singh"/>
    <s v="C203"/>
    <x v="1"/>
    <s v="B2"/>
    <x v="0"/>
    <x v="1"/>
    <n v="17912"/>
    <x v="3"/>
    <n v="0.3"/>
    <n v="17000"/>
    <x v="19"/>
    <x v="0"/>
    <n v="30"/>
    <n v="12538.4"/>
  </r>
  <r>
    <x v="542"/>
    <s v="Karan Gupta"/>
    <s v="C202"/>
    <x v="2"/>
    <s v="B1"/>
    <x v="2"/>
    <x v="2"/>
    <n v="13705"/>
    <x v="3"/>
    <n v="0.3"/>
    <n v="13000"/>
    <x v="26"/>
    <x v="0"/>
    <n v="30"/>
    <n v="9593.5"/>
  </r>
  <r>
    <x v="543"/>
    <s v="Karan Desai"/>
    <s v="C201"/>
    <x v="0"/>
    <s v="B3"/>
    <x v="0"/>
    <x v="2"/>
    <n v="13062"/>
    <x v="4"/>
    <m/>
    <n v="14000"/>
    <x v="32"/>
    <x v="1"/>
    <n v="0"/>
    <n v="13062"/>
  </r>
  <r>
    <x v="544"/>
    <s v="Rahul Desai"/>
    <s v="C201"/>
    <x v="0"/>
    <s v="B3"/>
    <x v="2"/>
    <x v="1"/>
    <n v="15342"/>
    <x v="0"/>
    <n v="0.2"/>
    <n v="14000"/>
    <x v="40"/>
    <x v="0"/>
    <n v="20"/>
    <n v="12273.6"/>
  </r>
  <r>
    <x v="545"/>
    <s v="Anjali Desai"/>
    <s v="C202"/>
    <x v="2"/>
    <s v="B3"/>
    <x v="2"/>
    <x v="1"/>
    <n v="14214"/>
    <x v="4"/>
    <m/>
    <n v="13000"/>
    <x v="58"/>
    <x v="1"/>
    <n v="0"/>
    <n v="14214"/>
  </r>
  <r>
    <x v="546"/>
    <s v="Rohit Jain"/>
    <s v="C203"/>
    <x v="1"/>
    <s v="B1"/>
    <x v="2"/>
    <x v="1"/>
    <n v="15741"/>
    <x v="3"/>
    <n v="0.3"/>
    <n v="17000"/>
    <x v="25"/>
    <x v="0"/>
    <n v="30"/>
    <n v="11018.7"/>
  </r>
  <r>
    <x v="547"/>
    <s v="Neha Mehta"/>
    <s v="C203"/>
    <x v="1"/>
    <s v="B3"/>
    <x v="2"/>
    <x v="0"/>
    <n v="18878"/>
    <x v="3"/>
    <n v="0.3"/>
    <n v="17000"/>
    <x v="49"/>
    <x v="0"/>
    <n v="30"/>
    <n v="13214.6"/>
  </r>
  <r>
    <x v="548"/>
    <s v="Riya Patil"/>
    <s v="C203"/>
    <x v="1"/>
    <s v="B1"/>
    <x v="2"/>
    <x v="2"/>
    <n v="16722"/>
    <x v="3"/>
    <n v="0.3"/>
    <n v="17000"/>
    <x v="51"/>
    <x v="0"/>
    <n v="30"/>
    <n v="11705.4"/>
  </r>
  <r>
    <x v="549"/>
    <s v="Aditya Joshi"/>
    <s v="C203"/>
    <x v="1"/>
    <s v="B2"/>
    <x v="1"/>
    <x v="2"/>
    <n v="15219"/>
    <x v="2"/>
    <m/>
    <n v="17000"/>
    <x v="29"/>
    <x v="0"/>
    <n v="15"/>
    <n v="12936.15"/>
  </r>
  <r>
    <x v="550"/>
    <s v="Kavita Shah"/>
    <s v="C204"/>
    <x v="3"/>
    <s v="B1"/>
    <x v="2"/>
    <x v="0"/>
    <n v="10553"/>
    <x v="4"/>
    <m/>
    <n v="9000"/>
    <x v="42"/>
    <x v="1"/>
    <n v="0"/>
    <n v="10553"/>
  </r>
  <r>
    <x v="551"/>
    <s v="Aditya Verma"/>
    <s v="C201"/>
    <x v="0"/>
    <s v="B1"/>
    <x v="1"/>
    <x v="0"/>
    <n v="13403"/>
    <x v="4"/>
    <m/>
    <n v="14000"/>
    <x v="52"/>
    <x v="1"/>
    <n v="0"/>
    <n v="13403"/>
  </r>
  <r>
    <x v="552"/>
    <s v="Kunal Iyer"/>
    <s v="C202"/>
    <x v="2"/>
    <s v="B2"/>
    <x v="2"/>
    <x v="0"/>
    <n v="14190"/>
    <x v="1"/>
    <n v="0.1"/>
    <n v="13000"/>
    <x v="20"/>
    <x v="0"/>
    <n v="10"/>
    <n v="12771"/>
  </r>
  <r>
    <x v="553"/>
    <s v="Pooja Singh"/>
    <s v="C202"/>
    <x v="2"/>
    <s v="B2"/>
    <x v="2"/>
    <x v="0"/>
    <n v="11019"/>
    <x v="4"/>
    <m/>
    <n v="13000"/>
    <x v="3"/>
    <x v="1"/>
    <n v="0"/>
    <n v="11019"/>
  </r>
  <r>
    <x v="554"/>
    <s v="Sneha Patel"/>
    <s v="C202"/>
    <x v="2"/>
    <s v="B3"/>
    <x v="1"/>
    <x v="2"/>
    <n v="14216"/>
    <x v="1"/>
    <n v="0.1"/>
    <n v="13000"/>
    <x v="59"/>
    <x v="0"/>
    <n v="10"/>
    <n v="12794.4"/>
  </r>
  <r>
    <x v="555"/>
    <s v="Kavita Verma"/>
    <s v="C204"/>
    <x v="3"/>
    <s v="B2"/>
    <x v="0"/>
    <x v="2"/>
    <n v="8570"/>
    <x v="1"/>
    <n v="0.1"/>
    <n v="9000"/>
    <x v="34"/>
    <x v="0"/>
    <n v="10"/>
    <n v="7713"/>
  </r>
  <r>
    <x v="556"/>
    <s v="Manish Patil"/>
    <s v="C203"/>
    <x v="1"/>
    <s v="B1"/>
    <x v="0"/>
    <x v="1"/>
    <n v="15780"/>
    <x v="1"/>
    <n v="0.1"/>
    <n v="17000"/>
    <x v="26"/>
    <x v="0"/>
    <n v="10"/>
    <n v="14202"/>
  </r>
  <r>
    <x v="557"/>
    <s v="Aarav Singh"/>
    <s v="C202"/>
    <x v="2"/>
    <s v="B1"/>
    <x v="2"/>
    <x v="2"/>
    <n v="12278"/>
    <x v="0"/>
    <n v="0.2"/>
    <n v="13000"/>
    <x v="25"/>
    <x v="0"/>
    <n v="20"/>
    <n v="9822.4"/>
  </r>
  <r>
    <x v="558"/>
    <s v="Rahul Gupta"/>
    <s v="C203"/>
    <x v="1"/>
    <s v="B1"/>
    <x v="1"/>
    <x v="0"/>
    <n v="16221"/>
    <x v="3"/>
    <n v="0.3"/>
    <n v="17000"/>
    <x v="44"/>
    <x v="0"/>
    <n v="30"/>
    <n v="11354.7"/>
  </r>
  <r>
    <x v="559"/>
    <s v="Anjali Gupta"/>
    <s v="C203"/>
    <x v="1"/>
    <s v="B2"/>
    <x v="2"/>
    <x v="0"/>
    <n v="16403"/>
    <x v="4"/>
    <m/>
    <n v="17000"/>
    <x v="37"/>
    <x v="1"/>
    <n v="0"/>
    <n v="16403"/>
  </r>
  <r>
    <x v="560"/>
    <s v="Dev Patil"/>
    <s v="C202"/>
    <x v="2"/>
    <s v="B2"/>
    <x v="1"/>
    <x v="0"/>
    <n v="11918"/>
    <x v="0"/>
    <n v="0.2"/>
    <n v="13000"/>
    <x v="1"/>
    <x v="0"/>
    <n v="20"/>
    <n v="9534.4"/>
  </r>
  <r>
    <x v="561"/>
    <s v="Anjali Kulkarni"/>
    <s v="C202"/>
    <x v="2"/>
    <s v="B1"/>
    <x v="0"/>
    <x v="1"/>
    <n v="13664"/>
    <x v="1"/>
    <n v="0.1"/>
    <n v="13000"/>
    <x v="7"/>
    <x v="0"/>
    <n v="10"/>
    <n v="12297.6"/>
  </r>
  <r>
    <x v="562"/>
    <s v="Kunal Singh"/>
    <s v="C203"/>
    <x v="1"/>
    <s v="B3"/>
    <x v="2"/>
    <x v="0"/>
    <n v="17432"/>
    <x v="1"/>
    <n v="0.1"/>
    <n v="17000"/>
    <x v="45"/>
    <x v="0"/>
    <n v="10"/>
    <n v="15688.8"/>
  </r>
  <r>
    <x v="563"/>
    <s v="Riya Singh"/>
    <s v="C201"/>
    <x v="0"/>
    <s v="B1"/>
    <x v="2"/>
    <x v="0"/>
    <n v="13707"/>
    <x v="4"/>
    <m/>
    <n v="14000"/>
    <x v="7"/>
    <x v="1"/>
    <n v="0"/>
    <n v="13707"/>
  </r>
  <r>
    <x v="564"/>
    <s v="Riya Gupta"/>
    <s v="C203"/>
    <x v="1"/>
    <s v="B2"/>
    <x v="2"/>
    <x v="0"/>
    <n v="15841"/>
    <x v="1"/>
    <n v="0.1"/>
    <n v="17000"/>
    <x v="47"/>
    <x v="0"/>
    <n v="10"/>
    <n v="14256.9"/>
  </r>
  <r>
    <x v="565"/>
    <s v="Rahul Singh"/>
    <s v="C201"/>
    <x v="0"/>
    <s v="B3"/>
    <x v="2"/>
    <x v="2"/>
    <n v="14550"/>
    <x v="2"/>
    <m/>
    <n v="14000"/>
    <x v="8"/>
    <x v="0"/>
    <n v="15"/>
    <n v="12367.5"/>
  </r>
  <r>
    <x v="566"/>
    <s v="Karan Verma"/>
    <s v="C201"/>
    <x v="0"/>
    <s v="B3"/>
    <x v="2"/>
    <x v="1"/>
    <n v="12482"/>
    <x v="3"/>
    <n v="0.3"/>
    <n v="14000"/>
    <x v="17"/>
    <x v="0"/>
    <n v="30"/>
    <n v="8737.4"/>
  </r>
  <r>
    <x v="567"/>
    <s v="Dev Shah"/>
    <s v="C204"/>
    <x v="3"/>
    <s v="B1"/>
    <x v="2"/>
    <x v="0"/>
    <n v="10186"/>
    <x v="3"/>
    <n v="0.3"/>
    <n v="9000"/>
    <x v="10"/>
    <x v="0"/>
    <n v="30"/>
    <n v="7130.2"/>
  </r>
  <r>
    <x v="568"/>
    <s v="Manish Patil"/>
    <s v="C203"/>
    <x v="1"/>
    <s v="B3"/>
    <x v="0"/>
    <x v="2"/>
    <n v="15656"/>
    <x v="1"/>
    <n v="0.1"/>
    <n v="17000"/>
    <x v="35"/>
    <x v="0"/>
    <n v="10"/>
    <n v="14090.4"/>
  </r>
  <r>
    <x v="569"/>
    <s v="Neha Patil"/>
    <s v="C204"/>
    <x v="3"/>
    <s v="B2"/>
    <x v="1"/>
    <x v="0"/>
    <n v="7052"/>
    <x v="1"/>
    <n v="0.1"/>
    <n v="9000"/>
    <x v="58"/>
    <x v="0"/>
    <n v="10"/>
    <n v="6346.8"/>
  </r>
  <r>
    <x v="570"/>
    <s v="Riya Nair"/>
    <s v="C204"/>
    <x v="3"/>
    <s v="B1"/>
    <x v="1"/>
    <x v="1"/>
    <n v="7307"/>
    <x v="1"/>
    <n v="0.1"/>
    <n v="9000"/>
    <x v="48"/>
    <x v="0"/>
    <n v="10"/>
    <n v="6576.3"/>
  </r>
  <r>
    <x v="571"/>
    <s v="Aditya Singh"/>
    <s v="C202"/>
    <x v="2"/>
    <s v="B2"/>
    <x v="0"/>
    <x v="2"/>
    <n v="12901"/>
    <x v="1"/>
    <n v="0.1"/>
    <n v="13000"/>
    <x v="25"/>
    <x v="0"/>
    <n v="10"/>
    <n v="11610.9"/>
  </r>
  <r>
    <x v="572"/>
    <s v="Meera Mehta"/>
    <s v="C201"/>
    <x v="0"/>
    <s v="B2"/>
    <x v="0"/>
    <x v="1"/>
    <n v="13280"/>
    <x v="4"/>
    <m/>
    <n v="14000"/>
    <x v="0"/>
    <x v="1"/>
    <n v="0"/>
    <n v="13280"/>
  </r>
  <r>
    <x v="573"/>
    <s v="Riya Shah"/>
    <s v="C201"/>
    <x v="0"/>
    <s v="B1"/>
    <x v="1"/>
    <x v="1"/>
    <n v="14650"/>
    <x v="0"/>
    <n v="0.2"/>
    <n v="14000"/>
    <x v="40"/>
    <x v="0"/>
    <n v="20"/>
    <n v="11720"/>
  </r>
  <r>
    <x v="574"/>
    <s v="Pooja Iyer"/>
    <s v="C203"/>
    <x v="1"/>
    <s v="B3"/>
    <x v="1"/>
    <x v="2"/>
    <n v="18338"/>
    <x v="3"/>
    <n v="0.3"/>
    <n v="17000"/>
    <x v="53"/>
    <x v="0"/>
    <n v="30"/>
    <n v="12836.6"/>
  </r>
  <r>
    <x v="575"/>
    <s v="Riya Verma"/>
    <s v="C204"/>
    <x v="3"/>
    <s v="B2"/>
    <x v="0"/>
    <x v="2"/>
    <n v="9825"/>
    <x v="4"/>
    <m/>
    <n v="9000"/>
    <x v="50"/>
    <x v="1"/>
    <n v="0"/>
    <n v="9825"/>
  </r>
  <r>
    <x v="576"/>
    <s v="Rahul Singh"/>
    <s v="C202"/>
    <x v="2"/>
    <s v="B1"/>
    <x v="1"/>
    <x v="1"/>
    <n v="13975"/>
    <x v="1"/>
    <n v="0.1"/>
    <n v="13000"/>
    <x v="21"/>
    <x v="0"/>
    <n v="10"/>
    <n v="12577.5"/>
  </r>
  <r>
    <x v="577"/>
    <s v="Meera Mehta"/>
    <s v="C201"/>
    <x v="0"/>
    <s v="B2"/>
    <x v="2"/>
    <x v="2"/>
    <n v="15286"/>
    <x v="2"/>
    <m/>
    <n v="14000"/>
    <x v="26"/>
    <x v="0"/>
    <n v="15"/>
    <n v="12993.1"/>
  </r>
  <r>
    <x v="578"/>
    <s v="Neha Mehta"/>
    <s v="C204"/>
    <x v="3"/>
    <s v="B2"/>
    <x v="2"/>
    <x v="0"/>
    <n v="10533"/>
    <x v="0"/>
    <n v="0.2"/>
    <n v="9000"/>
    <x v="30"/>
    <x v="0"/>
    <n v="20"/>
    <n v="8426.4"/>
  </r>
  <r>
    <x v="579"/>
    <s v="Kunal Iyer"/>
    <s v="C201"/>
    <x v="0"/>
    <s v="B2"/>
    <x v="0"/>
    <x v="0"/>
    <n v="12259"/>
    <x v="3"/>
    <n v="0.3"/>
    <n v="14000"/>
    <x v="49"/>
    <x v="0"/>
    <n v="30"/>
    <n v="8581.2999999999993"/>
  </r>
  <r>
    <x v="580"/>
    <s v="Pooja Kulkarni"/>
    <s v="C202"/>
    <x v="2"/>
    <s v="B3"/>
    <x v="0"/>
    <x v="1"/>
    <n v="13142"/>
    <x v="2"/>
    <m/>
    <n v="13000"/>
    <x v="25"/>
    <x v="0"/>
    <n v="15"/>
    <n v="11170.7"/>
  </r>
  <r>
    <x v="581"/>
    <s v="Rahul Singh"/>
    <s v="C202"/>
    <x v="2"/>
    <s v="B2"/>
    <x v="0"/>
    <x v="1"/>
    <n v="13770"/>
    <x v="4"/>
    <m/>
    <n v="13000"/>
    <x v="12"/>
    <x v="1"/>
    <n v="0"/>
    <n v="13770"/>
  </r>
  <r>
    <x v="582"/>
    <s v="Meera Nair"/>
    <s v="C201"/>
    <x v="0"/>
    <s v="B1"/>
    <x v="2"/>
    <x v="0"/>
    <n v="14070"/>
    <x v="4"/>
    <m/>
    <n v="14000"/>
    <x v="4"/>
    <x v="1"/>
    <n v="0"/>
    <n v="14070"/>
  </r>
  <r>
    <x v="583"/>
    <s v="Neha Nair"/>
    <s v="C202"/>
    <x v="2"/>
    <s v="B1"/>
    <x v="0"/>
    <x v="2"/>
    <n v="11986"/>
    <x v="3"/>
    <n v="0.3"/>
    <n v="13000"/>
    <x v="3"/>
    <x v="0"/>
    <n v="30"/>
    <n v="8390.2000000000007"/>
  </r>
  <r>
    <x v="584"/>
    <s v="Aarav Gupta"/>
    <s v="C202"/>
    <x v="2"/>
    <s v="B3"/>
    <x v="2"/>
    <x v="2"/>
    <n v="12651"/>
    <x v="0"/>
    <n v="0.2"/>
    <n v="13000"/>
    <x v="14"/>
    <x v="0"/>
    <n v="20"/>
    <n v="10120.799999999999"/>
  </r>
  <r>
    <x v="585"/>
    <s v="Neha Iyer"/>
    <s v="C204"/>
    <x v="3"/>
    <s v="B1"/>
    <x v="0"/>
    <x v="2"/>
    <n v="8294"/>
    <x v="1"/>
    <n v="0.1"/>
    <n v="9000"/>
    <x v="20"/>
    <x v="0"/>
    <n v="10"/>
    <n v="7464.6"/>
  </r>
  <r>
    <x v="586"/>
    <s v="Anjali Singh"/>
    <s v="C201"/>
    <x v="0"/>
    <s v="B1"/>
    <x v="0"/>
    <x v="2"/>
    <n v="12146"/>
    <x v="2"/>
    <m/>
    <n v="14000"/>
    <x v="35"/>
    <x v="0"/>
    <n v="15"/>
    <n v="10324.1"/>
  </r>
  <r>
    <x v="587"/>
    <s v="Aarav Nair"/>
    <s v="C201"/>
    <x v="0"/>
    <s v="B3"/>
    <x v="2"/>
    <x v="1"/>
    <n v="13247"/>
    <x v="2"/>
    <m/>
    <n v="14000"/>
    <x v="35"/>
    <x v="0"/>
    <n v="15"/>
    <n v="11259.95"/>
  </r>
  <r>
    <x v="588"/>
    <s v="Sneha Singh"/>
    <s v="C204"/>
    <x v="3"/>
    <s v="B2"/>
    <x v="0"/>
    <x v="0"/>
    <n v="10344"/>
    <x v="0"/>
    <n v="0.2"/>
    <n v="9000"/>
    <x v="4"/>
    <x v="0"/>
    <n v="20"/>
    <n v="8275.2000000000007"/>
  </r>
  <r>
    <x v="589"/>
    <s v="Neha Jain"/>
    <s v="C204"/>
    <x v="3"/>
    <s v="B3"/>
    <x v="2"/>
    <x v="2"/>
    <n v="9932"/>
    <x v="4"/>
    <m/>
    <n v="9000"/>
    <x v="17"/>
    <x v="1"/>
    <n v="0"/>
    <n v="9932"/>
  </r>
  <r>
    <x v="590"/>
    <s v="Riya Patel"/>
    <s v="C202"/>
    <x v="2"/>
    <s v="B1"/>
    <x v="0"/>
    <x v="2"/>
    <n v="14399"/>
    <x v="3"/>
    <n v="0.3"/>
    <n v="13000"/>
    <x v="35"/>
    <x v="0"/>
    <n v="30"/>
    <n v="10079.299999999999"/>
  </r>
  <r>
    <x v="591"/>
    <s v="Manish Jain"/>
    <s v="C201"/>
    <x v="0"/>
    <s v="B1"/>
    <x v="1"/>
    <x v="2"/>
    <n v="12575"/>
    <x v="4"/>
    <m/>
    <n v="14000"/>
    <x v="25"/>
    <x v="1"/>
    <n v="0"/>
    <n v="12575"/>
  </r>
  <r>
    <x v="592"/>
    <s v="Aditya Joshi"/>
    <s v="C202"/>
    <x v="2"/>
    <s v="B1"/>
    <x v="1"/>
    <x v="2"/>
    <n v="11883"/>
    <x v="4"/>
    <m/>
    <n v="13000"/>
    <x v="39"/>
    <x v="1"/>
    <n v="0"/>
    <n v="11883"/>
  </r>
  <r>
    <x v="593"/>
    <s v="Dev Patil"/>
    <s v="C203"/>
    <x v="1"/>
    <s v="B1"/>
    <x v="0"/>
    <x v="0"/>
    <n v="18795"/>
    <x v="2"/>
    <m/>
    <n v="17000"/>
    <x v="17"/>
    <x v="0"/>
    <n v="15"/>
    <n v="15975.75"/>
  </r>
  <r>
    <x v="594"/>
    <s v="Dev Iyer"/>
    <s v="C204"/>
    <x v="3"/>
    <s v="B3"/>
    <x v="2"/>
    <x v="1"/>
    <n v="7551"/>
    <x v="4"/>
    <m/>
    <n v="9000"/>
    <x v="54"/>
    <x v="1"/>
    <n v="0"/>
    <n v="7551"/>
  </r>
  <r>
    <x v="595"/>
    <s v="Manish Desai"/>
    <s v="C201"/>
    <x v="0"/>
    <s v="B3"/>
    <x v="0"/>
    <x v="1"/>
    <n v="13978"/>
    <x v="2"/>
    <m/>
    <n v="14000"/>
    <x v="57"/>
    <x v="0"/>
    <n v="15"/>
    <n v="11881.3"/>
  </r>
  <r>
    <x v="596"/>
    <s v="Kunal Mehta"/>
    <s v="C202"/>
    <x v="2"/>
    <s v="B3"/>
    <x v="1"/>
    <x v="0"/>
    <n v="12586"/>
    <x v="2"/>
    <m/>
    <n v="13000"/>
    <x v="15"/>
    <x v="0"/>
    <n v="15"/>
    <n v="10698.1"/>
  </r>
  <r>
    <x v="597"/>
    <s v="Kunal Jain"/>
    <s v="C204"/>
    <x v="3"/>
    <s v="B2"/>
    <x v="2"/>
    <x v="1"/>
    <n v="10122"/>
    <x v="0"/>
    <n v="0.2"/>
    <n v="9000"/>
    <x v="3"/>
    <x v="0"/>
    <n v="20"/>
    <n v="8097.6"/>
  </r>
  <r>
    <x v="598"/>
    <s v="Rahul Jain"/>
    <s v="C203"/>
    <x v="1"/>
    <s v="B2"/>
    <x v="1"/>
    <x v="0"/>
    <n v="16690"/>
    <x v="2"/>
    <m/>
    <n v="17000"/>
    <x v="8"/>
    <x v="0"/>
    <n v="15"/>
    <n v="14186.5"/>
  </r>
  <r>
    <x v="599"/>
    <s v="Kunal Desai"/>
    <s v="C203"/>
    <x v="1"/>
    <s v="B3"/>
    <x v="2"/>
    <x v="2"/>
    <n v="17915"/>
    <x v="2"/>
    <m/>
    <n v="17000"/>
    <x v="56"/>
    <x v="0"/>
    <n v="15"/>
    <n v="15227.75"/>
  </r>
  <r>
    <x v="600"/>
    <s v="Sneha Patil"/>
    <s v="C202"/>
    <x v="2"/>
    <s v="B3"/>
    <x v="2"/>
    <x v="2"/>
    <n v="13812"/>
    <x v="3"/>
    <n v="0.3"/>
    <n v="13000"/>
    <x v="58"/>
    <x v="0"/>
    <n v="30"/>
    <n v="9668.4"/>
  </r>
  <r>
    <x v="601"/>
    <s v="Rohit Mehta"/>
    <s v="C202"/>
    <x v="2"/>
    <s v="B3"/>
    <x v="2"/>
    <x v="1"/>
    <n v="13608"/>
    <x v="3"/>
    <n v="0.3"/>
    <n v="13000"/>
    <x v="6"/>
    <x v="0"/>
    <n v="30"/>
    <n v="9525.6"/>
  </r>
  <r>
    <x v="602"/>
    <s v="Riya Patel"/>
    <s v="C203"/>
    <x v="1"/>
    <s v="B3"/>
    <x v="0"/>
    <x v="1"/>
    <n v="17337"/>
    <x v="4"/>
    <m/>
    <n v="17000"/>
    <x v="26"/>
    <x v="1"/>
    <n v="0"/>
    <n v="17337"/>
  </r>
  <r>
    <x v="603"/>
    <s v="Anjali Nair"/>
    <s v="C203"/>
    <x v="1"/>
    <s v="B2"/>
    <x v="1"/>
    <x v="1"/>
    <n v="15436"/>
    <x v="1"/>
    <n v="0.1"/>
    <n v="17000"/>
    <x v="7"/>
    <x v="0"/>
    <n v="10"/>
    <n v="13892.4"/>
  </r>
  <r>
    <x v="604"/>
    <s v="Karan Kulkarni"/>
    <s v="C201"/>
    <x v="0"/>
    <s v="B1"/>
    <x v="0"/>
    <x v="0"/>
    <n v="13173"/>
    <x v="3"/>
    <n v="0.3"/>
    <n v="14000"/>
    <x v="12"/>
    <x v="0"/>
    <n v="30"/>
    <n v="9221.1"/>
  </r>
  <r>
    <x v="605"/>
    <s v="Meera Kulkarni"/>
    <s v="C203"/>
    <x v="1"/>
    <s v="B1"/>
    <x v="2"/>
    <x v="0"/>
    <n v="16469"/>
    <x v="4"/>
    <m/>
    <n v="17000"/>
    <x v="25"/>
    <x v="1"/>
    <n v="0"/>
    <n v="16469"/>
  </r>
  <r>
    <x v="606"/>
    <s v="Kavita Nair"/>
    <s v="C202"/>
    <x v="2"/>
    <s v="B3"/>
    <x v="2"/>
    <x v="1"/>
    <n v="12592"/>
    <x v="0"/>
    <n v="0.2"/>
    <n v="13000"/>
    <x v="18"/>
    <x v="0"/>
    <n v="20"/>
    <n v="10073.6"/>
  </r>
  <r>
    <x v="607"/>
    <s v="Dev Patel"/>
    <s v="C203"/>
    <x v="1"/>
    <s v="B3"/>
    <x v="2"/>
    <x v="0"/>
    <n v="18794"/>
    <x v="4"/>
    <m/>
    <n v="17000"/>
    <x v="7"/>
    <x v="1"/>
    <n v="0"/>
    <n v="18794"/>
  </r>
  <r>
    <x v="608"/>
    <s v="Rahul Patel"/>
    <s v="C203"/>
    <x v="1"/>
    <s v="B3"/>
    <x v="1"/>
    <x v="0"/>
    <n v="18046"/>
    <x v="3"/>
    <n v="0.3"/>
    <n v="17000"/>
    <x v="19"/>
    <x v="0"/>
    <n v="30"/>
    <n v="12632.2"/>
  </r>
  <r>
    <x v="609"/>
    <s v="Kavita Nair"/>
    <s v="C204"/>
    <x v="3"/>
    <s v="B1"/>
    <x v="2"/>
    <x v="1"/>
    <n v="9906"/>
    <x v="3"/>
    <n v="0.3"/>
    <n v="9000"/>
    <x v="46"/>
    <x v="0"/>
    <n v="30"/>
    <n v="6934.2"/>
  </r>
  <r>
    <x v="610"/>
    <s v="Kavita Gupta"/>
    <s v="C202"/>
    <x v="2"/>
    <s v="B3"/>
    <x v="1"/>
    <x v="2"/>
    <n v="12838"/>
    <x v="0"/>
    <n v="0.2"/>
    <n v="13000"/>
    <x v="26"/>
    <x v="0"/>
    <n v="20"/>
    <n v="10270.4"/>
  </r>
  <r>
    <x v="611"/>
    <s v="Riya Mehta"/>
    <s v="C202"/>
    <x v="2"/>
    <s v="B3"/>
    <x v="2"/>
    <x v="0"/>
    <n v="12545"/>
    <x v="1"/>
    <n v="0.1"/>
    <n v="13000"/>
    <x v="13"/>
    <x v="0"/>
    <n v="10"/>
    <n v="11290.5"/>
  </r>
  <r>
    <x v="612"/>
    <s v="Aditya Gupta"/>
    <s v="C203"/>
    <x v="1"/>
    <s v="B1"/>
    <x v="1"/>
    <x v="1"/>
    <n v="18465"/>
    <x v="3"/>
    <n v="0.3"/>
    <n v="17000"/>
    <x v="54"/>
    <x v="0"/>
    <n v="30"/>
    <n v="12925.5"/>
  </r>
  <r>
    <x v="613"/>
    <s v="Pooja Iyer"/>
    <s v="C202"/>
    <x v="2"/>
    <s v="B1"/>
    <x v="1"/>
    <x v="2"/>
    <n v="13444"/>
    <x v="1"/>
    <n v="0.1"/>
    <n v="13000"/>
    <x v="57"/>
    <x v="0"/>
    <n v="10"/>
    <n v="12099.6"/>
  </r>
  <r>
    <x v="614"/>
    <s v="Kunal Singh"/>
    <s v="C203"/>
    <x v="1"/>
    <s v="B2"/>
    <x v="2"/>
    <x v="1"/>
    <n v="16466"/>
    <x v="1"/>
    <n v="0.1"/>
    <n v="17000"/>
    <x v="38"/>
    <x v="0"/>
    <n v="10"/>
    <n v="14819.4"/>
  </r>
  <r>
    <x v="615"/>
    <s v="Anjali Jain"/>
    <s v="C202"/>
    <x v="2"/>
    <s v="B1"/>
    <x v="2"/>
    <x v="0"/>
    <n v="14220"/>
    <x v="2"/>
    <m/>
    <n v="13000"/>
    <x v="9"/>
    <x v="0"/>
    <n v="15"/>
    <n v="12087"/>
  </r>
  <r>
    <x v="616"/>
    <s v="Rahul Gupta"/>
    <s v="C204"/>
    <x v="3"/>
    <s v="B1"/>
    <x v="0"/>
    <x v="0"/>
    <n v="10618"/>
    <x v="0"/>
    <n v="0.2"/>
    <n v="9000"/>
    <x v="45"/>
    <x v="0"/>
    <n v="20"/>
    <n v="8494.4"/>
  </r>
  <r>
    <x v="617"/>
    <s v="Pooja Jain"/>
    <s v="C203"/>
    <x v="1"/>
    <s v="B2"/>
    <x v="1"/>
    <x v="1"/>
    <n v="17172"/>
    <x v="4"/>
    <m/>
    <n v="17000"/>
    <x v="35"/>
    <x v="1"/>
    <n v="0"/>
    <n v="17172"/>
  </r>
  <r>
    <x v="618"/>
    <s v="Meera Patel"/>
    <s v="C201"/>
    <x v="0"/>
    <s v="B1"/>
    <x v="2"/>
    <x v="2"/>
    <n v="13825"/>
    <x v="0"/>
    <n v="0.2"/>
    <n v="14000"/>
    <x v="48"/>
    <x v="0"/>
    <n v="20"/>
    <n v="11060"/>
  </r>
  <r>
    <x v="619"/>
    <s v="Rohit Joshi"/>
    <s v="C202"/>
    <x v="2"/>
    <s v="B1"/>
    <x v="2"/>
    <x v="2"/>
    <n v="12562"/>
    <x v="1"/>
    <n v="0.1"/>
    <n v="13000"/>
    <x v="7"/>
    <x v="0"/>
    <n v="10"/>
    <n v="11305.8"/>
  </r>
  <r>
    <x v="620"/>
    <s v="Aditya Gupta"/>
    <s v="C203"/>
    <x v="1"/>
    <s v="B1"/>
    <x v="2"/>
    <x v="2"/>
    <n v="17106"/>
    <x v="2"/>
    <m/>
    <n v="17000"/>
    <x v="22"/>
    <x v="0"/>
    <n v="15"/>
    <n v="14540.1"/>
  </r>
  <r>
    <x v="621"/>
    <s v="Neha Kulkarni"/>
    <s v="C203"/>
    <x v="1"/>
    <s v="B3"/>
    <x v="1"/>
    <x v="2"/>
    <n v="17104"/>
    <x v="1"/>
    <n v="0.1"/>
    <n v="17000"/>
    <x v="21"/>
    <x v="0"/>
    <n v="10"/>
    <n v="15393.6"/>
  </r>
  <r>
    <x v="622"/>
    <s v="Riya Mehta"/>
    <s v="C201"/>
    <x v="0"/>
    <s v="B3"/>
    <x v="1"/>
    <x v="0"/>
    <n v="14745"/>
    <x v="0"/>
    <n v="0.2"/>
    <n v="14000"/>
    <x v="16"/>
    <x v="0"/>
    <n v="20"/>
    <n v="11796"/>
  </r>
  <r>
    <x v="623"/>
    <s v="Rohit Verma"/>
    <s v="C201"/>
    <x v="0"/>
    <s v="B1"/>
    <x v="2"/>
    <x v="1"/>
    <n v="15598"/>
    <x v="4"/>
    <m/>
    <n v="14000"/>
    <x v="49"/>
    <x v="1"/>
    <n v="0"/>
    <n v="15598"/>
  </r>
  <r>
    <x v="624"/>
    <s v="Meera Shah"/>
    <s v="C202"/>
    <x v="2"/>
    <s v="B1"/>
    <x v="0"/>
    <x v="1"/>
    <n v="12358"/>
    <x v="1"/>
    <n v="0.1"/>
    <n v="13000"/>
    <x v="14"/>
    <x v="0"/>
    <n v="10"/>
    <n v="11122.2"/>
  </r>
  <r>
    <x v="625"/>
    <s v="Riya Kulkarni"/>
    <s v="C202"/>
    <x v="2"/>
    <s v="B2"/>
    <x v="2"/>
    <x v="0"/>
    <n v="13355"/>
    <x v="0"/>
    <n v="0.2"/>
    <n v="13000"/>
    <x v="58"/>
    <x v="0"/>
    <n v="20"/>
    <n v="10684"/>
  </r>
  <r>
    <x v="626"/>
    <s v="Aditya Verma"/>
    <s v="C204"/>
    <x v="3"/>
    <s v="B2"/>
    <x v="2"/>
    <x v="2"/>
    <n v="8773"/>
    <x v="3"/>
    <n v="0.3"/>
    <n v="9000"/>
    <x v="23"/>
    <x v="0"/>
    <n v="30"/>
    <n v="6141.1"/>
  </r>
  <r>
    <x v="627"/>
    <s v="Rahul Singh"/>
    <s v="C201"/>
    <x v="0"/>
    <s v="B3"/>
    <x v="1"/>
    <x v="1"/>
    <n v="14950"/>
    <x v="2"/>
    <m/>
    <n v="14000"/>
    <x v="11"/>
    <x v="0"/>
    <n v="15"/>
    <n v="12707.5"/>
  </r>
  <r>
    <x v="628"/>
    <s v="Dev Desai"/>
    <s v="C201"/>
    <x v="0"/>
    <s v="B3"/>
    <x v="1"/>
    <x v="2"/>
    <n v="15801"/>
    <x v="2"/>
    <m/>
    <n v="14000"/>
    <x v="25"/>
    <x v="0"/>
    <n v="15"/>
    <n v="13430.85"/>
  </r>
  <r>
    <x v="629"/>
    <s v="Aditya Patel"/>
    <s v="C203"/>
    <x v="1"/>
    <s v="B3"/>
    <x v="1"/>
    <x v="2"/>
    <n v="18134"/>
    <x v="4"/>
    <m/>
    <n v="17000"/>
    <x v="7"/>
    <x v="1"/>
    <n v="0"/>
    <n v="18134"/>
  </r>
  <r>
    <x v="630"/>
    <s v="Rahul Nair"/>
    <s v="C201"/>
    <x v="0"/>
    <s v="B2"/>
    <x v="1"/>
    <x v="1"/>
    <n v="12900"/>
    <x v="0"/>
    <n v="0.2"/>
    <n v="14000"/>
    <x v="0"/>
    <x v="0"/>
    <n v="20"/>
    <n v="10320"/>
  </r>
  <r>
    <x v="631"/>
    <s v="Rahul Patel"/>
    <s v="C203"/>
    <x v="1"/>
    <s v="B3"/>
    <x v="1"/>
    <x v="2"/>
    <n v="17774"/>
    <x v="3"/>
    <n v="0.3"/>
    <n v="17000"/>
    <x v="21"/>
    <x v="0"/>
    <n v="30"/>
    <n v="12441.8"/>
  </r>
  <r>
    <x v="632"/>
    <s v="Aarav Gupta"/>
    <s v="C202"/>
    <x v="2"/>
    <s v="B1"/>
    <x v="1"/>
    <x v="0"/>
    <n v="13345"/>
    <x v="2"/>
    <m/>
    <n v="13000"/>
    <x v="32"/>
    <x v="0"/>
    <n v="15"/>
    <n v="11343.25"/>
  </r>
  <r>
    <x v="633"/>
    <s v="Manish Gupta"/>
    <s v="C201"/>
    <x v="0"/>
    <s v="B2"/>
    <x v="1"/>
    <x v="1"/>
    <n v="15036"/>
    <x v="3"/>
    <n v="0.3"/>
    <n v="14000"/>
    <x v="1"/>
    <x v="0"/>
    <n v="30"/>
    <n v="10525.2"/>
  </r>
  <r>
    <x v="634"/>
    <s v="Rahul Singh"/>
    <s v="C202"/>
    <x v="2"/>
    <s v="B1"/>
    <x v="1"/>
    <x v="0"/>
    <n v="13526"/>
    <x v="3"/>
    <n v="0.3"/>
    <n v="13000"/>
    <x v="19"/>
    <x v="0"/>
    <n v="30"/>
    <n v="9468.2000000000007"/>
  </r>
  <r>
    <x v="635"/>
    <s v="Riya Mehta"/>
    <s v="C201"/>
    <x v="0"/>
    <s v="B3"/>
    <x v="0"/>
    <x v="1"/>
    <n v="14251"/>
    <x v="1"/>
    <n v="0.1"/>
    <n v="14000"/>
    <x v="28"/>
    <x v="0"/>
    <n v="10"/>
    <n v="12825.9"/>
  </r>
  <r>
    <x v="636"/>
    <s v="Rohit Shah"/>
    <s v="C203"/>
    <x v="1"/>
    <s v="B1"/>
    <x v="1"/>
    <x v="1"/>
    <n v="17378"/>
    <x v="4"/>
    <m/>
    <n v="17000"/>
    <x v="21"/>
    <x v="1"/>
    <n v="0"/>
    <n v="17378"/>
  </r>
  <r>
    <x v="637"/>
    <s v="Pooja Jain"/>
    <s v="C202"/>
    <x v="2"/>
    <s v="B3"/>
    <x v="2"/>
    <x v="0"/>
    <n v="11409"/>
    <x v="3"/>
    <n v="0.3"/>
    <n v="13000"/>
    <x v="33"/>
    <x v="0"/>
    <n v="30"/>
    <n v="7986.3"/>
  </r>
  <r>
    <x v="638"/>
    <s v="Riya Patil"/>
    <s v="C203"/>
    <x v="1"/>
    <s v="B2"/>
    <x v="0"/>
    <x v="2"/>
    <n v="17524"/>
    <x v="3"/>
    <n v="0.3"/>
    <n v="17000"/>
    <x v="8"/>
    <x v="0"/>
    <n v="30"/>
    <n v="12266.8"/>
  </r>
  <r>
    <x v="639"/>
    <s v="Kavita Mehta"/>
    <s v="C203"/>
    <x v="1"/>
    <s v="B2"/>
    <x v="0"/>
    <x v="0"/>
    <n v="15019"/>
    <x v="3"/>
    <n v="0.3"/>
    <n v="17000"/>
    <x v="27"/>
    <x v="0"/>
    <n v="30"/>
    <n v="10513.3"/>
  </r>
  <r>
    <x v="640"/>
    <s v="Dev Patil"/>
    <s v="C204"/>
    <x v="3"/>
    <s v="B2"/>
    <x v="0"/>
    <x v="0"/>
    <n v="9783"/>
    <x v="3"/>
    <n v="0.3"/>
    <n v="9000"/>
    <x v="43"/>
    <x v="0"/>
    <n v="30"/>
    <n v="6848.1"/>
  </r>
  <r>
    <x v="641"/>
    <s v="Neha Iyer"/>
    <s v="C204"/>
    <x v="3"/>
    <s v="B2"/>
    <x v="0"/>
    <x v="2"/>
    <n v="9259"/>
    <x v="1"/>
    <n v="0.1"/>
    <n v="9000"/>
    <x v="53"/>
    <x v="0"/>
    <n v="10"/>
    <n v="8333.1"/>
  </r>
  <r>
    <x v="642"/>
    <s v="Rohit Joshi"/>
    <s v="C201"/>
    <x v="0"/>
    <s v="B2"/>
    <x v="1"/>
    <x v="1"/>
    <n v="12804"/>
    <x v="3"/>
    <n v="0.3"/>
    <n v="14000"/>
    <x v="60"/>
    <x v="0"/>
    <n v="30"/>
    <n v="8962.7999999999993"/>
  </r>
  <r>
    <x v="643"/>
    <s v="Kunal Singh"/>
    <s v="C201"/>
    <x v="0"/>
    <s v="B3"/>
    <x v="1"/>
    <x v="0"/>
    <n v="15479"/>
    <x v="2"/>
    <m/>
    <n v="14000"/>
    <x v="56"/>
    <x v="0"/>
    <n v="15"/>
    <n v="13157.15"/>
  </r>
  <r>
    <x v="644"/>
    <s v="Aarav Nair"/>
    <s v="C204"/>
    <x v="3"/>
    <s v="B3"/>
    <x v="1"/>
    <x v="0"/>
    <n v="9259"/>
    <x v="3"/>
    <n v="0.3"/>
    <n v="9000"/>
    <x v="36"/>
    <x v="0"/>
    <n v="30"/>
    <n v="6481.3"/>
  </r>
  <r>
    <x v="645"/>
    <s v="Kunal Gupta"/>
    <s v="C204"/>
    <x v="3"/>
    <s v="B3"/>
    <x v="1"/>
    <x v="2"/>
    <n v="8607"/>
    <x v="0"/>
    <n v="0.2"/>
    <n v="9000"/>
    <x v="48"/>
    <x v="0"/>
    <n v="20"/>
    <n v="6885.6"/>
  </r>
  <r>
    <x v="646"/>
    <s v="Dev Joshi"/>
    <s v="C203"/>
    <x v="1"/>
    <s v="B1"/>
    <x v="0"/>
    <x v="1"/>
    <n v="17090"/>
    <x v="1"/>
    <n v="0.1"/>
    <n v="17000"/>
    <x v="32"/>
    <x v="0"/>
    <n v="10"/>
    <n v="15381"/>
  </r>
  <r>
    <x v="647"/>
    <s v="Pooja Gupta"/>
    <s v="C201"/>
    <x v="0"/>
    <s v="B3"/>
    <x v="1"/>
    <x v="1"/>
    <n v="14802"/>
    <x v="0"/>
    <n v="0.2"/>
    <n v="14000"/>
    <x v="46"/>
    <x v="0"/>
    <n v="20"/>
    <n v="11841.6"/>
  </r>
  <r>
    <x v="648"/>
    <s v="Manish Mehta"/>
    <s v="C204"/>
    <x v="3"/>
    <s v="B1"/>
    <x v="1"/>
    <x v="1"/>
    <n v="10885"/>
    <x v="2"/>
    <m/>
    <n v="9000"/>
    <x v="45"/>
    <x v="0"/>
    <n v="15"/>
    <n v="9252.25"/>
  </r>
  <r>
    <x v="649"/>
    <s v="Meera Mehta"/>
    <s v="C204"/>
    <x v="3"/>
    <s v="B2"/>
    <x v="1"/>
    <x v="0"/>
    <n v="10118"/>
    <x v="4"/>
    <m/>
    <n v="9000"/>
    <x v="24"/>
    <x v="1"/>
    <n v="0"/>
    <n v="10118"/>
  </r>
  <r>
    <x v="650"/>
    <s v="Riya Rao"/>
    <s v="C203"/>
    <x v="1"/>
    <s v="B1"/>
    <x v="1"/>
    <x v="1"/>
    <n v="15846"/>
    <x v="2"/>
    <m/>
    <n v="17000"/>
    <x v="58"/>
    <x v="0"/>
    <n v="15"/>
    <n v="13469.1"/>
  </r>
  <r>
    <x v="651"/>
    <s v="Dev Jain"/>
    <s v="C204"/>
    <x v="3"/>
    <s v="B2"/>
    <x v="0"/>
    <x v="0"/>
    <n v="7163"/>
    <x v="3"/>
    <n v="0.3"/>
    <n v="9000"/>
    <x v="25"/>
    <x v="0"/>
    <n v="30"/>
    <n v="5014.1000000000004"/>
  </r>
  <r>
    <x v="652"/>
    <s v="Anjali Gupta"/>
    <s v="C203"/>
    <x v="1"/>
    <s v="B3"/>
    <x v="0"/>
    <x v="1"/>
    <n v="17229"/>
    <x v="2"/>
    <m/>
    <n v="17000"/>
    <x v="53"/>
    <x v="0"/>
    <n v="15"/>
    <n v="14644.65"/>
  </r>
  <r>
    <x v="653"/>
    <s v="Rahul Singh"/>
    <s v="C204"/>
    <x v="3"/>
    <s v="B2"/>
    <x v="2"/>
    <x v="1"/>
    <n v="10679"/>
    <x v="1"/>
    <n v="0.1"/>
    <n v="9000"/>
    <x v="42"/>
    <x v="0"/>
    <n v="10"/>
    <n v="9611.1"/>
  </r>
  <r>
    <x v="654"/>
    <s v="Aditya Verma"/>
    <s v="C202"/>
    <x v="2"/>
    <s v="B3"/>
    <x v="0"/>
    <x v="2"/>
    <n v="14347"/>
    <x v="3"/>
    <n v="0.3"/>
    <n v="13000"/>
    <x v="20"/>
    <x v="0"/>
    <n v="30"/>
    <n v="10042.9"/>
  </r>
  <r>
    <x v="655"/>
    <s v="Dev Iyer"/>
    <s v="C201"/>
    <x v="0"/>
    <s v="B3"/>
    <x v="1"/>
    <x v="2"/>
    <n v="12678"/>
    <x v="0"/>
    <n v="0.2"/>
    <n v="14000"/>
    <x v="11"/>
    <x v="0"/>
    <n v="20"/>
    <n v="10142.4"/>
  </r>
  <r>
    <x v="656"/>
    <s v="Manish Singh"/>
    <s v="C203"/>
    <x v="1"/>
    <s v="B1"/>
    <x v="1"/>
    <x v="0"/>
    <n v="15644"/>
    <x v="3"/>
    <n v="0.3"/>
    <n v="17000"/>
    <x v="15"/>
    <x v="0"/>
    <n v="30"/>
    <n v="10950.8"/>
  </r>
  <r>
    <x v="657"/>
    <s v="Anjali Nair"/>
    <s v="C201"/>
    <x v="0"/>
    <s v="B3"/>
    <x v="1"/>
    <x v="2"/>
    <n v="15322"/>
    <x v="3"/>
    <n v="0.3"/>
    <n v="14000"/>
    <x v="60"/>
    <x v="0"/>
    <n v="30"/>
    <n v="10725.4"/>
  </r>
  <r>
    <x v="658"/>
    <s v="Riya Iyer"/>
    <s v="C204"/>
    <x v="3"/>
    <s v="B2"/>
    <x v="1"/>
    <x v="1"/>
    <n v="7660"/>
    <x v="4"/>
    <m/>
    <n v="9000"/>
    <x v="23"/>
    <x v="1"/>
    <n v="0"/>
    <n v="7660"/>
  </r>
  <r>
    <x v="659"/>
    <s v="Sneha Kulkarni"/>
    <s v="C202"/>
    <x v="2"/>
    <s v="B3"/>
    <x v="2"/>
    <x v="0"/>
    <n v="11551"/>
    <x v="2"/>
    <m/>
    <n v="13000"/>
    <x v="34"/>
    <x v="0"/>
    <n v="15"/>
    <n v="9818.35"/>
  </r>
  <r>
    <x v="660"/>
    <s v="Kunal Joshi"/>
    <s v="C202"/>
    <x v="2"/>
    <s v="B1"/>
    <x v="1"/>
    <x v="2"/>
    <n v="14778"/>
    <x v="0"/>
    <n v="0.2"/>
    <n v="13000"/>
    <x v="42"/>
    <x v="0"/>
    <n v="20"/>
    <n v="11822.4"/>
  </r>
  <r>
    <x v="661"/>
    <s v="Rahul Joshi"/>
    <s v="C201"/>
    <x v="0"/>
    <s v="B3"/>
    <x v="2"/>
    <x v="1"/>
    <n v="15364"/>
    <x v="3"/>
    <n v="0.3"/>
    <n v="14000"/>
    <x v="21"/>
    <x v="0"/>
    <n v="30"/>
    <n v="10754.8"/>
  </r>
  <r>
    <x v="662"/>
    <s v="Riya Patil"/>
    <s v="C204"/>
    <x v="3"/>
    <s v="B3"/>
    <x v="0"/>
    <x v="2"/>
    <n v="7698"/>
    <x v="0"/>
    <n v="0.2"/>
    <n v="9000"/>
    <x v="10"/>
    <x v="0"/>
    <n v="20"/>
    <n v="6158.4"/>
  </r>
  <r>
    <x v="663"/>
    <s v="Rahul Joshi"/>
    <s v="C202"/>
    <x v="2"/>
    <s v="B3"/>
    <x v="1"/>
    <x v="1"/>
    <n v="13701"/>
    <x v="2"/>
    <m/>
    <n v="13000"/>
    <x v="41"/>
    <x v="0"/>
    <n v="15"/>
    <n v="11645.85"/>
  </r>
  <r>
    <x v="664"/>
    <s v="Karan Desai"/>
    <s v="C203"/>
    <x v="1"/>
    <s v="B2"/>
    <x v="2"/>
    <x v="1"/>
    <n v="15281"/>
    <x v="0"/>
    <n v="0.2"/>
    <n v="17000"/>
    <x v="7"/>
    <x v="0"/>
    <n v="20"/>
    <n v="12224.8"/>
  </r>
  <r>
    <x v="665"/>
    <s v="Rahul Mehta"/>
    <s v="C201"/>
    <x v="0"/>
    <s v="B1"/>
    <x v="1"/>
    <x v="1"/>
    <n v="15520"/>
    <x v="2"/>
    <m/>
    <n v="14000"/>
    <x v="26"/>
    <x v="0"/>
    <n v="15"/>
    <n v="13192"/>
  </r>
  <r>
    <x v="666"/>
    <s v="Rahul Nair"/>
    <s v="C202"/>
    <x v="2"/>
    <s v="B3"/>
    <x v="1"/>
    <x v="0"/>
    <n v="12949"/>
    <x v="2"/>
    <m/>
    <n v="13000"/>
    <x v="15"/>
    <x v="0"/>
    <n v="15"/>
    <n v="11006.65"/>
  </r>
  <r>
    <x v="667"/>
    <s v="Aarav Patel"/>
    <s v="C201"/>
    <x v="0"/>
    <s v="B1"/>
    <x v="0"/>
    <x v="1"/>
    <n v="12533"/>
    <x v="2"/>
    <m/>
    <n v="14000"/>
    <x v="36"/>
    <x v="0"/>
    <n v="15"/>
    <n v="10653.05"/>
  </r>
  <r>
    <x v="668"/>
    <s v="Meera Kulkarni"/>
    <s v="C204"/>
    <x v="3"/>
    <s v="B3"/>
    <x v="0"/>
    <x v="2"/>
    <n v="10583"/>
    <x v="1"/>
    <n v="0.1"/>
    <n v="9000"/>
    <x v="8"/>
    <x v="0"/>
    <n v="10"/>
    <n v="9524.7000000000007"/>
  </r>
  <r>
    <x v="669"/>
    <s v="Manish Verma"/>
    <s v="C202"/>
    <x v="2"/>
    <s v="B2"/>
    <x v="0"/>
    <x v="2"/>
    <n v="13412"/>
    <x v="2"/>
    <m/>
    <n v="13000"/>
    <x v="25"/>
    <x v="0"/>
    <n v="15"/>
    <n v="11400.2"/>
  </r>
  <r>
    <x v="670"/>
    <s v="Rahul Mehta"/>
    <s v="C203"/>
    <x v="1"/>
    <s v="B2"/>
    <x v="1"/>
    <x v="0"/>
    <n v="16160"/>
    <x v="2"/>
    <m/>
    <n v="17000"/>
    <x v="43"/>
    <x v="0"/>
    <n v="15"/>
    <n v="13736"/>
  </r>
  <r>
    <x v="671"/>
    <s v="Manish Verma"/>
    <s v="C203"/>
    <x v="1"/>
    <s v="B1"/>
    <x v="1"/>
    <x v="1"/>
    <n v="18045"/>
    <x v="1"/>
    <n v="0.1"/>
    <n v="17000"/>
    <x v="52"/>
    <x v="0"/>
    <n v="10"/>
    <n v="16240.5"/>
  </r>
  <r>
    <x v="672"/>
    <s v="Manish Shah"/>
    <s v="C201"/>
    <x v="0"/>
    <s v="B2"/>
    <x v="2"/>
    <x v="0"/>
    <n v="14817"/>
    <x v="3"/>
    <n v="0.3"/>
    <n v="14000"/>
    <x v="2"/>
    <x v="0"/>
    <n v="30"/>
    <n v="10371.9"/>
  </r>
  <r>
    <x v="673"/>
    <s v="Pooja Shah"/>
    <s v="C202"/>
    <x v="2"/>
    <s v="B2"/>
    <x v="2"/>
    <x v="1"/>
    <n v="12038"/>
    <x v="3"/>
    <n v="0.3"/>
    <n v="13000"/>
    <x v="4"/>
    <x v="0"/>
    <n v="30"/>
    <n v="8426.6"/>
  </r>
  <r>
    <x v="674"/>
    <s v="Manish Verma"/>
    <s v="C203"/>
    <x v="1"/>
    <s v="B3"/>
    <x v="0"/>
    <x v="1"/>
    <n v="16627"/>
    <x v="0"/>
    <n v="0.2"/>
    <n v="17000"/>
    <x v="2"/>
    <x v="0"/>
    <n v="20"/>
    <n v="13301.6"/>
  </r>
  <r>
    <x v="675"/>
    <s v="Manish Patel"/>
    <s v="C204"/>
    <x v="3"/>
    <s v="B1"/>
    <x v="0"/>
    <x v="1"/>
    <n v="9272"/>
    <x v="4"/>
    <m/>
    <n v="9000"/>
    <x v="41"/>
    <x v="1"/>
    <n v="0"/>
    <n v="9272"/>
  </r>
  <r>
    <x v="676"/>
    <s v="Aditya Joshi"/>
    <s v="C203"/>
    <x v="1"/>
    <s v="B3"/>
    <x v="0"/>
    <x v="1"/>
    <n v="15565"/>
    <x v="1"/>
    <n v="0.1"/>
    <n v="17000"/>
    <x v="0"/>
    <x v="0"/>
    <n v="10"/>
    <n v="14008.5"/>
  </r>
  <r>
    <x v="677"/>
    <s v="Sneha Iyer"/>
    <s v="C202"/>
    <x v="2"/>
    <s v="B1"/>
    <x v="1"/>
    <x v="1"/>
    <n v="12640"/>
    <x v="3"/>
    <n v="0.3"/>
    <n v="13000"/>
    <x v="50"/>
    <x v="0"/>
    <n v="30"/>
    <n v="8848"/>
  </r>
  <r>
    <x v="678"/>
    <s v="Manish Joshi"/>
    <s v="C201"/>
    <x v="0"/>
    <s v="B1"/>
    <x v="0"/>
    <x v="1"/>
    <n v="12021"/>
    <x v="1"/>
    <n v="0.1"/>
    <n v="14000"/>
    <x v="39"/>
    <x v="0"/>
    <n v="10"/>
    <n v="10818.9"/>
  </r>
  <r>
    <x v="679"/>
    <s v="Karan Iyer"/>
    <s v="C204"/>
    <x v="3"/>
    <s v="B1"/>
    <x v="1"/>
    <x v="2"/>
    <n v="7908"/>
    <x v="3"/>
    <n v="0.3"/>
    <n v="9000"/>
    <x v="14"/>
    <x v="0"/>
    <n v="30"/>
    <n v="5535.6"/>
  </r>
  <r>
    <x v="680"/>
    <s v="Kavita Kulkarni"/>
    <s v="C204"/>
    <x v="3"/>
    <s v="B2"/>
    <x v="2"/>
    <x v="1"/>
    <n v="9134"/>
    <x v="3"/>
    <n v="0.3"/>
    <n v="9000"/>
    <x v="6"/>
    <x v="0"/>
    <n v="30"/>
    <n v="6393.8"/>
  </r>
  <r>
    <x v="681"/>
    <s v="Kavita Kulkarni"/>
    <s v="C202"/>
    <x v="2"/>
    <s v="B3"/>
    <x v="0"/>
    <x v="2"/>
    <n v="11043"/>
    <x v="0"/>
    <n v="0.2"/>
    <n v="13000"/>
    <x v="4"/>
    <x v="0"/>
    <n v="20"/>
    <n v="8834.4"/>
  </r>
  <r>
    <x v="682"/>
    <s v="Rohit Patel"/>
    <s v="C203"/>
    <x v="1"/>
    <s v="B1"/>
    <x v="1"/>
    <x v="1"/>
    <n v="17091"/>
    <x v="2"/>
    <m/>
    <n v="17000"/>
    <x v="8"/>
    <x v="0"/>
    <n v="15"/>
    <n v="14527.35"/>
  </r>
  <r>
    <x v="683"/>
    <s v="Sneha Joshi"/>
    <s v="C202"/>
    <x v="2"/>
    <s v="B3"/>
    <x v="1"/>
    <x v="2"/>
    <n v="11979"/>
    <x v="1"/>
    <n v="0.1"/>
    <n v="13000"/>
    <x v="9"/>
    <x v="0"/>
    <n v="10"/>
    <n v="10781.1"/>
  </r>
  <r>
    <x v="684"/>
    <s v="Riya Rao"/>
    <s v="C204"/>
    <x v="3"/>
    <s v="B2"/>
    <x v="2"/>
    <x v="2"/>
    <n v="8660"/>
    <x v="2"/>
    <m/>
    <n v="9000"/>
    <x v="19"/>
    <x v="0"/>
    <n v="15"/>
    <n v="7361"/>
  </r>
  <r>
    <x v="685"/>
    <s v="Manish Kulkarni"/>
    <s v="C201"/>
    <x v="0"/>
    <s v="B1"/>
    <x v="2"/>
    <x v="2"/>
    <n v="14974"/>
    <x v="2"/>
    <m/>
    <n v="14000"/>
    <x v="58"/>
    <x v="0"/>
    <n v="15"/>
    <n v="12727.9"/>
  </r>
  <r>
    <x v="686"/>
    <s v="Kavita Jain"/>
    <s v="C203"/>
    <x v="1"/>
    <s v="B2"/>
    <x v="1"/>
    <x v="1"/>
    <n v="18944"/>
    <x v="0"/>
    <n v="0.2"/>
    <n v="17000"/>
    <x v="44"/>
    <x v="0"/>
    <n v="20"/>
    <n v="15155.2"/>
  </r>
  <r>
    <x v="687"/>
    <s v="Kunal Verma"/>
    <s v="C201"/>
    <x v="0"/>
    <s v="B2"/>
    <x v="1"/>
    <x v="2"/>
    <n v="14073"/>
    <x v="1"/>
    <n v="0.1"/>
    <n v="14000"/>
    <x v="35"/>
    <x v="0"/>
    <n v="10"/>
    <n v="12665.7"/>
  </r>
  <r>
    <x v="688"/>
    <s v="Riya Gupta"/>
    <s v="C203"/>
    <x v="1"/>
    <s v="B2"/>
    <x v="1"/>
    <x v="1"/>
    <n v="18918"/>
    <x v="3"/>
    <n v="0.3"/>
    <n v="17000"/>
    <x v="43"/>
    <x v="0"/>
    <n v="30"/>
    <n v="13242.6"/>
  </r>
  <r>
    <x v="689"/>
    <s v="Manish Nair"/>
    <s v="C203"/>
    <x v="1"/>
    <s v="B3"/>
    <x v="0"/>
    <x v="2"/>
    <n v="17306"/>
    <x v="4"/>
    <m/>
    <n v="17000"/>
    <x v="57"/>
    <x v="1"/>
    <n v="0"/>
    <n v="17306"/>
  </r>
  <r>
    <x v="690"/>
    <s v="Sneha Patel"/>
    <s v="C203"/>
    <x v="1"/>
    <s v="B2"/>
    <x v="2"/>
    <x v="2"/>
    <n v="18672"/>
    <x v="2"/>
    <m/>
    <n v="17000"/>
    <x v="16"/>
    <x v="0"/>
    <n v="15"/>
    <n v="15871.2"/>
  </r>
  <r>
    <x v="691"/>
    <s v="Aarav Iyer"/>
    <s v="C201"/>
    <x v="0"/>
    <s v="B2"/>
    <x v="1"/>
    <x v="2"/>
    <n v="14595"/>
    <x v="0"/>
    <n v="0.2"/>
    <n v="14000"/>
    <x v="26"/>
    <x v="0"/>
    <n v="20"/>
    <n v="11676"/>
  </r>
  <r>
    <x v="692"/>
    <s v="Anjali Patil"/>
    <s v="C203"/>
    <x v="1"/>
    <s v="B2"/>
    <x v="0"/>
    <x v="1"/>
    <n v="17194"/>
    <x v="1"/>
    <n v="0.1"/>
    <n v="17000"/>
    <x v="8"/>
    <x v="0"/>
    <n v="10"/>
    <n v="15474.6"/>
  </r>
  <r>
    <x v="693"/>
    <s v="Meera Rao"/>
    <s v="C202"/>
    <x v="2"/>
    <s v="B2"/>
    <x v="1"/>
    <x v="2"/>
    <n v="13759"/>
    <x v="3"/>
    <n v="0.3"/>
    <n v="13000"/>
    <x v="11"/>
    <x v="0"/>
    <n v="30"/>
    <n v="9631.2999999999993"/>
  </r>
  <r>
    <x v="694"/>
    <s v="Manish Mehta"/>
    <s v="C204"/>
    <x v="3"/>
    <s v="B2"/>
    <x v="0"/>
    <x v="0"/>
    <n v="10663"/>
    <x v="2"/>
    <m/>
    <n v="9000"/>
    <x v="3"/>
    <x v="0"/>
    <n v="15"/>
    <n v="9063.5499999999993"/>
  </r>
  <r>
    <x v="695"/>
    <s v="Karan Desai"/>
    <s v="C202"/>
    <x v="2"/>
    <s v="B2"/>
    <x v="2"/>
    <x v="0"/>
    <n v="11961"/>
    <x v="0"/>
    <n v="0.2"/>
    <n v="13000"/>
    <x v="16"/>
    <x v="0"/>
    <n v="20"/>
    <n v="9568.7999999999993"/>
  </r>
  <r>
    <x v="696"/>
    <s v="Aditya Patil"/>
    <s v="C202"/>
    <x v="2"/>
    <s v="B1"/>
    <x v="1"/>
    <x v="1"/>
    <n v="12458"/>
    <x v="0"/>
    <n v="0.2"/>
    <n v="13000"/>
    <x v="57"/>
    <x v="0"/>
    <n v="20"/>
    <n v="9966.4"/>
  </r>
  <r>
    <x v="697"/>
    <s v="Riya Shah"/>
    <s v="C201"/>
    <x v="0"/>
    <s v="B3"/>
    <x v="2"/>
    <x v="2"/>
    <n v="14514"/>
    <x v="1"/>
    <n v="0.1"/>
    <n v="14000"/>
    <x v="46"/>
    <x v="0"/>
    <n v="10"/>
    <n v="13062.6"/>
  </r>
  <r>
    <x v="698"/>
    <s v="Meera Gupta"/>
    <s v="C201"/>
    <x v="0"/>
    <s v="B2"/>
    <x v="0"/>
    <x v="1"/>
    <n v="13291"/>
    <x v="4"/>
    <m/>
    <n v="14000"/>
    <x v="48"/>
    <x v="1"/>
    <n v="0"/>
    <n v="13291"/>
  </r>
  <r>
    <x v="699"/>
    <s v="Kunal Joshi"/>
    <s v="C203"/>
    <x v="1"/>
    <s v="B2"/>
    <x v="1"/>
    <x v="1"/>
    <n v="16147"/>
    <x v="4"/>
    <m/>
    <n v="17000"/>
    <x v="24"/>
    <x v="1"/>
    <n v="0"/>
    <n v="16147"/>
  </r>
  <r>
    <x v="700"/>
    <s v="Dev Joshi"/>
    <s v="C202"/>
    <x v="2"/>
    <s v="B1"/>
    <x v="2"/>
    <x v="2"/>
    <n v="12959"/>
    <x v="2"/>
    <m/>
    <n v="13000"/>
    <x v="34"/>
    <x v="0"/>
    <n v="15"/>
    <n v="11015.15"/>
  </r>
  <r>
    <x v="701"/>
    <s v="Manish Jain"/>
    <s v="C204"/>
    <x v="3"/>
    <s v="B3"/>
    <x v="1"/>
    <x v="2"/>
    <n v="10999"/>
    <x v="1"/>
    <n v="0.1"/>
    <n v="9000"/>
    <x v="8"/>
    <x v="0"/>
    <n v="10"/>
    <n v="9899.1"/>
  </r>
  <r>
    <x v="702"/>
    <s v="Manish Iyer"/>
    <s v="C203"/>
    <x v="1"/>
    <s v="B3"/>
    <x v="1"/>
    <x v="0"/>
    <n v="17761"/>
    <x v="0"/>
    <n v="0.2"/>
    <n v="17000"/>
    <x v="7"/>
    <x v="0"/>
    <n v="20"/>
    <n v="14208.8"/>
  </r>
  <r>
    <x v="703"/>
    <s v="Kavita Shah"/>
    <s v="C203"/>
    <x v="1"/>
    <s v="B2"/>
    <x v="2"/>
    <x v="2"/>
    <n v="15766"/>
    <x v="2"/>
    <m/>
    <n v="17000"/>
    <x v="41"/>
    <x v="0"/>
    <n v="15"/>
    <n v="13401.1"/>
  </r>
  <r>
    <x v="704"/>
    <s v="Sneha Rao"/>
    <s v="C204"/>
    <x v="3"/>
    <s v="B3"/>
    <x v="0"/>
    <x v="2"/>
    <n v="7753"/>
    <x v="4"/>
    <m/>
    <n v="9000"/>
    <x v="13"/>
    <x v="1"/>
    <n v="0"/>
    <n v="7753"/>
  </r>
  <r>
    <x v="705"/>
    <s v="Sneha Verma"/>
    <s v="C203"/>
    <x v="1"/>
    <s v="B2"/>
    <x v="0"/>
    <x v="2"/>
    <n v="16846"/>
    <x v="0"/>
    <n v="0.2"/>
    <n v="17000"/>
    <x v="52"/>
    <x v="0"/>
    <n v="20"/>
    <n v="13476.8"/>
  </r>
  <r>
    <x v="706"/>
    <s v="Karan Joshi"/>
    <s v="C202"/>
    <x v="2"/>
    <s v="B1"/>
    <x v="2"/>
    <x v="2"/>
    <n v="14293"/>
    <x v="0"/>
    <n v="0.2"/>
    <n v="13000"/>
    <x v="35"/>
    <x v="0"/>
    <n v="20"/>
    <n v="11434.4"/>
  </r>
  <r>
    <x v="707"/>
    <s v="Rahul Nair"/>
    <s v="C204"/>
    <x v="3"/>
    <s v="B1"/>
    <x v="1"/>
    <x v="1"/>
    <n v="7612"/>
    <x v="4"/>
    <m/>
    <n v="9000"/>
    <x v="50"/>
    <x v="1"/>
    <n v="0"/>
    <n v="7612"/>
  </r>
  <r>
    <x v="708"/>
    <s v="Aarav Mehta"/>
    <s v="C204"/>
    <x v="3"/>
    <s v="B2"/>
    <x v="1"/>
    <x v="1"/>
    <n v="9117"/>
    <x v="2"/>
    <m/>
    <n v="9000"/>
    <x v="60"/>
    <x v="0"/>
    <n v="15"/>
    <n v="7749.45"/>
  </r>
  <r>
    <x v="709"/>
    <s v="Pooja Patel"/>
    <s v="C204"/>
    <x v="3"/>
    <s v="B2"/>
    <x v="0"/>
    <x v="1"/>
    <n v="10516"/>
    <x v="2"/>
    <m/>
    <n v="9000"/>
    <x v="55"/>
    <x v="0"/>
    <n v="15"/>
    <n v="8938.6"/>
  </r>
  <r>
    <x v="710"/>
    <s v="Rahul Shah"/>
    <s v="C202"/>
    <x v="2"/>
    <s v="B1"/>
    <x v="1"/>
    <x v="2"/>
    <n v="12951"/>
    <x v="1"/>
    <n v="0.1"/>
    <n v="13000"/>
    <x v="22"/>
    <x v="0"/>
    <n v="10"/>
    <n v="11655.9"/>
  </r>
  <r>
    <x v="711"/>
    <s v="Anjali Jain"/>
    <s v="C203"/>
    <x v="1"/>
    <s v="B2"/>
    <x v="0"/>
    <x v="1"/>
    <n v="17283"/>
    <x v="3"/>
    <n v="0.3"/>
    <n v="17000"/>
    <x v="37"/>
    <x v="0"/>
    <n v="30"/>
    <n v="12098.1"/>
  </r>
  <r>
    <x v="712"/>
    <s v="Aarav Verma"/>
    <s v="C201"/>
    <x v="0"/>
    <s v="B2"/>
    <x v="2"/>
    <x v="1"/>
    <n v="12814"/>
    <x v="2"/>
    <m/>
    <n v="14000"/>
    <x v="52"/>
    <x v="0"/>
    <n v="15"/>
    <n v="10891.9"/>
  </r>
  <r>
    <x v="713"/>
    <s v="Rohit Singh"/>
    <s v="C202"/>
    <x v="2"/>
    <s v="B2"/>
    <x v="0"/>
    <x v="2"/>
    <n v="13757"/>
    <x v="2"/>
    <m/>
    <n v="13000"/>
    <x v="20"/>
    <x v="0"/>
    <n v="15"/>
    <n v="11693.45"/>
  </r>
  <r>
    <x v="714"/>
    <s v="Dev Desai"/>
    <s v="C204"/>
    <x v="3"/>
    <s v="B1"/>
    <x v="0"/>
    <x v="1"/>
    <n v="8173"/>
    <x v="4"/>
    <m/>
    <n v="9000"/>
    <x v="56"/>
    <x v="1"/>
    <n v="0"/>
    <n v="8173"/>
  </r>
  <r>
    <x v="715"/>
    <s v="Karan Nair"/>
    <s v="C202"/>
    <x v="2"/>
    <s v="B3"/>
    <x v="0"/>
    <x v="2"/>
    <n v="13585"/>
    <x v="2"/>
    <m/>
    <n v="13000"/>
    <x v="52"/>
    <x v="0"/>
    <n v="15"/>
    <n v="11547.25"/>
  </r>
  <r>
    <x v="716"/>
    <s v="Rahul Nair"/>
    <s v="C201"/>
    <x v="0"/>
    <s v="B1"/>
    <x v="1"/>
    <x v="2"/>
    <n v="12934"/>
    <x v="3"/>
    <n v="0.3"/>
    <n v="14000"/>
    <x v="31"/>
    <x v="0"/>
    <n v="30"/>
    <n v="9053.7999999999993"/>
  </r>
  <r>
    <x v="717"/>
    <s v="Rohit Rao"/>
    <s v="C203"/>
    <x v="1"/>
    <s v="B3"/>
    <x v="2"/>
    <x v="2"/>
    <n v="16111"/>
    <x v="4"/>
    <m/>
    <n v="17000"/>
    <x v="57"/>
    <x v="1"/>
    <n v="0"/>
    <n v="16111"/>
  </r>
  <r>
    <x v="718"/>
    <s v="Meera Jain"/>
    <s v="C204"/>
    <x v="3"/>
    <s v="B2"/>
    <x v="1"/>
    <x v="0"/>
    <n v="10498"/>
    <x v="1"/>
    <n v="0.1"/>
    <n v="9000"/>
    <x v="59"/>
    <x v="0"/>
    <n v="10"/>
    <n v="9448.2000000000007"/>
  </r>
  <r>
    <x v="719"/>
    <s v="Anjali Patil"/>
    <s v="C203"/>
    <x v="1"/>
    <s v="B3"/>
    <x v="2"/>
    <x v="1"/>
    <n v="15327"/>
    <x v="0"/>
    <n v="0.2"/>
    <n v="17000"/>
    <x v="9"/>
    <x v="0"/>
    <n v="20"/>
    <n v="12261.6"/>
  </r>
  <r>
    <x v="720"/>
    <s v="Rahul Shah"/>
    <s v="C201"/>
    <x v="0"/>
    <s v="B1"/>
    <x v="0"/>
    <x v="1"/>
    <n v="12220"/>
    <x v="1"/>
    <n v="0.1"/>
    <n v="14000"/>
    <x v="57"/>
    <x v="0"/>
    <n v="10"/>
    <n v="10998"/>
  </r>
  <r>
    <x v="721"/>
    <s v="Rahul Gupta"/>
    <s v="C201"/>
    <x v="0"/>
    <s v="B1"/>
    <x v="0"/>
    <x v="1"/>
    <n v="12636"/>
    <x v="1"/>
    <n v="0.1"/>
    <n v="14000"/>
    <x v="49"/>
    <x v="0"/>
    <n v="10"/>
    <n v="11372.4"/>
  </r>
  <r>
    <x v="722"/>
    <s v="Kunal Verma"/>
    <s v="C203"/>
    <x v="1"/>
    <s v="B1"/>
    <x v="1"/>
    <x v="1"/>
    <n v="16163"/>
    <x v="4"/>
    <m/>
    <n v="17000"/>
    <x v="56"/>
    <x v="1"/>
    <n v="0"/>
    <n v="16163"/>
  </r>
  <r>
    <x v="723"/>
    <s v="Karan Mehta"/>
    <s v="C202"/>
    <x v="2"/>
    <s v="B1"/>
    <x v="1"/>
    <x v="1"/>
    <n v="12461"/>
    <x v="3"/>
    <n v="0.3"/>
    <n v="13000"/>
    <x v="16"/>
    <x v="0"/>
    <n v="30"/>
    <n v="8722.7000000000007"/>
  </r>
  <r>
    <x v="724"/>
    <s v="Neha Iyer"/>
    <s v="C203"/>
    <x v="1"/>
    <s v="B3"/>
    <x v="0"/>
    <x v="0"/>
    <n v="18971"/>
    <x v="2"/>
    <m/>
    <n v="17000"/>
    <x v="53"/>
    <x v="0"/>
    <n v="15"/>
    <n v="16125.35"/>
  </r>
  <r>
    <x v="725"/>
    <s v="Kavita Joshi"/>
    <s v="C204"/>
    <x v="3"/>
    <s v="B3"/>
    <x v="2"/>
    <x v="1"/>
    <n v="10593"/>
    <x v="2"/>
    <m/>
    <n v="9000"/>
    <x v="13"/>
    <x v="0"/>
    <n v="15"/>
    <n v="9004.0499999999993"/>
  </r>
  <r>
    <x v="726"/>
    <s v="Manish Singh"/>
    <s v="C203"/>
    <x v="1"/>
    <s v="B2"/>
    <x v="0"/>
    <x v="1"/>
    <n v="15930"/>
    <x v="1"/>
    <n v="0.1"/>
    <n v="17000"/>
    <x v="22"/>
    <x v="0"/>
    <n v="10"/>
    <n v="14337"/>
  </r>
  <r>
    <x v="727"/>
    <s v="Aditya Jain"/>
    <s v="C204"/>
    <x v="3"/>
    <s v="B2"/>
    <x v="1"/>
    <x v="2"/>
    <n v="7043"/>
    <x v="1"/>
    <n v="0.1"/>
    <n v="9000"/>
    <x v="42"/>
    <x v="0"/>
    <n v="10"/>
    <n v="6338.7"/>
  </r>
  <r>
    <x v="728"/>
    <s v="Meera Patel"/>
    <s v="C202"/>
    <x v="2"/>
    <s v="B2"/>
    <x v="0"/>
    <x v="2"/>
    <n v="13191"/>
    <x v="1"/>
    <n v="0.1"/>
    <n v="13000"/>
    <x v="8"/>
    <x v="0"/>
    <n v="10"/>
    <n v="11871.9"/>
  </r>
  <r>
    <x v="729"/>
    <s v="Kunal Iyer"/>
    <s v="C204"/>
    <x v="3"/>
    <s v="B2"/>
    <x v="1"/>
    <x v="2"/>
    <n v="10268"/>
    <x v="3"/>
    <n v="0.3"/>
    <n v="9000"/>
    <x v="15"/>
    <x v="0"/>
    <n v="30"/>
    <n v="7187.6"/>
  </r>
  <r>
    <x v="730"/>
    <s v="Sneha Patel"/>
    <s v="C201"/>
    <x v="0"/>
    <s v="B3"/>
    <x v="0"/>
    <x v="0"/>
    <n v="13686"/>
    <x v="2"/>
    <m/>
    <n v="14000"/>
    <x v="13"/>
    <x v="0"/>
    <n v="15"/>
    <n v="11633.1"/>
  </r>
  <r>
    <x v="731"/>
    <s v="Rahul Patil"/>
    <s v="C202"/>
    <x v="2"/>
    <s v="B3"/>
    <x v="2"/>
    <x v="1"/>
    <n v="12596"/>
    <x v="4"/>
    <m/>
    <n v="13000"/>
    <x v="24"/>
    <x v="1"/>
    <n v="0"/>
    <n v="12596"/>
  </r>
  <r>
    <x v="732"/>
    <s v="Aditya Shah"/>
    <s v="C204"/>
    <x v="3"/>
    <s v="B3"/>
    <x v="1"/>
    <x v="1"/>
    <n v="10131"/>
    <x v="2"/>
    <m/>
    <n v="9000"/>
    <x v="50"/>
    <x v="0"/>
    <n v="15"/>
    <n v="8611.35"/>
  </r>
  <r>
    <x v="733"/>
    <s v="Anjali Singh"/>
    <s v="C203"/>
    <x v="1"/>
    <s v="B2"/>
    <x v="2"/>
    <x v="1"/>
    <n v="17178"/>
    <x v="3"/>
    <n v="0.3"/>
    <n v="17000"/>
    <x v="2"/>
    <x v="0"/>
    <n v="30"/>
    <n v="12024.6"/>
  </r>
  <r>
    <x v="734"/>
    <s v="Sneha Nair"/>
    <s v="C201"/>
    <x v="0"/>
    <s v="B1"/>
    <x v="1"/>
    <x v="2"/>
    <n v="12452"/>
    <x v="4"/>
    <m/>
    <n v="14000"/>
    <x v="33"/>
    <x v="1"/>
    <n v="0"/>
    <n v="12452"/>
  </r>
  <r>
    <x v="735"/>
    <s v="Neha Rao"/>
    <s v="C204"/>
    <x v="3"/>
    <s v="B1"/>
    <x v="0"/>
    <x v="0"/>
    <n v="7623"/>
    <x v="1"/>
    <n v="0.1"/>
    <n v="9000"/>
    <x v="36"/>
    <x v="0"/>
    <n v="10"/>
    <n v="6860.7"/>
  </r>
  <r>
    <x v="736"/>
    <s v="Aarav Mehta"/>
    <s v="C201"/>
    <x v="0"/>
    <s v="B2"/>
    <x v="0"/>
    <x v="0"/>
    <n v="14929"/>
    <x v="4"/>
    <m/>
    <n v="14000"/>
    <x v="60"/>
    <x v="1"/>
    <n v="0"/>
    <n v="14929"/>
  </r>
  <r>
    <x v="737"/>
    <s v="Aarav Patil"/>
    <s v="C201"/>
    <x v="0"/>
    <s v="B1"/>
    <x v="1"/>
    <x v="2"/>
    <n v="12889"/>
    <x v="3"/>
    <n v="0.3"/>
    <n v="14000"/>
    <x v="2"/>
    <x v="0"/>
    <n v="30"/>
    <n v="9022.2999999999993"/>
  </r>
  <r>
    <x v="738"/>
    <s v="Aditya Patel"/>
    <s v="C204"/>
    <x v="3"/>
    <s v="B2"/>
    <x v="0"/>
    <x v="1"/>
    <n v="10241"/>
    <x v="1"/>
    <n v="0.1"/>
    <n v="9000"/>
    <x v="40"/>
    <x v="0"/>
    <n v="10"/>
    <n v="9216.9"/>
  </r>
  <r>
    <x v="739"/>
    <s v="Riya Nair"/>
    <s v="C202"/>
    <x v="2"/>
    <s v="B1"/>
    <x v="0"/>
    <x v="2"/>
    <n v="11292"/>
    <x v="2"/>
    <m/>
    <n v="13000"/>
    <x v="30"/>
    <x v="0"/>
    <n v="15"/>
    <n v="9598.2000000000007"/>
  </r>
  <r>
    <x v="740"/>
    <s v="Karan Patil"/>
    <s v="C203"/>
    <x v="1"/>
    <s v="B2"/>
    <x v="1"/>
    <x v="0"/>
    <n v="18991"/>
    <x v="0"/>
    <n v="0.2"/>
    <n v="17000"/>
    <x v="7"/>
    <x v="0"/>
    <n v="20"/>
    <n v="15192.8"/>
  </r>
  <r>
    <x v="741"/>
    <s v="Dev Iyer"/>
    <s v="C202"/>
    <x v="2"/>
    <s v="B3"/>
    <x v="1"/>
    <x v="0"/>
    <n v="12887"/>
    <x v="1"/>
    <n v="0.1"/>
    <n v="13000"/>
    <x v="42"/>
    <x v="0"/>
    <n v="10"/>
    <n v="11598.3"/>
  </r>
  <r>
    <x v="742"/>
    <s v="Rohit Patil"/>
    <s v="C204"/>
    <x v="3"/>
    <s v="B2"/>
    <x v="2"/>
    <x v="2"/>
    <n v="10834"/>
    <x v="3"/>
    <n v="0.3"/>
    <n v="9000"/>
    <x v="9"/>
    <x v="0"/>
    <n v="30"/>
    <n v="7583.8"/>
  </r>
  <r>
    <x v="743"/>
    <s v="Rohit Desai"/>
    <s v="C201"/>
    <x v="0"/>
    <s v="B3"/>
    <x v="2"/>
    <x v="1"/>
    <n v="12500"/>
    <x v="3"/>
    <n v="0.3"/>
    <n v="14000"/>
    <x v="30"/>
    <x v="0"/>
    <n v="30"/>
    <n v="8750"/>
  </r>
  <r>
    <x v="744"/>
    <s v="Rohit Rao"/>
    <s v="C202"/>
    <x v="2"/>
    <s v="B2"/>
    <x v="1"/>
    <x v="1"/>
    <n v="11892"/>
    <x v="1"/>
    <n v="0.1"/>
    <n v="13000"/>
    <x v="27"/>
    <x v="0"/>
    <n v="10"/>
    <n v="10702.8"/>
  </r>
  <r>
    <x v="745"/>
    <s v="Rohit Verma"/>
    <s v="C203"/>
    <x v="1"/>
    <s v="B1"/>
    <x v="1"/>
    <x v="2"/>
    <n v="17394"/>
    <x v="1"/>
    <n v="0.1"/>
    <n v="17000"/>
    <x v="32"/>
    <x v="0"/>
    <n v="10"/>
    <n v="15654.6"/>
  </r>
  <r>
    <x v="746"/>
    <s v="Dev Patil"/>
    <s v="C201"/>
    <x v="0"/>
    <s v="B1"/>
    <x v="2"/>
    <x v="1"/>
    <n v="13946"/>
    <x v="2"/>
    <m/>
    <n v="14000"/>
    <x v="12"/>
    <x v="0"/>
    <n v="15"/>
    <n v="11854.1"/>
  </r>
  <r>
    <x v="747"/>
    <s v="Pooja Patel"/>
    <s v="C201"/>
    <x v="0"/>
    <s v="B1"/>
    <x v="1"/>
    <x v="2"/>
    <n v="12374"/>
    <x v="2"/>
    <m/>
    <n v="14000"/>
    <x v="40"/>
    <x v="0"/>
    <n v="15"/>
    <n v="10517.9"/>
  </r>
  <r>
    <x v="748"/>
    <s v="Kunal Patel"/>
    <s v="C201"/>
    <x v="0"/>
    <s v="B1"/>
    <x v="0"/>
    <x v="1"/>
    <n v="12630"/>
    <x v="2"/>
    <m/>
    <n v="14000"/>
    <x v="38"/>
    <x v="0"/>
    <n v="15"/>
    <n v="10735.5"/>
  </r>
  <r>
    <x v="749"/>
    <s v="Riya Mehta"/>
    <s v="C204"/>
    <x v="3"/>
    <s v="B1"/>
    <x v="0"/>
    <x v="1"/>
    <n v="10229"/>
    <x v="3"/>
    <n v="0.3"/>
    <n v="9000"/>
    <x v="50"/>
    <x v="0"/>
    <n v="30"/>
    <n v="7160.3"/>
  </r>
  <r>
    <x v="750"/>
    <s v="Kunal Iyer"/>
    <s v="C202"/>
    <x v="2"/>
    <s v="B1"/>
    <x v="2"/>
    <x v="2"/>
    <n v="12467"/>
    <x v="0"/>
    <n v="0.2"/>
    <n v="13000"/>
    <x v="41"/>
    <x v="0"/>
    <n v="20"/>
    <n v="9973.6"/>
  </r>
  <r>
    <x v="751"/>
    <s v="Kunal Kulkarni"/>
    <s v="C204"/>
    <x v="3"/>
    <s v="B3"/>
    <x v="0"/>
    <x v="1"/>
    <n v="8207"/>
    <x v="2"/>
    <m/>
    <n v="9000"/>
    <x v="8"/>
    <x v="0"/>
    <n v="15"/>
    <n v="6975.95"/>
  </r>
  <r>
    <x v="752"/>
    <s v="Neha Patil"/>
    <s v="C202"/>
    <x v="2"/>
    <s v="B3"/>
    <x v="0"/>
    <x v="2"/>
    <n v="13999"/>
    <x v="4"/>
    <m/>
    <n v="13000"/>
    <x v="3"/>
    <x v="1"/>
    <n v="0"/>
    <n v="13999"/>
  </r>
  <r>
    <x v="753"/>
    <s v="Meera Nair"/>
    <s v="C202"/>
    <x v="2"/>
    <s v="B1"/>
    <x v="2"/>
    <x v="0"/>
    <n v="12840"/>
    <x v="3"/>
    <n v="0.3"/>
    <n v="13000"/>
    <x v="39"/>
    <x v="0"/>
    <n v="30"/>
    <n v="8988"/>
  </r>
  <r>
    <x v="754"/>
    <s v="Aditya Gupta"/>
    <s v="C203"/>
    <x v="1"/>
    <s v="B2"/>
    <x v="1"/>
    <x v="1"/>
    <n v="17072"/>
    <x v="4"/>
    <m/>
    <n v="17000"/>
    <x v="60"/>
    <x v="1"/>
    <n v="0"/>
    <n v="17072"/>
  </r>
  <r>
    <x v="755"/>
    <s v="Karan Kulkarni"/>
    <s v="C203"/>
    <x v="1"/>
    <s v="B3"/>
    <x v="1"/>
    <x v="2"/>
    <n v="17953"/>
    <x v="1"/>
    <n v="0.1"/>
    <n v="17000"/>
    <x v="45"/>
    <x v="0"/>
    <n v="10"/>
    <n v="16157.7"/>
  </r>
  <r>
    <x v="756"/>
    <s v="Manish Nair"/>
    <s v="C204"/>
    <x v="3"/>
    <s v="B1"/>
    <x v="2"/>
    <x v="1"/>
    <n v="9037"/>
    <x v="2"/>
    <m/>
    <n v="9000"/>
    <x v="12"/>
    <x v="0"/>
    <n v="15"/>
    <n v="7681.45"/>
  </r>
  <r>
    <x v="757"/>
    <s v="Kavita Rao"/>
    <s v="C203"/>
    <x v="1"/>
    <s v="B2"/>
    <x v="2"/>
    <x v="2"/>
    <n v="15452"/>
    <x v="1"/>
    <n v="0.1"/>
    <n v="17000"/>
    <x v="42"/>
    <x v="0"/>
    <n v="10"/>
    <n v="13906.8"/>
  </r>
  <r>
    <x v="758"/>
    <s v="Rohit Shah"/>
    <s v="C201"/>
    <x v="0"/>
    <s v="B1"/>
    <x v="1"/>
    <x v="0"/>
    <n v="12827"/>
    <x v="1"/>
    <n v="0.1"/>
    <n v="14000"/>
    <x v="20"/>
    <x v="0"/>
    <n v="10"/>
    <n v="11544.3"/>
  </r>
  <r>
    <x v="759"/>
    <s v="Sneha Shah"/>
    <s v="C201"/>
    <x v="0"/>
    <s v="B3"/>
    <x v="2"/>
    <x v="2"/>
    <n v="14694"/>
    <x v="4"/>
    <m/>
    <n v="14000"/>
    <x v="42"/>
    <x v="1"/>
    <n v="0"/>
    <n v="14694"/>
  </r>
  <r>
    <x v="760"/>
    <s v="Kavita Desai"/>
    <s v="C203"/>
    <x v="1"/>
    <s v="B1"/>
    <x v="0"/>
    <x v="0"/>
    <n v="17481"/>
    <x v="1"/>
    <n v="0.1"/>
    <n v="17000"/>
    <x v="54"/>
    <x v="0"/>
    <n v="10"/>
    <n v="15732.9"/>
  </r>
  <r>
    <x v="761"/>
    <s v="Kunal Patil"/>
    <s v="C204"/>
    <x v="3"/>
    <s v="B1"/>
    <x v="0"/>
    <x v="1"/>
    <n v="7248"/>
    <x v="3"/>
    <n v="0.3"/>
    <n v="9000"/>
    <x v="35"/>
    <x v="0"/>
    <n v="30"/>
    <n v="5073.6000000000004"/>
  </r>
  <r>
    <x v="762"/>
    <s v="Anjali Verma"/>
    <s v="C203"/>
    <x v="1"/>
    <s v="B3"/>
    <x v="1"/>
    <x v="1"/>
    <n v="16088"/>
    <x v="2"/>
    <m/>
    <n v="17000"/>
    <x v="34"/>
    <x v="0"/>
    <n v="15"/>
    <n v="13674.8"/>
  </r>
  <r>
    <x v="763"/>
    <s v="Anjali Shah"/>
    <s v="C203"/>
    <x v="1"/>
    <s v="B1"/>
    <x v="1"/>
    <x v="1"/>
    <n v="15397"/>
    <x v="1"/>
    <n v="0.1"/>
    <n v="17000"/>
    <x v="60"/>
    <x v="0"/>
    <n v="10"/>
    <n v="13857.3"/>
  </r>
  <r>
    <x v="764"/>
    <s v="Sneha Gupta"/>
    <s v="C204"/>
    <x v="3"/>
    <s v="B1"/>
    <x v="1"/>
    <x v="1"/>
    <n v="9690"/>
    <x v="0"/>
    <n v="0.2"/>
    <n v="9000"/>
    <x v="52"/>
    <x v="0"/>
    <n v="20"/>
    <n v="7752"/>
  </r>
  <r>
    <x v="765"/>
    <s v="Rohit Mehta"/>
    <s v="C204"/>
    <x v="3"/>
    <s v="B3"/>
    <x v="1"/>
    <x v="1"/>
    <n v="9361"/>
    <x v="3"/>
    <n v="0.3"/>
    <n v="9000"/>
    <x v="26"/>
    <x v="0"/>
    <n v="30"/>
    <n v="6552.7"/>
  </r>
  <r>
    <x v="766"/>
    <s v="Neha Desai"/>
    <s v="C204"/>
    <x v="3"/>
    <s v="B1"/>
    <x v="1"/>
    <x v="0"/>
    <n v="9252"/>
    <x v="4"/>
    <m/>
    <n v="9000"/>
    <x v="18"/>
    <x v="1"/>
    <n v="0"/>
    <n v="9252"/>
  </r>
  <r>
    <x v="767"/>
    <s v="Pooja Singh"/>
    <s v="C202"/>
    <x v="2"/>
    <s v="B3"/>
    <x v="2"/>
    <x v="2"/>
    <n v="14823"/>
    <x v="3"/>
    <n v="0.3"/>
    <n v="13000"/>
    <x v="48"/>
    <x v="0"/>
    <n v="30"/>
    <n v="10376.1"/>
  </r>
  <r>
    <x v="768"/>
    <s v="Pooja Gupta"/>
    <s v="C203"/>
    <x v="1"/>
    <s v="B2"/>
    <x v="0"/>
    <x v="1"/>
    <n v="16763"/>
    <x v="3"/>
    <n v="0.3"/>
    <n v="17000"/>
    <x v="15"/>
    <x v="0"/>
    <n v="30"/>
    <n v="11734.1"/>
  </r>
  <r>
    <x v="769"/>
    <s v="Sneha Joshi"/>
    <s v="C202"/>
    <x v="2"/>
    <s v="B2"/>
    <x v="2"/>
    <x v="1"/>
    <n v="12040"/>
    <x v="3"/>
    <n v="0.3"/>
    <n v="13000"/>
    <x v="22"/>
    <x v="0"/>
    <n v="30"/>
    <n v="8428"/>
  </r>
  <r>
    <x v="770"/>
    <s v="Neha Verma"/>
    <s v="C201"/>
    <x v="0"/>
    <s v="B3"/>
    <x v="1"/>
    <x v="2"/>
    <n v="14440"/>
    <x v="1"/>
    <n v="0.1"/>
    <n v="14000"/>
    <x v="42"/>
    <x v="0"/>
    <n v="10"/>
    <n v="12996"/>
  </r>
  <r>
    <x v="771"/>
    <s v="Karan Rao"/>
    <s v="C201"/>
    <x v="0"/>
    <s v="B2"/>
    <x v="1"/>
    <x v="0"/>
    <n v="15505"/>
    <x v="3"/>
    <n v="0.3"/>
    <n v="14000"/>
    <x v="23"/>
    <x v="0"/>
    <n v="30"/>
    <n v="10853.5"/>
  </r>
  <r>
    <x v="772"/>
    <s v="Dev Nair"/>
    <s v="C203"/>
    <x v="1"/>
    <s v="B3"/>
    <x v="2"/>
    <x v="1"/>
    <n v="17337"/>
    <x v="2"/>
    <m/>
    <n v="17000"/>
    <x v="12"/>
    <x v="0"/>
    <n v="15"/>
    <n v="14736.45"/>
  </r>
  <r>
    <x v="773"/>
    <s v="Riya Kulkarni"/>
    <s v="C204"/>
    <x v="3"/>
    <s v="B2"/>
    <x v="1"/>
    <x v="0"/>
    <n v="8085"/>
    <x v="3"/>
    <n v="0.3"/>
    <n v="9000"/>
    <x v="43"/>
    <x v="0"/>
    <n v="30"/>
    <n v="5659.5"/>
  </r>
  <r>
    <x v="774"/>
    <s v="Kavita Patil"/>
    <s v="C202"/>
    <x v="2"/>
    <s v="B2"/>
    <x v="0"/>
    <x v="0"/>
    <n v="13336"/>
    <x v="4"/>
    <m/>
    <n v="13000"/>
    <x v="52"/>
    <x v="1"/>
    <n v="0"/>
    <n v="13336"/>
  </r>
  <r>
    <x v="775"/>
    <s v="Kunal Patil"/>
    <s v="C201"/>
    <x v="0"/>
    <s v="B3"/>
    <x v="0"/>
    <x v="2"/>
    <n v="12708"/>
    <x v="4"/>
    <m/>
    <n v="14000"/>
    <x v="39"/>
    <x v="1"/>
    <n v="0"/>
    <n v="12708"/>
  </r>
  <r>
    <x v="776"/>
    <s v="Kunal Desai"/>
    <s v="C201"/>
    <x v="0"/>
    <s v="B3"/>
    <x v="2"/>
    <x v="2"/>
    <n v="12153"/>
    <x v="2"/>
    <m/>
    <n v="14000"/>
    <x v="7"/>
    <x v="0"/>
    <n v="15"/>
    <n v="10330.049999999999"/>
  </r>
  <r>
    <x v="777"/>
    <s v="Riya Patel"/>
    <s v="C201"/>
    <x v="0"/>
    <s v="B2"/>
    <x v="0"/>
    <x v="2"/>
    <n v="13706"/>
    <x v="1"/>
    <n v="0.1"/>
    <n v="14000"/>
    <x v="16"/>
    <x v="0"/>
    <n v="10"/>
    <n v="12335.4"/>
  </r>
  <r>
    <x v="778"/>
    <s v="Dev Patil"/>
    <s v="C201"/>
    <x v="0"/>
    <s v="B3"/>
    <x v="2"/>
    <x v="2"/>
    <n v="12221"/>
    <x v="3"/>
    <n v="0.3"/>
    <n v="14000"/>
    <x v="42"/>
    <x v="0"/>
    <n v="30"/>
    <n v="8554.7000000000007"/>
  </r>
  <r>
    <x v="779"/>
    <s v="Aarav Jain"/>
    <s v="C202"/>
    <x v="2"/>
    <s v="B2"/>
    <x v="2"/>
    <x v="1"/>
    <n v="11904"/>
    <x v="0"/>
    <n v="0.2"/>
    <n v="13000"/>
    <x v="55"/>
    <x v="0"/>
    <n v="20"/>
    <n v="9523.2000000000007"/>
  </r>
  <r>
    <x v="780"/>
    <s v="Rohit Desai"/>
    <s v="C204"/>
    <x v="3"/>
    <s v="B2"/>
    <x v="2"/>
    <x v="1"/>
    <n v="9067"/>
    <x v="1"/>
    <n v="0.1"/>
    <n v="9000"/>
    <x v="24"/>
    <x v="0"/>
    <n v="10"/>
    <n v="8160.3"/>
  </r>
  <r>
    <x v="781"/>
    <s v="Rahul Rao"/>
    <s v="C204"/>
    <x v="3"/>
    <s v="B1"/>
    <x v="1"/>
    <x v="2"/>
    <n v="7338"/>
    <x v="4"/>
    <m/>
    <n v="9000"/>
    <x v="52"/>
    <x v="1"/>
    <n v="0"/>
    <n v="7338"/>
  </r>
  <r>
    <x v="782"/>
    <s v="Anjali Kulkarni"/>
    <s v="C204"/>
    <x v="3"/>
    <s v="B2"/>
    <x v="1"/>
    <x v="2"/>
    <n v="9055"/>
    <x v="4"/>
    <m/>
    <n v="9000"/>
    <x v="57"/>
    <x v="1"/>
    <n v="0"/>
    <n v="9055"/>
  </r>
  <r>
    <x v="783"/>
    <s v="Anjali Mehta"/>
    <s v="C202"/>
    <x v="2"/>
    <s v="B2"/>
    <x v="2"/>
    <x v="0"/>
    <n v="12998"/>
    <x v="4"/>
    <m/>
    <n v="13000"/>
    <x v="49"/>
    <x v="1"/>
    <n v="0"/>
    <n v="12998"/>
  </r>
  <r>
    <x v="784"/>
    <s v="Kavita Patil"/>
    <s v="C202"/>
    <x v="2"/>
    <s v="B1"/>
    <x v="1"/>
    <x v="2"/>
    <n v="14181"/>
    <x v="4"/>
    <m/>
    <n v="13000"/>
    <x v="31"/>
    <x v="1"/>
    <n v="0"/>
    <n v="14181"/>
  </r>
  <r>
    <x v="785"/>
    <s v="Rohit Joshi"/>
    <s v="C201"/>
    <x v="0"/>
    <s v="B1"/>
    <x v="2"/>
    <x v="2"/>
    <n v="13734"/>
    <x v="3"/>
    <n v="0.3"/>
    <n v="14000"/>
    <x v="37"/>
    <x v="0"/>
    <n v="30"/>
    <n v="9613.7999999999993"/>
  </r>
  <r>
    <x v="786"/>
    <s v="Sneha Jain"/>
    <s v="C203"/>
    <x v="1"/>
    <s v="B3"/>
    <x v="2"/>
    <x v="0"/>
    <n v="18152"/>
    <x v="3"/>
    <n v="0.3"/>
    <n v="17000"/>
    <x v="9"/>
    <x v="0"/>
    <n v="30"/>
    <n v="12706.4"/>
  </r>
  <r>
    <x v="787"/>
    <s v="Pooja Joshi"/>
    <s v="C204"/>
    <x v="3"/>
    <s v="B3"/>
    <x v="1"/>
    <x v="2"/>
    <n v="7183"/>
    <x v="0"/>
    <n v="0.2"/>
    <n v="9000"/>
    <x v="19"/>
    <x v="0"/>
    <n v="20"/>
    <n v="5746.4"/>
  </r>
  <r>
    <x v="788"/>
    <s v="Rohit Jain"/>
    <s v="C202"/>
    <x v="2"/>
    <s v="B3"/>
    <x v="1"/>
    <x v="0"/>
    <n v="14029"/>
    <x v="1"/>
    <n v="0.1"/>
    <n v="13000"/>
    <x v="27"/>
    <x v="0"/>
    <n v="10"/>
    <n v="12626.1"/>
  </r>
  <r>
    <x v="789"/>
    <s v="Kavita Mehta"/>
    <s v="C203"/>
    <x v="1"/>
    <s v="B1"/>
    <x v="0"/>
    <x v="1"/>
    <n v="18294"/>
    <x v="1"/>
    <n v="0.1"/>
    <n v="17000"/>
    <x v="47"/>
    <x v="0"/>
    <n v="10"/>
    <n v="16464.599999999999"/>
  </r>
  <r>
    <x v="790"/>
    <s v="Neha Iyer"/>
    <s v="C201"/>
    <x v="0"/>
    <s v="B2"/>
    <x v="1"/>
    <x v="1"/>
    <n v="14203"/>
    <x v="0"/>
    <n v="0.2"/>
    <n v="14000"/>
    <x v="1"/>
    <x v="0"/>
    <n v="20"/>
    <n v="11362.4"/>
  </r>
  <r>
    <x v="791"/>
    <s v="Manish Gupta"/>
    <s v="C203"/>
    <x v="1"/>
    <s v="B3"/>
    <x v="0"/>
    <x v="1"/>
    <n v="17989"/>
    <x v="0"/>
    <n v="0.2"/>
    <n v="17000"/>
    <x v="8"/>
    <x v="0"/>
    <n v="20"/>
    <n v="14391.2"/>
  </r>
  <r>
    <x v="792"/>
    <s v="Anjali Singh"/>
    <s v="C201"/>
    <x v="0"/>
    <s v="B2"/>
    <x v="2"/>
    <x v="1"/>
    <n v="14157"/>
    <x v="1"/>
    <n v="0.1"/>
    <n v="14000"/>
    <x v="41"/>
    <x v="0"/>
    <n v="10"/>
    <n v="12741.3"/>
  </r>
  <r>
    <x v="793"/>
    <s v="Karan Kulkarni"/>
    <s v="C203"/>
    <x v="1"/>
    <s v="B1"/>
    <x v="2"/>
    <x v="1"/>
    <n v="16111"/>
    <x v="1"/>
    <n v="0.1"/>
    <n v="17000"/>
    <x v="44"/>
    <x v="0"/>
    <n v="10"/>
    <n v="14499.9"/>
  </r>
  <r>
    <x v="794"/>
    <s v="Rohit Kulkarni"/>
    <s v="C201"/>
    <x v="0"/>
    <s v="B2"/>
    <x v="2"/>
    <x v="2"/>
    <n v="14715"/>
    <x v="3"/>
    <n v="0.3"/>
    <n v="14000"/>
    <x v="16"/>
    <x v="0"/>
    <n v="30"/>
    <n v="10300.5"/>
  </r>
  <r>
    <x v="795"/>
    <s v="Riya Kulkarni"/>
    <s v="C203"/>
    <x v="1"/>
    <s v="B3"/>
    <x v="0"/>
    <x v="0"/>
    <n v="16559"/>
    <x v="2"/>
    <m/>
    <n v="17000"/>
    <x v="6"/>
    <x v="0"/>
    <n v="15"/>
    <n v="14075.15"/>
  </r>
  <r>
    <x v="796"/>
    <s v="Riya Jain"/>
    <s v="C204"/>
    <x v="3"/>
    <s v="B3"/>
    <x v="2"/>
    <x v="0"/>
    <n v="7763"/>
    <x v="0"/>
    <n v="0.2"/>
    <n v="9000"/>
    <x v="18"/>
    <x v="0"/>
    <n v="20"/>
    <n v="6210.4"/>
  </r>
  <r>
    <x v="797"/>
    <s v="Neha Gupta"/>
    <s v="C201"/>
    <x v="0"/>
    <s v="B1"/>
    <x v="1"/>
    <x v="1"/>
    <n v="13248"/>
    <x v="3"/>
    <n v="0.3"/>
    <n v="14000"/>
    <x v="20"/>
    <x v="0"/>
    <n v="30"/>
    <n v="9273.6"/>
  </r>
  <r>
    <x v="798"/>
    <s v="Rahul Desai"/>
    <s v="C202"/>
    <x v="2"/>
    <s v="B1"/>
    <x v="0"/>
    <x v="1"/>
    <n v="12441"/>
    <x v="3"/>
    <n v="0.3"/>
    <n v="13000"/>
    <x v="56"/>
    <x v="0"/>
    <n v="30"/>
    <n v="8708.7000000000007"/>
  </r>
  <r>
    <x v="799"/>
    <s v="Aditya Patil"/>
    <s v="C203"/>
    <x v="1"/>
    <s v="B1"/>
    <x v="2"/>
    <x v="2"/>
    <n v="18599"/>
    <x v="4"/>
    <m/>
    <n v="17000"/>
    <x v="43"/>
    <x v="1"/>
    <n v="0"/>
    <n v="18599"/>
  </r>
  <r>
    <x v="800"/>
    <s v="Meera Kulkarni"/>
    <s v="C203"/>
    <x v="1"/>
    <s v="B1"/>
    <x v="1"/>
    <x v="2"/>
    <n v="18674"/>
    <x v="4"/>
    <m/>
    <n v="17000"/>
    <x v="45"/>
    <x v="1"/>
    <n v="0"/>
    <n v="18674"/>
  </r>
  <r>
    <x v="801"/>
    <s v="Karan Shah"/>
    <s v="C204"/>
    <x v="3"/>
    <s v="B3"/>
    <x v="2"/>
    <x v="1"/>
    <n v="10574"/>
    <x v="0"/>
    <n v="0.2"/>
    <n v="9000"/>
    <x v="2"/>
    <x v="0"/>
    <n v="20"/>
    <n v="8459.2000000000007"/>
  </r>
  <r>
    <x v="802"/>
    <s v="Sneha Joshi"/>
    <s v="C202"/>
    <x v="2"/>
    <s v="B2"/>
    <x v="0"/>
    <x v="1"/>
    <n v="12348"/>
    <x v="4"/>
    <m/>
    <n v="13000"/>
    <x v="36"/>
    <x v="1"/>
    <n v="0"/>
    <n v="12348"/>
  </r>
  <r>
    <x v="803"/>
    <s v="Karan Patil"/>
    <s v="C202"/>
    <x v="2"/>
    <s v="B3"/>
    <x v="2"/>
    <x v="1"/>
    <n v="14277"/>
    <x v="0"/>
    <n v="0.2"/>
    <n v="13000"/>
    <x v="16"/>
    <x v="0"/>
    <n v="20"/>
    <n v="11421.6"/>
  </r>
  <r>
    <x v="804"/>
    <s v="Karan Rao"/>
    <s v="C202"/>
    <x v="2"/>
    <s v="B2"/>
    <x v="1"/>
    <x v="1"/>
    <n v="14821"/>
    <x v="2"/>
    <m/>
    <n v="13000"/>
    <x v="58"/>
    <x v="0"/>
    <n v="15"/>
    <n v="12597.85"/>
  </r>
  <r>
    <x v="805"/>
    <s v="Karan Jain"/>
    <s v="C201"/>
    <x v="0"/>
    <s v="B3"/>
    <x v="2"/>
    <x v="1"/>
    <n v="12484"/>
    <x v="0"/>
    <n v="0.2"/>
    <n v="14000"/>
    <x v="31"/>
    <x v="0"/>
    <n v="20"/>
    <n v="9987.2000000000007"/>
  </r>
  <r>
    <x v="806"/>
    <s v="Meera Mehta"/>
    <s v="C201"/>
    <x v="0"/>
    <s v="B2"/>
    <x v="0"/>
    <x v="2"/>
    <n v="13242"/>
    <x v="4"/>
    <m/>
    <n v="14000"/>
    <x v="0"/>
    <x v="1"/>
    <n v="0"/>
    <n v="13242"/>
  </r>
  <r>
    <x v="807"/>
    <s v="Kunal Nair"/>
    <s v="C203"/>
    <x v="1"/>
    <s v="B1"/>
    <x v="1"/>
    <x v="0"/>
    <n v="15538"/>
    <x v="0"/>
    <n v="0.2"/>
    <n v="17000"/>
    <x v="23"/>
    <x v="0"/>
    <n v="20"/>
    <n v="12430.4"/>
  </r>
  <r>
    <x v="808"/>
    <s v="Dev Joshi"/>
    <s v="C203"/>
    <x v="1"/>
    <s v="B3"/>
    <x v="2"/>
    <x v="1"/>
    <n v="15945"/>
    <x v="2"/>
    <m/>
    <n v="17000"/>
    <x v="24"/>
    <x v="0"/>
    <n v="15"/>
    <n v="13553.25"/>
  </r>
  <r>
    <x v="809"/>
    <s v="Sneha Singh"/>
    <s v="C201"/>
    <x v="0"/>
    <s v="B2"/>
    <x v="1"/>
    <x v="1"/>
    <n v="15194"/>
    <x v="4"/>
    <m/>
    <n v="14000"/>
    <x v="59"/>
    <x v="1"/>
    <n v="0"/>
    <n v="15194"/>
  </r>
  <r>
    <x v="810"/>
    <s v="Manish Nair"/>
    <s v="C204"/>
    <x v="3"/>
    <s v="B3"/>
    <x v="2"/>
    <x v="2"/>
    <n v="7753"/>
    <x v="4"/>
    <m/>
    <n v="9000"/>
    <x v="20"/>
    <x v="1"/>
    <n v="0"/>
    <n v="7753"/>
  </r>
  <r>
    <x v="811"/>
    <s v="Neha Mehta"/>
    <s v="C202"/>
    <x v="2"/>
    <s v="B1"/>
    <x v="1"/>
    <x v="0"/>
    <n v="12673"/>
    <x v="1"/>
    <n v="0.1"/>
    <n v="13000"/>
    <x v="5"/>
    <x v="0"/>
    <n v="10"/>
    <n v="11405.7"/>
  </r>
  <r>
    <x v="812"/>
    <s v="Aditya Verma"/>
    <s v="C202"/>
    <x v="2"/>
    <s v="B3"/>
    <x v="2"/>
    <x v="0"/>
    <n v="14103"/>
    <x v="0"/>
    <n v="0.2"/>
    <n v="13000"/>
    <x v="11"/>
    <x v="0"/>
    <n v="20"/>
    <n v="11282.4"/>
  </r>
  <r>
    <x v="813"/>
    <s v="Karan Iyer"/>
    <s v="C204"/>
    <x v="3"/>
    <s v="B3"/>
    <x v="0"/>
    <x v="2"/>
    <n v="10635"/>
    <x v="0"/>
    <n v="0.2"/>
    <n v="9000"/>
    <x v="13"/>
    <x v="0"/>
    <n v="20"/>
    <n v="8508"/>
  </r>
  <r>
    <x v="814"/>
    <s v="Rahul Patel"/>
    <s v="C201"/>
    <x v="0"/>
    <s v="B3"/>
    <x v="2"/>
    <x v="2"/>
    <n v="14949"/>
    <x v="3"/>
    <n v="0.3"/>
    <n v="14000"/>
    <x v="32"/>
    <x v="0"/>
    <n v="30"/>
    <n v="10464.299999999999"/>
  </r>
  <r>
    <x v="815"/>
    <s v="Kavita Desai"/>
    <s v="C201"/>
    <x v="0"/>
    <s v="B3"/>
    <x v="1"/>
    <x v="2"/>
    <n v="13871"/>
    <x v="1"/>
    <n v="0.1"/>
    <n v="14000"/>
    <x v="43"/>
    <x v="0"/>
    <n v="10"/>
    <n v="12483.9"/>
  </r>
  <r>
    <x v="816"/>
    <s v="Sneha Gupta"/>
    <s v="C204"/>
    <x v="3"/>
    <s v="B3"/>
    <x v="1"/>
    <x v="1"/>
    <n v="8586"/>
    <x v="2"/>
    <m/>
    <n v="9000"/>
    <x v="46"/>
    <x v="0"/>
    <n v="15"/>
    <n v="7298.1"/>
  </r>
  <r>
    <x v="817"/>
    <s v="Rohit Kulkarni"/>
    <s v="C202"/>
    <x v="2"/>
    <s v="B2"/>
    <x v="0"/>
    <x v="2"/>
    <n v="14622"/>
    <x v="3"/>
    <n v="0.3"/>
    <n v="13000"/>
    <x v="57"/>
    <x v="0"/>
    <n v="30"/>
    <n v="10235.4"/>
  </r>
  <r>
    <x v="818"/>
    <s v="Meera Rao"/>
    <s v="C204"/>
    <x v="3"/>
    <s v="B1"/>
    <x v="0"/>
    <x v="2"/>
    <n v="9511"/>
    <x v="1"/>
    <n v="0.1"/>
    <n v="9000"/>
    <x v="8"/>
    <x v="0"/>
    <n v="10"/>
    <n v="8559.9"/>
  </r>
  <r>
    <x v="819"/>
    <s v="Manish Mehta"/>
    <s v="C204"/>
    <x v="3"/>
    <s v="B3"/>
    <x v="0"/>
    <x v="0"/>
    <n v="9959"/>
    <x v="2"/>
    <m/>
    <n v="9000"/>
    <x v="17"/>
    <x v="0"/>
    <n v="15"/>
    <n v="8465.15"/>
  </r>
  <r>
    <x v="820"/>
    <s v="Karan Patel"/>
    <s v="C202"/>
    <x v="2"/>
    <s v="B2"/>
    <x v="0"/>
    <x v="2"/>
    <n v="12846"/>
    <x v="1"/>
    <n v="0.1"/>
    <n v="13000"/>
    <x v="53"/>
    <x v="0"/>
    <n v="10"/>
    <n v="11561.4"/>
  </r>
  <r>
    <x v="821"/>
    <s v="Neha Joshi"/>
    <s v="C202"/>
    <x v="2"/>
    <s v="B2"/>
    <x v="1"/>
    <x v="2"/>
    <n v="12327"/>
    <x v="0"/>
    <n v="0.2"/>
    <n v="13000"/>
    <x v="6"/>
    <x v="0"/>
    <n v="20"/>
    <n v="9861.6"/>
  </r>
  <r>
    <x v="822"/>
    <s v="Anjali Shah"/>
    <s v="C201"/>
    <x v="0"/>
    <s v="B1"/>
    <x v="2"/>
    <x v="2"/>
    <n v="14597"/>
    <x v="3"/>
    <n v="0.3"/>
    <n v="14000"/>
    <x v="14"/>
    <x v="0"/>
    <n v="30"/>
    <n v="10217.9"/>
  </r>
  <r>
    <x v="823"/>
    <s v="Manish Desai"/>
    <s v="C204"/>
    <x v="3"/>
    <s v="B3"/>
    <x v="2"/>
    <x v="1"/>
    <n v="10890"/>
    <x v="0"/>
    <n v="0.2"/>
    <n v="9000"/>
    <x v="7"/>
    <x v="0"/>
    <n v="20"/>
    <n v="8712"/>
  </r>
  <r>
    <x v="824"/>
    <s v="Manish Verma"/>
    <s v="C201"/>
    <x v="0"/>
    <s v="B1"/>
    <x v="0"/>
    <x v="1"/>
    <n v="15568"/>
    <x v="0"/>
    <n v="0.2"/>
    <n v="14000"/>
    <x v="9"/>
    <x v="0"/>
    <n v="20"/>
    <n v="12454.4"/>
  </r>
  <r>
    <x v="825"/>
    <s v="Meera Mehta"/>
    <s v="C202"/>
    <x v="2"/>
    <s v="B3"/>
    <x v="1"/>
    <x v="2"/>
    <n v="12261"/>
    <x v="3"/>
    <n v="0.3"/>
    <n v="13000"/>
    <x v="60"/>
    <x v="0"/>
    <n v="30"/>
    <n v="8582.7000000000007"/>
  </r>
  <r>
    <x v="826"/>
    <s v="Dev Iyer"/>
    <s v="C203"/>
    <x v="1"/>
    <s v="B3"/>
    <x v="1"/>
    <x v="0"/>
    <n v="18680"/>
    <x v="0"/>
    <n v="0.2"/>
    <n v="17000"/>
    <x v="19"/>
    <x v="0"/>
    <n v="20"/>
    <n v="14944"/>
  </r>
  <r>
    <x v="827"/>
    <s v="Aarav Joshi"/>
    <s v="C203"/>
    <x v="1"/>
    <s v="B1"/>
    <x v="0"/>
    <x v="2"/>
    <n v="18503"/>
    <x v="4"/>
    <m/>
    <n v="17000"/>
    <x v="36"/>
    <x v="1"/>
    <n v="0"/>
    <n v="18503"/>
  </r>
  <r>
    <x v="828"/>
    <s v="Dev Kulkarni"/>
    <s v="C204"/>
    <x v="3"/>
    <s v="B1"/>
    <x v="1"/>
    <x v="1"/>
    <n v="9701"/>
    <x v="4"/>
    <m/>
    <n v="9000"/>
    <x v="44"/>
    <x v="1"/>
    <n v="0"/>
    <n v="9701"/>
  </r>
  <r>
    <x v="829"/>
    <s v="Rahul Iyer"/>
    <s v="C201"/>
    <x v="0"/>
    <s v="B3"/>
    <x v="2"/>
    <x v="0"/>
    <n v="13002"/>
    <x v="2"/>
    <m/>
    <n v="14000"/>
    <x v="3"/>
    <x v="0"/>
    <n v="15"/>
    <n v="11051.7"/>
  </r>
  <r>
    <x v="830"/>
    <s v="Kavita Singh"/>
    <s v="C202"/>
    <x v="2"/>
    <s v="B1"/>
    <x v="1"/>
    <x v="0"/>
    <n v="11225"/>
    <x v="3"/>
    <n v="0.3"/>
    <n v="13000"/>
    <x v="34"/>
    <x v="0"/>
    <n v="30"/>
    <n v="7857.5"/>
  </r>
  <r>
    <x v="831"/>
    <s v="Karan Nair"/>
    <s v="C201"/>
    <x v="0"/>
    <s v="B3"/>
    <x v="2"/>
    <x v="1"/>
    <n v="13222"/>
    <x v="3"/>
    <n v="0.3"/>
    <n v="14000"/>
    <x v="58"/>
    <x v="0"/>
    <n v="30"/>
    <n v="9255.4"/>
  </r>
  <r>
    <x v="832"/>
    <s v="Riya Kulkarni"/>
    <s v="C201"/>
    <x v="0"/>
    <s v="B2"/>
    <x v="1"/>
    <x v="0"/>
    <n v="14752"/>
    <x v="3"/>
    <n v="0.3"/>
    <n v="14000"/>
    <x v="33"/>
    <x v="0"/>
    <n v="30"/>
    <n v="10326.4"/>
  </r>
  <r>
    <x v="833"/>
    <s v="Rohit Desai"/>
    <s v="C202"/>
    <x v="2"/>
    <s v="B2"/>
    <x v="2"/>
    <x v="1"/>
    <n v="12475"/>
    <x v="1"/>
    <n v="0.1"/>
    <n v="13000"/>
    <x v="14"/>
    <x v="0"/>
    <n v="10"/>
    <n v="11227.5"/>
  </r>
  <r>
    <x v="834"/>
    <s v="Dev Rao"/>
    <s v="C203"/>
    <x v="1"/>
    <s v="B2"/>
    <x v="0"/>
    <x v="0"/>
    <n v="18106"/>
    <x v="4"/>
    <m/>
    <n v="17000"/>
    <x v="10"/>
    <x v="1"/>
    <n v="0"/>
    <n v="18106"/>
  </r>
  <r>
    <x v="835"/>
    <s v="Manish Shah"/>
    <s v="C203"/>
    <x v="1"/>
    <s v="B2"/>
    <x v="1"/>
    <x v="0"/>
    <n v="17845"/>
    <x v="3"/>
    <n v="0.3"/>
    <n v="17000"/>
    <x v="40"/>
    <x v="0"/>
    <n v="30"/>
    <n v="12491.5"/>
  </r>
  <r>
    <x v="836"/>
    <s v="Manish Verma"/>
    <s v="C202"/>
    <x v="2"/>
    <s v="B3"/>
    <x v="1"/>
    <x v="1"/>
    <n v="11238"/>
    <x v="1"/>
    <n v="0.1"/>
    <n v="13000"/>
    <x v="52"/>
    <x v="0"/>
    <n v="10"/>
    <n v="10114.200000000001"/>
  </r>
  <r>
    <x v="837"/>
    <s v="Anjali Singh"/>
    <s v="C201"/>
    <x v="0"/>
    <s v="B2"/>
    <x v="2"/>
    <x v="1"/>
    <n v="14477"/>
    <x v="3"/>
    <n v="0.3"/>
    <n v="14000"/>
    <x v="13"/>
    <x v="0"/>
    <n v="30"/>
    <n v="10133.9"/>
  </r>
  <r>
    <x v="838"/>
    <s v="Kavita Nair"/>
    <s v="C203"/>
    <x v="1"/>
    <s v="B2"/>
    <x v="2"/>
    <x v="1"/>
    <n v="17552"/>
    <x v="3"/>
    <n v="0.3"/>
    <n v="17000"/>
    <x v="5"/>
    <x v="0"/>
    <n v="30"/>
    <n v="12286.4"/>
  </r>
  <r>
    <x v="839"/>
    <s v="Karan Joshi"/>
    <s v="C204"/>
    <x v="3"/>
    <s v="B3"/>
    <x v="2"/>
    <x v="1"/>
    <n v="9038"/>
    <x v="4"/>
    <m/>
    <n v="9000"/>
    <x v="50"/>
    <x v="1"/>
    <n v="0"/>
    <n v="9038"/>
  </r>
  <r>
    <x v="840"/>
    <s v="Karan Joshi"/>
    <s v="C202"/>
    <x v="2"/>
    <s v="B3"/>
    <x v="0"/>
    <x v="0"/>
    <n v="11006"/>
    <x v="1"/>
    <n v="0.1"/>
    <n v="13000"/>
    <x v="23"/>
    <x v="0"/>
    <n v="10"/>
    <n v="9905.4"/>
  </r>
  <r>
    <x v="841"/>
    <s v="Neha Singh"/>
    <s v="C201"/>
    <x v="0"/>
    <s v="B3"/>
    <x v="1"/>
    <x v="1"/>
    <n v="13698"/>
    <x v="4"/>
    <m/>
    <n v="14000"/>
    <x v="34"/>
    <x v="1"/>
    <n v="0"/>
    <n v="13698"/>
  </r>
  <r>
    <x v="842"/>
    <s v="Pooja Jain"/>
    <s v="C202"/>
    <x v="2"/>
    <s v="B1"/>
    <x v="2"/>
    <x v="0"/>
    <n v="13826"/>
    <x v="3"/>
    <n v="0.3"/>
    <n v="13000"/>
    <x v="41"/>
    <x v="0"/>
    <n v="30"/>
    <n v="9678.2000000000007"/>
  </r>
  <r>
    <x v="843"/>
    <s v="Dev Shah"/>
    <s v="C203"/>
    <x v="1"/>
    <s v="B2"/>
    <x v="2"/>
    <x v="1"/>
    <n v="16326"/>
    <x v="1"/>
    <n v="0.1"/>
    <n v="17000"/>
    <x v="17"/>
    <x v="0"/>
    <n v="10"/>
    <n v="14693.4"/>
  </r>
  <r>
    <x v="844"/>
    <s v="Rohit Jain"/>
    <s v="C203"/>
    <x v="1"/>
    <s v="B2"/>
    <x v="2"/>
    <x v="1"/>
    <n v="17523"/>
    <x v="1"/>
    <n v="0.1"/>
    <n v="17000"/>
    <x v="10"/>
    <x v="0"/>
    <n v="10"/>
    <n v="15770.7"/>
  </r>
  <r>
    <x v="845"/>
    <s v="Karan Patil"/>
    <s v="C203"/>
    <x v="1"/>
    <s v="B2"/>
    <x v="2"/>
    <x v="2"/>
    <n v="18752"/>
    <x v="4"/>
    <m/>
    <n v="17000"/>
    <x v="50"/>
    <x v="1"/>
    <n v="0"/>
    <n v="18752"/>
  </r>
  <r>
    <x v="846"/>
    <s v="Aarav Singh"/>
    <s v="C202"/>
    <x v="2"/>
    <s v="B2"/>
    <x v="1"/>
    <x v="1"/>
    <n v="12886"/>
    <x v="2"/>
    <m/>
    <n v="13000"/>
    <x v="48"/>
    <x v="0"/>
    <n v="15"/>
    <n v="10953.1"/>
  </r>
  <r>
    <x v="847"/>
    <s v="Pooja Iyer"/>
    <s v="C204"/>
    <x v="3"/>
    <s v="B3"/>
    <x v="1"/>
    <x v="1"/>
    <n v="8226"/>
    <x v="2"/>
    <m/>
    <n v="9000"/>
    <x v="60"/>
    <x v="0"/>
    <n v="15"/>
    <n v="6992.1"/>
  </r>
  <r>
    <x v="848"/>
    <s v="Rohit Jain"/>
    <s v="C201"/>
    <x v="0"/>
    <s v="B1"/>
    <x v="2"/>
    <x v="1"/>
    <n v="13358"/>
    <x v="3"/>
    <n v="0.3"/>
    <n v="14000"/>
    <x v="11"/>
    <x v="0"/>
    <n v="30"/>
    <n v="9350.6"/>
  </r>
  <r>
    <x v="849"/>
    <s v="Karan Rao"/>
    <s v="C201"/>
    <x v="0"/>
    <s v="B2"/>
    <x v="0"/>
    <x v="1"/>
    <n v="14188"/>
    <x v="0"/>
    <n v="0.2"/>
    <n v="14000"/>
    <x v="52"/>
    <x v="0"/>
    <n v="20"/>
    <n v="11350.4"/>
  </r>
  <r>
    <x v="850"/>
    <s v="Kavita Verma"/>
    <s v="C202"/>
    <x v="2"/>
    <s v="B3"/>
    <x v="1"/>
    <x v="2"/>
    <n v="13888"/>
    <x v="3"/>
    <n v="0.3"/>
    <n v="13000"/>
    <x v="6"/>
    <x v="0"/>
    <n v="30"/>
    <n v="9721.6"/>
  </r>
  <r>
    <x v="851"/>
    <s v="Aarav Rao"/>
    <s v="C204"/>
    <x v="3"/>
    <s v="B1"/>
    <x v="0"/>
    <x v="0"/>
    <n v="8522"/>
    <x v="4"/>
    <m/>
    <n v="9000"/>
    <x v="10"/>
    <x v="1"/>
    <n v="0"/>
    <n v="8522"/>
  </r>
  <r>
    <x v="852"/>
    <s v="Aditya Patil"/>
    <s v="C203"/>
    <x v="1"/>
    <s v="B1"/>
    <x v="1"/>
    <x v="2"/>
    <n v="18215"/>
    <x v="1"/>
    <n v="0.1"/>
    <n v="17000"/>
    <x v="57"/>
    <x v="0"/>
    <n v="10"/>
    <n v="16393.5"/>
  </r>
  <r>
    <x v="853"/>
    <s v="Sneha Shah"/>
    <s v="C204"/>
    <x v="3"/>
    <s v="B3"/>
    <x v="1"/>
    <x v="2"/>
    <n v="10706"/>
    <x v="2"/>
    <m/>
    <n v="9000"/>
    <x v="12"/>
    <x v="0"/>
    <n v="15"/>
    <n v="9100.1"/>
  </r>
  <r>
    <x v="854"/>
    <s v="Sneha Jain"/>
    <s v="C204"/>
    <x v="3"/>
    <s v="B3"/>
    <x v="2"/>
    <x v="2"/>
    <n v="10176"/>
    <x v="3"/>
    <n v="0.3"/>
    <n v="9000"/>
    <x v="12"/>
    <x v="0"/>
    <n v="30"/>
    <n v="7123.2"/>
  </r>
  <r>
    <x v="855"/>
    <s v="Dev Nair"/>
    <s v="C201"/>
    <x v="0"/>
    <s v="B3"/>
    <x v="2"/>
    <x v="0"/>
    <n v="12840"/>
    <x v="1"/>
    <n v="0.1"/>
    <n v="14000"/>
    <x v="44"/>
    <x v="0"/>
    <n v="10"/>
    <n v="11556"/>
  </r>
  <r>
    <x v="856"/>
    <s v="Rahul Desai"/>
    <s v="C201"/>
    <x v="0"/>
    <s v="B1"/>
    <x v="0"/>
    <x v="0"/>
    <n v="14814"/>
    <x v="2"/>
    <m/>
    <n v="14000"/>
    <x v="16"/>
    <x v="0"/>
    <n v="15"/>
    <n v="12591.9"/>
  </r>
  <r>
    <x v="857"/>
    <s v="Riya Jain"/>
    <s v="C204"/>
    <x v="3"/>
    <s v="B1"/>
    <x v="1"/>
    <x v="1"/>
    <n v="10138"/>
    <x v="3"/>
    <n v="0.3"/>
    <n v="9000"/>
    <x v="23"/>
    <x v="0"/>
    <n v="30"/>
    <n v="7096.6"/>
  </r>
  <r>
    <x v="858"/>
    <s v="Kavita Patel"/>
    <s v="C203"/>
    <x v="1"/>
    <s v="B3"/>
    <x v="1"/>
    <x v="2"/>
    <n v="15821"/>
    <x v="0"/>
    <n v="0.2"/>
    <n v="17000"/>
    <x v="28"/>
    <x v="0"/>
    <n v="20"/>
    <n v="12656.8"/>
  </r>
  <r>
    <x v="859"/>
    <s v="Aditya Gupta"/>
    <s v="C203"/>
    <x v="1"/>
    <s v="B2"/>
    <x v="2"/>
    <x v="0"/>
    <n v="16116"/>
    <x v="0"/>
    <n v="0.2"/>
    <n v="17000"/>
    <x v="9"/>
    <x v="0"/>
    <n v="20"/>
    <n v="12892.8"/>
  </r>
  <r>
    <x v="860"/>
    <s v="Aditya Shah"/>
    <s v="C201"/>
    <x v="0"/>
    <s v="B3"/>
    <x v="2"/>
    <x v="1"/>
    <n v="12419"/>
    <x v="0"/>
    <n v="0.2"/>
    <n v="14000"/>
    <x v="36"/>
    <x v="0"/>
    <n v="20"/>
    <n v="9935.2000000000007"/>
  </r>
  <r>
    <x v="861"/>
    <s v="Pooja Gupta"/>
    <s v="C203"/>
    <x v="1"/>
    <s v="B2"/>
    <x v="1"/>
    <x v="1"/>
    <n v="18293"/>
    <x v="3"/>
    <n v="0.3"/>
    <n v="17000"/>
    <x v="52"/>
    <x v="0"/>
    <n v="30"/>
    <n v="12805.1"/>
  </r>
  <r>
    <x v="862"/>
    <s v="Sneha Mehta"/>
    <s v="C201"/>
    <x v="0"/>
    <s v="B2"/>
    <x v="2"/>
    <x v="2"/>
    <n v="14214"/>
    <x v="4"/>
    <m/>
    <n v="14000"/>
    <x v="55"/>
    <x v="1"/>
    <n v="0"/>
    <n v="14214"/>
  </r>
  <r>
    <x v="863"/>
    <s v="Karan Kulkarni"/>
    <s v="C204"/>
    <x v="3"/>
    <s v="B3"/>
    <x v="1"/>
    <x v="0"/>
    <n v="8571"/>
    <x v="1"/>
    <n v="0.1"/>
    <n v="9000"/>
    <x v="14"/>
    <x v="0"/>
    <n v="10"/>
    <n v="7713.9"/>
  </r>
  <r>
    <x v="864"/>
    <s v="Rahul Verma"/>
    <s v="C202"/>
    <x v="2"/>
    <s v="B3"/>
    <x v="2"/>
    <x v="1"/>
    <n v="13578"/>
    <x v="4"/>
    <m/>
    <n v="13000"/>
    <x v="33"/>
    <x v="1"/>
    <n v="0"/>
    <n v="13578"/>
  </r>
  <r>
    <x v="865"/>
    <s v="Pooja Rao"/>
    <s v="C203"/>
    <x v="1"/>
    <s v="B1"/>
    <x v="2"/>
    <x v="1"/>
    <n v="18314"/>
    <x v="2"/>
    <m/>
    <n v="17000"/>
    <x v="14"/>
    <x v="0"/>
    <n v="15"/>
    <n v="15566.9"/>
  </r>
  <r>
    <x v="866"/>
    <s v="Kunal Patel"/>
    <s v="C204"/>
    <x v="3"/>
    <s v="B3"/>
    <x v="1"/>
    <x v="0"/>
    <n v="10329"/>
    <x v="4"/>
    <m/>
    <n v="9000"/>
    <x v="25"/>
    <x v="1"/>
    <n v="0"/>
    <n v="10329"/>
  </r>
  <r>
    <x v="867"/>
    <s v="Neha Rao"/>
    <s v="C204"/>
    <x v="3"/>
    <s v="B2"/>
    <x v="1"/>
    <x v="0"/>
    <n v="7588"/>
    <x v="2"/>
    <m/>
    <n v="9000"/>
    <x v="41"/>
    <x v="0"/>
    <n v="15"/>
    <n v="6449.8"/>
  </r>
  <r>
    <x v="868"/>
    <s v="Kunal Jain"/>
    <s v="C204"/>
    <x v="3"/>
    <s v="B1"/>
    <x v="2"/>
    <x v="1"/>
    <n v="8353"/>
    <x v="3"/>
    <n v="0.3"/>
    <n v="9000"/>
    <x v="44"/>
    <x v="0"/>
    <n v="30"/>
    <n v="5847.1"/>
  </r>
  <r>
    <x v="869"/>
    <s v="Neha Kulkarni"/>
    <s v="C201"/>
    <x v="0"/>
    <s v="B2"/>
    <x v="1"/>
    <x v="2"/>
    <n v="13960"/>
    <x v="4"/>
    <m/>
    <n v="14000"/>
    <x v="4"/>
    <x v="1"/>
    <n v="0"/>
    <n v="13960"/>
  </r>
  <r>
    <x v="870"/>
    <s v="Karan Rao"/>
    <s v="C203"/>
    <x v="1"/>
    <s v="B3"/>
    <x v="2"/>
    <x v="0"/>
    <n v="17080"/>
    <x v="1"/>
    <n v="0.1"/>
    <n v="17000"/>
    <x v="32"/>
    <x v="0"/>
    <n v="10"/>
    <n v="15372"/>
  </r>
  <r>
    <x v="871"/>
    <s v="Meera Desai"/>
    <s v="C201"/>
    <x v="0"/>
    <s v="B2"/>
    <x v="2"/>
    <x v="1"/>
    <n v="12290"/>
    <x v="3"/>
    <n v="0.3"/>
    <n v="14000"/>
    <x v="36"/>
    <x v="0"/>
    <n v="30"/>
    <n v="8603"/>
  </r>
  <r>
    <x v="872"/>
    <s v="Neha Verma"/>
    <s v="C204"/>
    <x v="3"/>
    <s v="B1"/>
    <x v="2"/>
    <x v="0"/>
    <n v="9244"/>
    <x v="0"/>
    <n v="0.2"/>
    <n v="9000"/>
    <x v="30"/>
    <x v="0"/>
    <n v="20"/>
    <n v="7395.2"/>
  </r>
  <r>
    <x v="873"/>
    <s v="Rahul Shah"/>
    <s v="C203"/>
    <x v="1"/>
    <s v="B1"/>
    <x v="2"/>
    <x v="1"/>
    <n v="16765"/>
    <x v="4"/>
    <m/>
    <n v="17000"/>
    <x v="52"/>
    <x v="1"/>
    <n v="0"/>
    <n v="16765"/>
  </r>
  <r>
    <x v="874"/>
    <s v="Dev Jain"/>
    <s v="C202"/>
    <x v="2"/>
    <s v="B1"/>
    <x v="2"/>
    <x v="1"/>
    <n v="11319"/>
    <x v="2"/>
    <m/>
    <n v="13000"/>
    <x v="10"/>
    <x v="0"/>
    <n v="15"/>
    <n v="9621.15"/>
  </r>
  <r>
    <x v="875"/>
    <s v="Neha Shah"/>
    <s v="C204"/>
    <x v="3"/>
    <s v="B2"/>
    <x v="2"/>
    <x v="0"/>
    <n v="10367"/>
    <x v="4"/>
    <m/>
    <n v="9000"/>
    <x v="53"/>
    <x v="1"/>
    <n v="0"/>
    <n v="10367"/>
  </r>
  <r>
    <x v="876"/>
    <s v="Aditya Verma"/>
    <s v="C201"/>
    <x v="0"/>
    <s v="B3"/>
    <x v="1"/>
    <x v="1"/>
    <n v="15334"/>
    <x v="2"/>
    <m/>
    <n v="14000"/>
    <x v="57"/>
    <x v="0"/>
    <n v="15"/>
    <n v="13033.9"/>
  </r>
  <r>
    <x v="877"/>
    <s v="Meera Verma"/>
    <s v="C203"/>
    <x v="1"/>
    <s v="B2"/>
    <x v="2"/>
    <x v="1"/>
    <n v="15251"/>
    <x v="1"/>
    <n v="0.1"/>
    <n v="17000"/>
    <x v="1"/>
    <x v="0"/>
    <n v="10"/>
    <n v="13725.9"/>
  </r>
  <r>
    <x v="878"/>
    <s v="Meera Mehta"/>
    <s v="C201"/>
    <x v="0"/>
    <s v="B1"/>
    <x v="2"/>
    <x v="0"/>
    <n v="13855"/>
    <x v="2"/>
    <m/>
    <n v="14000"/>
    <x v="28"/>
    <x v="0"/>
    <n v="15"/>
    <n v="11776.75"/>
  </r>
  <r>
    <x v="879"/>
    <s v="Rahul Joshi"/>
    <s v="C204"/>
    <x v="3"/>
    <s v="B1"/>
    <x v="1"/>
    <x v="1"/>
    <n v="10593"/>
    <x v="3"/>
    <n v="0.3"/>
    <n v="9000"/>
    <x v="47"/>
    <x v="0"/>
    <n v="30"/>
    <n v="7415.1"/>
  </r>
  <r>
    <x v="880"/>
    <s v="Kavita Patel"/>
    <s v="C203"/>
    <x v="1"/>
    <s v="B2"/>
    <x v="2"/>
    <x v="2"/>
    <n v="15365"/>
    <x v="2"/>
    <m/>
    <n v="17000"/>
    <x v="54"/>
    <x v="0"/>
    <n v="15"/>
    <n v="13060.25"/>
  </r>
  <r>
    <x v="881"/>
    <s v="Kavita Gupta"/>
    <s v="C204"/>
    <x v="3"/>
    <s v="B1"/>
    <x v="0"/>
    <x v="0"/>
    <n v="8512"/>
    <x v="2"/>
    <m/>
    <n v="9000"/>
    <x v="55"/>
    <x v="0"/>
    <n v="15"/>
    <n v="7235.2"/>
  </r>
  <r>
    <x v="882"/>
    <s v="Aarav Desai"/>
    <s v="C203"/>
    <x v="1"/>
    <s v="B1"/>
    <x v="0"/>
    <x v="0"/>
    <n v="15963"/>
    <x v="4"/>
    <m/>
    <n v="17000"/>
    <x v="8"/>
    <x v="1"/>
    <n v="0"/>
    <n v="15963"/>
  </r>
  <r>
    <x v="883"/>
    <s v="Kavita Verma"/>
    <s v="C203"/>
    <x v="1"/>
    <s v="B3"/>
    <x v="0"/>
    <x v="2"/>
    <n v="16562"/>
    <x v="4"/>
    <m/>
    <n v="17000"/>
    <x v="36"/>
    <x v="1"/>
    <n v="0"/>
    <n v="16562"/>
  </r>
  <r>
    <x v="884"/>
    <s v="Sneha Singh"/>
    <s v="C202"/>
    <x v="2"/>
    <s v="B2"/>
    <x v="1"/>
    <x v="0"/>
    <n v="13275"/>
    <x v="4"/>
    <m/>
    <n v="13000"/>
    <x v="10"/>
    <x v="1"/>
    <n v="0"/>
    <n v="13275"/>
  </r>
  <r>
    <x v="885"/>
    <s v="Kunal Jain"/>
    <s v="C204"/>
    <x v="3"/>
    <s v="B1"/>
    <x v="0"/>
    <x v="1"/>
    <n v="7514"/>
    <x v="0"/>
    <n v="0.2"/>
    <n v="9000"/>
    <x v="54"/>
    <x v="0"/>
    <n v="20"/>
    <n v="6011.2"/>
  </r>
  <r>
    <x v="886"/>
    <s v="Riya Singh"/>
    <s v="C201"/>
    <x v="0"/>
    <s v="B1"/>
    <x v="2"/>
    <x v="2"/>
    <n v="14694"/>
    <x v="4"/>
    <m/>
    <n v="14000"/>
    <x v="59"/>
    <x v="1"/>
    <n v="0"/>
    <n v="14694"/>
  </r>
  <r>
    <x v="887"/>
    <s v="Riya Mehta"/>
    <s v="C204"/>
    <x v="3"/>
    <s v="B2"/>
    <x v="2"/>
    <x v="1"/>
    <n v="10810"/>
    <x v="4"/>
    <m/>
    <n v="9000"/>
    <x v="33"/>
    <x v="1"/>
    <n v="0"/>
    <n v="10810"/>
  </r>
  <r>
    <x v="888"/>
    <s v="Karan Iyer"/>
    <s v="C204"/>
    <x v="3"/>
    <s v="B3"/>
    <x v="0"/>
    <x v="2"/>
    <n v="8455"/>
    <x v="0"/>
    <n v="0.2"/>
    <n v="9000"/>
    <x v="53"/>
    <x v="0"/>
    <n v="20"/>
    <n v="6764"/>
  </r>
  <r>
    <x v="889"/>
    <s v="Rahul Joshi"/>
    <s v="C201"/>
    <x v="0"/>
    <s v="B3"/>
    <x v="0"/>
    <x v="1"/>
    <n v="12969"/>
    <x v="2"/>
    <m/>
    <n v="14000"/>
    <x v="3"/>
    <x v="0"/>
    <n v="15"/>
    <n v="11023.65"/>
  </r>
  <r>
    <x v="890"/>
    <s v="Rahul Gupta"/>
    <s v="C203"/>
    <x v="1"/>
    <s v="B1"/>
    <x v="1"/>
    <x v="1"/>
    <n v="16979"/>
    <x v="3"/>
    <n v="0.3"/>
    <n v="17000"/>
    <x v="17"/>
    <x v="0"/>
    <n v="30"/>
    <n v="11885.3"/>
  </r>
  <r>
    <x v="891"/>
    <s v="Kavita Iyer"/>
    <s v="C201"/>
    <x v="0"/>
    <s v="B1"/>
    <x v="2"/>
    <x v="1"/>
    <n v="14156"/>
    <x v="3"/>
    <n v="0.3"/>
    <n v="14000"/>
    <x v="44"/>
    <x v="0"/>
    <n v="30"/>
    <n v="9909.2000000000007"/>
  </r>
  <r>
    <x v="892"/>
    <s v="Manish Shah"/>
    <s v="C201"/>
    <x v="0"/>
    <s v="B1"/>
    <x v="0"/>
    <x v="1"/>
    <n v="15037"/>
    <x v="1"/>
    <n v="0.1"/>
    <n v="14000"/>
    <x v="26"/>
    <x v="0"/>
    <n v="10"/>
    <n v="13533.3"/>
  </r>
  <r>
    <x v="893"/>
    <s v="Rohit Gupta"/>
    <s v="C203"/>
    <x v="1"/>
    <s v="B3"/>
    <x v="1"/>
    <x v="2"/>
    <n v="17191"/>
    <x v="1"/>
    <n v="0.1"/>
    <n v="17000"/>
    <x v="30"/>
    <x v="0"/>
    <n v="10"/>
    <n v="15471.9"/>
  </r>
  <r>
    <x v="894"/>
    <s v="Neha Gupta"/>
    <s v="C204"/>
    <x v="3"/>
    <s v="B3"/>
    <x v="2"/>
    <x v="2"/>
    <n v="8724"/>
    <x v="3"/>
    <n v="0.3"/>
    <n v="9000"/>
    <x v="50"/>
    <x v="0"/>
    <n v="30"/>
    <n v="6106.8"/>
  </r>
  <r>
    <x v="895"/>
    <s v="Aditya Rao"/>
    <s v="C202"/>
    <x v="2"/>
    <s v="B1"/>
    <x v="2"/>
    <x v="1"/>
    <n v="14069"/>
    <x v="3"/>
    <n v="0.3"/>
    <n v="13000"/>
    <x v="60"/>
    <x v="0"/>
    <n v="30"/>
    <n v="9848.2999999999993"/>
  </r>
  <r>
    <x v="896"/>
    <s v="Dev Joshi"/>
    <s v="C203"/>
    <x v="1"/>
    <s v="B1"/>
    <x v="2"/>
    <x v="2"/>
    <n v="17368"/>
    <x v="0"/>
    <n v="0.2"/>
    <n v="17000"/>
    <x v="52"/>
    <x v="0"/>
    <n v="20"/>
    <n v="13894.4"/>
  </r>
  <r>
    <x v="897"/>
    <s v="Aarav Singh"/>
    <s v="C203"/>
    <x v="1"/>
    <s v="B3"/>
    <x v="2"/>
    <x v="0"/>
    <n v="16174"/>
    <x v="4"/>
    <m/>
    <n v="17000"/>
    <x v="14"/>
    <x v="1"/>
    <n v="0"/>
    <n v="16174"/>
  </r>
  <r>
    <x v="898"/>
    <s v="Karan Gupta"/>
    <s v="C201"/>
    <x v="0"/>
    <s v="B2"/>
    <x v="0"/>
    <x v="0"/>
    <n v="14522"/>
    <x v="3"/>
    <n v="0.3"/>
    <n v="14000"/>
    <x v="3"/>
    <x v="0"/>
    <n v="30"/>
    <n v="10165.4"/>
  </r>
  <r>
    <x v="899"/>
    <s v="Meera Rao"/>
    <s v="C201"/>
    <x v="0"/>
    <s v="B3"/>
    <x v="1"/>
    <x v="1"/>
    <n v="12715"/>
    <x v="2"/>
    <m/>
    <n v="14000"/>
    <x v="0"/>
    <x v="0"/>
    <n v="15"/>
    <n v="10807.75"/>
  </r>
  <r>
    <x v="900"/>
    <s v="Karan Singh"/>
    <s v="C204"/>
    <x v="3"/>
    <s v="B2"/>
    <x v="1"/>
    <x v="2"/>
    <n v="10205"/>
    <x v="0"/>
    <n v="0.2"/>
    <n v="9000"/>
    <x v="20"/>
    <x v="0"/>
    <n v="20"/>
    <n v="8164"/>
  </r>
  <r>
    <x v="901"/>
    <s v="Karan Patel"/>
    <s v="C201"/>
    <x v="0"/>
    <s v="B2"/>
    <x v="1"/>
    <x v="0"/>
    <n v="14439"/>
    <x v="0"/>
    <n v="0.2"/>
    <n v="14000"/>
    <x v="10"/>
    <x v="0"/>
    <n v="20"/>
    <n v="11551.2"/>
  </r>
  <r>
    <x v="902"/>
    <s v="Neha Patel"/>
    <s v="C204"/>
    <x v="3"/>
    <s v="B2"/>
    <x v="1"/>
    <x v="1"/>
    <n v="8802"/>
    <x v="0"/>
    <n v="0.2"/>
    <n v="9000"/>
    <x v="1"/>
    <x v="0"/>
    <n v="20"/>
    <n v="7041.6"/>
  </r>
  <r>
    <x v="903"/>
    <s v="Kavita Desai"/>
    <s v="C203"/>
    <x v="1"/>
    <s v="B1"/>
    <x v="2"/>
    <x v="2"/>
    <n v="18094"/>
    <x v="1"/>
    <n v="0.1"/>
    <n v="17000"/>
    <x v="55"/>
    <x v="0"/>
    <n v="10"/>
    <n v="16284.6"/>
  </r>
  <r>
    <x v="904"/>
    <s v="Karan Iyer"/>
    <s v="C204"/>
    <x v="3"/>
    <s v="B2"/>
    <x v="0"/>
    <x v="2"/>
    <n v="10056"/>
    <x v="2"/>
    <m/>
    <n v="9000"/>
    <x v="24"/>
    <x v="0"/>
    <n v="15"/>
    <n v="8547.6"/>
  </r>
  <r>
    <x v="905"/>
    <s v="Rahul Singh"/>
    <s v="C204"/>
    <x v="3"/>
    <s v="B2"/>
    <x v="0"/>
    <x v="0"/>
    <n v="9172"/>
    <x v="4"/>
    <m/>
    <n v="9000"/>
    <x v="54"/>
    <x v="1"/>
    <n v="0"/>
    <n v="9172"/>
  </r>
  <r>
    <x v="906"/>
    <s v="Aditya Patel"/>
    <s v="C204"/>
    <x v="3"/>
    <s v="B2"/>
    <x v="2"/>
    <x v="2"/>
    <n v="10939"/>
    <x v="2"/>
    <m/>
    <n v="9000"/>
    <x v="26"/>
    <x v="0"/>
    <n v="15"/>
    <n v="9298.15"/>
  </r>
  <r>
    <x v="907"/>
    <s v="Aarav Shah"/>
    <s v="C203"/>
    <x v="1"/>
    <s v="B2"/>
    <x v="2"/>
    <x v="1"/>
    <n v="18515"/>
    <x v="3"/>
    <n v="0.3"/>
    <n v="17000"/>
    <x v="40"/>
    <x v="0"/>
    <n v="30"/>
    <n v="12960.5"/>
  </r>
  <r>
    <x v="908"/>
    <s v="Aditya Rao"/>
    <s v="C201"/>
    <x v="0"/>
    <s v="B2"/>
    <x v="2"/>
    <x v="1"/>
    <n v="13602"/>
    <x v="4"/>
    <m/>
    <n v="14000"/>
    <x v="57"/>
    <x v="1"/>
    <n v="0"/>
    <n v="13602"/>
  </r>
  <r>
    <x v="909"/>
    <s v="Rohit Desai"/>
    <s v="C202"/>
    <x v="2"/>
    <s v="B3"/>
    <x v="2"/>
    <x v="1"/>
    <n v="14155"/>
    <x v="0"/>
    <n v="0.2"/>
    <n v="13000"/>
    <x v="42"/>
    <x v="0"/>
    <n v="20"/>
    <n v="11324"/>
  </r>
  <r>
    <x v="910"/>
    <s v="Pooja Singh"/>
    <s v="C202"/>
    <x v="2"/>
    <s v="B2"/>
    <x v="2"/>
    <x v="0"/>
    <n v="13755"/>
    <x v="1"/>
    <n v="0.1"/>
    <n v="13000"/>
    <x v="10"/>
    <x v="0"/>
    <n v="10"/>
    <n v="12379.5"/>
  </r>
  <r>
    <x v="911"/>
    <s v="Riya Kulkarni"/>
    <s v="C204"/>
    <x v="3"/>
    <s v="B1"/>
    <x v="2"/>
    <x v="0"/>
    <n v="9807"/>
    <x v="4"/>
    <m/>
    <n v="9000"/>
    <x v="37"/>
    <x v="1"/>
    <n v="0"/>
    <n v="9807"/>
  </r>
  <r>
    <x v="912"/>
    <s v="Sneha Desai"/>
    <s v="C203"/>
    <x v="1"/>
    <s v="B2"/>
    <x v="1"/>
    <x v="0"/>
    <n v="15097"/>
    <x v="2"/>
    <m/>
    <n v="17000"/>
    <x v="14"/>
    <x v="0"/>
    <n v="15"/>
    <n v="12832.45"/>
  </r>
  <r>
    <x v="913"/>
    <s v="Aarav Joshi"/>
    <s v="C202"/>
    <x v="2"/>
    <s v="B3"/>
    <x v="2"/>
    <x v="0"/>
    <n v="13900"/>
    <x v="1"/>
    <n v="0.1"/>
    <n v="13000"/>
    <x v="14"/>
    <x v="0"/>
    <n v="10"/>
    <n v="12510"/>
  </r>
  <r>
    <x v="914"/>
    <s v="Meera Joshi"/>
    <s v="C202"/>
    <x v="2"/>
    <s v="B2"/>
    <x v="2"/>
    <x v="1"/>
    <n v="13318"/>
    <x v="0"/>
    <n v="0.2"/>
    <n v="13000"/>
    <x v="48"/>
    <x v="0"/>
    <n v="20"/>
    <n v="10654.4"/>
  </r>
  <r>
    <x v="915"/>
    <s v="Riya Desai"/>
    <s v="C202"/>
    <x v="2"/>
    <s v="B2"/>
    <x v="0"/>
    <x v="2"/>
    <n v="13705"/>
    <x v="1"/>
    <n v="0.1"/>
    <n v="13000"/>
    <x v="56"/>
    <x v="0"/>
    <n v="10"/>
    <n v="12334.5"/>
  </r>
  <r>
    <x v="916"/>
    <s v="Neha Rao"/>
    <s v="C204"/>
    <x v="3"/>
    <s v="B3"/>
    <x v="2"/>
    <x v="2"/>
    <n v="8054"/>
    <x v="0"/>
    <n v="0.2"/>
    <n v="9000"/>
    <x v="57"/>
    <x v="0"/>
    <n v="20"/>
    <n v="6443.2"/>
  </r>
  <r>
    <x v="917"/>
    <s v="Riya Rao"/>
    <s v="C201"/>
    <x v="0"/>
    <s v="B2"/>
    <x v="0"/>
    <x v="2"/>
    <n v="12246"/>
    <x v="3"/>
    <n v="0.3"/>
    <n v="14000"/>
    <x v="39"/>
    <x v="0"/>
    <n v="30"/>
    <n v="8572.2000000000007"/>
  </r>
  <r>
    <x v="918"/>
    <s v="Aditya Mehta"/>
    <s v="C204"/>
    <x v="3"/>
    <s v="B1"/>
    <x v="0"/>
    <x v="0"/>
    <n v="9499"/>
    <x v="4"/>
    <m/>
    <n v="9000"/>
    <x v="53"/>
    <x v="1"/>
    <n v="0"/>
    <n v="9499"/>
  </r>
  <r>
    <x v="919"/>
    <s v="Rohit Iyer"/>
    <s v="C201"/>
    <x v="0"/>
    <s v="B1"/>
    <x v="2"/>
    <x v="2"/>
    <n v="12894"/>
    <x v="2"/>
    <m/>
    <n v="14000"/>
    <x v="49"/>
    <x v="0"/>
    <n v="15"/>
    <n v="10959.9"/>
  </r>
  <r>
    <x v="920"/>
    <s v="Riya Iyer"/>
    <s v="C203"/>
    <x v="1"/>
    <s v="B1"/>
    <x v="1"/>
    <x v="0"/>
    <n v="15288"/>
    <x v="2"/>
    <m/>
    <n v="17000"/>
    <x v="60"/>
    <x v="0"/>
    <n v="15"/>
    <n v="12994.8"/>
  </r>
  <r>
    <x v="921"/>
    <s v="Aditya Patel"/>
    <s v="C204"/>
    <x v="3"/>
    <s v="B1"/>
    <x v="0"/>
    <x v="0"/>
    <n v="9674"/>
    <x v="1"/>
    <n v="0.1"/>
    <n v="9000"/>
    <x v="5"/>
    <x v="0"/>
    <n v="10"/>
    <n v="8706.6"/>
  </r>
  <r>
    <x v="922"/>
    <s v="Aarav Singh"/>
    <s v="C204"/>
    <x v="3"/>
    <s v="B2"/>
    <x v="1"/>
    <x v="1"/>
    <n v="8350"/>
    <x v="4"/>
    <m/>
    <n v="9000"/>
    <x v="52"/>
    <x v="1"/>
    <n v="0"/>
    <n v="8350"/>
  </r>
  <r>
    <x v="923"/>
    <s v="Aarav Gupta"/>
    <s v="C204"/>
    <x v="3"/>
    <s v="B2"/>
    <x v="0"/>
    <x v="2"/>
    <n v="10457"/>
    <x v="1"/>
    <n v="0.1"/>
    <n v="9000"/>
    <x v="36"/>
    <x v="0"/>
    <n v="10"/>
    <n v="9411.2999999999993"/>
  </r>
  <r>
    <x v="924"/>
    <s v="Sneha Kulkarni"/>
    <s v="C204"/>
    <x v="3"/>
    <s v="B3"/>
    <x v="0"/>
    <x v="0"/>
    <n v="9323"/>
    <x v="2"/>
    <m/>
    <n v="9000"/>
    <x v="5"/>
    <x v="0"/>
    <n v="15"/>
    <n v="7924.55"/>
  </r>
  <r>
    <x v="925"/>
    <s v="Pooja Jain"/>
    <s v="C203"/>
    <x v="1"/>
    <s v="B2"/>
    <x v="1"/>
    <x v="1"/>
    <n v="18927"/>
    <x v="1"/>
    <n v="0.1"/>
    <n v="17000"/>
    <x v="51"/>
    <x v="0"/>
    <n v="10"/>
    <n v="17034.3"/>
  </r>
  <r>
    <x v="926"/>
    <s v="Manish Nair"/>
    <s v="C203"/>
    <x v="1"/>
    <s v="B1"/>
    <x v="0"/>
    <x v="2"/>
    <n v="17653"/>
    <x v="0"/>
    <n v="0.2"/>
    <n v="17000"/>
    <x v="53"/>
    <x v="0"/>
    <n v="20"/>
    <n v="14122.4"/>
  </r>
  <r>
    <x v="927"/>
    <s v="Manish Kulkarni"/>
    <s v="C204"/>
    <x v="3"/>
    <s v="B3"/>
    <x v="1"/>
    <x v="2"/>
    <n v="9850"/>
    <x v="4"/>
    <m/>
    <n v="9000"/>
    <x v="48"/>
    <x v="1"/>
    <n v="0"/>
    <n v="9850"/>
  </r>
  <r>
    <x v="928"/>
    <s v="Riya Singh"/>
    <s v="C203"/>
    <x v="1"/>
    <s v="B2"/>
    <x v="1"/>
    <x v="1"/>
    <n v="16793"/>
    <x v="0"/>
    <n v="0.2"/>
    <n v="17000"/>
    <x v="59"/>
    <x v="0"/>
    <n v="20"/>
    <n v="13434.4"/>
  </r>
  <r>
    <x v="929"/>
    <s v="Aarav Patil"/>
    <s v="C201"/>
    <x v="0"/>
    <s v="B3"/>
    <x v="2"/>
    <x v="0"/>
    <n v="14003"/>
    <x v="4"/>
    <m/>
    <n v="14000"/>
    <x v="11"/>
    <x v="1"/>
    <n v="0"/>
    <n v="14003"/>
  </r>
  <r>
    <x v="930"/>
    <s v="Dev Gupta"/>
    <s v="C203"/>
    <x v="1"/>
    <s v="B2"/>
    <x v="2"/>
    <x v="2"/>
    <n v="18959"/>
    <x v="1"/>
    <n v="0.1"/>
    <n v="17000"/>
    <x v="34"/>
    <x v="0"/>
    <n v="10"/>
    <n v="17063.099999999999"/>
  </r>
  <r>
    <x v="931"/>
    <s v="Pooja Kulkarni"/>
    <s v="C203"/>
    <x v="1"/>
    <s v="B3"/>
    <x v="1"/>
    <x v="2"/>
    <n v="15484"/>
    <x v="0"/>
    <n v="0.2"/>
    <n v="17000"/>
    <x v="50"/>
    <x v="0"/>
    <n v="20"/>
    <n v="12387.2"/>
  </r>
  <r>
    <x v="932"/>
    <s v="Rohit Singh"/>
    <s v="C204"/>
    <x v="3"/>
    <s v="B3"/>
    <x v="2"/>
    <x v="0"/>
    <n v="10035"/>
    <x v="2"/>
    <m/>
    <n v="9000"/>
    <x v="24"/>
    <x v="0"/>
    <n v="15"/>
    <n v="8529.75"/>
  </r>
  <r>
    <x v="933"/>
    <s v="Kunal Shah"/>
    <s v="C201"/>
    <x v="0"/>
    <s v="B3"/>
    <x v="1"/>
    <x v="2"/>
    <n v="14678"/>
    <x v="1"/>
    <n v="0.1"/>
    <n v="14000"/>
    <x v="30"/>
    <x v="0"/>
    <n v="10"/>
    <n v="13210.2"/>
  </r>
  <r>
    <x v="934"/>
    <s v="Kunal Joshi"/>
    <s v="C201"/>
    <x v="0"/>
    <s v="B1"/>
    <x v="2"/>
    <x v="1"/>
    <n v="12534"/>
    <x v="1"/>
    <n v="0.1"/>
    <n v="14000"/>
    <x v="53"/>
    <x v="0"/>
    <n v="10"/>
    <n v="11280.6"/>
  </r>
  <r>
    <x v="935"/>
    <s v="Rohit Kulkarni"/>
    <s v="C203"/>
    <x v="1"/>
    <s v="B1"/>
    <x v="0"/>
    <x v="1"/>
    <n v="15699"/>
    <x v="2"/>
    <m/>
    <n v="17000"/>
    <x v="11"/>
    <x v="0"/>
    <n v="15"/>
    <n v="13344.15"/>
  </r>
  <r>
    <x v="936"/>
    <s v="Meera Nair"/>
    <s v="C201"/>
    <x v="0"/>
    <s v="B1"/>
    <x v="0"/>
    <x v="1"/>
    <n v="15273"/>
    <x v="2"/>
    <m/>
    <n v="14000"/>
    <x v="24"/>
    <x v="0"/>
    <n v="15"/>
    <n v="12982.05"/>
  </r>
  <r>
    <x v="937"/>
    <s v="Riya Patel"/>
    <s v="C202"/>
    <x v="2"/>
    <s v="B2"/>
    <x v="0"/>
    <x v="1"/>
    <n v="13778"/>
    <x v="4"/>
    <m/>
    <n v="13000"/>
    <x v="31"/>
    <x v="1"/>
    <n v="0"/>
    <n v="13778"/>
  </r>
  <r>
    <x v="938"/>
    <s v="Riya Singh"/>
    <s v="C202"/>
    <x v="2"/>
    <s v="B2"/>
    <x v="1"/>
    <x v="0"/>
    <n v="13429"/>
    <x v="0"/>
    <n v="0.2"/>
    <n v="13000"/>
    <x v="40"/>
    <x v="0"/>
    <n v="20"/>
    <n v="10743.2"/>
  </r>
  <r>
    <x v="939"/>
    <s v="Riya Shah"/>
    <s v="C203"/>
    <x v="1"/>
    <s v="B1"/>
    <x v="0"/>
    <x v="0"/>
    <n v="17852"/>
    <x v="3"/>
    <n v="0.3"/>
    <n v="17000"/>
    <x v="35"/>
    <x v="0"/>
    <n v="30"/>
    <n v="12496.4"/>
  </r>
  <r>
    <x v="940"/>
    <s v="Karan Iyer"/>
    <s v="C202"/>
    <x v="2"/>
    <s v="B3"/>
    <x v="1"/>
    <x v="0"/>
    <n v="11409"/>
    <x v="2"/>
    <m/>
    <n v="13000"/>
    <x v="7"/>
    <x v="0"/>
    <n v="15"/>
    <n v="9697.65"/>
  </r>
  <r>
    <x v="941"/>
    <s v="Dev Mehta"/>
    <s v="C201"/>
    <x v="0"/>
    <s v="B2"/>
    <x v="1"/>
    <x v="0"/>
    <n v="12029"/>
    <x v="0"/>
    <n v="0.2"/>
    <n v="14000"/>
    <x v="5"/>
    <x v="0"/>
    <n v="20"/>
    <n v="9623.2000000000007"/>
  </r>
  <r>
    <x v="942"/>
    <s v="Riya Desai"/>
    <s v="C203"/>
    <x v="1"/>
    <s v="B2"/>
    <x v="2"/>
    <x v="2"/>
    <n v="17835"/>
    <x v="0"/>
    <n v="0.2"/>
    <n v="17000"/>
    <x v="1"/>
    <x v="0"/>
    <n v="20"/>
    <n v="14268"/>
  </r>
  <r>
    <x v="943"/>
    <s v="Karan Singh"/>
    <s v="C203"/>
    <x v="1"/>
    <s v="B3"/>
    <x v="0"/>
    <x v="2"/>
    <n v="15979"/>
    <x v="0"/>
    <n v="0.2"/>
    <n v="17000"/>
    <x v="33"/>
    <x v="0"/>
    <n v="20"/>
    <n v="12783.2"/>
  </r>
  <r>
    <x v="944"/>
    <s v="Anjali Kulkarni"/>
    <s v="C202"/>
    <x v="2"/>
    <s v="B3"/>
    <x v="0"/>
    <x v="1"/>
    <n v="14892"/>
    <x v="1"/>
    <n v="0.1"/>
    <n v="13000"/>
    <x v="56"/>
    <x v="0"/>
    <n v="10"/>
    <n v="13402.8"/>
  </r>
  <r>
    <x v="945"/>
    <s v="Meera Patel"/>
    <s v="C203"/>
    <x v="1"/>
    <s v="B2"/>
    <x v="0"/>
    <x v="0"/>
    <n v="17284"/>
    <x v="0"/>
    <n v="0.2"/>
    <n v="17000"/>
    <x v="19"/>
    <x v="0"/>
    <n v="20"/>
    <n v="13827.2"/>
  </r>
  <r>
    <x v="946"/>
    <s v="Riya Gupta"/>
    <s v="C201"/>
    <x v="0"/>
    <s v="B3"/>
    <x v="0"/>
    <x v="1"/>
    <n v="14078"/>
    <x v="0"/>
    <n v="0.2"/>
    <n v="14000"/>
    <x v="44"/>
    <x v="0"/>
    <n v="20"/>
    <n v="11262.4"/>
  </r>
  <r>
    <x v="947"/>
    <s v="Dev Singh"/>
    <s v="C202"/>
    <x v="2"/>
    <s v="B2"/>
    <x v="1"/>
    <x v="0"/>
    <n v="11461"/>
    <x v="0"/>
    <n v="0.2"/>
    <n v="13000"/>
    <x v="26"/>
    <x v="0"/>
    <n v="20"/>
    <n v="9168.7999999999993"/>
  </r>
  <r>
    <x v="948"/>
    <s v="Meera Iyer"/>
    <s v="C204"/>
    <x v="3"/>
    <s v="B1"/>
    <x v="1"/>
    <x v="1"/>
    <n v="10779"/>
    <x v="1"/>
    <n v="0.1"/>
    <n v="9000"/>
    <x v="55"/>
    <x v="0"/>
    <n v="10"/>
    <n v="9701.1"/>
  </r>
  <r>
    <x v="949"/>
    <s v="Rohit Jain"/>
    <s v="C203"/>
    <x v="1"/>
    <s v="B1"/>
    <x v="0"/>
    <x v="2"/>
    <n v="16369"/>
    <x v="2"/>
    <m/>
    <n v="17000"/>
    <x v="50"/>
    <x v="0"/>
    <n v="15"/>
    <n v="13913.65"/>
  </r>
  <r>
    <x v="950"/>
    <s v="Kunal Patel"/>
    <s v="C204"/>
    <x v="3"/>
    <s v="B1"/>
    <x v="1"/>
    <x v="1"/>
    <n v="7214"/>
    <x v="2"/>
    <m/>
    <n v="9000"/>
    <x v="53"/>
    <x v="0"/>
    <n v="15"/>
    <n v="6131.9"/>
  </r>
  <r>
    <x v="951"/>
    <s v="Karan Patel"/>
    <s v="C201"/>
    <x v="0"/>
    <s v="B2"/>
    <x v="2"/>
    <x v="0"/>
    <n v="12290"/>
    <x v="0"/>
    <n v="0.2"/>
    <n v="14000"/>
    <x v="60"/>
    <x v="0"/>
    <n v="20"/>
    <n v="9832"/>
  </r>
  <r>
    <x v="952"/>
    <s v="Neha Joshi"/>
    <s v="C203"/>
    <x v="1"/>
    <s v="B2"/>
    <x v="1"/>
    <x v="1"/>
    <n v="17772"/>
    <x v="3"/>
    <n v="0.3"/>
    <n v="17000"/>
    <x v="24"/>
    <x v="0"/>
    <n v="30"/>
    <n v="12440.4"/>
  </r>
  <r>
    <x v="953"/>
    <s v="Dev Shah"/>
    <s v="C203"/>
    <x v="1"/>
    <s v="B1"/>
    <x v="1"/>
    <x v="0"/>
    <n v="18021"/>
    <x v="4"/>
    <m/>
    <n v="17000"/>
    <x v="16"/>
    <x v="1"/>
    <n v="0"/>
    <n v="18021"/>
  </r>
  <r>
    <x v="954"/>
    <s v="Sneha Verma"/>
    <s v="C202"/>
    <x v="2"/>
    <s v="B1"/>
    <x v="0"/>
    <x v="1"/>
    <n v="12984"/>
    <x v="1"/>
    <n v="0.1"/>
    <n v="13000"/>
    <x v="43"/>
    <x v="0"/>
    <n v="10"/>
    <n v="11685.6"/>
  </r>
  <r>
    <x v="955"/>
    <s v="Rahul Mehta"/>
    <s v="C202"/>
    <x v="2"/>
    <s v="B3"/>
    <x v="0"/>
    <x v="0"/>
    <n v="12586"/>
    <x v="3"/>
    <n v="0.3"/>
    <n v="13000"/>
    <x v="59"/>
    <x v="0"/>
    <n v="30"/>
    <n v="8810.2000000000007"/>
  </r>
  <r>
    <x v="956"/>
    <s v="Neha Desai"/>
    <s v="C202"/>
    <x v="2"/>
    <s v="B3"/>
    <x v="0"/>
    <x v="2"/>
    <n v="11828"/>
    <x v="3"/>
    <n v="0.3"/>
    <n v="13000"/>
    <x v="59"/>
    <x v="0"/>
    <n v="30"/>
    <n v="8279.6"/>
  </r>
  <r>
    <x v="957"/>
    <s v="Aarav Desai"/>
    <s v="C201"/>
    <x v="0"/>
    <s v="B2"/>
    <x v="1"/>
    <x v="0"/>
    <n v="15488"/>
    <x v="4"/>
    <m/>
    <n v="14000"/>
    <x v="44"/>
    <x v="1"/>
    <n v="0"/>
    <n v="15488"/>
  </r>
  <r>
    <x v="958"/>
    <s v="Rahul Mehta"/>
    <s v="C203"/>
    <x v="1"/>
    <s v="B1"/>
    <x v="0"/>
    <x v="1"/>
    <n v="15642"/>
    <x v="2"/>
    <m/>
    <n v="17000"/>
    <x v="48"/>
    <x v="0"/>
    <n v="15"/>
    <n v="13295.7"/>
  </r>
  <r>
    <x v="959"/>
    <s v="Karan Joshi"/>
    <s v="C202"/>
    <x v="2"/>
    <s v="B1"/>
    <x v="0"/>
    <x v="1"/>
    <n v="13003"/>
    <x v="0"/>
    <n v="0.2"/>
    <n v="13000"/>
    <x v="29"/>
    <x v="0"/>
    <n v="20"/>
    <n v="10402.4"/>
  </r>
  <r>
    <x v="960"/>
    <s v="Neha Nair"/>
    <s v="C204"/>
    <x v="3"/>
    <s v="B2"/>
    <x v="1"/>
    <x v="1"/>
    <n v="8753"/>
    <x v="0"/>
    <n v="0.2"/>
    <n v="9000"/>
    <x v="27"/>
    <x v="0"/>
    <n v="20"/>
    <n v="7002.4"/>
  </r>
  <r>
    <x v="961"/>
    <s v="Pooja Verma"/>
    <s v="C202"/>
    <x v="2"/>
    <s v="B3"/>
    <x v="1"/>
    <x v="1"/>
    <n v="14679"/>
    <x v="1"/>
    <n v="0.1"/>
    <n v="13000"/>
    <x v="2"/>
    <x v="0"/>
    <n v="10"/>
    <n v="13211.1"/>
  </r>
  <r>
    <x v="962"/>
    <s v="Aarav Kulkarni"/>
    <s v="C204"/>
    <x v="3"/>
    <s v="B3"/>
    <x v="2"/>
    <x v="0"/>
    <n v="8743"/>
    <x v="2"/>
    <m/>
    <n v="9000"/>
    <x v="32"/>
    <x v="0"/>
    <n v="15"/>
    <n v="7431.55"/>
  </r>
  <r>
    <x v="963"/>
    <s v="Neha Patel"/>
    <s v="C201"/>
    <x v="0"/>
    <s v="B2"/>
    <x v="0"/>
    <x v="0"/>
    <n v="12340"/>
    <x v="2"/>
    <m/>
    <n v="14000"/>
    <x v="46"/>
    <x v="0"/>
    <n v="15"/>
    <n v="10489"/>
  </r>
  <r>
    <x v="964"/>
    <s v="Aarav Desai"/>
    <s v="C204"/>
    <x v="3"/>
    <s v="B1"/>
    <x v="1"/>
    <x v="2"/>
    <n v="8211"/>
    <x v="0"/>
    <n v="0.2"/>
    <n v="9000"/>
    <x v="49"/>
    <x v="0"/>
    <n v="20"/>
    <n v="6568.8"/>
  </r>
  <r>
    <x v="965"/>
    <s v="Riya Kulkarni"/>
    <s v="C204"/>
    <x v="3"/>
    <s v="B3"/>
    <x v="0"/>
    <x v="0"/>
    <n v="9880"/>
    <x v="4"/>
    <m/>
    <n v="9000"/>
    <x v="4"/>
    <x v="1"/>
    <n v="0"/>
    <n v="9880"/>
  </r>
  <r>
    <x v="966"/>
    <s v="Kavita Desai"/>
    <s v="C201"/>
    <x v="0"/>
    <s v="B2"/>
    <x v="0"/>
    <x v="0"/>
    <n v="15580"/>
    <x v="4"/>
    <m/>
    <n v="14000"/>
    <x v="53"/>
    <x v="1"/>
    <n v="0"/>
    <n v="15580"/>
  </r>
  <r>
    <x v="967"/>
    <s v="Dev Nair"/>
    <s v="C203"/>
    <x v="1"/>
    <s v="B3"/>
    <x v="0"/>
    <x v="1"/>
    <n v="17594"/>
    <x v="1"/>
    <n v="0.1"/>
    <n v="17000"/>
    <x v="16"/>
    <x v="0"/>
    <n v="10"/>
    <n v="15834.6"/>
  </r>
  <r>
    <x v="968"/>
    <s v="Rohit Shah"/>
    <s v="C204"/>
    <x v="3"/>
    <s v="B3"/>
    <x v="0"/>
    <x v="1"/>
    <n v="7133"/>
    <x v="3"/>
    <n v="0.3"/>
    <n v="9000"/>
    <x v="13"/>
    <x v="0"/>
    <n v="30"/>
    <n v="4993.1000000000004"/>
  </r>
  <r>
    <x v="969"/>
    <s v="Dev Rao"/>
    <s v="C202"/>
    <x v="2"/>
    <s v="B3"/>
    <x v="1"/>
    <x v="1"/>
    <n v="14607"/>
    <x v="3"/>
    <n v="0.3"/>
    <n v="13000"/>
    <x v="0"/>
    <x v="0"/>
    <n v="30"/>
    <n v="10224.9"/>
  </r>
  <r>
    <x v="970"/>
    <s v="Kunal Kulkarni"/>
    <s v="C203"/>
    <x v="1"/>
    <s v="B1"/>
    <x v="1"/>
    <x v="2"/>
    <n v="16497"/>
    <x v="4"/>
    <m/>
    <n v="17000"/>
    <x v="33"/>
    <x v="1"/>
    <n v="0"/>
    <n v="16497"/>
  </r>
  <r>
    <x v="971"/>
    <s v="Aarav Jain"/>
    <s v="C203"/>
    <x v="1"/>
    <s v="B1"/>
    <x v="2"/>
    <x v="1"/>
    <n v="17887"/>
    <x v="1"/>
    <n v="0.1"/>
    <n v="17000"/>
    <x v="35"/>
    <x v="0"/>
    <n v="10"/>
    <n v="16098.3"/>
  </r>
  <r>
    <x v="972"/>
    <s v="Anjali Patel"/>
    <s v="C202"/>
    <x v="2"/>
    <s v="B1"/>
    <x v="0"/>
    <x v="0"/>
    <n v="13210"/>
    <x v="1"/>
    <n v="0.1"/>
    <n v="13000"/>
    <x v="49"/>
    <x v="0"/>
    <n v="10"/>
    <n v="11889"/>
  </r>
  <r>
    <x v="973"/>
    <s v="Neha Desai"/>
    <s v="C202"/>
    <x v="2"/>
    <s v="B3"/>
    <x v="1"/>
    <x v="2"/>
    <n v="12444"/>
    <x v="3"/>
    <n v="0.3"/>
    <n v="13000"/>
    <x v="18"/>
    <x v="0"/>
    <n v="30"/>
    <n v="8710.7999999999993"/>
  </r>
  <r>
    <x v="974"/>
    <s v="Rohit Verma"/>
    <s v="C203"/>
    <x v="1"/>
    <s v="B1"/>
    <x v="1"/>
    <x v="2"/>
    <n v="16414"/>
    <x v="4"/>
    <m/>
    <n v="17000"/>
    <x v="20"/>
    <x v="1"/>
    <n v="0"/>
    <n v="16414"/>
  </r>
  <r>
    <x v="975"/>
    <s v="Manish Gupta"/>
    <s v="C201"/>
    <x v="0"/>
    <s v="B2"/>
    <x v="2"/>
    <x v="1"/>
    <n v="14778"/>
    <x v="2"/>
    <m/>
    <n v="14000"/>
    <x v="48"/>
    <x v="0"/>
    <n v="15"/>
    <n v="12561.3"/>
  </r>
  <r>
    <x v="976"/>
    <s v="Aditya Iyer"/>
    <s v="C203"/>
    <x v="1"/>
    <s v="B3"/>
    <x v="2"/>
    <x v="0"/>
    <n v="15771"/>
    <x v="4"/>
    <m/>
    <n v="17000"/>
    <x v="14"/>
    <x v="1"/>
    <n v="0"/>
    <n v="15771"/>
  </r>
  <r>
    <x v="977"/>
    <s v="Riya Verma"/>
    <s v="C202"/>
    <x v="2"/>
    <s v="B2"/>
    <x v="1"/>
    <x v="0"/>
    <n v="11674"/>
    <x v="3"/>
    <n v="0.3"/>
    <n v="13000"/>
    <x v="17"/>
    <x v="0"/>
    <n v="30"/>
    <n v="8171.8"/>
  </r>
  <r>
    <x v="978"/>
    <s v="Anjali Mehta"/>
    <s v="C204"/>
    <x v="3"/>
    <s v="B1"/>
    <x v="1"/>
    <x v="1"/>
    <n v="10899"/>
    <x v="1"/>
    <n v="0.1"/>
    <n v="9000"/>
    <x v="28"/>
    <x v="0"/>
    <n v="10"/>
    <n v="9809.1"/>
  </r>
  <r>
    <x v="979"/>
    <s v="Rahul Singh"/>
    <s v="C202"/>
    <x v="2"/>
    <s v="B2"/>
    <x v="0"/>
    <x v="2"/>
    <n v="12818"/>
    <x v="1"/>
    <n v="0.1"/>
    <n v="13000"/>
    <x v="28"/>
    <x v="0"/>
    <n v="10"/>
    <n v="11536.2"/>
  </r>
  <r>
    <x v="980"/>
    <s v="Sneha Shah"/>
    <s v="C201"/>
    <x v="0"/>
    <s v="B1"/>
    <x v="2"/>
    <x v="1"/>
    <n v="13375"/>
    <x v="4"/>
    <m/>
    <n v="14000"/>
    <x v="29"/>
    <x v="1"/>
    <n v="0"/>
    <n v="13375"/>
  </r>
  <r>
    <x v="981"/>
    <s v="Pooja Singh"/>
    <s v="C203"/>
    <x v="1"/>
    <s v="B2"/>
    <x v="2"/>
    <x v="1"/>
    <n v="17854"/>
    <x v="2"/>
    <m/>
    <n v="17000"/>
    <x v="10"/>
    <x v="0"/>
    <n v="15"/>
    <n v="15175.9"/>
  </r>
  <r>
    <x v="982"/>
    <s v="Manish Iyer"/>
    <s v="C204"/>
    <x v="3"/>
    <s v="B2"/>
    <x v="2"/>
    <x v="0"/>
    <n v="10679"/>
    <x v="3"/>
    <n v="0.3"/>
    <n v="9000"/>
    <x v="9"/>
    <x v="0"/>
    <n v="30"/>
    <n v="7475.3"/>
  </r>
  <r>
    <x v="983"/>
    <s v="Dev Rao"/>
    <s v="C202"/>
    <x v="2"/>
    <s v="B2"/>
    <x v="0"/>
    <x v="2"/>
    <n v="14152"/>
    <x v="1"/>
    <n v="0.1"/>
    <n v="13000"/>
    <x v="12"/>
    <x v="0"/>
    <n v="10"/>
    <n v="12736.8"/>
  </r>
  <r>
    <x v="984"/>
    <s v="Pooja Rao"/>
    <s v="C204"/>
    <x v="3"/>
    <s v="B1"/>
    <x v="2"/>
    <x v="0"/>
    <n v="9915"/>
    <x v="2"/>
    <m/>
    <n v="9000"/>
    <x v="28"/>
    <x v="0"/>
    <n v="15"/>
    <n v="8427.75"/>
  </r>
  <r>
    <x v="985"/>
    <s v="Karan Mehta"/>
    <s v="C202"/>
    <x v="2"/>
    <s v="B1"/>
    <x v="1"/>
    <x v="0"/>
    <n v="11168"/>
    <x v="3"/>
    <n v="0.3"/>
    <n v="13000"/>
    <x v="52"/>
    <x v="0"/>
    <n v="30"/>
    <n v="7817.6"/>
  </r>
  <r>
    <x v="986"/>
    <s v="Karan Iyer"/>
    <s v="C203"/>
    <x v="1"/>
    <s v="B2"/>
    <x v="1"/>
    <x v="0"/>
    <n v="17303"/>
    <x v="1"/>
    <n v="0.1"/>
    <n v="17000"/>
    <x v="45"/>
    <x v="0"/>
    <n v="10"/>
    <n v="15572.7"/>
  </r>
  <r>
    <x v="987"/>
    <s v="Pooja Jain"/>
    <s v="C202"/>
    <x v="2"/>
    <s v="B2"/>
    <x v="0"/>
    <x v="1"/>
    <n v="14995"/>
    <x v="0"/>
    <n v="0.2"/>
    <n v="13000"/>
    <x v="36"/>
    <x v="0"/>
    <n v="20"/>
    <n v="11996"/>
  </r>
  <r>
    <x v="988"/>
    <s v="Aditya Shah"/>
    <s v="C201"/>
    <x v="0"/>
    <s v="B2"/>
    <x v="0"/>
    <x v="0"/>
    <n v="15882"/>
    <x v="4"/>
    <m/>
    <n v="14000"/>
    <x v="5"/>
    <x v="1"/>
    <n v="0"/>
    <n v="15882"/>
  </r>
  <r>
    <x v="989"/>
    <s v="Pooja Mehta"/>
    <s v="C201"/>
    <x v="0"/>
    <s v="B3"/>
    <x v="2"/>
    <x v="1"/>
    <n v="13356"/>
    <x v="3"/>
    <n v="0.3"/>
    <n v="14000"/>
    <x v="30"/>
    <x v="0"/>
    <n v="30"/>
    <n v="9349.2000000000007"/>
  </r>
  <r>
    <x v="990"/>
    <s v="Kunal Rao"/>
    <s v="C202"/>
    <x v="2"/>
    <s v="B3"/>
    <x v="2"/>
    <x v="2"/>
    <n v="12387"/>
    <x v="1"/>
    <n v="0.1"/>
    <n v="13000"/>
    <x v="60"/>
    <x v="0"/>
    <n v="10"/>
    <n v="11148.3"/>
  </r>
  <r>
    <x v="991"/>
    <s v="Neha Kulkarni"/>
    <s v="C202"/>
    <x v="2"/>
    <s v="B3"/>
    <x v="2"/>
    <x v="0"/>
    <n v="12261"/>
    <x v="1"/>
    <n v="0.1"/>
    <n v="13000"/>
    <x v="32"/>
    <x v="0"/>
    <n v="10"/>
    <n v="11034.9"/>
  </r>
  <r>
    <x v="992"/>
    <s v="Kavita Nair"/>
    <s v="C202"/>
    <x v="2"/>
    <s v="B2"/>
    <x v="0"/>
    <x v="0"/>
    <n v="12336"/>
    <x v="1"/>
    <n v="0.1"/>
    <n v="13000"/>
    <x v="15"/>
    <x v="0"/>
    <n v="10"/>
    <n v="11102.4"/>
  </r>
  <r>
    <x v="993"/>
    <s v="Rohit Patil"/>
    <s v="C202"/>
    <x v="2"/>
    <s v="B2"/>
    <x v="1"/>
    <x v="0"/>
    <n v="11342"/>
    <x v="2"/>
    <m/>
    <n v="13000"/>
    <x v="4"/>
    <x v="0"/>
    <n v="15"/>
    <n v="9640.7000000000007"/>
  </r>
  <r>
    <x v="994"/>
    <s v="Neha Singh"/>
    <s v="C201"/>
    <x v="0"/>
    <s v="B3"/>
    <x v="0"/>
    <x v="0"/>
    <n v="14008"/>
    <x v="3"/>
    <n v="0.3"/>
    <n v="14000"/>
    <x v="15"/>
    <x v="0"/>
    <n v="30"/>
    <n v="9805.6"/>
  </r>
  <r>
    <x v="995"/>
    <s v="Kavita Gupta"/>
    <s v="C201"/>
    <x v="0"/>
    <s v="B3"/>
    <x v="0"/>
    <x v="2"/>
    <n v="12605"/>
    <x v="4"/>
    <m/>
    <n v="14000"/>
    <x v="51"/>
    <x v="1"/>
    <n v="0"/>
    <n v="12605"/>
  </r>
  <r>
    <x v="996"/>
    <s v="Rahul Jain"/>
    <s v="C201"/>
    <x v="0"/>
    <s v="B2"/>
    <x v="0"/>
    <x v="2"/>
    <n v="13261"/>
    <x v="4"/>
    <m/>
    <n v="14000"/>
    <x v="16"/>
    <x v="1"/>
    <n v="0"/>
    <n v="13261"/>
  </r>
  <r>
    <x v="997"/>
    <s v="Manish Shah"/>
    <s v="C202"/>
    <x v="2"/>
    <s v="B3"/>
    <x v="0"/>
    <x v="1"/>
    <n v="12702"/>
    <x v="4"/>
    <m/>
    <n v="13000"/>
    <x v="28"/>
    <x v="1"/>
    <n v="0"/>
    <n v="12702"/>
  </r>
  <r>
    <x v="998"/>
    <s v="Karan Patel"/>
    <s v="C204"/>
    <x v="3"/>
    <s v="B3"/>
    <x v="0"/>
    <x v="0"/>
    <n v="10422"/>
    <x v="2"/>
    <m/>
    <n v="9000"/>
    <x v="15"/>
    <x v="0"/>
    <n v="15"/>
    <n v="8858.7000000000007"/>
  </r>
  <r>
    <x v="999"/>
    <s v="Riya Mehta"/>
    <s v="C202"/>
    <x v="2"/>
    <s v="B2"/>
    <x v="0"/>
    <x v="1"/>
    <n v="12373"/>
    <x v="1"/>
    <n v="0.1"/>
    <n v="13000"/>
    <x v="5"/>
    <x v="0"/>
    <n v="10"/>
    <n v="11135.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2:J7" firstHeaderRow="1" firstDataRow="1" firstDataCol="1"/>
  <pivotFields count="13">
    <pivotField showAll="0"/>
    <pivotField showAll="0"/>
    <pivotField showAll="0"/>
    <pivotField axis="axisRow" showAll="0">
      <items count="5">
        <item x="0"/>
        <item x="2"/>
        <item x="1"/>
        <item x="3"/>
        <item t="default"/>
      </items>
    </pivotField>
    <pivotField showAll="0"/>
    <pivotField showAll="0"/>
    <pivotField showAll="0"/>
    <pivotField dataField="1" showAll="0"/>
    <pivotField showAll="0"/>
    <pivotField showAll="0"/>
    <pivotField showAll="0"/>
    <pivotField numFmtId="14" showAll="0"/>
    <pivotField dragToRow="0" dragToCol="0" dragToPage="0" showAll="0" defaultSubtotal="0"/>
  </pivotFields>
  <rowFields count="1">
    <field x="3"/>
  </rowFields>
  <rowItems count="5">
    <i>
      <x/>
    </i>
    <i>
      <x v="1"/>
    </i>
    <i>
      <x v="2"/>
    </i>
    <i>
      <x v="3"/>
    </i>
    <i t="grand">
      <x/>
    </i>
  </rowItems>
  <colItems count="1">
    <i/>
  </colItems>
  <dataFields count="1">
    <dataField name="Sum of PaymentAmount" fld="7" baseField="0" baseItem="0"/>
  </dataFields>
  <formats count="20">
    <format dxfId="151">
      <pivotArea type="all" dataOnly="0" outline="0" fieldPosition="0"/>
    </format>
    <format dxfId="150">
      <pivotArea outline="0" collapsedLevelsAreSubtotals="1" fieldPosition="0"/>
    </format>
    <format dxfId="149">
      <pivotArea field="3" type="button" dataOnly="0" labelOnly="1" outline="0" axis="axisRow" fieldPosition="0"/>
    </format>
    <format dxfId="148">
      <pivotArea dataOnly="0" labelOnly="1" fieldPosition="0">
        <references count="1">
          <reference field="3" count="0"/>
        </references>
      </pivotArea>
    </format>
    <format dxfId="147">
      <pivotArea dataOnly="0" labelOnly="1" grandRow="1" outline="0" fieldPosition="0"/>
    </format>
    <format dxfId="146">
      <pivotArea dataOnly="0" labelOnly="1" outline="0" axis="axisValues" fieldPosition="0"/>
    </format>
    <format dxfId="145">
      <pivotArea type="all" dataOnly="0" outline="0" fieldPosition="0"/>
    </format>
    <format dxfId="144">
      <pivotArea outline="0" collapsedLevelsAreSubtotals="1" fieldPosition="0"/>
    </format>
    <format dxfId="143">
      <pivotArea field="3" type="button" dataOnly="0" labelOnly="1" outline="0" axis="axisRow" fieldPosition="0"/>
    </format>
    <format dxfId="142">
      <pivotArea dataOnly="0" labelOnly="1" fieldPosition="0">
        <references count="1">
          <reference field="3" count="0"/>
        </references>
      </pivotArea>
    </format>
    <format dxfId="141">
      <pivotArea dataOnly="0" labelOnly="1" grandRow="1" outline="0" fieldPosition="0"/>
    </format>
    <format dxfId="140">
      <pivotArea dataOnly="0" labelOnly="1" outline="0" axis="axisValues" fieldPosition="0"/>
    </format>
    <format dxfId="139">
      <pivotArea type="all" dataOnly="0" outline="0" fieldPosition="0"/>
    </format>
    <format dxfId="138">
      <pivotArea outline="0" collapsedLevelsAreSubtotals="1" fieldPosition="0"/>
    </format>
    <format dxfId="137">
      <pivotArea field="3" type="button" dataOnly="0" labelOnly="1" outline="0" axis="axisRow" fieldPosition="0"/>
    </format>
    <format dxfId="136">
      <pivotArea dataOnly="0" labelOnly="1" fieldPosition="0">
        <references count="1">
          <reference field="3" count="0"/>
        </references>
      </pivotArea>
    </format>
    <format dxfId="135">
      <pivotArea dataOnly="0" labelOnly="1" grandRow="1" outline="0" fieldPosition="0"/>
    </format>
    <format dxfId="134">
      <pivotArea dataOnly="0" labelOnly="1" outline="0" axis="axisValues" fieldPosition="0"/>
    </format>
    <format dxfId="133">
      <pivotArea collapsedLevelsAreSubtotals="1" fieldPosition="0">
        <references count="1">
          <reference field="3" count="1">
            <x v="0"/>
          </reference>
        </references>
      </pivotArea>
    </format>
    <format dxfId="132">
      <pivotArea dataOnly="0" labelOnly="1" fieldPosition="0">
        <references count="1">
          <reference field="3"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2:F6" firstHeaderRow="1" firstDataRow="1" firstDataCol="1"/>
  <pivotFields count="13">
    <pivotField dataField="1"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numFmtId="14" showAll="0"/>
    <pivotField dragToRow="0" dragToCol="0" dragToPage="0" showAll="0" defaultSubtotal="0"/>
  </pivotFields>
  <rowFields count="1">
    <field x="6"/>
  </rowFields>
  <rowItems count="4">
    <i>
      <x/>
    </i>
    <i>
      <x v="1"/>
    </i>
    <i>
      <x v="2"/>
    </i>
    <i t="grand">
      <x/>
    </i>
  </rowItems>
  <colItems count="1">
    <i/>
  </colItems>
  <dataFields count="1">
    <dataField name="Count of StudentID" fld="0" subtotal="count" baseField="0" baseItem="0"/>
  </dataFields>
  <formats count="20">
    <format dxfId="171">
      <pivotArea type="all" dataOnly="0" outline="0" fieldPosition="0"/>
    </format>
    <format dxfId="170">
      <pivotArea outline="0" collapsedLevelsAreSubtotals="1" fieldPosition="0"/>
    </format>
    <format dxfId="169">
      <pivotArea field="6" type="button" dataOnly="0" labelOnly="1" outline="0" axis="axisRow" fieldPosition="0"/>
    </format>
    <format dxfId="168">
      <pivotArea dataOnly="0" labelOnly="1" fieldPosition="0">
        <references count="1">
          <reference field="6" count="0"/>
        </references>
      </pivotArea>
    </format>
    <format dxfId="167">
      <pivotArea dataOnly="0" labelOnly="1" grandRow="1" outline="0" fieldPosition="0"/>
    </format>
    <format dxfId="166">
      <pivotArea dataOnly="0" labelOnly="1" outline="0" axis="axisValues" fieldPosition="0"/>
    </format>
    <format dxfId="165">
      <pivotArea type="all" dataOnly="0" outline="0" fieldPosition="0"/>
    </format>
    <format dxfId="164">
      <pivotArea outline="0" collapsedLevelsAreSubtotals="1" fieldPosition="0"/>
    </format>
    <format dxfId="163">
      <pivotArea field="6" type="button" dataOnly="0" labelOnly="1" outline="0" axis="axisRow" fieldPosition="0"/>
    </format>
    <format dxfId="162">
      <pivotArea dataOnly="0" labelOnly="1" fieldPosition="0">
        <references count="1">
          <reference field="6" count="0"/>
        </references>
      </pivotArea>
    </format>
    <format dxfId="161">
      <pivotArea dataOnly="0" labelOnly="1" grandRow="1" outline="0" fieldPosition="0"/>
    </format>
    <format dxfId="160">
      <pivotArea dataOnly="0" labelOnly="1" outline="0" axis="axisValues" fieldPosition="0"/>
    </format>
    <format dxfId="159">
      <pivotArea type="all" dataOnly="0" outline="0" fieldPosition="0"/>
    </format>
    <format dxfId="158">
      <pivotArea outline="0" collapsedLevelsAreSubtotals="1" fieldPosition="0"/>
    </format>
    <format dxfId="157">
      <pivotArea field="6" type="button" dataOnly="0" labelOnly="1" outline="0" axis="axisRow" fieldPosition="0"/>
    </format>
    <format dxfId="156">
      <pivotArea dataOnly="0" labelOnly="1" fieldPosition="0">
        <references count="1">
          <reference field="6" count="0"/>
        </references>
      </pivotArea>
    </format>
    <format dxfId="155">
      <pivotArea dataOnly="0" labelOnly="1" grandRow="1" outline="0" fieldPosition="0"/>
    </format>
    <format dxfId="154">
      <pivotArea dataOnly="0" labelOnly="1" outline="0" axis="axisValues" fieldPosition="0"/>
    </format>
    <format dxfId="153">
      <pivotArea collapsedLevelsAreSubtotals="1" fieldPosition="0">
        <references count="1">
          <reference field="6" count="1">
            <x v="0"/>
          </reference>
        </references>
      </pivotArea>
    </format>
    <format dxfId="152">
      <pivotArea dataOnly="0" labelOnly="1" fieldPosition="0">
        <references count="1">
          <reference field="6"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B11" firstHeaderRow="1" firstDataRow="1" firstDataCol="1"/>
  <pivotFields count="13">
    <pivotField dataField="1" showAll="0"/>
    <pivotField showAll="0"/>
    <pivotField axis="axisRow" showAll="0">
      <items count="5">
        <item x="0"/>
        <item x="2"/>
        <item x="1"/>
        <item x="3"/>
        <item t="default"/>
      </items>
    </pivotField>
    <pivotField axis="axisRow" showAll="0">
      <items count="5">
        <item x="0"/>
        <item x="2"/>
        <item x="1"/>
        <item x="3"/>
        <item t="default"/>
      </items>
    </pivotField>
    <pivotField showAll="0"/>
    <pivotField showAll="0"/>
    <pivotField showAll="0"/>
    <pivotField showAll="0"/>
    <pivotField showAll="0"/>
    <pivotField showAll="0"/>
    <pivotField showAll="0"/>
    <pivotField numFmtId="14" showAll="0"/>
    <pivotField dragToRow="0" dragToCol="0" dragToPage="0" showAll="0" defaultSubtotal="0"/>
  </pivotFields>
  <rowFields count="2">
    <field x="2"/>
    <field x="3"/>
  </rowFields>
  <rowItems count="9">
    <i>
      <x/>
    </i>
    <i r="1">
      <x/>
    </i>
    <i>
      <x v="1"/>
    </i>
    <i r="1">
      <x v="1"/>
    </i>
    <i>
      <x v="2"/>
    </i>
    <i r="1">
      <x v="2"/>
    </i>
    <i>
      <x v="3"/>
    </i>
    <i r="1">
      <x v="3"/>
    </i>
    <i t="grand">
      <x/>
    </i>
  </rowItems>
  <colItems count="1">
    <i/>
  </colItems>
  <dataFields count="1">
    <dataField name="Count of StudentID" fld="0" subtotal="count" baseField="0" baseItem="0"/>
  </dataFields>
  <formats count="29">
    <format dxfId="200">
      <pivotArea collapsedLevelsAreSubtotals="1" fieldPosition="0">
        <references count="1">
          <reference field="2" count="1">
            <x v="2"/>
          </reference>
        </references>
      </pivotArea>
    </format>
    <format dxfId="199">
      <pivotArea collapsedLevelsAreSubtotals="1" fieldPosition="0">
        <references count="2">
          <reference field="2" count="1" selected="0">
            <x v="2"/>
          </reference>
          <reference field="3" count="1">
            <x v="2"/>
          </reference>
        </references>
      </pivotArea>
    </format>
    <format dxfId="198">
      <pivotArea dataOnly="0" labelOnly="1" fieldPosition="0">
        <references count="1">
          <reference field="2" count="1">
            <x v="2"/>
          </reference>
        </references>
      </pivotArea>
    </format>
    <format dxfId="197">
      <pivotArea dataOnly="0" labelOnly="1" fieldPosition="0">
        <references count="2">
          <reference field="2" count="1" selected="0">
            <x v="2"/>
          </reference>
          <reference field="3" count="1">
            <x v="2"/>
          </reference>
        </references>
      </pivotArea>
    </format>
    <format dxfId="196">
      <pivotArea outline="0" collapsedLevelsAreSubtotals="1" fieldPosition="0"/>
    </format>
    <format dxfId="195">
      <pivotArea dataOnly="0" labelOnly="1" fieldPosition="0">
        <references count="1">
          <reference field="2" count="0"/>
        </references>
      </pivotArea>
    </format>
    <format dxfId="194">
      <pivotArea dataOnly="0" labelOnly="1" grandRow="1" outline="0" fieldPosition="0"/>
    </format>
    <format dxfId="193">
      <pivotArea dataOnly="0" labelOnly="1" fieldPosition="0">
        <references count="2">
          <reference field="2" count="1" selected="0">
            <x v="0"/>
          </reference>
          <reference field="3" count="1">
            <x v="0"/>
          </reference>
        </references>
      </pivotArea>
    </format>
    <format dxfId="192">
      <pivotArea dataOnly="0" labelOnly="1" fieldPosition="0">
        <references count="2">
          <reference field="2" count="1" selected="0">
            <x v="1"/>
          </reference>
          <reference field="3" count="1">
            <x v="1"/>
          </reference>
        </references>
      </pivotArea>
    </format>
    <format dxfId="191">
      <pivotArea dataOnly="0" labelOnly="1" fieldPosition="0">
        <references count="2">
          <reference field="2" count="1" selected="0">
            <x v="2"/>
          </reference>
          <reference field="3" count="1">
            <x v="2"/>
          </reference>
        </references>
      </pivotArea>
    </format>
    <format dxfId="190">
      <pivotArea dataOnly="0" labelOnly="1" fieldPosition="0">
        <references count="2">
          <reference field="2" count="1" selected="0">
            <x v="3"/>
          </reference>
          <reference field="3" count="1">
            <x v="3"/>
          </reference>
        </references>
      </pivotArea>
    </format>
    <format dxfId="189">
      <pivotArea outline="0" collapsedLevelsAreSubtotals="1" fieldPosition="0"/>
    </format>
    <format dxfId="188">
      <pivotArea dataOnly="0" labelOnly="1" fieldPosition="0">
        <references count="1">
          <reference field="2" count="0"/>
        </references>
      </pivotArea>
    </format>
    <format dxfId="187">
      <pivotArea dataOnly="0" labelOnly="1" grandRow="1" outline="0" fieldPosition="0"/>
    </format>
    <format dxfId="186">
      <pivotArea dataOnly="0" labelOnly="1" fieldPosition="0">
        <references count="2">
          <reference field="2" count="1" selected="0">
            <x v="0"/>
          </reference>
          <reference field="3" count="1">
            <x v="0"/>
          </reference>
        </references>
      </pivotArea>
    </format>
    <format dxfId="185">
      <pivotArea dataOnly="0" labelOnly="1" fieldPosition="0">
        <references count="2">
          <reference field="2" count="1" selected="0">
            <x v="1"/>
          </reference>
          <reference field="3" count="1">
            <x v="1"/>
          </reference>
        </references>
      </pivotArea>
    </format>
    <format dxfId="184">
      <pivotArea dataOnly="0" labelOnly="1" fieldPosition="0">
        <references count="2">
          <reference field="2" count="1" selected="0">
            <x v="2"/>
          </reference>
          <reference field="3" count="1">
            <x v="2"/>
          </reference>
        </references>
      </pivotArea>
    </format>
    <format dxfId="183">
      <pivotArea dataOnly="0" labelOnly="1" fieldPosition="0">
        <references count="2">
          <reference field="2" count="1" selected="0">
            <x v="3"/>
          </reference>
          <reference field="3" count="1">
            <x v="3"/>
          </reference>
        </references>
      </pivotArea>
    </format>
    <format dxfId="182">
      <pivotArea outline="0" collapsedLevelsAreSubtotals="1" fieldPosition="0"/>
    </format>
    <format dxfId="181">
      <pivotArea dataOnly="0" labelOnly="1" fieldPosition="0">
        <references count="1">
          <reference field="2" count="0"/>
        </references>
      </pivotArea>
    </format>
    <format dxfId="180">
      <pivotArea dataOnly="0" labelOnly="1" grandRow="1" outline="0" fieldPosition="0"/>
    </format>
    <format dxfId="179">
      <pivotArea dataOnly="0" labelOnly="1" fieldPosition="0">
        <references count="2">
          <reference field="2" count="1" selected="0">
            <x v="0"/>
          </reference>
          <reference field="3" count="1">
            <x v="0"/>
          </reference>
        </references>
      </pivotArea>
    </format>
    <format dxfId="178">
      <pivotArea dataOnly="0" labelOnly="1" fieldPosition="0">
        <references count="2">
          <reference field="2" count="1" selected="0">
            <x v="1"/>
          </reference>
          <reference field="3" count="1">
            <x v="1"/>
          </reference>
        </references>
      </pivotArea>
    </format>
    <format dxfId="177">
      <pivotArea dataOnly="0" labelOnly="1" fieldPosition="0">
        <references count="2">
          <reference field="2" count="1" selected="0">
            <x v="2"/>
          </reference>
          <reference field="3" count="1">
            <x v="2"/>
          </reference>
        </references>
      </pivotArea>
    </format>
    <format dxfId="176">
      <pivotArea dataOnly="0" labelOnly="1" fieldPosition="0">
        <references count="2">
          <reference field="2" count="1" selected="0">
            <x v="3"/>
          </reference>
          <reference field="3" count="1">
            <x v="3"/>
          </reference>
        </references>
      </pivotArea>
    </format>
    <format dxfId="175">
      <pivotArea collapsedLevelsAreSubtotals="1" fieldPosition="0">
        <references count="1">
          <reference field="2" count="1">
            <x v="2"/>
          </reference>
        </references>
      </pivotArea>
    </format>
    <format dxfId="174">
      <pivotArea collapsedLevelsAreSubtotals="1" fieldPosition="0">
        <references count="2">
          <reference field="2" count="1" selected="0">
            <x v="2"/>
          </reference>
          <reference field="3" count="1">
            <x v="2"/>
          </reference>
        </references>
      </pivotArea>
    </format>
    <format dxfId="173">
      <pivotArea dataOnly="0" labelOnly="1" fieldPosition="0">
        <references count="1">
          <reference field="2" count="1">
            <x v="2"/>
          </reference>
        </references>
      </pivotArea>
    </format>
    <format dxfId="172">
      <pivotArea dataOnly="0" labelOnly="1" fieldPosition="0">
        <references count="2">
          <reference field="2" count="1" selected="0">
            <x v="2"/>
          </reference>
          <reference field="3"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EA60B4-5BAB-4757-ADE5-F6334CC08B28}"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2:L8" firstHeaderRow="1" firstDataRow="2" firstDataCol="1"/>
  <pivotFields count="14">
    <pivotField showAll="0"/>
    <pivotField showAll="0">
      <items count="5">
        <item x="0"/>
        <item x="2"/>
        <item x="1"/>
        <item x="3"/>
        <item t="default"/>
      </items>
    </pivotField>
    <pivotField axis="axisRow" showAll="0">
      <items count="5">
        <item x="0"/>
        <item x="2"/>
        <item x="1"/>
        <item x="3"/>
        <item t="default"/>
      </items>
    </pivotField>
    <pivotField showAll="0"/>
    <pivotField showAll="0"/>
    <pivotField axis="axisCol" showAll="0">
      <items count="4">
        <item x="2"/>
        <item x="1"/>
        <item x="0"/>
        <item t="default"/>
      </items>
    </pivotField>
    <pivotField showAll="0"/>
    <pivotField showAll="0"/>
    <pivotField showAll="0"/>
    <pivotField showAll="0"/>
    <pivotField numFmtId="14" showAll="0"/>
    <pivotField showAll="0"/>
    <pivotField showAll="0">
      <items count="995">
        <item x="233"/>
        <item x="962"/>
        <item x="164"/>
        <item x="650"/>
        <item x="275"/>
        <item x="759"/>
        <item x="25"/>
        <item x="193"/>
        <item x="126"/>
        <item x="399"/>
        <item x="678"/>
        <item x="137"/>
        <item x="771"/>
        <item x="531"/>
        <item x="247"/>
        <item x="242"/>
        <item x="785"/>
        <item x="194"/>
        <item x="140"/>
        <item x="864"/>
        <item x="55"/>
        <item x="219"/>
        <item x="461"/>
        <item x="122"/>
        <item x="382"/>
        <item x="83"/>
        <item x="881"/>
        <item x="127"/>
        <item x="889"/>
        <item x="944"/>
        <item x="625"/>
        <item x="661"/>
        <item x="73"/>
        <item x="241"/>
        <item x="794"/>
        <item x="89"/>
        <item x="145"/>
        <item x="347"/>
        <item x="237"/>
        <item x="507"/>
        <item x="133"/>
        <item x="424"/>
        <item x="500"/>
        <item x="725"/>
        <item x="568"/>
        <item x="538"/>
        <item x="679"/>
        <item x="82"/>
        <item x="910"/>
        <item x="390"/>
        <item x="863"/>
        <item x="519"/>
        <item x="532"/>
        <item x="643"/>
        <item x="763"/>
        <item x="93"/>
        <item x="958"/>
        <item x="569"/>
        <item x="94"/>
        <item x="309"/>
        <item x="278"/>
        <item x="420"/>
        <item x="110"/>
        <item x="883"/>
        <item x="484"/>
        <item x="373"/>
        <item x="436"/>
        <item x="16"/>
        <item x="338"/>
        <item x="639"/>
        <item x="733"/>
        <item x="220"/>
        <item x="644"/>
        <item x="608"/>
        <item x="749"/>
        <item x="844"/>
        <item x="28"/>
        <item x="954"/>
        <item x="506"/>
        <item x="896"/>
        <item x="304"/>
        <item x="854"/>
        <item x="333"/>
        <item x="35"/>
        <item x="851"/>
        <item x="566"/>
        <item x="747"/>
        <item x="374"/>
        <item x="727"/>
        <item x="877"/>
        <item x="512"/>
        <item x="148"/>
        <item x="208"/>
        <item x="813"/>
        <item x="462"/>
        <item x="779"/>
        <item x="96"/>
        <item x="421"/>
        <item x="683"/>
        <item x="181"/>
        <item x="143"/>
        <item x="527"/>
        <item x="868"/>
        <item x="513"/>
        <item x="387"/>
        <item x="234"/>
        <item x="875"/>
        <item x="956"/>
        <item x="229"/>
        <item x="380"/>
        <item x="584"/>
        <item x="59"/>
        <item x="976"/>
        <item x="22"/>
        <item x="340"/>
        <item x="593"/>
        <item x="431"/>
        <item x="740"/>
        <item x="398"/>
        <item x="163"/>
        <item x="521"/>
        <item x="657"/>
        <item x="397"/>
        <item x="754"/>
        <item x="270"/>
        <item x="554"/>
        <item x="859"/>
        <item x="706"/>
        <item x="762"/>
        <item x="703"/>
        <item x="979"/>
        <item x="444"/>
        <item x="79"/>
        <item x="827"/>
        <item x="134"/>
        <item x="345"/>
        <item x="293"/>
        <item x="918"/>
        <item x="636"/>
        <item x="235"/>
        <item x="459"/>
        <item x="318"/>
        <item x="596"/>
        <item x="369"/>
        <item x="31"/>
        <item x="330"/>
        <item x="778"/>
        <item x="107"/>
        <item x="355"/>
        <item x="415"/>
        <item x="971"/>
        <item x="712"/>
        <item x="167"/>
        <item x="105"/>
        <item x="271"/>
        <item x="32"/>
        <item x="587"/>
        <item x="950"/>
        <item x="502"/>
        <item x="327"/>
        <item x="640"/>
        <item x="296"/>
        <item x="916"/>
        <item x="409"/>
        <item x="40"/>
        <item x="362"/>
        <item x="179"/>
        <item x="582"/>
        <item x="411"/>
        <item x="78"/>
        <item x="577"/>
        <item x="672"/>
        <item x="978"/>
        <item x="767"/>
        <item x="402"/>
        <item x="413"/>
        <item x="799"/>
        <item x="816"/>
        <item x="615"/>
        <item x="810"/>
        <item x="848"/>
        <item x="926"/>
        <item x="447"/>
        <item x="898"/>
        <item x="776"/>
        <item x="815"/>
        <item x="911"/>
        <item x="578"/>
        <item x="822"/>
        <item x="214"/>
        <item x="867"/>
        <item x="730"/>
        <item x="81"/>
        <item x="52"/>
        <item x="361"/>
        <item x="154"/>
        <item x="503"/>
        <item x="915"/>
        <item x="796"/>
        <item x="967"/>
        <item x="820"/>
        <item x="721"/>
        <item x="565"/>
        <item x="741"/>
        <item x="414"/>
        <item x="123"/>
        <item x="121"/>
        <item x="385"/>
        <item x="949"/>
        <item x="262"/>
        <item x="680"/>
        <item x="676"/>
        <item x="992"/>
        <item x="223"/>
        <item x="215"/>
        <item x="508"/>
        <item x="509"/>
        <item x="400"/>
        <item x="135"/>
        <item x="707"/>
        <item x="210"/>
        <item x="641"/>
        <item x="751"/>
        <item x="723"/>
        <item x="735"/>
        <item x="408"/>
        <item x="315"/>
        <item x="836"/>
        <item x="714"/>
        <item x="780"/>
        <item x="363"/>
        <item x="693"/>
        <item x="227"/>
        <item x="14"/>
        <item x="850"/>
        <item x="253"/>
        <item x="277"/>
        <item x="941"/>
        <item x="899"/>
        <item x="530"/>
        <item x="276"/>
        <item x="736"/>
        <item x="603"/>
        <item x="764"/>
        <item x="647"/>
        <item x="246"/>
        <item x="486"/>
        <item x="828"/>
        <item x="356"/>
        <item x="674"/>
        <item x="795"/>
        <item x="106"/>
        <item x="900"/>
        <item x="132"/>
        <item x="222"/>
        <item x="456"/>
        <item x="983"/>
        <item x="104"/>
        <item x="845"/>
        <item x="370"/>
        <item x="917"/>
        <item x="20"/>
        <item x="716"/>
        <item x="633"/>
        <item x="283"/>
        <item x="504"/>
        <item x="139"/>
        <item x="435"/>
        <item x="912"/>
        <item x="777"/>
        <item x="667"/>
        <item x="600"/>
        <item x="307"/>
        <item x="559"/>
        <item x="11"/>
        <item x="250"/>
        <item x="694"/>
        <item x="86"/>
        <item x="434"/>
        <item x="541"/>
        <item x="737"/>
        <item x="652"/>
        <item x="783"/>
        <item x="870"/>
        <item x="199"/>
        <item x="935"/>
        <item x="24"/>
        <item x="692"/>
        <item x="204"/>
        <item x="987"/>
        <item x="599"/>
        <item x="46"/>
        <item x="493"/>
        <item x="839"/>
        <item x="934"/>
        <item x="825"/>
        <item x="942"/>
        <item x="200"/>
        <item x="847"/>
        <item x="120"/>
        <item x="406"/>
        <item x="337"/>
        <item x="217"/>
        <item x="161"/>
        <item x="476"/>
        <item x="429"/>
        <item x="988"/>
        <item x="905"/>
        <item x="407"/>
        <item x="972"/>
        <item x="53"/>
        <item x="658"/>
        <item x="556"/>
        <item x="574"/>
        <item x="945"/>
        <item x="890"/>
        <item x="921"/>
        <item x="394"/>
        <item x="430"/>
        <item x="265"/>
        <item x="818"/>
        <item x="169"/>
        <item x="959"/>
        <item x="263"/>
        <item x="463"/>
        <item x="87"/>
        <item x="700"/>
        <item x="837"/>
        <item x="886"/>
        <item x="401"/>
        <item x="190"/>
        <item x="588"/>
        <item x="857"/>
        <item x="170"/>
        <item x="396"/>
        <item x="695"/>
        <item x="748"/>
        <item x="803"/>
        <item x="197"/>
        <item x="211"/>
        <item x="653"/>
        <item x="454"/>
        <item x="605"/>
        <item x="589"/>
        <item x="833"/>
        <item x="648"/>
        <item x="583"/>
        <item x="119"/>
        <item x="834"/>
        <item x="465"/>
        <item x="654"/>
        <item x="26"/>
        <item x="893"/>
        <item x="244"/>
        <item x="38"/>
        <item x="224"/>
        <item x="18"/>
        <item x="819"/>
        <item x="963"/>
        <item x="814"/>
        <item x="157"/>
        <item x="141"/>
        <item x="231"/>
        <item x="13"/>
        <item x="609"/>
        <item x="257"/>
        <item x="393"/>
        <item x="91"/>
        <item x="792"/>
        <item x="423"/>
        <item x="388"/>
        <item x="180"/>
        <item x="629"/>
        <item x="108"/>
        <item x="272"/>
        <item x="585"/>
        <item x="829"/>
        <item x="862"/>
        <item x="774"/>
        <item x="0"/>
        <item x="871"/>
        <item x="671"/>
        <item x="36"/>
        <item x="765"/>
        <item x="33"/>
        <item x="358"/>
        <item x="953"/>
        <item x="448"/>
        <item x="319"/>
        <item x="61"/>
        <item x="811"/>
        <item x="131"/>
        <item x="42"/>
        <item x="280"/>
        <item x="957"/>
        <item x="418"/>
        <item x="638"/>
        <item x="745"/>
        <item x="632"/>
        <item x="138"/>
        <item x="314"/>
        <item x="158"/>
        <item x="549"/>
        <item x="103"/>
        <item x="499"/>
        <item x="481"/>
        <item x="17"/>
        <item x="165"/>
        <item x="520"/>
        <item x="666"/>
        <item x="908"/>
        <item x="252"/>
        <item x="624"/>
        <item x="595"/>
        <item x="742"/>
        <item x="536"/>
        <item x="323"/>
        <item x="656"/>
        <item x="371"/>
        <item x="746"/>
        <item x="932"/>
        <item x="284"/>
        <item x="660"/>
        <item x="4"/>
        <item x="47"/>
        <item x="682"/>
        <item x="478"/>
        <item x="150"/>
        <item x="894"/>
        <item x="453"/>
        <item x="882"/>
        <item x="70"/>
        <item x="677"/>
        <item x="395"/>
        <item x="769"/>
        <item x="43"/>
        <item x="710"/>
        <item x="320"/>
        <item x="1"/>
        <item x="317"/>
        <item x="655"/>
        <item x="843"/>
        <item x="913"/>
        <item x="391"/>
        <item x="203"/>
        <item x="718"/>
        <item x="665"/>
        <item x="305"/>
        <item x="699"/>
        <item x="545"/>
        <item x="552"/>
        <item x="534"/>
        <item x="379"/>
        <item x="884"/>
        <item x="516"/>
        <item x="216"/>
        <item x="985"/>
        <item x="826"/>
        <item x="85"/>
        <item x="617"/>
        <item x="322"/>
        <item x="136"/>
        <item x="8"/>
        <item x="986"/>
        <item x="76"/>
        <item x="354"/>
        <item x="80"/>
        <item x="109"/>
        <item x="623"/>
        <item x="10"/>
        <item x="993"/>
        <item x="66"/>
        <item x="984"/>
        <item x="579"/>
        <item x="416"/>
        <item x="74"/>
        <item x="443"/>
        <item x="437"/>
        <item x="470"/>
        <item x="830"/>
        <item x="372"/>
        <item x="586"/>
        <item x="940"/>
        <item x="473"/>
        <item x="928"/>
        <item x="809"/>
        <item x="153"/>
        <item x="610"/>
        <item x="386"/>
        <item x="618"/>
        <item x="432"/>
        <item x="903"/>
        <item x="631"/>
        <item x="176"/>
        <item x="9"/>
        <item x="846"/>
        <item x="557"/>
        <item x="334"/>
        <item x="788"/>
        <item x="64"/>
        <item x="719"/>
        <item x="102"/>
        <item x="146"/>
        <item x="524"/>
        <item x="668"/>
        <item x="808"/>
        <item x="302"/>
        <item x="464"/>
        <item x="801"/>
        <item x="472"/>
        <item x="705"/>
        <item x="281"/>
        <item x="54"/>
        <item x="67"/>
        <item x="236"/>
        <item x="496"/>
        <item x="522"/>
        <item x="60"/>
        <item x="116"/>
        <item x="419"/>
        <item x="973"/>
        <item x="756"/>
        <item x="441"/>
        <item x="713"/>
        <item x="895"/>
        <item x="852"/>
        <item x="817"/>
        <item x="294"/>
        <item x="37"/>
        <item x="339"/>
        <item x="201"/>
        <item x="739"/>
        <item x="487"/>
        <item x="570"/>
        <item x="728"/>
        <item x="662"/>
        <item x="708"/>
        <item x="286"/>
        <item x="523"/>
        <item x="690"/>
        <item x="948"/>
        <item x="239"/>
        <item x="711"/>
        <item x="477"/>
        <item x="342"/>
        <item x="547"/>
        <item x="3"/>
        <item x="51"/>
        <item x="572"/>
        <item x="766"/>
        <item x="405"/>
        <item x="501"/>
        <item x="113"/>
        <item x="112"/>
        <item x="469"/>
        <item x="874"/>
        <item x="187"/>
        <item x="56"/>
        <item x="621"/>
        <item x="205"/>
        <item x="537"/>
        <item x="659"/>
        <item x="468"/>
        <item x="646"/>
        <item x="744"/>
        <item x="243"/>
        <item x="100"/>
        <item x="483"/>
        <item x="480"/>
        <item x="726"/>
        <item x="594"/>
        <item x="591"/>
        <item x="885"/>
        <item x="966"/>
        <item x="313"/>
        <item x="19"/>
        <item x="260"/>
        <item x="173"/>
        <item x="440"/>
        <item x="446"/>
        <item x="981"/>
        <item x="291"/>
        <item x="731"/>
        <item x="290"/>
        <item x="346"/>
        <item x="410"/>
        <item x="30"/>
        <item x="442"/>
        <item x="240"/>
        <item x="156"/>
        <item x="174"/>
        <item x="258"/>
        <item x="34"/>
        <item x="614"/>
        <item x="184"/>
        <item x="709"/>
        <item x="612"/>
        <item x="364"/>
        <item x="195"/>
        <item x="451"/>
        <item x="475"/>
        <item x="39"/>
        <item x="171"/>
        <item x="77"/>
        <item x="377"/>
        <item x="663"/>
        <item x="256"/>
        <item x="717"/>
        <item x="637"/>
        <item x="543"/>
        <item x="151"/>
        <item x="439"/>
        <item x="152"/>
        <item x="835"/>
        <item x="560"/>
        <item x="297"/>
        <item x="360"/>
        <item x="90"/>
        <item x="312"/>
        <item x="125"/>
        <item x="232"/>
        <item x="129"/>
        <item x="909"/>
        <item x="775"/>
        <item x="800"/>
        <item x="564"/>
        <item x="175"/>
        <item x="428"/>
        <item x="904"/>
        <item x="925"/>
        <item x="805"/>
        <item x="308"/>
        <item x="946"/>
        <item x="630"/>
        <item x="732"/>
        <item x="821"/>
        <item x="2"/>
        <item x="178"/>
        <item x="812"/>
        <item x="268"/>
        <item x="832"/>
        <item x="933"/>
        <item x="485"/>
        <item x="907"/>
        <item x="255"/>
        <item x="343"/>
        <item x="540"/>
        <item x="329"/>
        <item x="433"/>
        <item x="969"/>
        <item x="49"/>
        <item x="590"/>
        <item x="575"/>
        <item x="213"/>
        <item x="535"/>
        <item x="853"/>
        <item x="188"/>
        <item x="729"/>
        <item x="802"/>
        <item x="989"/>
        <item x="310"/>
        <item x="786"/>
        <item x="607"/>
        <item x="449"/>
        <item x="855"/>
        <item x="686"/>
        <item x="497"/>
        <item x="991"/>
        <item x="784"/>
        <item x="626"/>
        <item x="773"/>
        <item x="295"/>
        <item x="684"/>
        <item x="450"/>
        <item x="977"/>
        <item x="790"/>
        <item x="452"/>
        <item x="551"/>
        <item x="937"/>
        <item x="515"/>
        <item x="212"/>
        <item x="553"/>
        <item x="510"/>
        <item x="858"/>
        <item x="378"/>
        <item x="634"/>
        <item x="906"/>
        <item x="573"/>
        <item x="384"/>
        <item x="282"/>
        <item x="68"/>
        <item x="856"/>
        <item x="254"/>
        <item x="611"/>
        <item x="341"/>
        <item x="88"/>
        <item x="548"/>
        <item x="901"/>
        <item x="230"/>
        <item x="273"/>
        <item x="930"/>
        <item x="514"/>
        <item x="98"/>
        <item x="576"/>
        <item x="249"/>
        <item x="914"/>
        <item x="768"/>
        <item x="781"/>
        <item x="332"/>
        <item x="438"/>
        <item x="185"/>
        <item x="69"/>
        <item x="872"/>
        <item x="274"/>
        <item x="876"/>
        <item x="542"/>
        <item x="696"/>
        <item x="331"/>
        <item x="528"/>
        <item x="202"/>
        <item x="7"/>
        <item x="488"/>
        <item x="228"/>
        <item x="316"/>
        <item x="285"/>
        <item x="117"/>
        <item x="460"/>
        <item x="642"/>
        <item x="494"/>
        <item x="664"/>
        <item x="927"/>
        <item x="955"/>
        <item x="546"/>
        <item x="804"/>
        <item x="687"/>
        <item x="264"/>
        <item x="990"/>
        <item x="128"/>
        <item x="62"/>
        <item x="155"/>
        <item x="880"/>
        <item x="221"/>
        <item x="571"/>
        <item x="697"/>
        <item x="952"/>
        <item x="673"/>
        <item x="772"/>
        <item x="929"/>
        <item x="226"/>
        <item x="58"/>
        <item x="974"/>
        <item x="702"/>
        <item x="938"/>
        <item x="550"/>
        <item x="50"/>
        <item x="627"/>
        <item x="922"/>
        <item x="479"/>
        <item x="300"/>
        <item x="649"/>
        <item x="704"/>
        <item x="269"/>
        <item x="266"/>
        <item x="887"/>
        <item x="806"/>
        <item x="303"/>
        <item x="289"/>
        <item x="209"/>
        <item x="860"/>
        <item x="21"/>
        <item x="162"/>
        <item x="902"/>
        <item x="326"/>
        <item x="267"/>
        <item x="760"/>
        <item x="838"/>
        <item x="562"/>
        <item x="873"/>
        <item x="669"/>
        <item x="580"/>
        <item x="251"/>
        <item x="931"/>
        <item x="376"/>
        <item x="45"/>
        <item x="192"/>
        <item x="939"/>
        <item x="467"/>
        <item x="761"/>
        <item x="75"/>
        <item x="114"/>
        <item x="529"/>
        <item x="6"/>
        <item x="368"/>
        <item x="602"/>
        <item x="891"/>
        <item x="755"/>
        <item x="943"/>
        <item x="99"/>
        <item x="489"/>
        <item x="865"/>
        <item x="207"/>
        <item x="482"/>
        <item x="750"/>
        <item x="923"/>
        <item x="675"/>
        <item x="48"/>
        <item x="172"/>
        <item x="458"/>
        <item x="581"/>
        <item x="793"/>
        <item x="57"/>
        <item x="567"/>
        <item x="328"/>
        <item x="920"/>
        <item x="782"/>
        <item x="597"/>
        <item x="198"/>
        <item x="403"/>
        <item x="555"/>
        <item x="701"/>
        <item x="65"/>
        <item x="544"/>
        <item x="321"/>
        <item x="44"/>
        <item x="306"/>
        <item x="168"/>
        <item x="563"/>
        <item x="292"/>
        <item x="936"/>
        <item x="404"/>
        <item x="71"/>
        <item x="353"/>
        <item x="412"/>
        <item x="724"/>
        <item x="466"/>
        <item x="166"/>
        <item x="505"/>
        <item x="189"/>
        <item x="789"/>
        <item x="366"/>
        <item x="84"/>
        <item x="118"/>
        <item x="791"/>
        <item x="149"/>
        <item x="681"/>
        <item x="619"/>
        <item x="533"/>
        <item x="299"/>
        <item x="144"/>
        <item x="238"/>
        <item x="115"/>
        <item x="651"/>
        <item x="389"/>
        <item x="311"/>
        <item x="455"/>
        <item x="840"/>
        <item x="757"/>
        <item x="288"/>
        <item x="111"/>
        <item x="350"/>
        <item x="770"/>
        <item x="182"/>
        <item x="383"/>
        <item x="613"/>
        <item x="348"/>
        <item x="336"/>
        <item x="427"/>
        <item x="734"/>
        <item x="823"/>
        <item x="381"/>
        <item x="41"/>
        <item x="259"/>
        <item x="335"/>
        <item x="344"/>
        <item x="95"/>
        <item x="365"/>
        <item x="298"/>
        <item x="225"/>
        <item x="206"/>
        <item x="685"/>
        <item x="23"/>
        <item x="492"/>
        <item x="975"/>
        <item x="445"/>
        <item x="738"/>
        <item x="807"/>
        <item x="498"/>
        <item x="426"/>
        <item x="598"/>
        <item x="159"/>
        <item x="15"/>
        <item x="160"/>
        <item x="539"/>
        <item x="301"/>
        <item x="517"/>
        <item x="866"/>
        <item x="645"/>
        <item x="620"/>
        <item x="92"/>
        <item x="888"/>
        <item x="691"/>
        <item x="5"/>
        <item x="951"/>
        <item x="861"/>
        <item x="980"/>
        <item x="960"/>
        <item x="495"/>
        <item x="622"/>
        <item x="324"/>
        <item x="287"/>
        <item x="218"/>
        <item x="422"/>
        <item x="743"/>
        <item x="561"/>
        <item x="474"/>
        <item x="758"/>
        <item x="261"/>
        <item x="841"/>
        <item x="970"/>
        <item x="97"/>
        <item x="325"/>
        <item x="961"/>
        <item x="183"/>
        <item x="72"/>
        <item x="689"/>
        <item x="526"/>
        <item x="982"/>
        <item x="186"/>
        <item x="878"/>
        <item x="592"/>
        <item x="525"/>
        <item x="147"/>
        <item x="417"/>
        <item x="965"/>
        <item x="715"/>
        <item x="722"/>
        <item x="27"/>
        <item x="698"/>
        <item x="753"/>
        <item x="720"/>
        <item x="892"/>
        <item x="177"/>
        <item x="392"/>
        <item x="670"/>
        <item x="511"/>
        <item x="897"/>
        <item x="849"/>
        <item x="558"/>
        <item x="101"/>
        <item x="367"/>
        <item x="968"/>
        <item x="142"/>
        <item x="787"/>
        <item x="604"/>
        <item x="964"/>
        <item x="359"/>
        <item x="879"/>
        <item x="12"/>
        <item x="29"/>
        <item x="375"/>
        <item x="130"/>
        <item x="63"/>
        <item x="191"/>
        <item x="869"/>
        <item x="245"/>
        <item x="518"/>
        <item x="919"/>
        <item x="357"/>
        <item x="924"/>
        <item x="752"/>
        <item x="616"/>
        <item x="352"/>
        <item x="457"/>
        <item x="688"/>
        <item x="425"/>
        <item x="601"/>
        <item x="635"/>
        <item x="351"/>
        <item x="279"/>
        <item x="248"/>
        <item x="349"/>
        <item x="491"/>
        <item x="947"/>
        <item x="196"/>
        <item x="831"/>
        <item x="628"/>
        <item x="824"/>
        <item x="797"/>
        <item x="798"/>
        <item x="842"/>
        <item x="606"/>
        <item x="490"/>
        <item x="471"/>
        <item x="124"/>
        <item t="default"/>
      </items>
    </pivotField>
    <pivotField dataField="1" dragToRow="0" dragToCol="0" dragToPage="0" showAll="0" defaultSubtotal="0"/>
  </pivotFields>
  <rowFields count="1">
    <field x="2"/>
  </rowFields>
  <rowItems count="5">
    <i>
      <x/>
    </i>
    <i>
      <x v="1"/>
    </i>
    <i>
      <x v="2"/>
    </i>
    <i>
      <x v="3"/>
    </i>
    <i t="grand">
      <x/>
    </i>
  </rowItems>
  <colFields count="1">
    <field x="5"/>
  </colFields>
  <colItems count="4">
    <i>
      <x/>
    </i>
    <i>
      <x v="1"/>
    </i>
    <i>
      <x v="2"/>
    </i>
    <i t="grand">
      <x/>
    </i>
  </colItems>
  <dataFields count="1">
    <dataField name="Sum of Net Revenue" fld="13"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59D169-38DF-4963-8DA5-51BA8896181A}"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E8" firstHeaderRow="1" firstDataRow="2" firstDataCol="1"/>
  <pivotFields count="14">
    <pivotField showAll="0"/>
    <pivotField showAll="0"/>
    <pivotField axis="axisRow" showAll="0">
      <items count="5">
        <item x="0"/>
        <item x="2"/>
        <item x="1"/>
        <item x="3"/>
        <item t="default"/>
      </items>
    </pivotField>
    <pivotField showAll="0"/>
    <pivotField showAll="0"/>
    <pivotField axis="axisCol" showAll="0">
      <items count="4">
        <item x="2"/>
        <item x="1"/>
        <item x="0"/>
        <item t="default"/>
      </items>
    </pivotField>
    <pivotField showAll="0"/>
    <pivotField showAll="0"/>
    <pivotField showAll="0"/>
    <pivotField showAll="0"/>
    <pivotField numFmtId="14" showAll="0"/>
    <pivotField showAll="0"/>
    <pivotField dataField="1" showAll="0"/>
    <pivotField dragToRow="0" dragToCol="0" dragToPage="0" showAll="0" defaultSubtotal="0"/>
  </pivotFields>
  <rowFields count="1">
    <field x="2"/>
  </rowFields>
  <rowItems count="5">
    <i>
      <x/>
    </i>
    <i>
      <x v="1"/>
    </i>
    <i>
      <x v="2"/>
    </i>
    <i>
      <x v="3"/>
    </i>
    <i t="grand">
      <x/>
    </i>
  </rowItems>
  <colFields count="1">
    <field x="5"/>
  </colFields>
  <colItems count="4">
    <i>
      <x/>
    </i>
    <i>
      <x v="1"/>
    </i>
    <i>
      <x v="2"/>
    </i>
    <i t="grand">
      <x/>
    </i>
  </colItems>
  <dataFields count="1">
    <dataField name="Sum of Total Net 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EC181C-8369-497F-8ADD-FBC0857A3787}" name="PivotTable6"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E12:F16" firstHeaderRow="1" firstDataRow="1" firstDataCol="1"/>
  <pivotFields count="16">
    <pivotField showAll="0"/>
    <pivotField showAll="0"/>
    <pivotField showAll="0"/>
    <pivotField showAll="0">
      <items count="5">
        <item x="0"/>
        <item x="2"/>
        <item x="1"/>
        <item x="3"/>
        <item t="default"/>
      </items>
    </pivotField>
    <pivotField showAll="0"/>
    <pivotField showAll="0">
      <items count="4">
        <item x="2"/>
        <item x="0"/>
        <item x="1"/>
        <item t="default"/>
      </items>
    </pivotField>
    <pivotField showAll="0">
      <items count="4">
        <item x="2"/>
        <item x="1"/>
        <item x="0"/>
        <item t="default"/>
      </items>
    </pivotField>
    <pivotField showAll="0"/>
    <pivotField showAll="0"/>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5"/>
    <field x="11"/>
  </rowFields>
  <rowItems count="4">
    <i>
      <x v="1"/>
    </i>
    <i>
      <x v="2"/>
    </i>
    <i>
      <x v="3"/>
    </i>
    <i t="grand">
      <x/>
    </i>
  </rowItems>
  <colItems count="1">
    <i/>
  </colItems>
  <dataFields count="1">
    <dataField name="Sum of Total Net Revenue" fld="14" baseField="15" baseItem="2"/>
  </dataFields>
  <formats count="12">
    <format dxfId="100">
      <pivotArea type="all" dataOnly="0" outline="0" fieldPosition="0"/>
    </format>
    <format dxfId="99">
      <pivotArea outline="0" collapsedLevelsAreSubtotals="1" fieldPosition="0"/>
    </format>
    <format dxfId="98">
      <pivotArea field="15" type="button" dataOnly="0" labelOnly="1" outline="0" axis="axisRow" fieldPosition="0"/>
    </format>
    <format dxfId="97">
      <pivotArea dataOnly="0" labelOnly="1" fieldPosition="0">
        <references count="1">
          <reference field="15" count="3">
            <x v="1"/>
            <x v="2"/>
            <x v="3"/>
          </reference>
        </references>
      </pivotArea>
    </format>
    <format dxfId="96">
      <pivotArea dataOnly="0" labelOnly="1" grandRow="1" outline="0" fieldPosition="0"/>
    </format>
    <format dxfId="95">
      <pivotArea dataOnly="0" labelOnly="1" outline="0" axis="axisValues" fieldPosition="0"/>
    </format>
    <format dxfId="94">
      <pivotArea type="all" dataOnly="0" outline="0" fieldPosition="0"/>
    </format>
    <format dxfId="93">
      <pivotArea outline="0" collapsedLevelsAreSubtotals="1" fieldPosition="0"/>
    </format>
    <format dxfId="92">
      <pivotArea field="15" type="button" dataOnly="0" labelOnly="1" outline="0" axis="axisRow" fieldPosition="0"/>
    </format>
    <format dxfId="91">
      <pivotArea dataOnly="0" labelOnly="1" fieldPosition="0">
        <references count="1">
          <reference field="15" count="3">
            <x v="1"/>
            <x v="2"/>
            <x v="3"/>
          </reference>
        </references>
      </pivotArea>
    </format>
    <format dxfId="90">
      <pivotArea dataOnly="0" labelOnly="1" grandRow="1" outline="0" fieldPosition="0"/>
    </format>
    <format dxfId="89">
      <pivotArea dataOnly="0" labelOnly="1" outline="0" axis="axisValues" fieldPosition="0"/>
    </format>
  </formats>
  <chartFormats count="6">
    <chartFormat chart="4"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FFCAC1-8856-43D9-9A2D-89F13D660EE2}" name="PivotTable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B10:C15" firstHeaderRow="1" firstDataRow="1" firstDataCol="1"/>
  <pivotFields count="16">
    <pivotField showAll="0"/>
    <pivotField showAll="0"/>
    <pivotField showAll="0"/>
    <pivotField axis="axisRow" showAll="0">
      <items count="5">
        <item x="0"/>
        <item x="2"/>
        <item x="1"/>
        <item x="3"/>
        <item t="default"/>
      </items>
    </pivotField>
    <pivotField showAll="0"/>
    <pivotField showAll="0">
      <items count="4">
        <item x="2"/>
        <item x="0"/>
        <item x="1"/>
        <item t="default"/>
      </items>
    </pivotField>
    <pivotField showAll="0">
      <items count="4">
        <item x="2"/>
        <item x="1"/>
        <item x="0"/>
        <item t="default"/>
      </items>
    </pivotField>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 Net Revenue" fld="14" baseField="3" baseItem="0"/>
  </dataFields>
  <formats count="12">
    <format dxfId="112">
      <pivotArea type="all" dataOnly="0" outline="0" fieldPosition="0"/>
    </format>
    <format dxfId="111">
      <pivotArea outline="0" collapsedLevelsAreSubtotals="1" fieldPosition="0"/>
    </format>
    <format dxfId="110">
      <pivotArea field="3" type="button" dataOnly="0" labelOnly="1" outline="0" axis="axisRow" fieldPosition="0"/>
    </format>
    <format dxfId="109">
      <pivotArea dataOnly="0" labelOnly="1" fieldPosition="0">
        <references count="1">
          <reference field="3" count="0"/>
        </references>
      </pivotArea>
    </format>
    <format dxfId="108">
      <pivotArea dataOnly="0" labelOnly="1" grandRow="1" outline="0" fieldPosition="0"/>
    </format>
    <format dxfId="107">
      <pivotArea dataOnly="0" labelOnly="1" outline="0" axis="axisValues" fieldPosition="0"/>
    </format>
    <format dxfId="106">
      <pivotArea type="all" dataOnly="0" outline="0" fieldPosition="0"/>
    </format>
    <format dxfId="105">
      <pivotArea outline="0" collapsedLevelsAreSubtotals="1" fieldPosition="0"/>
    </format>
    <format dxfId="104">
      <pivotArea field="3" type="button" dataOnly="0" labelOnly="1" outline="0" axis="axisRow" fieldPosition="0"/>
    </format>
    <format dxfId="103">
      <pivotArea dataOnly="0" labelOnly="1" fieldPosition="0">
        <references count="1">
          <reference field="3" count="0"/>
        </references>
      </pivotArea>
    </format>
    <format dxfId="102">
      <pivotArea dataOnly="0" labelOnly="1" grandRow="1" outline="0" fieldPosition="0"/>
    </format>
    <format dxfId="101">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E90CA8-93BA-4847-8771-43A687062FF3}" name="PivotTable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H6" firstHeaderRow="1" firstDataRow="1" firstDataCol="1"/>
  <pivotFields count="16">
    <pivotField dataField="1" showAll="0"/>
    <pivotField showAll="0"/>
    <pivotField showAll="0"/>
    <pivotField showAll="0">
      <items count="5">
        <item x="0"/>
        <item x="2"/>
        <item x="1"/>
        <item x="3"/>
        <item t="default"/>
      </items>
    </pivotField>
    <pivotField showAll="0"/>
    <pivotField showAll="0">
      <items count="4">
        <item x="2"/>
        <item x="0"/>
        <item x="1"/>
        <item t="default"/>
      </items>
    </pivotField>
    <pivotField showAll="0">
      <items count="4">
        <item x="2"/>
        <item x="1"/>
        <item x="0"/>
        <item t="default"/>
      </items>
    </pivotField>
    <pivotField showAll="0"/>
    <pivotField showAll="0">
      <items count="6">
        <item x="1"/>
        <item x="2"/>
        <item x="0"/>
        <item x="3"/>
        <item x="4"/>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3">
        <item x="0"/>
        <item x="1"/>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2"/>
  </rowFields>
  <rowItems count="3">
    <i>
      <x/>
    </i>
    <i>
      <x v="1"/>
    </i>
    <i t="grand">
      <x/>
    </i>
  </rowItems>
  <colItems count="1">
    <i/>
  </colItems>
  <dataFields count="1">
    <dataField name="Count of StudentID" fld="0" subtotal="count" showDataAs="percentOfTotal" baseField="12" baseItem="0" numFmtId="10"/>
  </dataFields>
  <formats count="7">
    <format dxfId="119">
      <pivotArea type="all" dataOnly="0" outline="0" fieldPosition="0"/>
    </format>
    <format dxfId="118">
      <pivotArea outline="0" collapsedLevelsAreSubtotals="1" fieldPosition="0"/>
    </format>
    <format dxfId="117">
      <pivotArea dataOnly="0" labelOnly="1" outline="0" axis="axisValues" fieldPosition="0"/>
    </format>
    <format dxfId="116">
      <pivotArea type="all" dataOnly="0" outline="0" fieldPosition="0"/>
    </format>
    <format dxfId="115">
      <pivotArea outline="0" collapsedLevelsAreSubtotals="1" fieldPosition="0"/>
    </format>
    <format dxfId="114">
      <pivotArea dataOnly="0" labelOnly="1" outline="0" axis="axisValues" fieldPosition="0"/>
    </format>
    <format dxfId="11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E25B67-48D7-455F-AAC6-8FC209CDB189}"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B4" firstHeaderRow="1" firstDataRow="1" firstDataCol="0"/>
  <pivotFields count="16">
    <pivotField showAll="0"/>
    <pivotField showAll="0"/>
    <pivotField showAll="0"/>
    <pivotField showAll="0">
      <items count="5">
        <item x="0"/>
        <item x="2"/>
        <item x="1"/>
        <item x="3"/>
        <item t="default"/>
      </items>
    </pivotField>
    <pivotField showAll="0"/>
    <pivotField showAll="0">
      <items count="4">
        <item x="2"/>
        <item x="0"/>
        <item x="1"/>
        <item t="default"/>
      </items>
    </pivotField>
    <pivotField showAll="0">
      <items count="4">
        <item x="2"/>
        <item x="1"/>
        <item x="0"/>
        <item t="default"/>
      </items>
    </pivotField>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Net Revenue" fld="14" baseField="0" baseItem="0"/>
  </dataFields>
  <formats count="6">
    <format dxfId="125">
      <pivotArea type="all" dataOnly="0" outline="0" fieldPosition="0"/>
    </format>
    <format dxfId="124">
      <pivotArea outline="0" collapsedLevelsAreSubtotals="1" fieldPosition="0"/>
    </format>
    <format dxfId="123">
      <pivotArea dataOnly="0" labelOnly="1" outline="0" axis="axisValues" fieldPosition="0"/>
    </format>
    <format dxfId="122">
      <pivotArea type="all" dataOnly="0" outline="0" fieldPosition="0"/>
    </format>
    <format dxfId="121">
      <pivotArea outline="0" collapsedLevelsAreSubtotals="1" fieldPosition="0"/>
    </format>
    <format dxfId="1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3C7573-3C8B-4B65-B83A-77C0594C265C}"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E4" firstHeaderRow="1" firstDataRow="1" firstDataCol="0"/>
  <pivotFields count="16">
    <pivotField showAll="0"/>
    <pivotField showAll="0"/>
    <pivotField showAll="0"/>
    <pivotField showAll="0">
      <items count="5">
        <item x="0"/>
        <item x="2"/>
        <item x="1"/>
        <item x="3"/>
        <item t="default"/>
      </items>
    </pivotField>
    <pivotField showAll="0"/>
    <pivotField showAll="0">
      <items count="4">
        <item x="2"/>
        <item x="0"/>
        <item x="1"/>
        <item t="default"/>
      </items>
    </pivotField>
    <pivotField showAll="0">
      <items count="4">
        <item x="2"/>
        <item x="1"/>
        <item x="0"/>
        <item t="default"/>
      </items>
    </pivotField>
    <pivotField dataField="1" showAll="0"/>
    <pivotField showAll="0">
      <items count="6">
        <item x="1"/>
        <item x="2"/>
        <item x="0"/>
        <item x="3"/>
        <item x="4"/>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PaymentAmount" fld="7" subtotal="average" baseField="0" baseItem="9" numFmtId="2"/>
  </dataFields>
  <formats count="7">
    <format dxfId="131">
      <pivotArea type="all" dataOnly="0" outline="0" fieldPosition="0"/>
    </format>
    <format dxfId="130">
      <pivotArea outline="0" collapsedLevelsAreSubtotals="1" fieldPosition="0"/>
    </format>
    <format dxfId="129">
      <pivotArea dataOnly="0" labelOnly="1" outline="0" axis="axisValues" fieldPosition="0"/>
    </format>
    <format dxfId="128">
      <pivotArea type="all" dataOnly="0" outline="0" fieldPosition="0"/>
    </format>
    <format dxfId="127">
      <pivotArea outline="0" collapsedLevelsAreSubtotals="1" fieldPosition="0"/>
    </format>
    <format dxfId="126">
      <pivotArea dataOnly="0" labelOnly="1" outline="0" axis="axisValues" fieldPosition="0"/>
    </format>
    <format dxfId="8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Name" xr10:uid="{E24386FF-4C5A-4136-BDD4-1132A82147D5}" sourceName="CourseName">
  <pivotTables>
    <pivotTable tabId="8" name="PivotTable5"/>
    <pivotTable tabId="8" name="PivotTable6"/>
    <pivotTable tabId="8" name="PivotTable2"/>
    <pivotTable tabId="8" name="PivotTable3"/>
    <pivotTable tabId="8" name="PivotTable4"/>
  </pivotTables>
  <data>
    <tabular pivotCacheId="168930060">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E6038C2B-66FD-4486-A443-5BA29234A7A9}" sourceName="Platform">
  <pivotTables>
    <pivotTable tabId="8" name="PivotTable5"/>
    <pivotTable tabId="8" name="PivotTable6"/>
    <pivotTable tabId="8" name="PivotTable2"/>
    <pivotTable tabId="8" name="PivotTable3"/>
    <pivotTable tabId="8" name="PivotTable4"/>
  </pivotTables>
  <data>
    <tabular pivotCacheId="16893006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ntorName" xr10:uid="{307EF261-A0B8-4D28-B6E9-392B2441A1E8}" sourceName="MentorName">
  <pivotTables>
    <pivotTable tabId="8" name="PivotTable5"/>
    <pivotTable tabId="8" name="PivotTable6"/>
    <pivotTable tabId="8" name="PivotTable2"/>
    <pivotTable tabId="8" name="PivotTable3"/>
    <pivotTable tabId="8" name="PivotTable4"/>
  </pivotTables>
  <data>
    <tabular pivotCacheId="16893006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Name" xr10:uid="{B784BB5E-C9B2-4399-A063-9651566C7B40}" cache="Slicer_CourseName" caption="CourseName" style="SlicerStyleLight6" rowHeight="234950"/>
  <slicer name="Platform" xr10:uid="{BEF2DD05-49CA-429A-8578-2C6EBB174528}" cache="Slicer_Platform" caption="Platform" style="SlicerStyleLight6" rowHeight="234950"/>
  <slicer name="MentorName" xr10:uid="{E918EBA7-1707-452C-88B8-8A35C557B0D8}" cache="Slicer_MentorName" caption="MentorName"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Name 1" xr10:uid="{04FB737D-15DA-4C2F-BA50-A128F02DE957}" cache="Slicer_CourseName" caption="CourseName" style="SlicerStyleLight6" rowHeight="234950"/>
  <slicer name="Platform 1" xr10:uid="{007B1035-999B-4A73-8FD5-5F490B2FD025}" cache="Slicer_Platform" caption="Platform" style="SlicerStyleLight6" rowHeight="234950"/>
  <slicer name="MentorName 1" xr10:uid="{6A750892-87F6-4C28-B787-04F7ED96A3AD}" cache="Slicer_MentorName" caption="MentorName"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8.xml"/><Relationship Id="rId7"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rinterSettings" Target="../printerSettings/printerSettings4.bin"/><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1"/>
  <sheetViews>
    <sheetView tabSelected="1" workbookViewId="0">
      <selection activeCell="F19" sqref="F19"/>
    </sheetView>
  </sheetViews>
  <sheetFormatPr defaultRowHeight="14.4" x14ac:dyDescent="0.3"/>
  <cols>
    <col min="1" max="1" width="9" bestFit="1" customWidth="1"/>
    <col min="2" max="2" width="13.88671875" bestFit="1" customWidth="1"/>
    <col min="3" max="3" width="8.44140625" bestFit="1" customWidth="1"/>
    <col min="4" max="4" width="12.5546875" bestFit="1" customWidth="1"/>
    <col min="5" max="5" width="7.44140625" bestFit="1" customWidth="1"/>
    <col min="6" max="6" width="12" bestFit="1" customWidth="1"/>
    <col min="7" max="7" width="8.109375" bestFit="1" customWidth="1"/>
    <col min="8" max="8" width="14.6640625" bestFit="1" customWidth="1"/>
    <col min="9" max="9" width="12.33203125" bestFit="1" customWidth="1"/>
    <col min="10" max="10" width="14.44140625" bestFit="1" customWidth="1"/>
    <col min="11" max="11" width="13.33203125" bestFit="1" customWidth="1"/>
    <col min="12" max="12" width="12"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t="s">
        <v>17</v>
      </c>
      <c r="G2" t="s">
        <v>18</v>
      </c>
      <c r="H2">
        <v>12914</v>
      </c>
      <c r="I2" t="s">
        <v>19</v>
      </c>
      <c r="J2">
        <v>0.2</v>
      </c>
      <c r="K2">
        <v>14000</v>
      </c>
      <c r="L2" s="1">
        <v>45339</v>
      </c>
    </row>
    <row r="3" spans="1:12" x14ac:dyDescent="0.3">
      <c r="A3" t="s">
        <v>20</v>
      </c>
      <c r="B3" t="s">
        <v>21</v>
      </c>
      <c r="C3" t="s">
        <v>14</v>
      </c>
      <c r="D3" t="s">
        <v>15</v>
      </c>
      <c r="E3" t="s">
        <v>16</v>
      </c>
      <c r="F3" t="s">
        <v>17</v>
      </c>
      <c r="G3" t="s">
        <v>18</v>
      </c>
      <c r="H3">
        <v>12122</v>
      </c>
      <c r="I3" t="s">
        <v>22</v>
      </c>
      <c r="J3">
        <v>0.1</v>
      </c>
      <c r="K3">
        <v>14000</v>
      </c>
      <c r="L3" s="1">
        <v>45305</v>
      </c>
    </row>
    <row r="4" spans="1:12" x14ac:dyDescent="0.3">
      <c r="A4" t="s">
        <v>23</v>
      </c>
      <c r="B4" t="s">
        <v>24</v>
      </c>
      <c r="C4" t="s">
        <v>14</v>
      </c>
      <c r="D4" t="s">
        <v>15</v>
      </c>
      <c r="E4" t="s">
        <v>16</v>
      </c>
      <c r="F4" t="s">
        <v>25</v>
      </c>
      <c r="G4" t="s">
        <v>26</v>
      </c>
      <c r="H4">
        <v>14661</v>
      </c>
      <c r="I4" t="s">
        <v>27</v>
      </c>
      <c r="K4">
        <v>14000</v>
      </c>
      <c r="L4" s="1">
        <v>45318</v>
      </c>
    </row>
    <row r="5" spans="1:12" x14ac:dyDescent="0.3">
      <c r="A5" t="s">
        <v>28</v>
      </c>
      <c r="B5" t="s">
        <v>29</v>
      </c>
      <c r="C5" t="s">
        <v>30</v>
      </c>
      <c r="D5" t="s">
        <v>31</v>
      </c>
      <c r="E5" t="s">
        <v>32</v>
      </c>
      <c r="F5" t="s">
        <v>25</v>
      </c>
      <c r="G5" t="s">
        <v>26</v>
      </c>
      <c r="H5">
        <v>16731</v>
      </c>
      <c r="I5" t="s">
        <v>33</v>
      </c>
      <c r="J5">
        <v>0.3</v>
      </c>
      <c r="K5">
        <v>17000</v>
      </c>
      <c r="L5" s="1">
        <v>45309</v>
      </c>
    </row>
    <row r="6" spans="1:12" x14ac:dyDescent="0.3">
      <c r="A6" t="s">
        <v>34</v>
      </c>
      <c r="B6" t="s">
        <v>35</v>
      </c>
      <c r="C6" t="s">
        <v>30</v>
      </c>
      <c r="D6" t="s">
        <v>31</v>
      </c>
      <c r="E6" t="s">
        <v>32</v>
      </c>
      <c r="F6" t="s">
        <v>25</v>
      </c>
      <c r="G6" t="s">
        <v>36</v>
      </c>
      <c r="H6">
        <v>15396</v>
      </c>
      <c r="I6" t="s">
        <v>33</v>
      </c>
      <c r="J6">
        <v>0.3</v>
      </c>
      <c r="K6">
        <v>17000</v>
      </c>
      <c r="L6" s="1">
        <v>45346</v>
      </c>
    </row>
    <row r="7" spans="1:12" x14ac:dyDescent="0.3">
      <c r="A7" t="s">
        <v>37</v>
      </c>
      <c r="B7" t="s">
        <v>38</v>
      </c>
      <c r="C7" t="s">
        <v>30</v>
      </c>
      <c r="D7" t="s">
        <v>31</v>
      </c>
      <c r="E7" t="s">
        <v>32</v>
      </c>
      <c r="F7" t="s">
        <v>39</v>
      </c>
      <c r="G7" t="s">
        <v>36</v>
      </c>
      <c r="H7">
        <v>17196</v>
      </c>
      <c r="I7" t="s">
        <v>22</v>
      </c>
      <c r="J7">
        <v>0.1</v>
      </c>
      <c r="K7">
        <v>17000</v>
      </c>
      <c r="L7" s="1">
        <v>45351</v>
      </c>
    </row>
    <row r="8" spans="1:12" x14ac:dyDescent="0.3">
      <c r="A8" t="s">
        <v>40</v>
      </c>
      <c r="B8" t="s">
        <v>41</v>
      </c>
      <c r="C8" t="s">
        <v>30</v>
      </c>
      <c r="D8" t="s">
        <v>31</v>
      </c>
      <c r="E8" t="s">
        <v>16</v>
      </c>
      <c r="F8" t="s">
        <v>39</v>
      </c>
      <c r="G8" t="s">
        <v>36</v>
      </c>
      <c r="H8">
        <v>17364</v>
      </c>
      <c r="I8" t="s">
        <v>19</v>
      </c>
      <c r="J8">
        <v>0.2</v>
      </c>
      <c r="K8">
        <v>17000</v>
      </c>
      <c r="L8" s="1">
        <v>45337</v>
      </c>
    </row>
    <row r="9" spans="1:12" x14ac:dyDescent="0.3">
      <c r="A9" t="s">
        <v>42</v>
      </c>
      <c r="B9" t="s">
        <v>43</v>
      </c>
      <c r="C9" t="s">
        <v>44</v>
      </c>
      <c r="D9" t="s">
        <v>45</v>
      </c>
      <c r="E9" t="s">
        <v>46</v>
      </c>
      <c r="F9" t="s">
        <v>25</v>
      </c>
      <c r="G9" t="s">
        <v>18</v>
      </c>
      <c r="H9">
        <v>14549</v>
      </c>
      <c r="I9" t="s">
        <v>22</v>
      </c>
      <c r="J9">
        <v>0.1</v>
      </c>
      <c r="K9">
        <v>13000</v>
      </c>
      <c r="L9" s="1">
        <v>45316</v>
      </c>
    </row>
    <row r="10" spans="1:12" x14ac:dyDescent="0.3">
      <c r="A10" t="s">
        <v>47</v>
      </c>
      <c r="B10" t="s">
        <v>48</v>
      </c>
      <c r="C10" t="s">
        <v>30</v>
      </c>
      <c r="D10" t="s">
        <v>31</v>
      </c>
      <c r="E10" t="s">
        <v>32</v>
      </c>
      <c r="F10" t="s">
        <v>17</v>
      </c>
      <c r="G10" t="s">
        <v>36</v>
      </c>
      <c r="H10">
        <v>15858</v>
      </c>
      <c r="I10" t="s">
        <v>33</v>
      </c>
      <c r="J10">
        <v>0.3</v>
      </c>
      <c r="K10">
        <v>17000</v>
      </c>
      <c r="L10" s="1">
        <v>45336</v>
      </c>
    </row>
    <row r="11" spans="1:12" x14ac:dyDescent="0.3">
      <c r="A11" t="s">
        <v>49</v>
      </c>
      <c r="B11" t="s">
        <v>50</v>
      </c>
      <c r="C11" t="s">
        <v>14</v>
      </c>
      <c r="D11" t="s">
        <v>15</v>
      </c>
      <c r="E11" t="s">
        <v>16</v>
      </c>
      <c r="F11" t="s">
        <v>39</v>
      </c>
      <c r="G11" t="s">
        <v>18</v>
      </c>
      <c r="H11">
        <v>14187</v>
      </c>
      <c r="I11" t="s">
        <v>19</v>
      </c>
      <c r="J11">
        <v>0.2</v>
      </c>
      <c r="K11">
        <v>14000</v>
      </c>
      <c r="L11" s="1">
        <v>45302</v>
      </c>
    </row>
    <row r="12" spans="1:12" x14ac:dyDescent="0.3">
      <c r="A12" t="s">
        <v>51</v>
      </c>
      <c r="B12" t="s">
        <v>52</v>
      </c>
      <c r="C12" t="s">
        <v>30</v>
      </c>
      <c r="D12" t="s">
        <v>31</v>
      </c>
      <c r="E12" t="s">
        <v>16</v>
      </c>
      <c r="F12" t="s">
        <v>39</v>
      </c>
      <c r="G12" t="s">
        <v>26</v>
      </c>
      <c r="H12">
        <v>15899</v>
      </c>
      <c r="I12" t="s">
        <v>33</v>
      </c>
      <c r="J12">
        <v>0.3</v>
      </c>
      <c r="K12">
        <v>17000</v>
      </c>
      <c r="L12" s="1">
        <v>45345</v>
      </c>
    </row>
    <row r="13" spans="1:12" x14ac:dyDescent="0.3">
      <c r="A13" t="s">
        <v>53</v>
      </c>
      <c r="B13" t="s">
        <v>54</v>
      </c>
      <c r="C13" t="s">
        <v>14</v>
      </c>
      <c r="D13" t="s">
        <v>15</v>
      </c>
      <c r="E13" t="s">
        <v>32</v>
      </c>
      <c r="F13" t="s">
        <v>25</v>
      </c>
      <c r="G13" t="s">
        <v>36</v>
      </c>
      <c r="H13">
        <v>13643</v>
      </c>
      <c r="I13" t="s">
        <v>33</v>
      </c>
      <c r="J13">
        <v>0.3</v>
      </c>
      <c r="K13">
        <v>14000</v>
      </c>
      <c r="L13" s="1">
        <v>45296</v>
      </c>
    </row>
    <row r="14" spans="1:12" x14ac:dyDescent="0.3">
      <c r="A14" t="s">
        <v>55</v>
      </c>
      <c r="B14" t="s">
        <v>56</v>
      </c>
      <c r="C14" t="s">
        <v>30</v>
      </c>
      <c r="D14" t="s">
        <v>31</v>
      </c>
      <c r="E14" t="s">
        <v>32</v>
      </c>
      <c r="F14" t="s">
        <v>39</v>
      </c>
      <c r="G14" t="s">
        <v>36</v>
      </c>
      <c r="H14">
        <v>16620</v>
      </c>
      <c r="K14">
        <v>17000</v>
      </c>
      <c r="L14" s="1">
        <v>45301</v>
      </c>
    </row>
    <row r="15" spans="1:12" x14ac:dyDescent="0.3">
      <c r="A15" t="s">
        <v>57</v>
      </c>
      <c r="B15" t="s">
        <v>58</v>
      </c>
      <c r="C15" t="s">
        <v>44</v>
      </c>
      <c r="D15" t="s">
        <v>45</v>
      </c>
      <c r="E15" t="s">
        <v>16</v>
      </c>
      <c r="F15" t="s">
        <v>39</v>
      </c>
      <c r="G15" t="s">
        <v>26</v>
      </c>
      <c r="H15">
        <v>12076</v>
      </c>
      <c r="I15" t="s">
        <v>27</v>
      </c>
      <c r="K15">
        <v>13000</v>
      </c>
      <c r="L15" s="1">
        <v>45319</v>
      </c>
    </row>
    <row r="16" spans="1:12" x14ac:dyDescent="0.3">
      <c r="A16" t="s">
        <v>59</v>
      </c>
      <c r="B16" t="s">
        <v>60</v>
      </c>
      <c r="C16" t="s">
        <v>61</v>
      </c>
      <c r="D16" t="s">
        <v>62</v>
      </c>
      <c r="E16" t="s">
        <v>46</v>
      </c>
      <c r="F16" t="s">
        <v>25</v>
      </c>
      <c r="G16" t="s">
        <v>18</v>
      </c>
      <c r="H16">
        <v>9087</v>
      </c>
      <c r="K16">
        <v>9000</v>
      </c>
      <c r="L16" s="1">
        <v>45297</v>
      </c>
    </row>
    <row r="17" spans="1:12" x14ac:dyDescent="0.3">
      <c r="A17" t="s">
        <v>63</v>
      </c>
      <c r="B17" t="s">
        <v>64</v>
      </c>
      <c r="C17" t="s">
        <v>14</v>
      </c>
      <c r="D17" t="s">
        <v>15</v>
      </c>
      <c r="E17" t="s">
        <v>32</v>
      </c>
      <c r="F17" t="s">
        <v>39</v>
      </c>
      <c r="G17" t="s">
        <v>18</v>
      </c>
      <c r="H17">
        <v>15244</v>
      </c>
      <c r="K17">
        <v>14000</v>
      </c>
      <c r="L17" s="1">
        <v>45330</v>
      </c>
    </row>
    <row r="18" spans="1:12" x14ac:dyDescent="0.3">
      <c r="A18" t="s">
        <v>65</v>
      </c>
      <c r="B18" t="s">
        <v>66</v>
      </c>
      <c r="C18" t="s">
        <v>61</v>
      </c>
      <c r="D18" t="s">
        <v>62</v>
      </c>
      <c r="E18" t="s">
        <v>16</v>
      </c>
      <c r="F18" t="s">
        <v>17</v>
      </c>
      <c r="G18" t="s">
        <v>26</v>
      </c>
      <c r="H18">
        <v>8029</v>
      </c>
      <c r="I18" t="s">
        <v>27</v>
      </c>
      <c r="K18">
        <v>9000</v>
      </c>
      <c r="L18" s="1">
        <v>45347</v>
      </c>
    </row>
    <row r="19" spans="1:12" x14ac:dyDescent="0.3">
      <c r="A19" t="s">
        <v>67</v>
      </c>
      <c r="B19" t="s">
        <v>68</v>
      </c>
      <c r="C19" t="s">
        <v>14</v>
      </c>
      <c r="D19" t="s">
        <v>15</v>
      </c>
      <c r="E19" t="s">
        <v>16</v>
      </c>
      <c r="F19" t="s">
        <v>39</v>
      </c>
      <c r="G19" t="s">
        <v>36</v>
      </c>
      <c r="H19">
        <v>15148</v>
      </c>
      <c r="I19" t="s">
        <v>33</v>
      </c>
      <c r="J19">
        <v>0.3</v>
      </c>
      <c r="K19">
        <v>14000</v>
      </c>
      <c r="L19" s="1">
        <v>45299</v>
      </c>
    </row>
    <row r="20" spans="1:12" x14ac:dyDescent="0.3">
      <c r="A20" t="s">
        <v>69</v>
      </c>
      <c r="B20" t="s">
        <v>70</v>
      </c>
      <c r="C20" t="s">
        <v>44</v>
      </c>
      <c r="D20" t="s">
        <v>45</v>
      </c>
      <c r="E20" t="s">
        <v>46</v>
      </c>
      <c r="F20" t="s">
        <v>25</v>
      </c>
      <c r="G20" t="s">
        <v>26</v>
      </c>
      <c r="H20">
        <v>14587</v>
      </c>
      <c r="I20" t="s">
        <v>33</v>
      </c>
      <c r="J20">
        <v>0.3</v>
      </c>
      <c r="K20">
        <v>13000</v>
      </c>
      <c r="L20" s="1">
        <v>45324</v>
      </c>
    </row>
    <row r="21" spans="1:12" x14ac:dyDescent="0.3">
      <c r="A21" t="s">
        <v>71</v>
      </c>
      <c r="B21" t="s">
        <v>72</v>
      </c>
      <c r="C21" t="s">
        <v>14</v>
      </c>
      <c r="D21" t="s">
        <v>15</v>
      </c>
      <c r="E21" t="s">
        <v>16</v>
      </c>
      <c r="F21" t="s">
        <v>17</v>
      </c>
      <c r="G21" t="s">
        <v>26</v>
      </c>
      <c r="H21">
        <v>14079</v>
      </c>
      <c r="I21" t="s">
        <v>27</v>
      </c>
      <c r="K21">
        <v>14000</v>
      </c>
      <c r="L21" s="1">
        <v>45304</v>
      </c>
    </row>
    <row r="22" spans="1:12" x14ac:dyDescent="0.3">
      <c r="A22" t="s">
        <v>73</v>
      </c>
      <c r="B22" t="s">
        <v>74</v>
      </c>
      <c r="C22" t="s">
        <v>44</v>
      </c>
      <c r="D22" t="s">
        <v>45</v>
      </c>
      <c r="E22" t="s">
        <v>16</v>
      </c>
      <c r="F22" t="s">
        <v>39</v>
      </c>
      <c r="G22" t="s">
        <v>18</v>
      </c>
      <c r="H22">
        <v>13453</v>
      </c>
      <c r="I22" t="s">
        <v>33</v>
      </c>
      <c r="J22">
        <v>0.3</v>
      </c>
      <c r="K22">
        <v>13000</v>
      </c>
      <c r="L22" s="1">
        <v>45323</v>
      </c>
    </row>
    <row r="23" spans="1:12" x14ac:dyDescent="0.3">
      <c r="A23" t="s">
        <v>75</v>
      </c>
      <c r="B23" t="s">
        <v>76</v>
      </c>
      <c r="C23" t="s">
        <v>30</v>
      </c>
      <c r="D23" t="s">
        <v>31</v>
      </c>
      <c r="E23" t="s">
        <v>46</v>
      </c>
      <c r="F23" t="s">
        <v>25</v>
      </c>
      <c r="G23" t="s">
        <v>18</v>
      </c>
      <c r="H23">
        <v>15986</v>
      </c>
      <c r="I23" t="s">
        <v>27</v>
      </c>
      <c r="K23">
        <v>17000</v>
      </c>
      <c r="L23" s="1">
        <v>45352</v>
      </c>
    </row>
    <row r="24" spans="1:12" x14ac:dyDescent="0.3">
      <c r="A24" t="s">
        <v>77</v>
      </c>
      <c r="B24" t="s">
        <v>78</v>
      </c>
      <c r="C24" t="s">
        <v>61</v>
      </c>
      <c r="D24" t="s">
        <v>62</v>
      </c>
      <c r="E24" t="s">
        <v>32</v>
      </c>
      <c r="F24" t="s">
        <v>39</v>
      </c>
      <c r="G24" t="s">
        <v>18</v>
      </c>
      <c r="H24">
        <v>7525</v>
      </c>
      <c r="K24">
        <v>9000</v>
      </c>
      <c r="L24" s="1">
        <v>45352</v>
      </c>
    </row>
    <row r="25" spans="1:12" x14ac:dyDescent="0.3">
      <c r="A25" t="s">
        <v>79</v>
      </c>
      <c r="B25" t="s">
        <v>80</v>
      </c>
      <c r="C25" t="s">
        <v>30</v>
      </c>
      <c r="D25" t="s">
        <v>31</v>
      </c>
      <c r="E25" t="s">
        <v>16</v>
      </c>
      <c r="F25" t="s">
        <v>39</v>
      </c>
      <c r="G25" t="s">
        <v>36</v>
      </c>
      <c r="H25">
        <v>18950</v>
      </c>
      <c r="I25" t="s">
        <v>19</v>
      </c>
      <c r="J25">
        <v>0.2</v>
      </c>
      <c r="K25">
        <v>17000</v>
      </c>
      <c r="L25" s="1">
        <v>45351</v>
      </c>
    </row>
    <row r="26" spans="1:12" x14ac:dyDescent="0.3">
      <c r="A26" t="s">
        <v>81</v>
      </c>
      <c r="B26" t="s">
        <v>82</v>
      </c>
      <c r="C26" t="s">
        <v>44</v>
      </c>
      <c r="D26" t="s">
        <v>45</v>
      </c>
      <c r="E26" t="s">
        <v>16</v>
      </c>
      <c r="F26" t="s">
        <v>17</v>
      </c>
      <c r="G26" t="s">
        <v>36</v>
      </c>
      <c r="H26">
        <v>13751</v>
      </c>
      <c r="I26" t="s">
        <v>33</v>
      </c>
      <c r="J26">
        <v>0.3</v>
      </c>
      <c r="K26">
        <v>13000</v>
      </c>
      <c r="L26" s="1">
        <v>45320</v>
      </c>
    </row>
    <row r="27" spans="1:12" x14ac:dyDescent="0.3">
      <c r="A27" t="s">
        <v>83</v>
      </c>
      <c r="B27" t="s">
        <v>84</v>
      </c>
      <c r="C27" t="s">
        <v>61</v>
      </c>
      <c r="D27" t="s">
        <v>62</v>
      </c>
      <c r="E27" t="s">
        <v>32</v>
      </c>
      <c r="F27" t="s">
        <v>25</v>
      </c>
      <c r="G27" t="s">
        <v>18</v>
      </c>
      <c r="H27">
        <v>7262</v>
      </c>
      <c r="I27" t="s">
        <v>33</v>
      </c>
      <c r="J27">
        <v>0.3</v>
      </c>
      <c r="K27">
        <v>9000</v>
      </c>
      <c r="L27" s="1">
        <v>45293</v>
      </c>
    </row>
    <row r="28" spans="1:12" x14ac:dyDescent="0.3">
      <c r="A28" t="s">
        <v>85</v>
      </c>
      <c r="B28" t="s">
        <v>86</v>
      </c>
      <c r="C28" t="s">
        <v>44</v>
      </c>
      <c r="D28" t="s">
        <v>45</v>
      </c>
      <c r="E28" t="s">
        <v>16</v>
      </c>
      <c r="F28" t="s">
        <v>25</v>
      </c>
      <c r="G28" t="s">
        <v>18</v>
      </c>
      <c r="H28">
        <v>11290</v>
      </c>
      <c r="I28" t="s">
        <v>22</v>
      </c>
      <c r="J28">
        <v>0.1</v>
      </c>
      <c r="K28">
        <v>13000</v>
      </c>
      <c r="L28" s="1">
        <v>45306</v>
      </c>
    </row>
    <row r="29" spans="1:12" x14ac:dyDescent="0.3">
      <c r="A29" t="s">
        <v>87</v>
      </c>
      <c r="B29" t="s">
        <v>43</v>
      </c>
      <c r="C29" t="s">
        <v>30</v>
      </c>
      <c r="D29" t="s">
        <v>31</v>
      </c>
      <c r="E29" t="s">
        <v>32</v>
      </c>
      <c r="F29" t="s">
        <v>39</v>
      </c>
      <c r="G29" t="s">
        <v>18</v>
      </c>
      <c r="H29">
        <v>16140</v>
      </c>
      <c r="K29">
        <v>17000</v>
      </c>
      <c r="L29" s="1">
        <v>45305</v>
      </c>
    </row>
    <row r="30" spans="1:12" x14ac:dyDescent="0.3">
      <c r="A30" t="s">
        <v>88</v>
      </c>
      <c r="B30" t="s">
        <v>80</v>
      </c>
      <c r="C30" t="s">
        <v>61</v>
      </c>
      <c r="D30" t="s">
        <v>62</v>
      </c>
      <c r="E30" t="s">
        <v>32</v>
      </c>
      <c r="F30" t="s">
        <v>17</v>
      </c>
      <c r="G30" t="s">
        <v>36</v>
      </c>
      <c r="H30">
        <v>7779</v>
      </c>
      <c r="I30" t="s">
        <v>22</v>
      </c>
      <c r="J30">
        <v>0.1</v>
      </c>
      <c r="K30">
        <v>9000</v>
      </c>
      <c r="L30" s="1">
        <v>45298</v>
      </c>
    </row>
    <row r="31" spans="1:12" x14ac:dyDescent="0.3">
      <c r="A31" t="s">
        <v>89</v>
      </c>
      <c r="B31" t="s">
        <v>90</v>
      </c>
      <c r="C31" t="s">
        <v>30</v>
      </c>
      <c r="D31" t="s">
        <v>31</v>
      </c>
      <c r="E31" t="s">
        <v>46</v>
      </c>
      <c r="F31" t="s">
        <v>17</v>
      </c>
      <c r="G31" t="s">
        <v>36</v>
      </c>
      <c r="H31">
        <v>18538</v>
      </c>
      <c r="I31" t="s">
        <v>22</v>
      </c>
      <c r="J31">
        <v>0.1</v>
      </c>
      <c r="K31">
        <v>17000</v>
      </c>
      <c r="L31" s="1">
        <v>45335</v>
      </c>
    </row>
    <row r="32" spans="1:12" x14ac:dyDescent="0.3">
      <c r="A32" t="s">
        <v>91</v>
      </c>
      <c r="B32" t="s">
        <v>92</v>
      </c>
      <c r="C32" t="s">
        <v>14</v>
      </c>
      <c r="D32" t="s">
        <v>15</v>
      </c>
      <c r="E32" t="s">
        <v>32</v>
      </c>
      <c r="F32" t="s">
        <v>17</v>
      </c>
      <c r="G32" t="s">
        <v>26</v>
      </c>
      <c r="H32">
        <v>13389</v>
      </c>
      <c r="I32" t="s">
        <v>22</v>
      </c>
      <c r="J32">
        <v>0.1</v>
      </c>
      <c r="K32">
        <v>14000</v>
      </c>
      <c r="L32" s="1">
        <v>45307</v>
      </c>
    </row>
    <row r="33" spans="1:12" x14ac:dyDescent="0.3">
      <c r="A33" t="s">
        <v>93</v>
      </c>
      <c r="B33" t="s">
        <v>94</v>
      </c>
      <c r="C33" t="s">
        <v>61</v>
      </c>
      <c r="D33" t="s">
        <v>62</v>
      </c>
      <c r="E33" t="s">
        <v>32</v>
      </c>
      <c r="F33" t="s">
        <v>17</v>
      </c>
      <c r="G33" t="s">
        <v>18</v>
      </c>
      <c r="H33">
        <v>8140</v>
      </c>
      <c r="K33">
        <v>9000</v>
      </c>
      <c r="L33" s="1">
        <v>45307</v>
      </c>
    </row>
    <row r="34" spans="1:12" x14ac:dyDescent="0.3">
      <c r="A34" t="s">
        <v>95</v>
      </c>
      <c r="B34" t="s">
        <v>96</v>
      </c>
      <c r="C34" t="s">
        <v>61</v>
      </c>
      <c r="D34" t="s">
        <v>62</v>
      </c>
      <c r="E34" t="s">
        <v>16</v>
      </c>
      <c r="F34" t="s">
        <v>25</v>
      </c>
      <c r="G34" t="s">
        <v>18</v>
      </c>
      <c r="H34">
        <v>9671</v>
      </c>
      <c r="I34" t="s">
        <v>27</v>
      </c>
      <c r="K34">
        <v>9000</v>
      </c>
      <c r="L34" s="1">
        <v>45345</v>
      </c>
    </row>
    <row r="35" spans="1:12" x14ac:dyDescent="0.3">
      <c r="A35" t="s">
        <v>97</v>
      </c>
      <c r="B35" t="s">
        <v>76</v>
      </c>
      <c r="C35" t="s">
        <v>44</v>
      </c>
      <c r="D35" t="s">
        <v>45</v>
      </c>
      <c r="E35" t="s">
        <v>32</v>
      </c>
      <c r="F35" t="s">
        <v>17</v>
      </c>
      <c r="G35" t="s">
        <v>36</v>
      </c>
      <c r="H35">
        <v>12971</v>
      </c>
      <c r="I35" t="s">
        <v>19</v>
      </c>
      <c r="J35">
        <v>0.2</v>
      </c>
      <c r="K35">
        <v>13000</v>
      </c>
      <c r="L35" s="1">
        <v>45347</v>
      </c>
    </row>
    <row r="36" spans="1:12" x14ac:dyDescent="0.3">
      <c r="A36" t="s">
        <v>98</v>
      </c>
      <c r="B36" t="s">
        <v>99</v>
      </c>
      <c r="C36" t="s">
        <v>44</v>
      </c>
      <c r="D36" t="s">
        <v>45</v>
      </c>
      <c r="E36" t="s">
        <v>46</v>
      </c>
      <c r="F36" t="s">
        <v>25</v>
      </c>
      <c r="G36" t="s">
        <v>36</v>
      </c>
      <c r="H36">
        <v>12086</v>
      </c>
      <c r="K36">
        <v>13000</v>
      </c>
      <c r="L36" s="1">
        <v>45310</v>
      </c>
    </row>
    <row r="37" spans="1:12" x14ac:dyDescent="0.3">
      <c r="A37" t="s">
        <v>100</v>
      </c>
      <c r="B37" t="s">
        <v>101</v>
      </c>
      <c r="C37" t="s">
        <v>61</v>
      </c>
      <c r="D37" t="s">
        <v>62</v>
      </c>
      <c r="E37" t="s">
        <v>32</v>
      </c>
      <c r="F37" t="s">
        <v>25</v>
      </c>
      <c r="G37" t="s">
        <v>36</v>
      </c>
      <c r="H37">
        <v>7891</v>
      </c>
      <c r="I37" t="s">
        <v>22</v>
      </c>
      <c r="J37">
        <v>0.1</v>
      </c>
      <c r="K37">
        <v>9000</v>
      </c>
      <c r="L37" s="1">
        <v>45329</v>
      </c>
    </row>
    <row r="38" spans="1:12" x14ac:dyDescent="0.3">
      <c r="A38" t="s">
        <v>102</v>
      </c>
      <c r="B38" t="s">
        <v>103</v>
      </c>
      <c r="C38" t="s">
        <v>14</v>
      </c>
      <c r="D38" t="s">
        <v>15</v>
      </c>
      <c r="E38" t="s">
        <v>16</v>
      </c>
      <c r="F38" t="s">
        <v>17</v>
      </c>
      <c r="G38" t="s">
        <v>18</v>
      </c>
      <c r="H38">
        <v>12205</v>
      </c>
      <c r="I38" t="s">
        <v>27</v>
      </c>
      <c r="K38">
        <v>14000</v>
      </c>
      <c r="L38" s="1">
        <v>45322</v>
      </c>
    </row>
    <row r="39" spans="1:12" x14ac:dyDescent="0.3">
      <c r="A39" t="s">
        <v>104</v>
      </c>
      <c r="B39" t="s">
        <v>105</v>
      </c>
      <c r="C39" t="s">
        <v>44</v>
      </c>
      <c r="D39" t="s">
        <v>45</v>
      </c>
      <c r="E39" t="s">
        <v>32</v>
      </c>
      <c r="F39" t="s">
        <v>39</v>
      </c>
      <c r="G39" t="s">
        <v>18</v>
      </c>
      <c r="H39">
        <v>14487</v>
      </c>
      <c r="I39" t="s">
        <v>19</v>
      </c>
      <c r="J39">
        <v>0.2</v>
      </c>
      <c r="K39">
        <v>13000</v>
      </c>
      <c r="L39" s="1">
        <v>45296</v>
      </c>
    </row>
    <row r="40" spans="1:12" x14ac:dyDescent="0.3">
      <c r="A40" t="s">
        <v>106</v>
      </c>
      <c r="B40" t="s">
        <v>107</v>
      </c>
      <c r="C40" t="s">
        <v>44</v>
      </c>
      <c r="D40" t="s">
        <v>45</v>
      </c>
      <c r="E40" t="s">
        <v>46</v>
      </c>
      <c r="F40" t="s">
        <v>25</v>
      </c>
      <c r="G40" t="s">
        <v>26</v>
      </c>
      <c r="H40">
        <v>12008</v>
      </c>
      <c r="I40" t="s">
        <v>27</v>
      </c>
      <c r="K40">
        <v>13000</v>
      </c>
      <c r="L40" s="1">
        <v>45330</v>
      </c>
    </row>
    <row r="41" spans="1:12" x14ac:dyDescent="0.3">
      <c r="A41" t="s">
        <v>108</v>
      </c>
      <c r="B41" t="s">
        <v>109</v>
      </c>
      <c r="C41" t="s">
        <v>14</v>
      </c>
      <c r="D41" t="s">
        <v>15</v>
      </c>
      <c r="E41" t="s">
        <v>46</v>
      </c>
      <c r="F41" t="s">
        <v>39</v>
      </c>
      <c r="G41" t="s">
        <v>26</v>
      </c>
      <c r="H41">
        <v>14315</v>
      </c>
      <c r="I41" t="s">
        <v>27</v>
      </c>
      <c r="K41">
        <v>14000</v>
      </c>
      <c r="L41" s="1">
        <v>45312</v>
      </c>
    </row>
    <row r="42" spans="1:12" x14ac:dyDescent="0.3">
      <c r="A42" t="s">
        <v>110</v>
      </c>
      <c r="B42" t="s">
        <v>111</v>
      </c>
      <c r="C42" t="s">
        <v>44</v>
      </c>
      <c r="D42" t="s">
        <v>45</v>
      </c>
      <c r="E42" t="s">
        <v>16</v>
      </c>
      <c r="F42" t="s">
        <v>39</v>
      </c>
      <c r="G42" t="s">
        <v>36</v>
      </c>
      <c r="H42">
        <v>11977</v>
      </c>
      <c r="I42" t="s">
        <v>33</v>
      </c>
      <c r="J42">
        <v>0.3</v>
      </c>
      <c r="K42">
        <v>13000</v>
      </c>
      <c r="L42" s="1">
        <v>45317</v>
      </c>
    </row>
    <row r="43" spans="1:12" x14ac:dyDescent="0.3">
      <c r="A43" t="s">
        <v>112</v>
      </c>
      <c r="B43" t="s">
        <v>113</v>
      </c>
      <c r="C43" t="s">
        <v>30</v>
      </c>
      <c r="D43" t="s">
        <v>31</v>
      </c>
      <c r="E43" t="s">
        <v>46</v>
      </c>
      <c r="F43" t="s">
        <v>17</v>
      </c>
      <c r="G43" t="s">
        <v>18</v>
      </c>
      <c r="H43">
        <v>15038</v>
      </c>
      <c r="K43">
        <v>17000</v>
      </c>
      <c r="L43" s="1">
        <v>45331</v>
      </c>
    </row>
    <row r="44" spans="1:12" x14ac:dyDescent="0.3">
      <c r="A44" t="s">
        <v>114</v>
      </c>
      <c r="B44" t="s">
        <v>107</v>
      </c>
      <c r="C44" t="s">
        <v>14</v>
      </c>
      <c r="D44" t="s">
        <v>15</v>
      </c>
      <c r="E44" t="s">
        <v>16</v>
      </c>
      <c r="F44" t="s">
        <v>25</v>
      </c>
      <c r="G44" t="s">
        <v>26</v>
      </c>
      <c r="H44">
        <v>13086</v>
      </c>
      <c r="I44" t="s">
        <v>19</v>
      </c>
      <c r="J44">
        <v>0.2</v>
      </c>
      <c r="K44">
        <v>14000</v>
      </c>
      <c r="L44" s="1">
        <v>45351</v>
      </c>
    </row>
    <row r="45" spans="1:12" x14ac:dyDescent="0.3">
      <c r="A45" t="s">
        <v>115</v>
      </c>
      <c r="B45" t="s">
        <v>116</v>
      </c>
      <c r="C45" t="s">
        <v>44</v>
      </c>
      <c r="D45" t="s">
        <v>45</v>
      </c>
      <c r="E45" t="s">
        <v>46</v>
      </c>
      <c r="F45" t="s">
        <v>17</v>
      </c>
      <c r="G45" t="s">
        <v>18</v>
      </c>
      <c r="H45">
        <v>12794</v>
      </c>
      <c r="I45" t="s">
        <v>27</v>
      </c>
      <c r="K45">
        <v>13000</v>
      </c>
      <c r="L45" s="1">
        <v>45337</v>
      </c>
    </row>
    <row r="46" spans="1:12" x14ac:dyDescent="0.3">
      <c r="A46" t="s">
        <v>117</v>
      </c>
      <c r="B46" t="s">
        <v>118</v>
      </c>
      <c r="C46" t="s">
        <v>14</v>
      </c>
      <c r="D46" t="s">
        <v>15</v>
      </c>
      <c r="E46" t="s">
        <v>16</v>
      </c>
      <c r="F46" t="s">
        <v>39</v>
      </c>
      <c r="G46" t="s">
        <v>36</v>
      </c>
      <c r="H46">
        <v>15816</v>
      </c>
      <c r="I46" t="s">
        <v>22</v>
      </c>
      <c r="J46">
        <v>0.1</v>
      </c>
      <c r="K46">
        <v>14000</v>
      </c>
      <c r="L46" s="1">
        <v>45352</v>
      </c>
    </row>
    <row r="47" spans="1:12" x14ac:dyDescent="0.3">
      <c r="A47" t="s">
        <v>119</v>
      </c>
      <c r="B47" t="s">
        <v>120</v>
      </c>
      <c r="C47" t="s">
        <v>30</v>
      </c>
      <c r="D47" t="s">
        <v>31</v>
      </c>
      <c r="E47" t="s">
        <v>32</v>
      </c>
      <c r="F47" t="s">
        <v>25</v>
      </c>
      <c r="G47" t="s">
        <v>26</v>
      </c>
      <c r="H47">
        <v>17266</v>
      </c>
      <c r="I47" t="s">
        <v>19</v>
      </c>
      <c r="J47">
        <v>0.2</v>
      </c>
      <c r="K47">
        <v>17000</v>
      </c>
      <c r="L47" s="1">
        <v>45309</v>
      </c>
    </row>
    <row r="48" spans="1:12" x14ac:dyDescent="0.3">
      <c r="A48" t="s">
        <v>121</v>
      </c>
      <c r="B48" t="s">
        <v>118</v>
      </c>
      <c r="C48" t="s">
        <v>44</v>
      </c>
      <c r="D48" t="s">
        <v>45</v>
      </c>
      <c r="E48" t="s">
        <v>16</v>
      </c>
      <c r="F48" t="s">
        <v>17</v>
      </c>
      <c r="G48" t="s">
        <v>18</v>
      </c>
      <c r="H48">
        <v>13815</v>
      </c>
      <c r="I48" t="s">
        <v>33</v>
      </c>
      <c r="J48">
        <v>0.3</v>
      </c>
      <c r="K48">
        <v>13000</v>
      </c>
      <c r="L48" s="1">
        <v>45324</v>
      </c>
    </row>
    <row r="49" spans="1:12" x14ac:dyDescent="0.3">
      <c r="A49" t="s">
        <v>122</v>
      </c>
      <c r="B49" t="s">
        <v>123</v>
      </c>
      <c r="C49" t="s">
        <v>14</v>
      </c>
      <c r="D49" t="s">
        <v>15</v>
      </c>
      <c r="E49" t="s">
        <v>32</v>
      </c>
      <c r="F49" t="s">
        <v>39</v>
      </c>
      <c r="G49" t="s">
        <v>36</v>
      </c>
      <c r="H49">
        <v>15397</v>
      </c>
      <c r="I49" t="s">
        <v>33</v>
      </c>
      <c r="J49">
        <v>0.3</v>
      </c>
      <c r="K49">
        <v>14000</v>
      </c>
      <c r="L49" s="1">
        <v>45294</v>
      </c>
    </row>
    <row r="50" spans="1:12" x14ac:dyDescent="0.3">
      <c r="A50" t="s">
        <v>124</v>
      </c>
      <c r="B50" t="s">
        <v>125</v>
      </c>
      <c r="C50" t="s">
        <v>44</v>
      </c>
      <c r="D50" t="s">
        <v>45</v>
      </c>
      <c r="E50" t="s">
        <v>16</v>
      </c>
      <c r="F50" t="s">
        <v>17</v>
      </c>
      <c r="G50" t="s">
        <v>18</v>
      </c>
      <c r="H50">
        <v>14036</v>
      </c>
      <c r="K50">
        <v>13000</v>
      </c>
      <c r="L50" s="1">
        <v>45327</v>
      </c>
    </row>
    <row r="51" spans="1:12" x14ac:dyDescent="0.3">
      <c r="A51" t="s">
        <v>126</v>
      </c>
      <c r="B51" t="s">
        <v>127</v>
      </c>
      <c r="C51" t="s">
        <v>14</v>
      </c>
      <c r="D51" t="s">
        <v>15</v>
      </c>
      <c r="E51" t="s">
        <v>32</v>
      </c>
      <c r="F51" t="s">
        <v>25</v>
      </c>
      <c r="G51" t="s">
        <v>26</v>
      </c>
      <c r="H51">
        <v>15702</v>
      </c>
      <c r="I51" t="s">
        <v>19</v>
      </c>
      <c r="J51">
        <v>0.2</v>
      </c>
      <c r="K51">
        <v>14000</v>
      </c>
      <c r="L51" s="1">
        <v>45326</v>
      </c>
    </row>
    <row r="52" spans="1:12" x14ac:dyDescent="0.3">
      <c r="A52" t="s">
        <v>128</v>
      </c>
      <c r="B52" t="s">
        <v>129</v>
      </c>
      <c r="C52" t="s">
        <v>30</v>
      </c>
      <c r="D52" t="s">
        <v>31</v>
      </c>
      <c r="E52" t="s">
        <v>16</v>
      </c>
      <c r="F52" t="s">
        <v>39</v>
      </c>
      <c r="G52" t="s">
        <v>18</v>
      </c>
      <c r="H52">
        <v>16760</v>
      </c>
      <c r="I52" t="s">
        <v>19</v>
      </c>
      <c r="J52">
        <v>0.2</v>
      </c>
      <c r="K52">
        <v>17000</v>
      </c>
      <c r="L52" s="1">
        <v>45294</v>
      </c>
    </row>
    <row r="53" spans="1:12" x14ac:dyDescent="0.3">
      <c r="A53" t="s">
        <v>130</v>
      </c>
      <c r="B53" t="s">
        <v>131</v>
      </c>
      <c r="C53" t="s">
        <v>14</v>
      </c>
      <c r="D53" t="s">
        <v>15</v>
      </c>
      <c r="E53" t="s">
        <v>46</v>
      </c>
      <c r="F53" t="s">
        <v>25</v>
      </c>
      <c r="G53" t="s">
        <v>26</v>
      </c>
      <c r="H53">
        <v>13022</v>
      </c>
      <c r="I53" t="s">
        <v>22</v>
      </c>
      <c r="J53">
        <v>0.1</v>
      </c>
      <c r="K53">
        <v>14000</v>
      </c>
      <c r="L53" s="1">
        <v>45314</v>
      </c>
    </row>
    <row r="54" spans="1:12" x14ac:dyDescent="0.3">
      <c r="A54" t="s">
        <v>132</v>
      </c>
      <c r="B54" t="s">
        <v>133</v>
      </c>
      <c r="C54" t="s">
        <v>61</v>
      </c>
      <c r="D54" t="s">
        <v>62</v>
      </c>
      <c r="E54" t="s">
        <v>16</v>
      </c>
      <c r="F54" t="s">
        <v>39</v>
      </c>
      <c r="G54" t="s">
        <v>18</v>
      </c>
      <c r="H54">
        <v>10791</v>
      </c>
      <c r="I54" t="s">
        <v>19</v>
      </c>
      <c r="J54">
        <v>0.2</v>
      </c>
      <c r="K54">
        <v>9000</v>
      </c>
      <c r="L54" s="1">
        <v>45347</v>
      </c>
    </row>
    <row r="55" spans="1:12" x14ac:dyDescent="0.3">
      <c r="A55" t="s">
        <v>134</v>
      </c>
      <c r="B55" t="s">
        <v>135</v>
      </c>
      <c r="C55" t="s">
        <v>44</v>
      </c>
      <c r="D55" t="s">
        <v>45</v>
      </c>
      <c r="E55" t="s">
        <v>46</v>
      </c>
      <c r="F55" t="s">
        <v>25</v>
      </c>
      <c r="G55" t="s">
        <v>18</v>
      </c>
      <c r="H55">
        <v>14016</v>
      </c>
      <c r="I55" t="s">
        <v>33</v>
      </c>
      <c r="J55">
        <v>0.3</v>
      </c>
      <c r="K55">
        <v>13000</v>
      </c>
      <c r="L55" s="1">
        <v>45342</v>
      </c>
    </row>
    <row r="56" spans="1:12" x14ac:dyDescent="0.3">
      <c r="A56" t="s">
        <v>136</v>
      </c>
      <c r="B56" t="s">
        <v>137</v>
      </c>
      <c r="C56" t="s">
        <v>44</v>
      </c>
      <c r="D56" t="s">
        <v>45</v>
      </c>
      <c r="E56" t="s">
        <v>46</v>
      </c>
      <c r="F56" t="s">
        <v>25</v>
      </c>
      <c r="G56" t="s">
        <v>26</v>
      </c>
      <c r="H56">
        <v>11442</v>
      </c>
      <c r="K56">
        <v>13000</v>
      </c>
      <c r="L56" s="1">
        <v>45347</v>
      </c>
    </row>
    <row r="57" spans="1:12" x14ac:dyDescent="0.3">
      <c r="A57" t="s">
        <v>138</v>
      </c>
      <c r="B57" t="s">
        <v>129</v>
      </c>
      <c r="C57" t="s">
        <v>61</v>
      </c>
      <c r="D57" t="s">
        <v>62</v>
      </c>
      <c r="E57" t="s">
        <v>32</v>
      </c>
      <c r="F57" t="s">
        <v>25</v>
      </c>
      <c r="G57" t="s">
        <v>36</v>
      </c>
      <c r="H57">
        <v>8432</v>
      </c>
      <c r="I57" t="s">
        <v>33</v>
      </c>
      <c r="J57">
        <v>0.3</v>
      </c>
      <c r="K57">
        <v>9000</v>
      </c>
      <c r="L57" s="1">
        <v>45344</v>
      </c>
    </row>
    <row r="58" spans="1:12" x14ac:dyDescent="0.3">
      <c r="A58" t="s">
        <v>139</v>
      </c>
      <c r="B58" t="s">
        <v>140</v>
      </c>
      <c r="C58" t="s">
        <v>44</v>
      </c>
      <c r="D58" t="s">
        <v>45</v>
      </c>
      <c r="E58" t="s">
        <v>32</v>
      </c>
      <c r="F58" t="s">
        <v>25</v>
      </c>
      <c r="G58" t="s">
        <v>26</v>
      </c>
      <c r="H58">
        <v>11791</v>
      </c>
      <c r="K58">
        <v>13000</v>
      </c>
      <c r="L58" s="1">
        <v>45313</v>
      </c>
    </row>
    <row r="59" spans="1:12" x14ac:dyDescent="0.3">
      <c r="A59" t="s">
        <v>141</v>
      </c>
      <c r="B59" t="s">
        <v>142</v>
      </c>
      <c r="C59" t="s">
        <v>14</v>
      </c>
      <c r="D59" t="s">
        <v>15</v>
      </c>
      <c r="E59" t="s">
        <v>46</v>
      </c>
      <c r="F59" t="s">
        <v>17</v>
      </c>
      <c r="G59" t="s">
        <v>26</v>
      </c>
      <c r="H59">
        <v>14086</v>
      </c>
      <c r="K59">
        <v>14000</v>
      </c>
      <c r="L59" s="1">
        <v>45335</v>
      </c>
    </row>
    <row r="60" spans="1:12" x14ac:dyDescent="0.3">
      <c r="A60" t="s">
        <v>143</v>
      </c>
      <c r="B60" t="s">
        <v>144</v>
      </c>
      <c r="C60" t="s">
        <v>30</v>
      </c>
      <c r="D60" t="s">
        <v>31</v>
      </c>
      <c r="E60" t="s">
        <v>32</v>
      </c>
      <c r="F60" t="s">
        <v>25</v>
      </c>
      <c r="G60" t="s">
        <v>36</v>
      </c>
      <c r="H60">
        <v>15731</v>
      </c>
      <c r="I60" t="s">
        <v>27</v>
      </c>
      <c r="K60">
        <v>17000</v>
      </c>
      <c r="L60" s="1">
        <v>45308</v>
      </c>
    </row>
    <row r="61" spans="1:12" x14ac:dyDescent="0.3">
      <c r="A61" t="s">
        <v>145</v>
      </c>
      <c r="B61" t="s">
        <v>76</v>
      </c>
      <c r="C61" t="s">
        <v>61</v>
      </c>
      <c r="D61" t="s">
        <v>62</v>
      </c>
      <c r="E61" t="s">
        <v>46</v>
      </c>
      <c r="F61" t="s">
        <v>39</v>
      </c>
      <c r="G61" t="s">
        <v>36</v>
      </c>
      <c r="H61">
        <v>8787</v>
      </c>
      <c r="I61" t="s">
        <v>27</v>
      </c>
      <c r="K61">
        <v>9000</v>
      </c>
      <c r="L61" s="1">
        <v>45324</v>
      </c>
    </row>
    <row r="62" spans="1:12" x14ac:dyDescent="0.3">
      <c r="A62" t="s">
        <v>146</v>
      </c>
      <c r="B62" t="s">
        <v>66</v>
      </c>
      <c r="C62" t="s">
        <v>44</v>
      </c>
      <c r="D62" t="s">
        <v>45</v>
      </c>
      <c r="E62" t="s">
        <v>46</v>
      </c>
      <c r="F62" t="s">
        <v>25</v>
      </c>
      <c r="G62" t="s">
        <v>26</v>
      </c>
      <c r="H62">
        <v>12786</v>
      </c>
      <c r="I62" t="s">
        <v>22</v>
      </c>
      <c r="J62">
        <v>0.1</v>
      </c>
      <c r="K62">
        <v>13000</v>
      </c>
      <c r="L62" s="1">
        <v>45325</v>
      </c>
    </row>
    <row r="63" spans="1:12" x14ac:dyDescent="0.3">
      <c r="A63" t="s">
        <v>147</v>
      </c>
      <c r="B63" t="s">
        <v>148</v>
      </c>
      <c r="C63" t="s">
        <v>44</v>
      </c>
      <c r="D63" t="s">
        <v>45</v>
      </c>
      <c r="E63" t="s">
        <v>46</v>
      </c>
      <c r="F63" t="s">
        <v>17</v>
      </c>
      <c r="G63" t="s">
        <v>18</v>
      </c>
      <c r="H63">
        <v>14886</v>
      </c>
      <c r="I63" t="s">
        <v>33</v>
      </c>
      <c r="J63">
        <v>0.3</v>
      </c>
      <c r="K63">
        <v>13000</v>
      </c>
      <c r="L63" s="1">
        <v>45331</v>
      </c>
    </row>
    <row r="64" spans="1:12" x14ac:dyDescent="0.3">
      <c r="A64" t="s">
        <v>149</v>
      </c>
      <c r="B64" t="s">
        <v>150</v>
      </c>
      <c r="C64" t="s">
        <v>14</v>
      </c>
      <c r="D64" t="s">
        <v>15</v>
      </c>
      <c r="E64" t="s">
        <v>16</v>
      </c>
      <c r="F64" t="s">
        <v>17</v>
      </c>
      <c r="G64" t="s">
        <v>26</v>
      </c>
      <c r="H64">
        <v>13266</v>
      </c>
      <c r="K64">
        <v>14000</v>
      </c>
      <c r="L64" s="1">
        <v>45312</v>
      </c>
    </row>
    <row r="65" spans="1:12" x14ac:dyDescent="0.3">
      <c r="A65" t="s">
        <v>151</v>
      </c>
      <c r="B65" t="s">
        <v>101</v>
      </c>
      <c r="C65" t="s">
        <v>30</v>
      </c>
      <c r="D65" t="s">
        <v>31</v>
      </c>
      <c r="E65" t="s">
        <v>16</v>
      </c>
      <c r="F65" t="s">
        <v>25</v>
      </c>
      <c r="G65" t="s">
        <v>18</v>
      </c>
      <c r="H65">
        <v>16722</v>
      </c>
      <c r="K65">
        <v>17000</v>
      </c>
      <c r="L65" s="1">
        <v>45335</v>
      </c>
    </row>
    <row r="66" spans="1:12" x14ac:dyDescent="0.3">
      <c r="A66" t="s">
        <v>152</v>
      </c>
      <c r="B66" t="s">
        <v>153</v>
      </c>
      <c r="C66" t="s">
        <v>30</v>
      </c>
      <c r="D66" t="s">
        <v>31</v>
      </c>
      <c r="E66" t="s">
        <v>46</v>
      </c>
      <c r="F66" t="s">
        <v>39</v>
      </c>
      <c r="G66" t="s">
        <v>18</v>
      </c>
      <c r="H66">
        <v>16244</v>
      </c>
      <c r="I66" t="s">
        <v>33</v>
      </c>
      <c r="J66">
        <v>0.3</v>
      </c>
      <c r="K66">
        <v>17000</v>
      </c>
      <c r="L66" s="1">
        <v>45305</v>
      </c>
    </row>
    <row r="67" spans="1:12" x14ac:dyDescent="0.3">
      <c r="A67" t="s">
        <v>154</v>
      </c>
      <c r="B67" t="s">
        <v>155</v>
      </c>
      <c r="C67" t="s">
        <v>30</v>
      </c>
      <c r="D67" t="s">
        <v>31</v>
      </c>
      <c r="E67" t="s">
        <v>46</v>
      </c>
      <c r="F67" t="s">
        <v>17</v>
      </c>
      <c r="G67" t="s">
        <v>36</v>
      </c>
      <c r="H67">
        <v>17767</v>
      </c>
      <c r="I67" t="s">
        <v>19</v>
      </c>
      <c r="J67">
        <v>0.2</v>
      </c>
      <c r="K67">
        <v>17000</v>
      </c>
      <c r="L67" s="1">
        <v>45324</v>
      </c>
    </row>
    <row r="68" spans="1:12" x14ac:dyDescent="0.3">
      <c r="A68" t="s">
        <v>156</v>
      </c>
      <c r="B68" t="s">
        <v>157</v>
      </c>
      <c r="C68" t="s">
        <v>44</v>
      </c>
      <c r="D68" t="s">
        <v>45</v>
      </c>
      <c r="E68" t="s">
        <v>16</v>
      </c>
      <c r="F68" t="s">
        <v>25</v>
      </c>
      <c r="G68" t="s">
        <v>36</v>
      </c>
      <c r="H68">
        <v>13111</v>
      </c>
      <c r="I68" t="s">
        <v>27</v>
      </c>
      <c r="K68">
        <v>13000</v>
      </c>
      <c r="L68" s="1">
        <v>45313</v>
      </c>
    </row>
    <row r="69" spans="1:12" x14ac:dyDescent="0.3">
      <c r="A69" t="s">
        <v>158</v>
      </c>
      <c r="B69" t="s">
        <v>159</v>
      </c>
      <c r="C69" t="s">
        <v>44</v>
      </c>
      <c r="D69" t="s">
        <v>45</v>
      </c>
      <c r="E69" t="s">
        <v>16</v>
      </c>
      <c r="F69" t="s">
        <v>17</v>
      </c>
      <c r="G69" t="s">
        <v>18</v>
      </c>
      <c r="H69">
        <v>14303</v>
      </c>
      <c r="I69" t="s">
        <v>19</v>
      </c>
      <c r="J69">
        <v>0.2</v>
      </c>
      <c r="K69">
        <v>13000</v>
      </c>
      <c r="L69" s="1">
        <v>45301</v>
      </c>
    </row>
    <row r="70" spans="1:12" x14ac:dyDescent="0.3">
      <c r="A70" t="s">
        <v>160</v>
      </c>
      <c r="B70" t="s">
        <v>161</v>
      </c>
      <c r="C70" t="s">
        <v>44</v>
      </c>
      <c r="D70" t="s">
        <v>45</v>
      </c>
      <c r="E70" t="s">
        <v>46</v>
      </c>
      <c r="F70" t="s">
        <v>39</v>
      </c>
      <c r="G70" t="s">
        <v>18</v>
      </c>
      <c r="H70">
        <v>12865</v>
      </c>
      <c r="K70">
        <v>13000</v>
      </c>
      <c r="L70" s="1">
        <v>45348</v>
      </c>
    </row>
    <row r="71" spans="1:12" x14ac:dyDescent="0.3">
      <c r="A71" t="s">
        <v>162</v>
      </c>
      <c r="B71" t="s">
        <v>163</v>
      </c>
      <c r="C71" t="s">
        <v>44</v>
      </c>
      <c r="D71" t="s">
        <v>45</v>
      </c>
      <c r="E71" t="s">
        <v>16</v>
      </c>
      <c r="F71" t="s">
        <v>39</v>
      </c>
      <c r="G71" t="s">
        <v>36</v>
      </c>
      <c r="H71">
        <v>13024</v>
      </c>
      <c r="K71">
        <v>13000</v>
      </c>
      <c r="L71" s="1">
        <v>45307</v>
      </c>
    </row>
    <row r="72" spans="1:12" x14ac:dyDescent="0.3">
      <c r="A72" t="s">
        <v>164</v>
      </c>
      <c r="B72" t="s">
        <v>113</v>
      </c>
      <c r="C72" t="s">
        <v>14</v>
      </c>
      <c r="D72" t="s">
        <v>15</v>
      </c>
      <c r="E72" t="s">
        <v>32</v>
      </c>
      <c r="F72" t="s">
        <v>17</v>
      </c>
      <c r="G72" t="s">
        <v>18</v>
      </c>
      <c r="H72">
        <v>12720</v>
      </c>
      <c r="I72" t="s">
        <v>27</v>
      </c>
      <c r="K72">
        <v>14000</v>
      </c>
      <c r="L72" s="1">
        <v>45321</v>
      </c>
    </row>
    <row r="73" spans="1:12" x14ac:dyDescent="0.3">
      <c r="A73" t="s">
        <v>165</v>
      </c>
      <c r="B73" t="s">
        <v>166</v>
      </c>
      <c r="C73" t="s">
        <v>44</v>
      </c>
      <c r="D73" t="s">
        <v>45</v>
      </c>
      <c r="E73" t="s">
        <v>32</v>
      </c>
      <c r="F73" t="s">
        <v>17</v>
      </c>
      <c r="G73" t="s">
        <v>18</v>
      </c>
      <c r="H73">
        <v>14282</v>
      </c>
      <c r="K73">
        <v>13000</v>
      </c>
      <c r="L73" s="1">
        <v>45334</v>
      </c>
    </row>
    <row r="74" spans="1:12" x14ac:dyDescent="0.3">
      <c r="A74" t="s">
        <v>167</v>
      </c>
      <c r="B74" t="s">
        <v>168</v>
      </c>
      <c r="C74" t="s">
        <v>30</v>
      </c>
      <c r="D74" t="s">
        <v>31</v>
      </c>
      <c r="E74" t="s">
        <v>46</v>
      </c>
      <c r="F74" t="s">
        <v>39</v>
      </c>
      <c r="G74" t="s">
        <v>26</v>
      </c>
      <c r="H74">
        <v>18653</v>
      </c>
      <c r="I74" t="s">
        <v>27</v>
      </c>
      <c r="K74">
        <v>17000</v>
      </c>
      <c r="L74" s="1">
        <v>45319</v>
      </c>
    </row>
    <row r="75" spans="1:12" x14ac:dyDescent="0.3">
      <c r="A75" t="s">
        <v>169</v>
      </c>
      <c r="B75" t="s">
        <v>144</v>
      </c>
      <c r="C75" t="s">
        <v>61</v>
      </c>
      <c r="D75" t="s">
        <v>62</v>
      </c>
      <c r="E75" t="s">
        <v>32</v>
      </c>
      <c r="F75" t="s">
        <v>39</v>
      </c>
      <c r="G75" t="s">
        <v>36</v>
      </c>
      <c r="H75">
        <v>8843</v>
      </c>
      <c r="I75" t="s">
        <v>33</v>
      </c>
      <c r="J75">
        <v>0.3</v>
      </c>
      <c r="K75">
        <v>9000</v>
      </c>
      <c r="L75" s="1">
        <v>45340</v>
      </c>
    </row>
    <row r="76" spans="1:12" x14ac:dyDescent="0.3">
      <c r="A76" t="s">
        <v>170</v>
      </c>
      <c r="B76" t="s">
        <v>171</v>
      </c>
      <c r="C76" t="s">
        <v>30</v>
      </c>
      <c r="D76" t="s">
        <v>31</v>
      </c>
      <c r="E76" t="s">
        <v>16</v>
      </c>
      <c r="F76" t="s">
        <v>17</v>
      </c>
      <c r="G76" t="s">
        <v>26</v>
      </c>
      <c r="H76">
        <v>15979</v>
      </c>
      <c r="I76" t="s">
        <v>33</v>
      </c>
      <c r="J76">
        <v>0.3</v>
      </c>
      <c r="K76">
        <v>17000</v>
      </c>
      <c r="L76" s="1">
        <v>45320</v>
      </c>
    </row>
    <row r="77" spans="1:12" x14ac:dyDescent="0.3">
      <c r="A77" t="s">
        <v>172</v>
      </c>
      <c r="B77" t="s">
        <v>173</v>
      </c>
      <c r="C77" t="s">
        <v>30</v>
      </c>
      <c r="D77" t="s">
        <v>31</v>
      </c>
      <c r="E77" t="s">
        <v>32</v>
      </c>
      <c r="F77" t="s">
        <v>17</v>
      </c>
      <c r="G77" t="s">
        <v>36</v>
      </c>
      <c r="H77">
        <v>16309</v>
      </c>
      <c r="I77" t="s">
        <v>27</v>
      </c>
      <c r="K77">
        <v>17000</v>
      </c>
      <c r="L77" s="1">
        <v>45297</v>
      </c>
    </row>
    <row r="78" spans="1:12" x14ac:dyDescent="0.3">
      <c r="A78" t="s">
        <v>174</v>
      </c>
      <c r="B78" t="s">
        <v>175</v>
      </c>
      <c r="C78" t="s">
        <v>44</v>
      </c>
      <c r="D78" t="s">
        <v>45</v>
      </c>
      <c r="E78" t="s">
        <v>46</v>
      </c>
      <c r="F78" t="s">
        <v>39</v>
      </c>
      <c r="G78" t="s">
        <v>18</v>
      </c>
      <c r="H78">
        <v>13893</v>
      </c>
      <c r="I78" t="s">
        <v>19</v>
      </c>
      <c r="J78">
        <v>0.2</v>
      </c>
      <c r="K78">
        <v>13000</v>
      </c>
      <c r="L78" s="1">
        <v>45296</v>
      </c>
    </row>
    <row r="79" spans="1:12" x14ac:dyDescent="0.3">
      <c r="A79" t="s">
        <v>176</v>
      </c>
      <c r="B79" t="s">
        <v>177</v>
      </c>
      <c r="C79" t="s">
        <v>30</v>
      </c>
      <c r="D79" t="s">
        <v>31</v>
      </c>
      <c r="E79" t="s">
        <v>16</v>
      </c>
      <c r="F79" t="s">
        <v>17</v>
      </c>
      <c r="G79" t="s">
        <v>36</v>
      </c>
      <c r="H79">
        <v>15255</v>
      </c>
      <c r="I79" t="s">
        <v>19</v>
      </c>
      <c r="J79">
        <v>0.2</v>
      </c>
      <c r="K79">
        <v>17000</v>
      </c>
      <c r="L79" s="1">
        <v>45345</v>
      </c>
    </row>
    <row r="80" spans="1:12" x14ac:dyDescent="0.3">
      <c r="A80" t="s">
        <v>178</v>
      </c>
      <c r="B80" t="s">
        <v>177</v>
      </c>
      <c r="C80" t="s">
        <v>14</v>
      </c>
      <c r="D80" t="s">
        <v>15</v>
      </c>
      <c r="E80" t="s">
        <v>16</v>
      </c>
      <c r="F80" t="s">
        <v>17</v>
      </c>
      <c r="G80" t="s">
        <v>36</v>
      </c>
      <c r="H80">
        <v>12024</v>
      </c>
      <c r="I80" t="s">
        <v>33</v>
      </c>
      <c r="J80">
        <v>0.3</v>
      </c>
      <c r="K80">
        <v>14000</v>
      </c>
      <c r="L80" s="1">
        <v>45311</v>
      </c>
    </row>
    <row r="81" spans="1:12" x14ac:dyDescent="0.3">
      <c r="A81" t="s">
        <v>179</v>
      </c>
      <c r="B81" t="s">
        <v>180</v>
      </c>
      <c r="C81" t="s">
        <v>61</v>
      </c>
      <c r="D81" t="s">
        <v>62</v>
      </c>
      <c r="E81" t="s">
        <v>16</v>
      </c>
      <c r="F81" t="s">
        <v>39</v>
      </c>
      <c r="G81" t="s">
        <v>26</v>
      </c>
      <c r="H81">
        <v>9236</v>
      </c>
      <c r="I81" t="s">
        <v>27</v>
      </c>
      <c r="K81">
        <v>9000</v>
      </c>
      <c r="L81" s="1">
        <v>45349</v>
      </c>
    </row>
    <row r="82" spans="1:12" x14ac:dyDescent="0.3">
      <c r="A82" t="s">
        <v>181</v>
      </c>
      <c r="B82" t="s">
        <v>29</v>
      </c>
      <c r="C82" t="s">
        <v>44</v>
      </c>
      <c r="D82" t="s">
        <v>45</v>
      </c>
      <c r="E82" t="s">
        <v>46</v>
      </c>
      <c r="F82" t="s">
        <v>17</v>
      </c>
      <c r="G82" t="s">
        <v>36</v>
      </c>
      <c r="H82">
        <v>11118</v>
      </c>
      <c r="K82">
        <v>13000</v>
      </c>
      <c r="L82" s="1">
        <v>45313</v>
      </c>
    </row>
    <row r="83" spans="1:12" x14ac:dyDescent="0.3">
      <c r="A83" t="s">
        <v>182</v>
      </c>
      <c r="B83" t="s">
        <v>92</v>
      </c>
      <c r="C83" t="s">
        <v>61</v>
      </c>
      <c r="D83" t="s">
        <v>62</v>
      </c>
      <c r="E83" t="s">
        <v>16</v>
      </c>
      <c r="F83" t="s">
        <v>25</v>
      </c>
      <c r="G83" t="s">
        <v>36</v>
      </c>
      <c r="H83">
        <v>10766</v>
      </c>
      <c r="I83" t="s">
        <v>19</v>
      </c>
      <c r="J83">
        <v>0.2</v>
      </c>
      <c r="K83">
        <v>9000</v>
      </c>
      <c r="L83" s="1">
        <v>45331</v>
      </c>
    </row>
    <row r="84" spans="1:12" x14ac:dyDescent="0.3">
      <c r="A84" t="s">
        <v>183</v>
      </c>
      <c r="B84" t="s">
        <v>184</v>
      </c>
      <c r="C84" t="s">
        <v>61</v>
      </c>
      <c r="D84" t="s">
        <v>62</v>
      </c>
      <c r="E84" t="s">
        <v>16</v>
      </c>
      <c r="F84" t="s">
        <v>39</v>
      </c>
      <c r="G84" t="s">
        <v>26</v>
      </c>
      <c r="H84">
        <v>7111</v>
      </c>
      <c r="I84" t="s">
        <v>22</v>
      </c>
      <c r="J84">
        <v>0.1</v>
      </c>
      <c r="K84">
        <v>9000</v>
      </c>
      <c r="L84" s="1">
        <v>45333</v>
      </c>
    </row>
    <row r="85" spans="1:12" x14ac:dyDescent="0.3">
      <c r="A85" t="s">
        <v>185</v>
      </c>
      <c r="B85" t="s">
        <v>186</v>
      </c>
      <c r="C85" t="s">
        <v>61</v>
      </c>
      <c r="D85" t="s">
        <v>62</v>
      </c>
      <c r="E85" t="s">
        <v>32</v>
      </c>
      <c r="F85" t="s">
        <v>25</v>
      </c>
      <c r="G85" t="s">
        <v>36</v>
      </c>
      <c r="H85">
        <v>8552</v>
      </c>
      <c r="I85" t="s">
        <v>33</v>
      </c>
      <c r="J85">
        <v>0.3</v>
      </c>
      <c r="K85">
        <v>9000</v>
      </c>
      <c r="L85" s="1">
        <v>45305</v>
      </c>
    </row>
    <row r="86" spans="1:12" x14ac:dyDescent="0.3">
      <c r="A86" t="s">
        <v>187</v>
      </c>
      <c r="B86" t="s">
        <v>188</v>
      </c>
      <c r="C86" t="s">
        <v>30</v>
      </c>
      <c r="D86" t="s">
        <v>31</v>
      </c>
      <c r="E86" t="s">
        <v>46</v>
      </c>
      <c r="F86" t="s">
        <v>17</v>
      </c>
      <c r="G86" t="s">
        <v>36</v>
      </c>
      <c r="H86">
        <v>16033</v>
      </c>
      <c r="I86" t="s">
        <v>22</v>
      </c>
      <c r="J86">
        <v>0.1</v>
      </c>
      <c r="K86">
        <v>17000</v>
      </c>
      <c r="L86" s="1">
        <v>45322</v>
      </c>
    </row>
    <row r="87" spans="1:12" x14ac:dyDescent="0.3">
      <c r="A87" t="s">
        <v>189</v>
      </c>
      <c r="B87" t="s">
        <v>190</v>
      </c>
      <c r="C87" t="s">
        <v>14</v>
      </c>
      <c r="D87" t="s">
        <v>15</v>
      </c>
      <c r="E87" t="s">
        <v>46</v>
      </c>
      <c r="F87" t="s">
        <v>25</v>
      </c>
      <c r="G87" t="s">
        <v>26</v>
      </c>
      <c r="H87">
        <v>12281</v>
      </c>
      <c r="I87" t="s">
        <v>22</v>
      </c>
      <c r="J87">
        <v>0.1</v>
      </c>
      <c r="K87">
        <v>14000</v>
      </c>
      <c r="L87" s="1">
        <v>45340</v>
      </c>
    </row>
    <row r="88" spans="1:12" x14ac:dyDescent="0.3">
      <c r="A88" t="s">
        <v>191</v>
      </c>
      <c r="B88" t="s">
        <v>192</v>
      </c>
      <c r="C88" t="s">
        <v>44</v>
      </c>
      <c r="D88" t="s">
        <v>45</v>
      </c>
      <c r="E88" t="s">
        <v>32</v>
      </c>
      <c r="F88" t="s">
        <v>39</v>
      </c>
      <c r="G88" t="s">
        <v>18</v>
      </c>
      <c r="H88">
        <v>11977</v>
      </c>
      <c r="I88" t="s">
        <v>19</v>
      </c>
      <c r="J88">
        <v>0.2</v>
      </c>
      <c r="K88">
        <v>13000</v>
      </c>
      <c r="L88" s="1">
        <v>45322</v>
      </c>
    </row>
    <row r="89" spans="1:12" x14ac:dyDescent="0.3">
      <c r="A89" t="s">
        <v>193</v>
      </c>
      <c r="B89" t="s">
        <v>13</v>
      </c>
      <c r="C89" t="s">
        <v>44</v>
      </c>
      <c r="D89" t="s">
        <v>45</v>
      </c>
      <c r="E89" t="s">
        <v>46</v>
      </c>
      <c r="F89" t="s">
        <v>39</v>
      </c>
      <c r="G89" t="s">
        <v>36</v>
      </c>
      <c r="H89">
        <v>14141</v>
      </c>
      <c r="I89" t="s">
        <v>33</v>
      </c>
      <c r="J89">
        <v>0.3</v>
      </c>
      <c r="K89">
        <v>13000</v>
      </c>
      <c r="L89" s="1">
        <v>45302</v>
      </c>
    </row>
    <row r="90" spans="1:12" x14ac:dyDescent="0.3">
      <c r="A90" t="s">
        <v>194</v>
      </c>
      <c r="B90" t="s">
        <v>195</v>
      </c>
      <c r="C90" t="s">
        <v>14</v>
      </c>
      <c r="D90" t="s">
        <v>15</v>
      </c>
      <c r="E90" t="s">
        <v>32</v>
      </c>
      <c r="F90" t="s">
        <v>17</v>
      </c>
      <c r="G90" t="s">
        <v>18</v>
      </c>
      <c r="H90">
        <v>14370</v>
      </c>
      <c r="I90" t="s">
        <v>22</v>
      </c>
      <c r="J90">
        <v>0.1</v>
      </c>
      <c r="K90">
        <v>14000</v>
      </c>
      <c r="L90" s="1">
        <v>45351</v>
      </c>
    </row>
    <row r="91" spans="1:12" x14ac:dyDescent="0.3">
      <c r="A91" t="s">
        <v>196</v>
      </c>
      <c r="B91" t="s">
        <v>118</v>
      </c>
      <c r="C91" t="s">
        <v>61</v>
      </c>
      <c r="D91" t="s">
        <v>62</v>
      </c>
      <c r="E91" t="s">
        <v>46</v>
      </c>
      <c r="F91" t="s">
        <v>39</v>
      </c>
      <c r="G91" t="s">
        <v>18</v>
      </c>
      <c r="H91">
        <v>7311</v>
      </c>
      <c r="I91" t="s">
        <v>27</v>
      </c>
      <c r="K91">
        <v>9000</v>
      </c>
      <c r="L91" s="1">
        <v>45336</v>
      </c>
    </row>
    <row r="92" spans="1:12" x14ac:dyDescent="0.3">
      <c r="A92" t="s">
        <v>197</v>
      </c>
      <c r="B92" t="s">
        <v>198</v>
      </c>
      <c r="C92" t="s">
        <v>44</v>
      </c>
      <c r="D92" t="s">
        <v>45</v>
      </c>
      <c r="E92" t="s">
        <v>32</v>
      </c>
      <c r="F92" t="s">
        <v>39</v>
      </c>
      <c r="G92" t="s">
        <v>36</v>
      </c>
      <c r="H92">
        <v>14482</v>
      </c>
      <c r="I92" t="s">
        <v>27</v>
      </c>
      <c r="K92">
        <v>13000</v>
      </c>
      <c r="L92" s="1">
        <v>45343</v>
      </c>
    </row>
    <row r="93" spans="1:12" x14ac:dyDescent="0.3">
      <c r="A93" t="s">
        <v>199</v>
      </c>
      <c r="B93" t="s">
        <v>200</v>
      </c>
      <c r="C93" t="s">
        <v>14</v>
      </c>
      <c r="D93" t="s">
        <v>15</v>
      </c>
      <c r="E93" t="s">
        <v>46</v>
      </c>
      <c r="F93" t="s">
        <v>39</v>
      </c>
      <c r="G93" t="s">
        <v>36</v>
      </c>
      <c r="H93">
        <v>14709</v>
      </c>
      <c r="I93" t="s">
        <v>33</v>
      </c>
      <c r="J93">
        <v>0.3</v>
      </c>
      <c r="K93">
        <v>14000</v>
      </c>
      <c r="L93" s="1">
        <v>45296</v>
      </c>
    </row>
    <row r="94" spans="1:12" x14ac:dyDescent="0.3">
      <c r="A94" t="s">
        <v>201</v>
      </c>
      <c r="B94" t="s">
        <v>202</v>
      </c>
      <c r="C94" t="s">
        <v>30</v>
      </c>
      <c r="D94" t="s">
        <v>31</v>
      </c>
      <c r="E94" t="s">
        <v>32</v>
      </c>
      <c r="F94" t="s">
        <v>17</v>
      </c>
      <c r="G94" t="s">
        <v>36</v>
      </c>
      <c r="H94">
        <v>15432</v>
      </c>
      <c r="K94">
        <v>17000</v>
      </c>
      <c r="L94" s="1">
        <v>45315</v>
      </c>
    </row>
    <row r="95" spans="1:12" x14ac:dyDescent="0.3">
      <c r="A95" t="s">
        <v>203</v>
      </c>
      <c r="B95" t="s">
        <v>204</v>
      </c>
      <c r="C95" t="s">
        <v>61</v>
      </c>
      <c r="D95" t="s">
        <v>62</v>
      </c>
      <c r="E95" t="s">
        <v>16</v>
      </c>
      <c r="F95" t="s">
        <v>25</v>
      </c>
      <c r="G95" t="s">
        <v>36</v>
      </c>
      <c r="H95">
        <v>7721</v>
      </c>
      <c r="I95" t="s">
        <v>27</v>
      </c>
      <c r="K95">
        <v>9000</v>
      </c>
      <c r="L95" s="1">
        <v>45333</v>
      </c>
    </row>
    <row r="96" spans="1:12" x14ac:dyDescent="0.3">
      <c r="A96" t="s">
        <v>205</v>
      </c>
      <c r="B96" t="s">
        <v>118</v>
      </c>
      <c r="C96" t="s">
        <v>61</v>
      </c>
      <c r="D96" t="s">
        <v>62</v>
      </c>
      <c r="E96" t="s">
        <v>46</v>
      </c>
      <c r="F96" t="s">
        <v>17</v>
      </c>
      <c r="G96" t="s">
        <v>26</v>
      </c>
      <c r="H96">
        <v>9426</v>
      </c>
      <c r="I96" t="s">
        <v>33</v>
      </c>
      <c r="J96">
        <v>0.3</v>
      </c>
      <c r="K96">
        <v>9000</v>
      </c>
      <c r="L96" s="1">
        <v>45312</v>
      </c>
    </row>
    <row r="97" spans="1:12" x14ac:dyDescent="0.3">
      <c r="A97" t="s">
        <v>206</v>
      </c>
      <c r="B97" t="s">
        <v>207</v>
      </c>
      <c r="C97" t="s">
        <v>14</v>
      </c>
      <c r="D97" t="s">
        <v>15</v>
      </c>
      <c r="E97" t="s">
        <v>46</v>
      </c>
      <c r="F97" t="s">
        <v>17</v>
      </c>
      <c r="G97" t="s">
        <v>18</v>
      </c>
      <c r="H97">
        <v>15073</v>
      </c>
      <c r="K97">
        <v>14000</v>
      </c>
      <c r="L97" s="1">
        <v>45328</v>
      </c>
    </row>
    <row r="98" spans="1:12" x14ac:dyDescent="0.3">
      <c r="A98" t="s">
        <v>208</v>
      </c>
      <c r="B98" t="s">
        <v>209</v>
      </c>
      <c r="C98" t="s">
        <v>61</v>
      </c>
      <c r="D98" t="s">
        <v>62</v>
      </c>
      <c r="E98" t="s">
        <v>46</v>
      </c>
      <c r="F98" t="s">
        <v>25</v>
      </c>
      <c r="G98" t="s">
        <v>36</v>
      </c>
      <c r="H98">
        <v>10485</v>
      </c>
      <c r="I98" t="s">
        <v>33</v>
      </c>
      <c r="J98">
        <v>0.3</v>
      </c>
      <c r="K98">
        <v>9000</v>
      </c>
      <c r="L98" s="1">
        <v>45303</v>
      </c>
    </row>
    <row r="99" spans="1:12" x14ac:dyDescent="0.3">
      <c r="A99" t="s">
        <v>210</v>
      </c>
      <c r="B99" t="s">
        <v>211</v>
      </c>
      <c r="C99" t="s">
        <v>30</v>
      </c>
      <c r="D99" t="s">
        <v>31</v>
      </c>
      <c r="E99" t="s">
        <v>46</v>
      </c>
      <c r="F99" t="s">
        <v>17</v>
      </c>
      <c r="G99" t="s">
        <v>36</v>
      </c>
      <c r="H99">
        <v>18605</v>
      </c>
      <c r="I99" t="s">
        <v>27</v>
      </c>
      <c r="K99">
        <v>17000</v>
      </c>
      <c r="L99" s="1">
        <v>45336</v>
      </c>
    </row>
    <row r="100" spans="1:12" x14ac:dyDescent="0.3">
      <c r="A100" t="s">
        <v>212</v>
      </c>
      <c r="B100" t="s">
        <v>111</v>
      </c>
      <c r="C100" t="s">
        <v>14</v>
      </c>
      <c r="D100" t="s">
        <v>15</v>
      </c>
      <c r="E100" t="s">
        <v>16</v>
      </c>
      <c r="F100" t="s">
        <v>25</v>
      </c>
      <c r="G100" t="s">
        <v>18</v>
      </c>
      <c r="H100">
        <v>12988</v>
      </c>
      <c r="K100">
        <v>14000</v>
      </c>
      <c r="L100" s="1">
        <v>45323</v>
      </c>
    </row>
    <row r="101" spans="1:12" x14ac:dyDescent="0.3">
      <c r="A101" t="s">
        <v>213</v>
      </c>
      <c r="B101" t="s">
        <v>82</v>
      </c>
      <c r="C101" t="s">
        <v>44</v>
      </c>
      <c r="D101" t="s">
        <v>45</v>
      </c>
      <c r="E101" t="s">
        <v>16</v>
      </c>
      <c r="F101" t="s">
        <v>17</v>
      </c>
      <c r="G101" t="s">
        <v>26</v>
      </c>
      <c r="H101">
        <v>13915</v>
      </c>
      <c r="K101">
        <v>13000</v>
      </c>
      <c r="L101" s="1">
        <v>45320</v>
      </c>
    </row>
    <row r="102" spans="1:12" x14ac:dyDescent="0.3">
      <c r="A102" t="s">
        <v>214</v>
      </c>
      <c r="B102" t="s">
        <v>64</v>
      </c>
      <c r="C102" t="s">
        <v>14</v>
      </c>
      <c r="D102" t="s">
        <v>15</v>
      </c>
      <c r="E102" t="s">
        <v>46</v>
      </c>
      <c r="F102" t="s">
        <v>25</v>
      </c>
      <c r="G102" t="s">
        <v>36</v>
      </c>
      <c r="H102">
        <v>14833</v>
      </c>
      <c r="I102" t="s">
        <v>19</v>
      </c>
      <c r="J102">
        <v>0.2</v>
      </c>
      <c r="K102">
        <v>14000</v>
      </c>
      <c r="L102" s="1">
        <v>45311</v>
      </c>
    </row>
    <row r="103" spans="1:12" x14ac:dyDescent="0.3">
      <c r="A103" t="s">
        <v>215</v>
      </c>
      <c r="B103" t="s">
        <v>163</v>
      </c>
      <c r="C103" t="s">
        <v>30</v>
      </c>
      <c r="D103" t="s">
        <v>31</v>
      </c>
      <c r="E103" t="s">
        <v>46</v>
      </c>
      <c r="F103" t="s">
        <v>39</v>
      </c>
      <c r="G103" t="s">
        <v>26</v>
      </c>
      <c r="H103">
        <v>16408</v>
      </c>
      <c r="K103">
        <v>17000</v>
      </c>
      <c r="L103" s="1">
        <v>45339</v>
      </c>
    </row>
    <row r="104" spans="1:12" x14ac:dyDescent="0.3">
      <c r="A104" t="s">
        <v>216</v>
      </c>
      <c r="B104" t="s">
        <v>217</v>
      </c>
      <c r="C104" t="s">
        <v>30</v>
      </c>
      <c r="D104" t="s">
        <v>31</v>
      </c>
      <c r="E104" t="s">
        <v>16</v>
      </c>
      <c r="F104" t="s">
        <v>17</v>
      </c>
      <c r="G104" t="s">
        <v>36</v>
      </c>
      <c r="H104">
        <v>16255</v>
      </c>
      <c r="I104" t="s">
        <v>33</v>
      </c>
      <c r="J104">
        <v>0.3</v>
      </c>
      <c r="K104">
        <v>17000</v>
      </c>
      <c r="L104" s="1">
        <v>45306</v>
      </c>
    </row>
    <row r="105" spans="1:12" x14ac:dyDescent="0.3">
      <c r="A105" t="s">
        <v>218</v>
      </c>
      <c r="B105" t="s">
        <v>173</v>
      </c>
      <c r="C105" t="s">
        <v>44</v>
      </c>
      <c r="D105" t="s">
        <v>45</v>
      </c>
      <c r="E105" t="s">
        <v>46</v>
      </c>
      <c r="F105" t="s">
        <v>25</v>
      </c>
      <c r="G105" t="s">
        <v>26</v>
      </c>
      <c r="H105">
        <v>13194</v>
      </c>
      <c r="I105" t="s">
        <v>19</v>
      </c>
      <c r="J105">
        <v>0.2</v>
      </c>
      <c r="K105">
        <v>13000</v>
      </c>
      <c r="L105" s="1">
        <v>45304</v>
      </c>
    </row>
    <row r="106" spans="1:12" x14ac:dyDescent="0.3">
      <c r="A106" t="s">
        <v>219</v>
      </c>
      <c r="B106" t="s">
        <v>220</v>
      </c>
      <c r="C106" t="s">
        <v>61</v>
      </c>
      <c r="D106" t="s">
        <v>62</v>
      </c>
      <c r="E106" t="s">
        <v>46</v>
      </c>
      <c r="F106" t="s">
        <v>39</v>
      </c>
      <c r="G106" t="s">
        <v>26</v>
      </c>
      <c r="H106">
        <v>11000</v>
      </c>
      <c r="I106" t="s">
        <v>27</v>
      </c>
      <c r="K106">
        <v>9000</v>
      </c>
      <c r="L106" s="1">
        <v>45330</v>
      </c>
    </row>
    <row r="107" spans="1:12" x14ac:dyDescent="0.3">
      <c r="A107" t="s">
        <v>221</v>
      </c>
      <c r="B107" t="s">
        <v>222</v>
      </c>
      <c r="C107" t="s">
        <v>44</v>
      </c>
      <c r="D107" t="s">
        <v>45</v>
      </c>
      <c r="E107" t="s">
        <v>46</v>
      </c>
      <c r="F107" t="s">
        <v>25</v>
      </c>
      <c r="G107" t="s">
        <v>36</v>
      </c>
      <c r="H107">
        <v>11734</v>
      </c>
      <c r="I107" t="s">
        <v>33</v>
      </c>
      <c r="J107">
        <v>0.3</v>
      </c>
      <c r="K107">
        <v>13000</v>
      </c>
      <c r="L107" s="1">
        <v>45292</v>
      </c>
    </row>
    <row r="108" spans="1:12" x14ac:dyDescent="0.3">
      <c r="A108" t="s">
        <v>223</v>
      </c>
      <c r="B108" t="s">
        <v>103</v>
      </c>
      <c r="C108" t="s">
        <v>44</v>
      </c>
      <c r="D108" t="s">
        <v>45</v>
      </c>
      <c r="E108" t="s">
        <v>46</v>
      </c>
      <c r="F108" t="s">
        <v>25</v>
      </c>
      <c r="G108" t="s">
        <v>18</v>
      </c>
      <c r="H108">
        <v>13266</v>
      </c>
      <c r="I108" t="s">
        <v>33</v>
      </c>
      <c r="J108">
        <v>0.3</v>
      </c>
      <c r="K108">
        <v>13000</v>
      </c>
      <c r="L108" s="1">
        <v>45336</v>
      </c>
    </row>
    <row r="109" spans="1:12" x14ac:dyDescent="0.3">
      <c r="A109" t="s">
        <v>224</v>
      </c>
      <c r="B109" t="s">
        <v>113</v>
      </c>
      <c r="C109" t="s">
        <v>61</v>
      </c>
      <c r="D109" t="s">
        <v>62</v>
      </c>
      <c r="E109" t="s">
        <v>32</v>
      </c>
      <c r="F109" t="s">
        <v>25</v>
      </c>
      <c r="G109" t="s">
        <v>26</v>
      </c>
      <c r="H109">
        <v>8164</v>
      </c>
      <c r="K109">
        <v>9000</v>
      </c>
      <c r="L109" s="1">
        <v>45322</v>
      </c>
    </row>
    <row r="110" spans="1:12" x14ac:dyDescent="0.3">
      <c r="A110" t="s">
        <v>225</v>
      </c>
      <c r="B110" t="s">
        <v>188</v>
      </c>
      <c r="C110" t="s">
        <v>44</v>
      </c>
      <c r="D110" t="s">
        <v>45</v>
      </c>
      <c r="E110" t="s">
        <v>32</v>
      </c>
      <c r="F110" t="s">
        <v>17</v>
      </c>
      <c r="G110" t="s">
        <v>36</v>
      </c>
      <c r="H110">
        <v>11467</v>
      </c>
      <c r="I110" t="s">
        <v>22</v>
      </c>
      <c r="J110">
        <v>0.1</v>
      </c>
      <c r="K110">
        <v>13000</v>
      </c>
      <c r="L110" s="1">
        <v>45317</v>
      </c>
    </row>
    <row r="111" spans="1:12" x14ac:dyDescent="0.3">
      <c r="A111" t="s">
        <v>226</v>
      </c>
      <c r="B111" t="s">
        <v>227</v>
      </c>
      <c r="C111" t="s">
        <v>14</v>
      </c>
      <c r="D111" t="s">
        <v>15</v>
      </c>
      <c r="E111" t="s">
        <v>32</v>
      </c>
      <c r="F111" t="s">
        <v>25</v>
      </c>
      <c r="G111" t="s">
        <v>26</v>
      </c>
      <c r="H111">
        <v>15887</v>
      </c>
      <c r="I111" t="s">
        <v>33</v>
      </c>
      <c r="J111">
        <v>0.3</v>
      </c>
      <c r="K111">
        <v>14000</v>
      </c>
      <c r="L111" s="1">
        <v>45297</v>
      </c>
    </row>
    <row r="112" spans="1:12" x14ac:dyDescent="0.3">
      <c r="A112" t="s">
        <v>228</v>
      </c>
      <c r="B112" t="s">
        <v>229</v>
      </c>
      <c r="C112" t="s">
        <v>61</v>
      </c>
      <c r="D112" t="s">
        <v>62</v>
      </c>
      <c r="E112" t="s">
        <v>16</v>
      </c>
      <c r="F112" t="s">
        <v>39</v>
      </c>
      <c r="G112" t="s">
        <v>26</v>
      </c>
      <c r="H112">
        <v>7924</v>
      </c>
      <c r="I112" t="s">
        <v>27</v>
      </c>
      <c r="K112">
        <v>9000</v>
      </c>
      <c r="L112" s="1">
        <v>45316</v>
      </c>
    </row>
    <row r="113" spans="1:12" x14ac:dyDescent="0.3">
      <c r="A113" t="s">
        <v>230</v>
      </c>
      <c r="B113" t="s">
        <v>231</v>
      </c>
      <c r="C113" t="s">
        <v>30</v>
      </c>
      <c r="D113" t="s">
        <v>31</v>
      </c>
      <c r="E113" t="s">
        <v>16</v>
      </c>
      <c r="F113" t="s">
        <v>17</v>
      </c>
      <c r="G113" t="s">
        <v>36</v>
      </c>
      <c r="H113">
        <v>17329</v>
      </c>
      <c r="I113" t="s">
        <v>27</v>
      </c>
      <c r="K113">
        <v>17000</v>
      </c>
      <c r="L113" s="1">
        <v>45295</v>
      </c>
    </row>
    <row r="114" spans="1:12" x14ac:dyDescent="0.3">
      <c r="A114" t="s">
        <v>232</v>
      </c>
      <c r="B114" t="s">
        <v>233</v>
      </c>
      <c r="C114" t="s">
        <v>14</v>
      </c>
      <c r="D114" t="s">
        <v>15</v>
      </c>
      <c r="E114" t="s">
        <v>32</v>
      </c>
      <c r="F114" t="s">
        <v>39</v>
      </c>
      <c r="G114" t="s">
        <v>18</v>
      </c>
      <c r="H114">
        <v>13083</v>
      </c>
      <c r="I114" t="s">
        <v>22</v>
      </c>
      <c r="J114">
        <v>0.1</v>
      </c>
      <c r="K114">
        <v>14000</v>
      </c>
      <c r="L114" s="1">
        <v>45302</v>
      </c>
    </row>
    <row r="115" spans="1:12" x14ac:dyDescent="0.3">
      <c r="A115" t="s">
        <v>234</v>
      </c>
      <c r="B115" t="s">
        <v>235</v>
      </c>
      <c r="C115" t="s">
        <v>14</v>
      </c>
      <c r="D115" t="s">
        <v>15</v>
      </c>
      <c r="E115" t="s">
        <v>32</v>
      </c>
      <c r="F115" t="s">
        <v>25</v>
      </c>
      <c r="G115" t="s">
        <v>36</v>
      </c>
      <c r="H115">
        <v>13845</v>
      </c>
      <c r="I115" t="s">
        <v>27</v>
      </c>
      <c r="K115">
        <v>14000</v>
      </c>
      <c r="L115" s="1">
        <v>45322</v>
      </c>
    </row>
    <row r="116" spans="1:12" x14ac:dyDescent="0.3">
      <c r="A116" t="s">
        <v>236</v>
      </c>
      <c r="B116" t="s">
        <v>237</v>
      </c>
      <c r="C116" t="s">
        <v>44</v>
      </c>
      <c r="D116" t="s">
        <v>45</v>
      </c>
      <c r="E116" t="s">
        <v>46</v>
      </c>
      <c r="F116" t="s">
        <v>39</v>
      </c>
      <c r="G116" t="s">
        <v>36</v>
      </c>
      <c r="H116">
        <v>13879</v>
      </c>
      <c r="K116">
        <v>13000</v>
      </c>
      <c r="L116" s="1">
        <v>45296</v>
      </c>
    </row>
    <row r="117" spans="1:12" x14ac:dyDescent="0.3">
      <c r="A117" t="s">
        <v>238</v>
      </c>
      <c r="B117" t="s">
        <v>239</v>
      </c>
      <c r="C117" t="s">
        <v>30</v>
      </c>
      <c r="D117" t="s">
        <v>31</v>
      </c>
      <c r="E117" t="s">
        <v>16</v>
      </c>
      <c r="F117" t="s">
        <v>39</v>
      </c>
      <c r="G117" t="s">
        <v>26</v>
      </c>
      <c r="H117">
        <v>18292</v>
      </c>
      <c r="I117" t="s">
        <v>19</v>
      </c>
      <c r="J117">
        <v>0.2</v>
      </c>
      <c r="K117">
        <v>17000</v>
      </c>
      <c r="L117" s="1">
        <v>45319</v>
      </c>
    </row>
    <row r="118" spans="1:12" x14ac:dyDescent="0.3">
      <c r="A118" t="s">
        <v>240</v>
      </c>
      <c r="B118" t="s">
        <v>241</v>
      </c>
      <c r="C118" t="s">
        <v>44</v>
      </c>
      <c r="D118" t="s">
        <v>45</v>
      </c>
      <c r="E118" t="s">
        <v>16</v>
      </c>
      <c r="F118" t="s">
        <v>25</v>
      </c>
      <c r="G118" t="s">
        <v>36</v>
      </c>
      <c r="H118">
        <v>14385</v>
      </c>
      <c r="I118" t="s">
        <v>19</v>
      </c>
      <c r="J118">
        <v>0.2</v>
      </c>
      <c r="K118">
        <v>13000</v>
      </c>
      <c r="L118" s="1">
        <v>45296</v>
      </c>
    </row>
    <row r="119" spans="1:12" x14ac:dyDescent="0.3">
      <c r="A119" t="s">
        <v>242</v>
      </c>
      <c r="B119" t="s">
        <v>243</v>
      </c>
      <c r="C119" t="s">
        <v>30</v>
      </c>
      <c r="D119" t="s">
        <v>31</v>
      </c>
      <c r="E119" t="s">
        <v>16</v>
      </c>
      <c r="F119" t="s">
        <v>39</v>
      </c>
      <c r="G119" t="s">
        <v>26</v>
      </c>
      <c r="H119">
        <v>18773</v>
      </c>
      <c r="I119" t="s">
        <v>33</v>
      </c>
      <c r="J119">
        <v>0.3</v>
      </c>
      <c r="K119">
        <v>17000</v>
      </c>
      <c r="L119" s="1">
        <v>45320</v>
      </c>
    </row>
    <row r="120" spans="1:12" x14ac:dyDescent="0.3">
      <c r="A120" t="s">
        <v>244</v>
      </c>
      <c r="B120" t="s">
        <v>245</v>
      </c>
      <c r="C120" t="s">
        <v>30</v>
      </c>
      <c r="D120" t="s">
        <v>31</v>
      </c>
      <c r="E120" t="s">
        <v>16</v>
      </c>
      <c r="F120" t="s">
        <v>17</v>
      </c>
      <c r="G120" t="s">
        <v>36</v>
      </c>
      <c r="H120">
        <v>17049</v>
      </c>
      <c r="I120" t="s">
        <v>27</v>
      </c>
      <c r="K120">
        <v>17000</v>
      </c>
      <c r="L120" s="1">
        <v>45323</v>
      </c>
    </row>
    <row r="121" spans="1:12" x14ac:dyDescent="0.3">
      <c r="A121" t="s">
        <v>246</v>
      </c>
      <c r="B121" t="s">
        <v>227</v>
      </c>
      <c r="C121" t="s">
        <v>14</v>
      </c>
      <c r="D121" t="s">
        <v>15</v>
      </c>
      <c r="E121" t="s">
        <v>46</v>
      </c>
      <c r="F121" t="s">
        <v>39</v>
      </c>
      <c r="G121" t="s">
        <v>36</v>
      </c>
      <c r="H121">
        <v>14472</v>
      </c>
      <c r="I121" t="s">
        <v>33</v>
      </c>
      <c r="J121">
        <v>0.3</v>
      </c>
      <c r="K121">
        <v>14000</v>
      </c>
      <c r="L121" s="1">
        <v>45293</v>
      </c>
    </row>
    <row r="122" spans="1:12" x14ac:dyDescent="0.3">
      <c r="A122" t="s">
        <v>247</v>
      </c>
      <c r="B122" t="s">
        <v>248</v>
      </c>
      <c r="C122" t="s">
        <v>14</v>
      </c>
      <c r="D122" t="s">
        <v>15</v>
      </c>
      <c r="E122" t="s">
        <v>16</v>
      </c>
      <c r="F122" t="s">
        <v>17</v>
      </c>
      <c r="G122" t="s">
        <v>26</v>
      </c>
      <c r="H122">
        <v>12164</v>
      </c>
      <c r="I122" t="s">
        <v>19</v>
      </c>
      <c r="J122">
        <v>0.2</v>
      </c>
      <c r="K122">
        <v>14000</v>
      </c>
      <c r="L122" s="1">
        <v>45322</v>
      </c>
    </row>
    <row r="123" spans="1:12" x14ac:dyDescent="0.3">
      <c r="A123" t="s">
        <v>249</v>
      </c>
      <c r="B123" t="s">
        <v>202</v>
      </c>
      <c r="C123" t="s">
        <v>61</v>
      </c>
      <c r="D123" t="s">
        <v>62</v>
      </c>
      <c r="E123" t="s">
        <v>46</v>
      </c>
      <c r="F123" t="s">
        <v>25</v>
      </c>
      <c r="G123" t="s">
        <v>26</v>
      </c>
      <c r="H123">
        <v>8785</v>
      </c>
      <c r="K123">
        <v>9000</v>
      </c>
      <c r="L123" s="1">
        <v>45297</v>
      </c>
    </row>
    <row r="124" spans="1:12" x14ac:dyDescent="0.3">
      <c r="A124" t="s">
        <v>250</v>
      </c>
      <c r="B124" t="s">
        <v>188</v>
      </c>
      <c r="C124" t="s">
        <v>61</v>
      </c>
      <c r="D124" t="s">
        <v>62</v>
      </c>
      <c r="E124" t="s">
        <v>46</v>
      </c>
      <c r="F124" t="s">
        <v>17</v>
      </c>
      <c r="G124" t="s">
        <v>26</v>
      </c>
      <c r="H124">
        <v>7428</v>
      </c>
      <c r="I124" t="s">
        <v>19</v>
      </c>
      <c r="J124">
        <v>0.2</v>
      </c>
      <c r="K124">
        <v>9000</v>
      </c>
      <c r="L124" s="1">
        <v>45313</v>
      </c>
    </row>
    <row r="125" spans="1:12" x14ac:dyDescent="0.3">
      <c r="A125" t="s">
        <v>251</v>
      </c>
      <c r="B125" t="s">
        <v>101</v>
      </c>
      <c r="C125" t="s">
        <v>61</v>
      </c>
      <c r="D125" t="s">
        <v>62</v>
      </c>
      <c r="E125" t="s">
        <v>46</v>
      </c>
      <c r="F125" t="s">
        <v>39</v>
      </c>
      <c r="G125" t="s">
        <v>36</v>
      </c>
      <c r="H125">
        <v>10332</v>
      </c>
      <c r="I125" t="s">
        <v>27</v>
      </c>
      <c r="K125">
        <v>9000</v>
      </c>
      <c r="L125" s="1">
        <v>45294</v>
      </c>
    </row>
    <row r="126" spans="1:12" x14ac:dyDescent="0.3">
      <c r="A126" t="s">
        <v>252</v>
      </c>
      <c r="B126" t="s">
        <v>227</v>
      </c>
      <c r="C126" t="s">
        <v>30</v>
      </c>
      <c r="D126" t="s">
        <v>31</v>
      </c>
      <c r="E126" t="s">
        <v>46</v>
      </c>
      <c r="F126" t="s">
        <v>17</v>
      </c>
      <c r="G126" t="s">
        <v>18</v>
      </c>
      <c r="H126">
        <v>18973</v>
      </c>
      <c r="K126">
        <v>17000</v>
      </c>
      <c r="L126" s="1">
        <v>45347</v>
      </c>
    </row>
    <row r="127" spans="1:12" x14ac:dyDescent="0.3">
      <c r="A127" t="s">
        <v>253</v>
      </c>
      <c r="B127" t="s">
        <v>105</v>
      </c>
      <c r="C127" t="s">
        <v>14</v>
      </c>
      <c r="D127" t="s">
        <v>15</v>
      </c>
      <c r="E127" t="s">
        <v>16</v>
      </c>
      <c r="F127" t="s">
        <v>39</v>
      </c>
      <c r="G127" t="s">
        <v>36</v>
      </c>
      <c r="H127">
        <v>13692</v>
      </c>
      <c r="I127" t="s">
        <v>22</v>
      </c>
      <c r="J127">
        <v>0.1</v>
      </c>
      <c r="K127">
        <v>14000</v>
      </c>
      <c r="L127" s="1">
        <v>45304</v>
      </c>
    </row>
    <row r="128" spans="1:12" x14ac:dyDescent="0.3">
      <c r="A128" t="s">
        <v>254</v>
      </c>
      <c r="B128" t="s">
        <v>217</v>
      </c>
      <c r="C128" t="s">
        <v>61</v>
      </c>
      <c r="D128" t="s">
        <v>62</v>
      </c>
      <c r="E128" t="s">
        <v>16</v>
      </c>
      <c r="F128" t="s">
        <v>17</v>
      </c>
      <c r="G128" t="s">
        <v>18</v>
      </c>
      <c r="H128">
        <v>7833</v>
      </c>
      <c r="I128" t="s">
        <v>33</v>
      </c>
      <c r="J128">
        <v>0.3</v>
      </c>
      <c r="K128">
        <v>9000</v>
      </c>
      <c r="L128" s="1">
        <v>45327</v>
      </c>
    </row>
    <row r="129" spans="1:12" x14ac:dyDescent="0.3">
      <c r="A129" t="s">
        <v>255</v>
      </c>
      <c r="B129" t="s">
        <v>256</v>
      </c>
      <c r="C129" t="s">
        <v>61</v>
      </c>
      <c r="D129" t="s">
        <v>62</v>
      </c>
      <c r="E129" t="s">
        <v>16</v>
      </c>
      <c r="F129" t="s">
        <v>17</v>
      </c>
      <c r="G129" t="s">
        <v>18</v>
      </c>
      <c r="H129">
        <v>7118</v>
      </c>
      <c r="I129" t="s">
        <v>27</v>
      </c>
      <c r="K129">
        <v>9000</v>
      </c>
      <c r="L129" s="1">
        <v>45343</v>
      </c>
    </row>
    <row r="130" spans="1:12" x14ac:dyDescent="0.3">
      <c r="A130" t="s">
        <v>257</v>
      </c>
      <c r="B130" t="s">
        <v>220</v>
      </c>
      <c r="C130" t="s">
        <v>44</v>
      </c>
      <c r="D130" t="s">
        <v>45</v>
      </c>
      <c r="E130" t="s">
        <v>46</v>
      </c>
      <c r="F130" t="s">
        <v>39</v>
      </c>
      <c r="G130" t="s">
        <v>18</v>
      </c>
      <c r="H130">
        <v>13262</v>
      </c>
      <c r="K130">
        <v>13000</v>
      </c>
      <c r="L130" s="1">
        <v>45297</v>
      </c>
    </row>
    <row r="131" spans="1:12" x14ac:dyDescent="0.3">
      <c r="A131" t="s">
        <v>258</v>
      </c>
      <c r="B131" t="s">
        <v>171</v>
      </c>
      <c r="C131" t="s">
        <v>14</v>
      </c>
      <c r="D131" t="s">
        <v>15</v>
      </c>
      <c r="E131" t="s">
        <v>46</v>
      </c>
      <c r="F131" t="s">
        <v>25</v>
      </c>
      <c r="G131" t="s">
        <v>26</v>
      </c>
      <c r="H131">
        <v>15408</v>
      </c>
      <c r="I131" t="s">
        <v>19</v>
      </c>
      <c r="J131">
        <v>0.2</v>
      </c>
      <c r="K131">
        <v>14000</v>
      </c>
      <c r="L131" s="1">
        <v>45323</v>
      </c>
    </row>
    <row r="132" spans="1:12" x14ac:dyDescent="0.3">
      <c r="A132" t="s">
        <v>259</v>
      </c>
      <c r="B132" t="s">
        <v>260</v>
      </c>
      <c r="C132" t="s">
        <v>30</v>
      </c>
      <c r="D132" t="s">
        <v>31</v>
      </c>
      <c r="E132" t="s">
        <v>16</v>
      </c>
      <c r="F132" t="s">
        <v>39</v>
      </c>
      <c r="G132" t="s">
        <v>36</v>
      </c>
      <c r="H132">
        <v>16701</v>
      </c>
      <c r="K132">
        <v>17000</v>
      </c>
      <c r="L132" s="1">
        <v>45322</v>
      </c>
    </row>
    <row r="133" spans="1:12" x14ac:dyDescent="0.3">
      <c r="A133" t="s">
        <v>261</v>
      </c>
      <c r="B133" t="s">
        <v>29</v>
      </c>
      <c r="C133" t="s">
        <v>44</v>
      </c>
      <c r="D133" t="s">
        <v>45</v>
      </c>
      <c r="E133" t="s">
        <v>46</v>
      </c>
      <c r="F133" t="s">
        <v>25</v>
      </c>
      <c r="G133" t="s">
        <v>26</v>
      </c>
      <c r="H133">
        <v>13081</v>
      </c>
      <c r="I133" t="s">
        <v>19</v>
      </c>
      <c r="J133">
        <v>0.2</v>
      </c>
      <c r="K133">
        <v>13000</v>
      </c>
      <c r="L133" s="1">
        <v>45347</v>
      </c>
    </row>
    <row r="134" spans="1:12" x14ac:dyDescent="0.3">
      <c r="A134" t="s">
        <v>262</v>
      </c>
      <c r="B134" t="s">
        <v>263</v>
      </c>
      <c r="C134" t="s">
        <v>61</v>
      </c>
      <c r="D134" t="s">
        <v>62</v>
      </c>
      <c r="E134" t="s">
        <v>46</v>
      </c>
      <c r="F134" t="s">
        <v>39</v>
      </c>
      <c r="G134" t="s">
        <v>36</v>
      </c>
      <c r="H134">
        <v>10360</v>
      </c>
      <c r="I134" t="s">
        <v>22</v>
      </c>
      <c r="J134">
        <v>0.1</v>
      </c>
      <c r="K134">
        <v>9000</v>
      </c>
      <c r="L134" s="1">
        <v>45310</v>
      </c>
    </row>
    <row r="135" spans="1:12" x14ac:dyDescent="0.3">
      <c r="A135" t="s">
        <v>264</v>
      </c>
      <c r="B135" t="s">
        <v>265</v>
      </c>
      <c r="C135" t="s">
        <v>61</v>
      </c>
      <c r="D135" t="s">
        <v>62</v>
      </c>
      <c r="E135" t="s">
        <v>32</v>
      </c>
      <c r="F135" t="s">
        <v>17</v>
      </c>
      <c r="G135" t="s">
        <v>26</v>
      </c>
      <c r="H135">
        <v>8983</v>
      </c>
      <c r="I135" t="s">
        <v>33</v>
      </c>
      <c r="J135">
        <v>0.3</v>
      </c>
      <c r="K135">
        <v>9000</v>
      </c>
      <c r="L135" s="1">
        <v>45313</v>
      </c>
    </row>
    <row r="136" spans="1:12" x14ac:dyDescent="0.3">
      <c r="A136" t="s">
        <v>266</v>
      </c>
      <c r="B136" t="s">
        <v>82</v>
      </c>
      <c r="C136" t="s">
        <v>61</v>
      </c>
      <c r="D136" t="s">
        <v>62</v>
      </c>
      <c r="E136" t="s">
        <v>46</v>
      </c>
      <c r="F136" t="s">
        <v>17</v>
      </c>
      <c r="G136" t="s">
        <v>18</v>
      </c>
      <c r="H136">
        <v>9856</v>
      </c>
      <c r="I136" t="s">
        <v>19</v>
      </c>
      <c r="J136">
        <v>0.2</v>
      </c>
      <c r="K136">
        <v>9000</v>
      </c>
      <c r="L136" s="1">
        <v>45328</v>
      </c>
    </row>
    <row r="137" spans="1:12" x14ac:dyDescent="0.3">
      <c r="A137" t="s">
        <v>267</v>
      </c>
      <c r="B137" t="s">
        <v>268</v>
      </c>
      <c r="C137" t="s">
        <v>61</v>
      </c>
      <c r="D137" t="s">
        <v>62</v>
      </c>
      <c r="E137" t="s">
        <v>32</v>
      </c>
      <c r="F137" t="s">
        <v>17</v>
      </c>
      <c r="G137" t="s">
        <v>26</v>
      </c>
      <c r="H137">
        <v>8937</v>
      </c>
      <c r="K137">
        <v>9000</v>
      </c>
      <c r="L137" s="1">
        <v>45316</v>
      </c>
    </row>
    <row r="138" spans="1:12" x14ac:dyDescent="0.3">
      <c r="A138" t="s">
        <v>269</v>
      </c>
      <c r="B138" t="s">
        <v>270</v>
      </c>
      <c r="C138" t="s">
        <v>44</v>
      </c>
      <c r="D138" t="s">
        <v>45</v>
      </c>
      <c r="E138" t="s">
        <v>46</v>
      </c>
      <c r="F138" t="s">
        <v>25</v>
      </c>
      <c r="G138" t="s">
        <v>18</v>
      </c>
      <c r="H138">
        <v>13057</v>
      </c>
      <c r="I138" t="s">
        <v>27</v>
      </c>
      <c r="K138">
        <v>13000</v>
      </c>
      <c r="L138" s="1">
        <v>45313</v>
      </c>
    </row>
    <row r="139" spans="1:12" x14ac:dyDescent="0.3">
      <c r="A139" t="s">
        <v>271</v>
      </c>
      <c r="B139" t="s">
        <v>96</v>
      </c>
      <c r="C139" t="s">
        <v>61</v>
      </c>
      <c r="D139" t="s">
        <v>62</v>
      </c>
      <c r="E139" t="s">
        <v>32</v>
      </c>
      <c r="F139" t="s">
        <v>39</v>
      </c>
      <c r="G139" t="s">
        <v>36</v>
      </c>
      <c r="H139">
        <v>7062</v>
      </c>
      <c r="I139" t="s">
        <v>19</v>
      </c>
      <c r="J139">
        <v>0.2</v>
      </c>
      <c r="K139">
        <v>9000</v>
      </c>
      <c r="L139" s="1">
        <v>45318</v>
      </c>
    </row>
    <row r="140" spans="1:12" x14ac:dyDescent="0.3">
      <c r="A140" t="s">
        <v>272</v>
      </c>
      <c r="B140" t="s">
        <v>198</v>
      </c>
      <c r="C140" t="s">
        <v>44</v>
      </c>
      <c r="D140" t="s">
        <v>45</v>
      </c>
      <c r="E140" t="s">
        <v>32</v>
      </c>
      <c r="F140" t="s">
        <v>17</v>
      </c>
      <c r="G140" t="s">
        <v>36</v>
      </c>
      <c r="H140">
        <v>12386</v>
      </c>
      <c r="I140" t="s">
        <v>27</v>
      </c>
      <c r="K140">
        <v>13000</v>
      </c>
      <c r="L140" s="1">
        <v>45336</v>
      </c>
    </row>
    <row r="141" spans="1:12" x14ac:dyDescent="0.3">
      <c r="A141" t="s">
        <v>273</v>
      </c>
      <c r="B141" t="s">
        <v>274</v>
      </c>
      <c r="C141" t="s">
        <v>14</v>
      </c>
      <c r="D141" t="s">
        <v>15</v>
      </c>
      <c r="E141" t="s">
        <v>46</v>
      </c>
      <c r="F141" t="s">
        <v>39</v>
      </c>
      <c r="G141" t="s">
        <v>26</v>
      </c>
      <c r="H141">
        <v>13556</v>
      </c>
      <c r="I141" t="s">
        <v>33</v>
      </c>
      <c r="J141">
        <v>0.3</v>
      </c>
      <c r="K141">
        <v>14000</v>
      </c>
      <c r="L141" s="1">
        <v>45332</v>
      </c>
    </row>
    <row r="142" spans="1:12" x14ac:dyDescent="0.3">
      <c r="A142" t="s">
        <v>275</v>
      </c>
      <c r="B142" t="s">
        <v>276</v>
      </c>
      <c r="C142" t="s">
        <v>61</v>
      </c>
      <c r="D142" t="s">
        <v>62</v>
      </c>
      <c r="E142" t="s">
        <v>16</v>
      </c>
      <c r="F142" t="s">
        <v>25</v>
      </c>
      <c r="G142" t="s">
        <v>26</v>
      </c>
      <c r="H142">
        <v>7280</v>
      </c>
      <c r="I142" t="s">
        <v>19</v>
      </c>
      <c r="J142">
        <v>0.2</v>
      </c>
      <c r="K142">
        <v>9000</v>
      </c>
      <c r="L142" s="1">
        <v>45332</v>
      </c>
    </row>
    <row r="143" spans="1:12" x14ac:dyDescent="0.3">
      <c r="A143" t="s">
        <v>277</v>
      </c>
      <c r="B143" t="s">
        <v>278</v>
      </c>
      <c r="C143" t="s">
        <v>44</v>
      </c>
      <c r="D143" t="s">
        <v>45</v>
      </c>
      <c r="E143" t="s">
        <v>16</v>
      </c>
      <c r="F143" t="s">
        <v>25</v>
      </c>
      <c r="G143" t="s">
        <v>36</v>
      </c>
      <c r="H143">
        <v>11403</v>
      </c>
      <c r="I143" t="s">
        <v>22</v>
      </c>
      <c r="J143">
        <v>0.1</v>
      </c>
      <c r="K143">
        <v>13000</v>
      </c>
      <c r="L143" s="1">
        <v>45320</v>
      </c>
    </row>
    <row r="144" spans="1:12" x14ac:dyDescent="0.3">
      <c r="A144" t="s">
        <v>279</v>
      </c>
      <c r="B144" t="s">
        <v>280</v>
      </c>
      <c r="C144" t="s">
        <v>30</v>
      </c>
      <c r="D144" t="s">
        <v>31</v>
      </c>
      <c r="E144" t="s">
        <v>32</v>
      </c>
      <c r="F144" t="s">
        <v>25</v>
      </c>
      <c r="G144" t="s">
        <v>36</v>
      </c>
      <c r="H144">
        <v>18261</v>
      </c>
      <c r="I144" t="s">
        <v>22</v>
      </c>
      <c r="J144">
        <v>0.1</v>
      </c>
      <c r="K144">
        <v>17000</v>
      </c>
      <c r="L144" s="1">
        <v>45310</v>
      </c>
    </row>
    <row r="145" spans="1:12" x14ac:dyDescent="0.3">
      <c r="A145" t="s">
        <v>281</v>
      </c>
      <c r="B145" t="s">
        <v>282</v>
      </c>
      <c r="C145" t="s">
        <v>61</v>
      </c>
      <c r="D145" t="s">
        <v>62</v>
      </c>
      <c r="E145" t="s">
        <v>32</v>
      </c>
      <c r="F145" t="s">
        <v>25</v>
      </c>
      <c r="G145" t="s">
        <v>26</v>
      </c>
      <c r="H145">
        <v>8687</v>
      </c>
      <c r="I145" t="s">
        <v>27</v>
      </c>
      <c r="K145">
        <v>9000</v>
      </c>
      <c r="L145" s="1">
        <v>45335</v>
      </c>
    </row>
    <row r="146" spans="1:12" x14ac:dyDescent="0.3">
      <c r="A146" t="s">
        <v>283</v>
      </c>
      <c r="B146" t="s">
        <v>72</v>
      </c>
      <c r="C146" t="s">
        <v>44</v>
      </c>
      <c r="D146" t="s">
        <v>45</v>
      </c>
      <c r="E146" t="s">
        <v>32</v>
      </c>
      <c r="F146" t="s">
        <v>25</v>
      </c>
      <c r="G146" t="s">
        <v>26</v>
      </c>
      <c r="H146">
        <v>14566</v>
      </c>
      <c r="K146">
        <v>13000</v>
      </c>
      <c r="L146" s="1">
        <v>45331</v>
      </c>
    </row>
    <row r="147" spans="1:12" x14ac:dyDescent="0.3">
      <c r="A147" t="s">
        <v>284</v>
      </c>
      <c r="B147" t="s">
        <v>239</v>
      </c>
      <c r="C147" t="s">
        <v>61</v>
      </c>
      <c r="D147" t="s">
        <v>62</v>
      </c>
      <c r="E147" t="s">
        <v>16</v>
      </c>
      <c r="F147" t="s">
        <v>25</v>
      </c>
      <c r="G147" t="s">
        <v>18</v>
      </c>
      <c r="H147">
        <v>8888</v>
      </c>
      <c r="I147" t="s">
        <v>33</v>
      </c>
      <c r="J147">
        <v>0.3</v>
      </c>
      <c r="K147">
        <v>9000</v>
      </c>
      <c r="L147" s="1">
        <v>45321</v>
      </c>
    </row>
    <row r="148" spans="1:12" x14ac:dyDescent="0.3">
      <c r="A148" t="s">
        <v>285</v>
      </c>
      <c r="B148" t="s">
        <v>286</v>
      </c>
      <c r="C148" t="s">
        <v>14</v>
      </c>
      <c r="D148" t="s">
        <v>15</v>
      </c>
      <c r="E148" t="s">
        <v>46</v>
      </c>
      <c r="F148" t="s">
        <v>17</v>
      </c>
      <c r="G148" t="s">
        <v>26</v>
      </c>
      <c r="H148">
        <v>14238</v>
      </c>
      <c r="I148" t="s">
        <v>19</v>
      </c>
      <c r="J148">
        <v>0.2</v>
      </c>
      <c r="K148">
        <v>14000</v>
      </c>
      <c r="L148" s="1">
        <v>45296</v>
      </c>
    </row>
    <row r="149" spans="1:12" x14ac:dyDescent="0.3">
      <c r="A149" t="s">
        <v>287</v>
      </c>
      <c r="B149" t="s">
        <v>188</v>
      </c>
      <c r="C149" t="s">
        <v>30</v>
      </c>
      <c r="D149" t="s">
        <v>31</v>
      </c>
      <c r="E149" t="s">
        <v>16</v>
      </c>
      <c r="F149" t="s">
        <v>17</v>
      </c>
      <c r="G149" t="s">
        <v>26</v>
      </c>
      <c r="H149">
        <v>16024</v>
      </c>
      <c r="K149">
        <v>17000</v>
      </c>
      <c r="L149" s="1">
        <v>45346</v>
      </c>
    </row>
    <row r="150" spans="1:12" x14ac:dyDescent="0.3">
      <c r="A150" t="s">
        <v>288</v>
      </c>
      <c r="B150" t="s">
        <v>289</v>
      </c>
      <c r="C150" t="s">
        <v>61</v>
      </c>
      <c r="D150" t="s">
        <v>62</v>
      </c>
      <c r="E150" t="s">
        <v>46</v>
      </c>
      <c r="F150" t="s">
        <v>25</v>
      </c>
      <c r="G150" t="s">
        <v>18</v>
      </c>
      <c r="H150">
        <v>8562</v>
      </c>
      <c r="I150" t="s">
        <v>27</v>
      </c>
      <c r="K150">
        <v>9000</v>
      </c>
      <c r="L150" s="1">
        <v>45314</v>
      </c>
    </row>
    <row r="151" spans="1:12" x14ac:dyDescent="0.3">
      <c r="A151" t="s">
        <v>290</v>
      </c>
      <c r="B151" t="s">
        <v>291</v>
      </c>
      <c r="C151" t="s">
        <v>30</v>
      </c>
      <c r="D151" t="s">
        <v>31</v>
      </c>
      <c r="E151" t="s">
        <v>32</v>
      </c>
      <c r="F151" t="s">
        <v>39</v>
      </c>
      <c r="G151" t="s">
        <v>36</v>
      </c>
      <c r="H151">
        <v>16124</v>
      </c>
      <c r="I151" t="s">
        <v>22</v>
      </c>
      <c r="J151">
        <v>0.1</v>
      </c>
      <c r="K151">
        <v>17000</v>
      </c>
      <c r="L151" s="1">
        <v>45328</v>
      </c>
    </row>
    <row r="152" spans="1:12" x14ac:dyDescent="0.3">
      <c r="A152" t="s">
        <v>292</v>
      </c>
      <c r="B152" t="s">
        <v>198</v>
      </c>
      <c r="C152" t="s">
        <v>14</v>
      </c>
      <c r="D152" t="s">
        <v>15</v>
      </c>
      <c r="E152" t="s">
        <v>16</v>
      </c>
      <c r="F152" t="s">
        <v>39</v>
      </c>
      <c r="G152" t="s">
        <v>36</v>
      </c>
      <c r="H152">
        <v>15411</v>
      </c>
      <c r="I152" t="s">
        <v>33</v>
      </c>
      <c r="J152">
        <v>0.3</v>
      </c>
      <c r="K152">
        <v>14000</v>
      </c>
      <c r="L152" s="1">
        <v>45341</v>
      </c>
    </row>
    <row r="153" spans="1:12" x14ac:dyDescent="0.3">
      <c r="A153" t="s">
        <v>293</v>
      </c>
      <c r="B153" t="s">
        <v>294</v>
      </c>
      <c r="C153" t="s">
        <v>30</v>
      </c>
      <c r="D153" t="s">
        <v>31</v>
      </c>
      <c r="E153" t="s">
        <v>32</v>
      </c>
      <c r="F153" t="s">
        <v>39</v>
      </c>
      <c r="G153" t="s">
        <v>18</v>
      </c>
      <c r="H153">
        <v>17543</v>
      </c>
      <c r="I153" t="s">
        <v>33</v>
      </c>
      <c r="J153">
        <v>0.3</v>
      </c>
      <c r="K153">
        <v>17000</v>
      </c>
      <c r="L153" s="1">
        <v>45335</v>
      </c>
    </row>
    <row r="154" spans="1:12" x14ac:dyDescent="0.3">
      <c r="A154" t="s">
        <v>295</v>
      </c>
      <c r="B154" t="s">
        <v>296</v>
      </c>
      <c r="C154" t="s">
        <v>44</v>
      </c>
      <c r="D154" t="s">
        <v>45</v>
      </c>
      <c r="E154" t="s">
        <v>16</v>
      </c>
      <c r="F154" t="s">
        <v>25</v>
      </c>
      <c r="G154" t="s">
        <v>26</v>
      </c>
      <c r="H154">
        <v>13647</v>
      </c>
      <c r="I154" t="s">
        <v>22</v>
      </c>
      <c r="J154">
        <v>0.1</v>
      </c>
      <c r="K154">
        <v>13000</v>
      </c>
      <c r="L154" s="1">
        <v>45311</v>
      </c>
    </row>
    <row r="155" spans="1:12" x14ac:dyDescent="0.3">
      <c r="A155" t="s">
        <v>297</v>
      </c>
      <c r="B155" t="s">
        <v>298</v>
      </c>
      <c r="C155" t="s">
        <v>14</v>
      </c>
      <c r="D155" t="s">
        <v>15</v>
      </c>
      <c r="E155" t="s">
        <v>16</v>
      </c>
      <c r="F155" t="s">
        <v>17</v>
      </c>
      <c r="G155" t="s">
        <v>26</v>
      </c>
      <c r="H155">
        <v>12538</v>
      </c>
      <c r="I155" t="s">
        <v>22</v>
      </c>
      <c r="J155">
        <v>0.1</v>
      </c>
      <c r="K155">
        <v>14000</v>
      </c>
      <c r="L155" s="1">
        <v>45350</v>
      </c>
    </row>
    <row r="156" spans="1:12" x14ac:dyDescent="0.3">
      <c r="A156" t="s">
        <v>299</v>
      </c>
      <c r="B156" t="s">
        <v>131</v>
      </c>
      <c r="C156" t="s">
        <v>61</v>
      </c>
      <c r="D156" t="s">
        <v>62</v>
      </c>
      <c r="E156" t="s">
        <v>32</v>
      </c>
      <c r="F156" t="s">
        <v>25</v>
      </c>
      <c r="G156" t="s">
        <v>18</v>
      </c>
      <c r="H156">
        <v>10221</v>
      </c>
      <c r="I156" t="s">
        <v>27</v>
      </c>
      <c r="K156">
        <v>9000</v>
      </c>
      <c r="L156" s="1">
        <v>45348</v>
      </c>
    </row>
    <row r="157" spans="1:12" x14ac:dyDescent="0.3">
      <c r="A157" t="s">
        <v>300</v>
      </c>
      <c r="B157" t="s">
        <v>301</v>
      </c>
      <c r="C157" t="s">
        <v>30</v>
      </c>
      <c r="D157" t="s">
        <v>31</v>
      </c>
      <c r="E157" t="s">
        <v>32</v>
      </c>
      <c r="F157" t="s">
        <v>17</v>
      </c>
      <c r="G157" t="s">
        <v>36</v>
      </c>
      <c r="H157">
        <v>18962</v>
      </c>
      <c r="I157" t="s">
        <v>33</v>
      </c>
      <c r="J157">
        <v>0.3</v>
      </c>
      <c r="K157">
        <v>17000</v>
      </c>
      <c r="L157" s="1">
        <v>45339</v>
      </c>
    </row>
    <row r="158" spans="1:12" x14ac:dyDescent="0.3">
      <c r="A158" t="s">
        <v>302</v>
      </c>
      <c r="B158" t="s">
        <v>303</v>
      </c>
      <c r="C158" t="s">
        <v>14</v>
      </c>
      <c r="D158" t="s">
        <v>15</v>
      </c>
      <c r="E158" t="s">
        <v>46</v>
      </c>
      <c r="F158" t="s">
        <v>25</v>
      </c>
      <c r="G158" t="s">
        <v>18</v>
      </c>
      <c r="H158">
        <v>15089</v>
      </c>
      <c r="I158" t="s">
        <v>19</v>
      </c>
      <c r="J158">
        <v>0.2</v>
      </c>
      <c r="K158">
        <v>14000</v>
      </c>
      <c r="L158" s="1">
        <v>45347</v>
      </c>
    </row>
    <row r="159" spans="1:12" x14ac:dyDescent="0.3">
      <c r="A159" t="s">
        <v>304</v>
      </c>
      <c r="B159" t="s">
        <v>305</v>
      </c>
      <c r="C159" t="s">
        <v>61</v>
      </c>
      <c r="D159" t="s">
        <v>62</v>
      </c>
      <c r="E159" t="s">
        <v>16</v>
      </c>
      <c r="F159" t="s">
        <v>17</v>
      </c>
      <c r="G159" t="s">
        <v>18</v>
      </c>
      <c r="H159">
        <v>10238</v>
      </c>
      <c r="K159">
        <v>9000</v>
      </c>
      <c r="L159" s="1">
        <v>45292</v>
      </c>
    </row>
    <row r="160" spans="1:12" x14ac:dyDescent="0.3">
      <c r="A160" t="s">
        <v>306</v>
      </c>
      <c r="B160" t="s">
        <v>307</v>
      </c>
      <c r="C160" t="s">
        <v>14</v>
      </c>
      <c r="D160" t="s">
        <v>15</v>
      </c>
      <c r="E160" t="s">
        <v>46</v>
      </c>
      <c r="F160" t="s">
        <v>17</v>
      </c>
      <c r="G160" t="s">
        <v>26</v>
      </c>
      <c r="H160">
        <v>15067</v>
      </c>
      <c r="I160" t="s">
        <v>33</v>
      </c>
      <c r="J160">
        <v>0.3</v>
      </c>
      <c r="K160">
        <v>14000</v>
      </c>
      <c r="L160" s="1">
        <v>45329</v>
      </c>
    </row>
    <row r="161" spans="1:12" x14ac:dyDescent="0.3">
      <c r="A161" t="s">
        <v>308</v>
      </c>
      <c r="B161" t="s">
        <v>309</v>
      </c>
      <c r="C161" t="s">
        <v>30</v>
      </c>
      <c r="D161" t="s">
        <v>31</v>
      </c>
      <c r="E161" t="s">
        <v>32</v>
      </c>
      <c r="F161" t="s">
        <v>39</v>
      </c>
      <c r="G161" t="s">
        <v>18</v>
      </c>
      <c r="H161">
        <v>16931</v>
      </c>
      <c r="I161" t="s">
        <v>22</v>
      </c>
      <c r="J161">
        <v>0.1</v>
      </c>
      <c r="K161">
        <v>17000</v>
      </c>
      <c r="L161" s="1">
        <v>45331</v>
      </c>
    </row>
    <row r="162" spans="1:12" x14ac:dyDescent="0.3">
      <c r="A162" t="s">
        <v>310</v>
      </c>
      <c r="B162" t="s">
        <v>84</v>
      </c>
      <c r="C162" t="s">
        <v>30</v>
      </c>
      <c r="D162" t="s">
        <v>31</v>
      </c>
      <c r="E162" t="s">
        <v>16</v>
      </c>
      <c r="F162" t="s">
        <v>25</v>
      </c>
      <c r="G162" t="s">
        <v>26</v>
      </c>
      <c r="H162">
        <v>15258</v>
      </c>
      <c r="K162">
        <v>17000</v>
      </c>
      <c r="L162" s="1">
        <v>45350</v>
      </c>
    </row>
    <row r="163" spans="1:12" x14ac:dyDescent="0.3">
      <c r="A163" t="s">
        <v>311</v>
      </c>
      <c r="B163" t="s">
        <v>265</v>
      </c>
      <c r="C163" t="s">
        <v>61</v>
      </c>
      <c r="D163" t="s">
        <v>62</v>
      </c>
      <c r="E163" t="s">
        <v>32</v>
      </c>
      <c r="F163" t="s">
        <v>25</v>
      </c>
      <c r="G163" t="s">
        <v>18</v>
      </c>
      <c r="H163">
        <v>10875</v>
      </c>
      <c r="I163" t="s">
        <v>22</v>
      </c>
      <c r="J163">
        <v>0.1</v>
      </c>
      <c r="K163">
        <v>9000</v>
      </c>
      <c r="L163" s="1">
        <v>45311</v>
      </c>
    </row>
    <row r="164" spans="1:12" x14ac:dyDescent="0.3">
      <c r="A164" t="s">
        <v>312</v>
      </c>
      <c r="B164" t="s">
        <v>227</v>
      </c>
      <c r="C164" t="s">
        <v>14</v>
      </c>
      <c r="D164" t="s">
        <v>15</v>
      </c>
      <c r="E164" t="s">
        <v>32</v>
      </c>
      <c r="F164" t="s">
        <v>39</v>
      </c>
      <c r="G164" t="s">
        <v>18</v>
      </c>
      <c r="H164">
        <v>13591</v>
      </c>
      <c r="K164">
        <v>14000</v>
      </c>
      <c r="L164" s="1">
        <v>45315</v>
      </c>
    </row>
    <row r="165" spans="1:12" x14ac:dyDescent="0.3">
      <c r="A165" t="s">
        <v>313</v>
      </c>
      <c r="B165" t="s">
        <v>305</v>
      </c>
      <c r="C165" t="s">
        <v>61</v>
      </c>
      <c r="D165" t="s">
        <v>62</v>
      </c>
      <c r="E165" t="s">
        <v>16</v>
      </c>
      <c r="F165" t="s">
        <v>39</v>
      </c>
      <c r="G165" t="s">
        <v>26</v>
      </c>
      <c r="H165">
        <v>7632</v>
      </c>
      <c r="K165">
        <v>9000</v>
      </c>
      <c r="L165" s="1">
        <v>45333</v>
      </c>
    </row>
    <row r="166" spans="1:12" x14ac:dyDescent="0.3">
      <c r="A166" t="s">
        <v>314</v>
      </c>
      <c r="B166" t="s">
        <v>159</v>
      </c>
      <c r="C166" t="s">
        <v>61</v>
      </c>
      <c r="D166" t="s">
        <v>62</v>
      </c>
      <c r="E166" t="s">
        <v>16</v>
      </c>
      <c r="F166" t="s">
        <v>17</v>
      </c>
      <c r="G166" t="s">
        <v>36</v>
      </c>
      <c r="H166">
        <v>7134</v>
      </c>
      <c r="I166" t="s">
        <v>33</v>
      </c>
      <c r="J166">
        <v>0.3</v>
      </c>
      <c r="K166">
        <v>9000</v>
      </c>
      <c r="L166" s="1">
        <v>45305</v>
      </c>
    </row>
    <row r="167" spans="1:12" x14ac:dyDescent="0.3">
      <c r="A167" t="s">
        <v>315</v>
      </c>
      <c r="B167" t="s">
        <v>231</v>
      </c>
      <c r="C167" t="s">
        <v>44</v>
      </c>
      <c r="D167" t="s">
        <v>45</v>
      </c>
      <c r="E167" t="s">
        <v>46</v>
      </c>
      <c r="F167" t="s">
        <v>25</v>
      </c>
      <c r="G167" t="s">
        <v>26</v>
      </c>
      <c r="H167">
        <v>12504</v>
      </c>
      <c r="I167" t="s">
        <v>27</v>
      </c>
      <c r="K167">
        <v>13000</v>
      </c>
      <c r="L167" s="1">
        <v>45349</v>
      </c>
    </row>
    <row r="168" spans="1:12" x14ac:dyDescent="0.3">
      <c r="A168" t="s">
        <v>316</v>
      </c>
      <c r="B168" t="s">
        <v>317</v>
      </c>
      <c r="C168" t="s">
        <v>14</v>
      </c>
      <c r="D168" t="s">
        <v>15</v>
      </c>
      <c r="E168" t="s">
        <v>46</v>
      </c>
      <c r="F168" t="s">
        <v>17</v>
      </c>
      <c r="G168" t="s">
        <v>18</v>
      </c>
      <c r="H168">
        <v>15965</v>
      </c>
      <c r="I168" t="s">
        <v>22</v>
      </c>
      <c r="J168">
        <v>0.1</v>
      </c>
      <c r="K168">
        <v>14000</v>
      </c>
      <c r="L168" s="1">
        <v>45352</v>
      </c>
    </row>
    <row r="169" spans="1:12" x14ac:dyDescent="0.3">
      <c r="A169" t="s">
        <v>318</v>
      </c>
      <c r="B169" t="s">
        <v>319</v>
      </c>
      <c r="C169" t="s">
        <v>61</v>
      </c>
      <c r="D169" t="s">
        <v>62</v>
      </c>
      <c r="E169" t="s">
        <v>32</v>
      </c>
      <c r="F169" t="s">
        <v>39</v>
      </c>
      <c r="G169" t="s">
        <v>18</v>
      </c>
      <c r="H169">
        <v>9628</v>
      </c>
      <c r="I169" t="s">
        <v>27</v>
      </c>
      <c r="K169">
        <v>9000</v>
      </c>
      <c r="L169" s="1">
        <v>45293</v>
      </c>
    </row>
    <row r="170" spans="1:12" x14ac:dyDescent="0.3">
      <c r="A170" t="s">
        <v>320</v>
      </c>
      <c r="B170" t="s">
        <v>321</v>
      </c>
      <c r="C170" t="s">
        <v>30</v>
      </c>
      <c r="D170" t="s">
        <v>31</v>
      </c>
      <c r="E170" t="s">
        <v>32</v>
      </c>
      <c r="F170" t="s">
        <v>25</v>
      </c>
      <c r="G170" t="s">
        <v>26</v>
      </c>
      <c r="H170">
        <v>15840</v>
      </c>
      <c r="I170" t="s">
        <v>22</v>
      </c>
      <c r="J170">
        <v>0.1</v>
      </c>
      <c r="K170">
        <v>17000</v>
      </c>
      <c r="L170" s="1">
        <v>45345</v>
      </c>
    </row>
    <row r="171" spans="1:12" x14ac:dyDescent="0.3">
      <c r="A171" t="s">
        <v>322</v>
      </c>
      <c r="B171" t="s">
        <v>133</v>
      </c>
      <c r="C171" t="s">
        <v>44</v>
      </c>
      <c r="D171" t="s">
        <v>45</v>
      </c>
      <c r="E171" t="s">
        <v>16</v>
      </c>
      <c r="F171" t="s">
        <v>25</v>
      </c>
      <c r="G171" t="s">
        <v>18</v>
      </c>
      <c r="H171">
        <v>12345</v>
      </c>
      <c r="I171" t="s">
        <v>19</v>
      </c>
      <c r="J171">
        <v>0.2</v>
      </c>
      <c r="K171">
        <v>13000</v>
      </c>
      <c r="L171" s="1">
        <v>45342</v>
      </c>
    </row>
    <row r="172" spans="1:12" x14ac:dyDescent="0.3">
      <c r="A172" t="s">
        <v>323</v>
      </c>
      <c r="B172" t="s">
        <v>60</v>
      </c>
      <c r="C172" t="s">
        <v>14</v>
      </c>
      <c r="D172" t="s">
        <v>15</v>
      </c>
      <c r="E172" t="s">
        <v>46</v>
      </c>
      <c r="F172" t="s">
        <v>25</v>
      </c>
      <c r="G172" t="s">
        <v>18</v>
      </c>
      <c r="H172">
        <v>14212</v>
      </c>
      <c r="I172" t="s">
        <v>33</v>
      </c>
      <c r="J172">
        <v>0.3</v>
      </c>
      <c r="K172">
        <v>14000</v>
      </c>
      <c r="L172" s="1">
        <v>45343</v>
      </c>
    </row>
    <row r="173" spans="1:12" x14ac:dyDescent="0.3">
      <c r="A173" t="s">
        <v>324</v>
      </c>
      <c r="B173" t="s">
        <v>325</v>
      </c>
      <c r="C173" t="s">
        <v>14</v>
      </c>
      <c r="D173" t="s">
        <v>15</v>
      </c>
      <c r="E173" t="s">
        <v>32</v>
      </c>
      <c r="F173" t="s">
        <v>25</v>
      </c>
      <c r="G173" t="s">
        <v>36</v>
      </c>
      <c r="H173">
        <v>15235</v>
      </c>
      <c r="I173" t="s">
        <v>19</v>
      </c>
      <c r="J173">
        <v>0.2</v>
      </c>
      <c r="K173">
        <v>14000</v>
      </c>
      <c r="L173" s="1">
        <v>45329</v>
      </c>
    </row>
    <row r="174" spans="1:12" x14ac:dyDescent="0.3">
      <c r="A174" t="s">
        <v>326</v>
      </c>
      <c r="B174" t="s">
        <v>327</v>
      </c>
      <c r="C174" t="s">
        <v>44</v>
      </c>
      <c r="D174" t="s">
        <v>45</v>
      </c>
      <c r="E174" t="s">
        <v>46</v>
      </c>
      <c r="F174" t="s">
        <v>25</v>
      </c>
      <c r="G174" t="s">
        <v>18</v>
      </c>
      <c r="H174">
        <v>14038</v>
      </c>
      <c r="K174">
        <v>13000</v>
      </c>
      <c r="L174" s="1">
        <v>45325</v>
      </c>
    </row>
    <row r="175" spans="1:12" x14ac:dyDescent="0.3">
      <c r="A175" t="s">
        <v>328</v>
      </c>
      <c r="B175" t="s">
        <v>173</v>
      </c>
      <c r="C175" t="s">
        <v>14</v>
      </c>
      <c r="D175" t="s">
        <v>15</v>
      </c>
      <c r="E175" t="s">
        <v>46</v>
      </c>
      <c r="F175" t="s">
        <v>17</v>
      </c>
      <c r="G175" t="s">
        <v>36</v>
      </c>
      <c r="H175">
        <v>14102</v>
      </c>
      <c r="I175" t="s">
        <v>27</v>
      </c>
      <c r="K175">
        <v>14000</v>
      </c>
      <c r="L175" s="1">
        <v>45298</v>
      </c>
    </row>
    <row r="176" spans="1:12" x14ac:dyDescent="0.3">
      <c r="A176" t="s">
        <v>329</v>
      </c>
      <c r="B176" t="s">
        <v>330</v>
      </c>
      <c r="C176" t="s">
        <v>44</v>
      </c>
      <c r="D176" t="s">
        <v>45</v>
      </c>
      <c r="E176" t="s">
        <v>16</v>
      </c>
      <c r="F176" t="s">
        <v>25</v>
      </c>
      <c r="G176" t="s">
        <v>26</v>
      </c>
      <c r="H176">
        <v>14208</v>
      </c>
      <c r="I176" t="s">
        <v>27</v>
      </c>
      <c r="K176">
        <v>13000</v>
      </c>
      <c r="L176" s="1">
        <v>45311</v>
      </c>
    </row>
    <row r="177" spans="1:12" x14ac:dyDescent="0.3">
      <c r="A177" t="s">
        <v>331</v>
      </c>
      <c r="B177" t="s">
        <v>332</v>
      </c>
      <c r="C177" t="s">
        <v>14</v>
      </c>
      <c r="D177" t="s">
        <v>15</v>
      </c>
      <c r="E177" t="s">
        <v>32</v>
      </c>
      <c r="F177" t="s">
        <v>17</v>
      </c>
      <c r="G177" t="s">
        <v>36</v>
      </c>
      <c r="H177">
        <v>13746</v>
      </c>
      <c r="I177" t="s">
        <v>22</v>
      </c>
      <c r="J177">
        <v>0.1</v>
      </c>
      <c r="K177">
        <v>14000</v>
      </c>
      <c r="L177" s="1">
        <v>45323</v>
      </c>
    </row>
    <row r="178" spans="1:12" x14ac:dyDescent="0.3">
      <c r="A178" t="s">
        <v>333</v>
      </c>
      <c r="B178" t="s">
        <v>334</v>
      </c>
      <c r="C178" t="s">
        <v>14</v>
      </c>
      <c r="D178" t="s">
        <v>15</v>
      </c>
      <c r="E178" t="s">
        <v>32</v>
      </c>
      <c r="F178" t="s">
        <v>17</v>
      </c>
      <c r="G178" t="s">
        <v>26</v>
      </c>
      <c r="H178">
        <v>12607</v>
      </c>
      <c r="I178" t="s">
        <v>22</v>
      </c>
      <c r="J178">
        <v>0.1</v>
      </c>
      <c r="K178">
        <v>14000</v>
      </c>
      <c r="L178" s="1">
        <v>45300</v>
      </c>
    </row>
    <row r="179" spans="1:12" x14ac:dyDescent="0.3">
      <c r="A179" t="s">
        <v>335</v>
      </c>
      <c r="B179" t="s">
        <v>118</v>
      </c>
      <c r="C179" t="s">
        <v>30</v>
      </c>
      <c r="D179" t="s">
        <v>31</v>
      </c>
      <c r="E179" t="s">
        <v>46</v>
      </c>
      <c r="F179" t="s">
        <v>39</v>
      </c>
      <c r="G179" t="s">
        <v>26</v>
      </c>
      <c r="H179">
        <v>16207</v>
      </c>
      <c r="K179">
        <v>17000</v>
      </c>
      <c r="L179" s="1">
        <v>45324</v>
      </c>
    </row>
    <row r="180" spans="1:12" x14ac:dyDescent="0.3">
      <c r="A180" t="s">
        <v>336</v>
      </c>
      <c r="B180" t="s">
        <v>337</v>
      </c>
      <c r="C180" t="s">
        <v>14</v>
      </c>
      <c r="D180" t="s">
        <v>15</v>
      </c>
      <c r="E180" t="s">
        <v>16</v>
      </c>
      <c r="F180" t="s">
        <v>25</v>
      </c>
      <c r="G180" t="s">
        <v>26</v>
      </c>
      <c r="H180">
        <v>14666</v>
      </c>
      <c r="I180" t="s">
        <v>27</v>
      </c>
      <c r="K180">
        <v>14000</v>
      </c>
      <c r="L180" s="1">
        <v>45338</v>
      </c>
    </row>
    <row r="181" spans="1:12" x14ac:dyDescent="0.3">
      <c r="A181" t="s">
        <v>338</v>
      </c>
      <c r="B181" t="s">
        <v>207</v>
      </c>
      <c r="C181" t="s">
        <v>61</v>
      </c>
      <c r="D181" t="s">
        <v>62</v>
      </c>
      <c r="E181" t="s">
        <v>46</v>
      </c>
      <c r="F181" t="s">
        <v>25</v>
      </c>
      <c r="G181" t="s">
        <v>36</v>
      </c>
      <c r="H181">
        <v>8388</v>
      </c>
      <c r="K181">
        <v>9000</v>
      </c>
      <c r="L181" s="1">
        <v>45317</v>
      </c>
    </row>
    <row r="182" spans="1:12" x14ac:dyDescent="0.3">
      <c r="A182" t="s">
        <v>339</v>
      </c>
      <c r="B182" t="s">
        <v>101</v>
      </c>
      <c r="C182" t="s">
        <v>14</v>
      </c>
      <c r="D182" t="s">
        <v>15</v>
      </c>
      <c r="E182" t="s">
        <v>46</v>
      </c>
      <c r="F182" t="s">
        <v>17</v>
      </c>
      <c r="G182" t="s">
        <v>36</v>
      </c>
      <c r="H182">
        <v>14724</v>
      </c>
      <c r="I182" t="s">
        <v>33</v>
      </c>
      <c r="J182">
        <v>0.3</v>
      </c>
      <c r="K182">
        <v>14000</v>
      </c>
      <c r="L182" s="1">
        <v>45315</v>
      </c>
    </row>
    <row r="183" spans="1:12" x14ac:dyDescent="0.3">
      <c r="A183" t="s">
        <v>340</v>
      </c>
      <c r="B183" t="s">
        <v>113</v>
      </c>
      <c r="C183" t="s">
        <v>61</v>
      </c>
      <c r="D183" t="s">
        <v>62</v>
      </c>
      <c r="E183" t="s">
        <v>32</v>
      </c>
      <c r="F183" t="s">
        <v>25</v>
      </c>
      <c r="G183" t="s">
        <v>18</v>
      </c>
      <c r="H183">
        <v>7381</v>
      </c>
      <c r="K183">
        <v>9000</v>
      </c>
      <c r="L183" s="1">
        <v>45298</v>
      </c>
    </row>
    <row r="184" spans="1:12" x14ac:dyDescent="0.3">
      <c r="A184" t="s">
        <v>341</v>
      </c>
      <c r="B184" t="s">
        <v>342</v>
      </c>
      <c r="C184" t="s">
        <v>30</v>
      </c>
      <c r="D184" t="s">
        <v>31</v>
      </c>
      <c r="E184" t="s">
        <v>32</v>
      </c>
      <c r="F184" t="s">
        <v>39</v>
      </c>
      <c r="G184" t="s">
        <v>18</v>
      </c>
      <c r="H184">
        <v>17402</v>
      </c>
      <c r="I184" t="s">
        <v>27</v>
      </c>
      <c r="K184">
        <v>17000</v>
      </c>
      <c r="L184" s="1">
        <v>45327</v>
      </c>
    </row>
    <row r="185" spans="1:12" x14ac:dyDescent="0.3">
      <c r="A185" t="s">
        <v>343</v>
      </c>
      <c r="B185" t="s">
        <v>150</v>
      </c>
      <c r="C185" t="s">
        <v>14</v>
      </c>
      <c r="D185" t="s">
        <v>15</v>
      </c>
      <c r="E185" t="s">
        <v>46</v>
      </c>
      <c r="F185" t="s">
        <v>17</v>
      </c>
      <c r="G185" t="s">
        <v>26</v>
      </c>
      <c r="H185">
        <v>15854</v>
      </c>
      <c r="K185">
        <v>14000</v>
      </c>
      <c r="L185" s="1">
        <v>45347</v>
      </c>
    </row>
    <row r="186" spans="1:12" x14ac:dyDescent="0.3">
      <c r="A186" t="s">
        <v>344</v>
      </c>
      <c r="B186" t="s">
        <v>260</v>
      </c>
      <c r="C186" t="s">
        <v>14</v>
      </c>
      <c r="D186" t="s">
        <v>15</v>
      </c>
      <c r="E186" t="s">
        <v>46</v>
      </c>
      <c r="F186" t="s">
        <v>39</v>
      </c>
      <c r="G186" t="s">
        <v>36</v>
      </c>
      <c r="H186">
        <v>13440</v>
      </c>
      <c r="I186" t="s">
        <v>22</v>
      </c>
      <c r="J186">
        <v>0.1</v>
      </c>
      <c r="K186">
        <v>14000</v>
      </c>
      <c r="L186" s="1">
        <v>45328</v>
      </c>
    </row>
    <row r="187" spans="1:12" x14ac:dyDescent="0.3">
      <c r="A187" t="s">
        <v>345</v>
      </c>
      <c r="B187" t="s">
        <v>346</v>
      </c>
      <c r="C187" t="s">
        <v>44</v>
      </c>
      <c r="D187" t="s">
        <v>45</v>
      </c>
      <c r="E187" t="s">
        <v>16</v>
      </c>
      <c r="F187" t="s">
        <v>17</v>
      </c>
      <c r="G187" t="s">
        <v>18</v>
      </c>
      <c r="H187">
        <v>14470</v>
      </c>
      <c r="I187" t="s">
        <v>22</v>
      </c>
      <c r="J187">
        <v>0.1</v>
      </c>
      <c r="K187">
        <v>13000</v>
      </c>
      <c r="L187" s="1">
        <v>45314</v>
      </c>
    </row>
    <row r="188" spans="1:12" x14ac:dyDescent="0.3">
      <c r="A188" t="s">
        <v>347</v>
      </c>
      <c r="B188" t="s">
        <v>144</v>
      </c>
      <c r="C188" t="s">
        <v>30</v>
      </c>
      <c r="D188" t="s">
        <v>31</v>
      </c>
      <c r="E188" t="s">
        <v>32</v>
      </c>
      <c r="F188" t="s">
        <v>17</v>
      </c>
      <c r="G188" t="s">
        <v>26</v>
      </c>
      <c r="H188">
        <v>15926</v>
      </c>
      <c r="K188">
        <v>17000</v>
      </c>
      <c r="L188" s="1">
        <v>45346</v>
      </c>
    </row>
    <row r="189" spans="1:12" x14ac:dyDescent="0.3">
      <c r="A189" t="s">
        <v>348</v>
      </c>
      <c r="B189" t="s">
        <v>82</v>
      </c>
      <c r="C189" t="s">
        <v>14</v>
      </c>
      <c r="D189" t="s">
        <v>15</v>
      </c>
      <c r="E189" t="s">
        <v>16</v>
      </c>
      <c r="F189" t="s">
        <v>39</v>
      </c>
      <c r="G189" t="s">
        <v>26</v>
      </c>
      <c r="H189">
        <v>13095</v>
      </c>
      <c r="I189" t="s">
        <v>22</v>
      </c>
      <c r="J189">
        <v>0.1</v>
      </c>
      <c r="K189">
        <v>14000</v>
      </c>
      <c r="L189" s="1">
        <v>45303</v>
      </c>
    </row>
    <row r="190" spans="1:12" x14ac:dyDescent="0.3">
      <c r="A190" t="s">
        <v>349</v>
      </c>
      <c r="B190" t="s">
        <v>350</v>
      </c>
      <c r="C190" t="s">
        <v>30</v>
      </c>
      <c r="D190" t="s">
        <v>31</v>
      </c>
      <c r="E190" t="s">
        <v>46</v>
      </c>
      <c r="F190" t="s">
        <v>17</v>
      </c>
      <c r="G190" t="s">
        <v>18</v>
      </c>
      <c r="H190">
        <v>15743</v>
      </c>
      <c r="I190" t="s">
        <v>19</v>
      </c>
      <c r="J190">
        <v>0.2</v>
      </c>
      <c r="K190">
        <v>17000</v>
      </c>
      <c r="L190" s="1">
        <v>45328</v>
      </c>
    </row>
    <row r="191" spans="1:12" x14ac:dyDescent="0.3">
      <c r="A191" t="s">
        <v>351</v>
      </c>
      <c r="B191" t="s">
        <v>90</v>
      </c>
      <c r="C191" t="s">
        <v>14</v>
      </c>
      <c r="D191" t="s">
        <v>15</v>
      </c>
      <c r="E191" t="s">
        <v>32</v>
      </c>
      <c r="F191" t="s">
        <v>39</v>
      </c>
      <c r="G191" t="s">
        <v>26</v>
      </c>
      <c r="H191">
        <v>15980</v>
      </c>
      <c r="I191" t="s">
        <v>22</v>
      </c>
      <c r="J191">
        <v>0.1</v>
      </c>
      <c r="K191">
        <v>14000</v>
      </c>
      <c r="L191" s="1">
        <v>45297</v>
      </c>
    </row>
    <row r="192" spans="1:12" x14ac:dyDescent="0.3">
      <c r="A192" t="s">
        <v>352</v>
      </c>
      <c r="B192" t="s">
        <v>103</v>
      </c>
      <c r="C192" t="s">
        <v>44</v>
      </c>
      <c r="D192" t="s">
        <v>45</v>
      </c>
      <c r="E192" t="s">
        <v>46</v>
      </c>
      <c r="F192" t="s">
        <v>17</v>
      </c>
      <c r="G192" t="s">
        <v>36</v>
      </c>
      <c r="H192">
        <v>12396</v>
      </c>
      <c r="I192" t="s">
        <v>19</v>
      </c>
      <c r="J192">
        <v>0.2</v>
      </c>
      <c r="K192">
        <v>13000</v>
      </c>
      <c r="L192" s="1">
        <v>45315</v>
      </c>
    </row>
    <row r="193" spans="1:12" x14ac:dyDescent="0.3">
      <c r="A193" t="s">
        <v>353</v>
      </c>
      <c r="B193" t="s">
        <v>350</v>
      </c>
      <c r="C193" t="s">
        <v>30</v>
      </c>
      <c r="D193" t="s">
        <v>31</v>
      </c>
      <c r="E193" t="s">
        <v>16</v>
      </c>
      <c r="F193" t="s">
        <v>39</v>
      </c>
      <c r="G193" t="s">
        <v>18</v>
      </c>
      <c r="H193">
        <v>18618</v>
      </c>
      <c r="I193" t="s">
        <v>22</v>
      </c>
      <c r="J193">
        <v>0.1</v>
      </c>
      <c r="K193">
        <v>17000</v>
      </c>
      <c r="L193" s="1">
        <v>45301</v>
      </c>
    </row>
    <row r="194" spans="1:12" x14ac:dyDescent="0.3">
      <c r="A194" t="s">
        <v>354</v>
      </c>
      <c r="B194" t="s">
        <v>135</v>
      </c>
      <c r="C194" t="s">
        <v>14</v>
      </c>
      <c r="D194" t="s">
        <v>15</v>
      </c>
      <c r="E194" t="s">
        <v>16</v>
      </c>
      <c r="F194" t="s">
        <v>25</v>
      </c>
      <c r="G194" t="s">
        <v>36</v>
      </c>
      <c r="H194">
        <v>13814</v>
      </c>
      <c r="K194">
        <v>14000</v>
      </c>
      <c r="L194" s="1">
        <v>45323</v>
      </c>
    </row>
    <row r="195" spans="1:12" x14ac:dyDescent="0.3">
      <c r="A195" t="s">
        <v>355</v>
      </c>
      <c r="B195" t="s">
        <v>356</v>
      </c>
      <c r="C195" t="s">
        <v>61</v>
      </c>
      <c r="D195" t="s">
        <v>62</v>
      </c>
      <c r="E195" t="s">
        <v>46</v>
      </c>
      <c r="F195" t="s">
        <v>25</v>
      </c>
      <c r="G195" t="s">
        <v>26</v>
      </c>
      <c r="H195">
        <v>7466</v>
      </c>
      <c r="I195" t="s">
        <v>33</v>
      </c>
      <c r="J195">
        <v>0.3</v>
      </c>
      <c r="K195">
        <v>9000</v>
      </c>
      <c r="L195" s="1">
        <v>45319</v>
      </c>
    </row>
    <row r="196" spans="1:12" x14ac:dyDescent="0.3">
      <c r="A196" t="s">
        <v>357</v>
      </c>
      <c r="B196" t="s">
        <v>263</v>
      </c>
      <c r="C196" t="s">
        <v>61</v>
      </c>
      <c r="D196" t="s">
        <v>62</v>
      </c>
      <c r="E196" t="s">
        <v>16</v>
      </c>
      <c r="F196" t="s">
        <v>39</v>
      </c>
      <c r="G196" t="s">
        <v>36</v>
      </c>
      <c r="H196">
        <v>7186</v>
      </c>
      <c r="I196" t="s">
        <v>19</v>
      </c>
      <c r="J196">
        <v>0.2</v>
      </c>
      <c r="K196">
        <v>9000</v>
      </c>
      <c r="L196" s="1">
        <v>45317</v>
      </c>
    </row>
    <row r="197" spans="1:12" x14ac:dyDescent="0.3">
      <c r="A197" t="s">
        <v>358</v>
      </c>
      <c r="B197" t="s">
        <v>359</v>
      </c>
      <c r="C197" t="s">
        <v>14</v>
      </c>
      <c r="D197" t="s">
        <v>15</v>
      </c>
      <c r="E197" t="s">
        <v>32</v>
      </c>
      <c r="F197" t="s">
        <v>17</v>
      </c>
      <c r="G197" t="s">
        <v>18</v>
      </c>
      <c r="H197">
        <v>15143</v>
      </c>
      <c r="I197" t="s">
        <v>19</v>
      </c>
      <c r="J197">
        <v>0.2</v>
      </c>
      <c r="K197">
        <v>14000</v>
      </c>
      <c r="L197" s="1">
        <v>45340</v>
      </c>
    </row>
    <row r="198" spans="1:12" x14ac:dyDescent="0.3">
      <c r="A198" t="s">
        <v>360</v>
      </c>
      <c r="B198" t="s">
        <v>361</v>
      </c>
      <c r="C198" t="s">
        <v>30</v>
      </c>
      <c r="D198" t="s">
        <v>31</v>
      </c>
      <c r="E198" t="s">
        <v>32</v>
      </c>
      <c r="F198" t="s">
        <v>25</v>
      </c>
      <c r="G198" t="s">
        <v>36</v>
      </c>
      <c r="H198">
        <v>18059</v>
      </c>
      <c r="K198">
        <v>17000</v>
      </c>
      <c r="L198" s="1">
        <v>45303</v>
      </c>
    </row>
    <row r="199" spans="1:12" x14ac:dyDescent="0.3">
      <c r="A199" t="s">
        <v>362</v>
      </c>
      <c r="B199" t="s">
        <v>363</v>
      </c>
      <c r="C199" t="s">
        <v>44</v>
      </c>
      <c r="D199" t="s">
        <v>45</v>
      </c>
      <c r="E199" t="s">
        <v>16</v>
      </c>
      <c r="F199" t="s">
        <v>39</v>
      </c>
      <c r="G199" t="s">
        <v>26</v>
      </c>
      <c r="H199">
        <v>14302</v>
      </c>
      <c r="I199" t="s">
        <v>33</v>
      </c>
      <c r="J199">
        <v>0.3</v>
      </c>
      <c r="K199">
        <v>13000</v>
      </c>
      <c r="L199" s="1">
        <v>45296</v>
      </c>
    </row>
    <row r="200" spans="1:12" x14ac:dyDescent="0.3">
      <c r="A200" t="s">
        <v>364</v>
      </c>
      <c r="B200" t="s">
        <v>309</v>
      </c>
      <c r="C200" t="s">
        <v>14</v>
      </c>
      <c r="D200" t="s">
        <v>15</v>
      </c>
      <c r="E200" t="s">
        <v>46</v>
      </c>
      <c r="F200" t="s">
        <v>25</v>
      </c>
      <c r="G200" t="s">
        <v>36</v>
      </c>
      <c r="H200">
        <v>15773</v>
      </c>
      <c r="I200" t="s">
        <v>22</v>
      </c>
      <c r="J200">
        <v>0.1</v>
      </c>
      <c r="K200">
        <v>14000</v>
      </c>
      <c r="L200" s="1">
        <v>45347</v>
      </c>
    </row>
    <row r="201" spans="1:12" x14ac:dyDescent="0.3">
      <c r="A201" t="s">
        <v>365</v>
      </c>
      <c r="B201" t="s">
        <v>38</v>
      </c>
      <c r="C201" t="s">
        <v>61</v>
      </c>
      <c r="D201" t="s">
        <v>62</v>
      </c>
      <c r="E201" t="s">
        <v>16</v>
      </c>
      <c r="F201" t="s">
        <v>17</v>
      </c>
      <c r="G201" t="s">
        <v>26</v>
      </c>
      <c r="H201">
        <v>9622</v>
      </c>
      <c r="K201">
        <v>9000</v>
      </c>
      <c r="L201" s="1">
        <v>45310</v>
      </c>
    </row>
    <row r="202" spans="1:12" x14ac:dyDescent="0.3">
      <c r="A202" t="s">
        <v>366</v>
      </c>
      <c r="B202" t="s">
        <v>66</v>
      </c>
      <c r="C202" t="s">
        <v>14</v>
      </c>
      <c r="D202" t="s">
        <v>15</v>
      </c>
      <c r="E202" t="s">
        <v>46</v>
      </c>
      <c r="F202" t="s">
        <v>25</v>
      </c>
      <c r="G202" t="s">
        <v>26</v>
      </c>
      <c r="H202">
        <v>13884</v>
      </c>
      <c r="I202" t="s">
        <v>33</v>
      </c>
      <c r="J202">
        <v>0.3</v>
      </c>
      <c r="K202">
        <v>14000</v>
      </c>
      <c r="L202" s="1">
        <v>45297</v>
      </c>
    </row>
    <row r="203" spans="1:12" x14ac:dyDescent="0.3">
      <c r="A203" t="s">
        <v>367</v>
      </c>
      <c r="B203" t="s">
        <v>309</v>
      </c>
      <c r="C203" t="s">
        <v>14</v>
      </c>
      <c r="D203" t="s">
        <v>15</v>
      </c>
      <c r="E203" t="s">
        <v>32</v>
      </c>
      <c r="F203" t="s">
        <v>17</v>
      </c>
      <c r="G203" t="s">
        <v>26</v>
      </c>
      <c r="H203">
        <v>13640</v>
      </c>
      <c r="I203" t="s">
        <v>27</v>
      </c>
      <c r="K203">
        <v>14000</v>
      </c>
      <c r="L203" s="1">
        <v>45297</v>
      </c>
    </row>
    <row r="204" spans="1:12" x14ac:dyDescent="0.3">
      <c r="A204" t="s">
        <v>368</v>
      </c>
      <c r="B204" t="s">
        <v>309</v>
      </c>
      <c r="C204" t="s">
        <v>30</v>
      </c>
      <c r="D204" t="s">
        <v>31</v>
      </c>
      <c r="E204" t="s">
        <v>16</v>
      </c>
      <c r="F204" t="s">
        <v>17</v>
      </c>
      <c r="G204" t="s">
        <v>18</v>
      </c>
      <c r="H204">
        <v>16364</v>
      </c>
      <c r="I204" t="s">
        <v>19</v>
      </c>
      <c r="J204">
        <v>0.2</v>
      </c>
      <c r="K204">
        <v>17000</v>
      </c>
      <c r="L204" s="1">
        <v>45296</v>
      </c>
    </row>
    <row r="205" spans="1:12" x14ac:dyDescent="0.3">
      <c r="A205" t="s">
        <v>369</v>
      </c>
      <c r="B205" t="s">
        <v>202</v>
      </c>
      <c r="C205" t="s">
        <v>14</v>
      </c>
      <c r="D205" t="s">
        <v>15</v>
      </c>
      <c r="E205" t="s">
        <v>16</v>
      </c>
      <c r="F205" t="s">
        <v>39</v>
      </c>
      <c r="G205" t="s">
        <v>18</v>
      </c>
      <c r="H205">
        <v>15710</v>
      </c>
      <c r="I205" t="s">
        <v>33</v>
      </c>
      <c r="J205">
        <v>0.3</v>
      </c>
      <c r="K205">
        <v>14000</v>
      </c>
      <c r="L205" s="1">
        <v>45314</v>
      </c>
    </row>
    <row r="206" spans="1:12" x14ac:dyDescent="0.3">
      <c r="A206" t="s">
        <v>370</v>
      </c>
      <c r="B206" t="s">
        <v>371</v>
      </c>
      <c r="C206" t="s">
        <v>44</v>
      </c>
      <c r="D206" t="s">
        <v>45</v>
      </c>
      <c r="E206" t="s">
        <v>32</v>
      </c>
      <c r="F206" t="s">
        <v>25</v>
      </c>
      <c r="G206" t="s">
        <v>18</v>
      </c>
      <c r="H206">
        <v>12048</v>
      </c>
      <c r="I206" t="s">
        <v>19</v>
      </c>
      <c r="J206">
        <v>0.2</v>
      </c>
      <c r="K206">
        <v>13000</v>
      </c>
      <c r="L206" s="1">
        <v>45303</v>
      </c>
    </row>
    <row r="207" spans="1:12" x14ac:dyDescent="0.3">
      <c r="A207" t="s">
        <v>372</v>
      </c>
      <c r="B207" t="s">
        <v>373</v>
      </c>
      <c r="C207" t="s">
        <v>14</v>
      </c>
      <c r="D207" t="s">
        <v>15</v>
      </c>
      <c r="E207" t="s">
        <v>32</v>
      </c>
      <c r="F207" t="s">
        <v>39</v>
      </c>
      <c r="G207" t="s">
        <v>36</v>
      </c>
      <c r="H207">
        <v>13900</v>
      </c>
      <c r="I207" t="s">
        <v>27</v>
      </c>
      <c r="K207">
        <v>14000</v>
      </c>
      <c r="L207" s="1">
        <v>45340</v>
      </c>
    </row>
    <row r="208" spans="1:12" x14ac:dyDescent="0.3">
      <c r="A208" t="s">
        <v>374</v>
      </c>
      <c r="B208" t="s">
        <v>356</v>
      </c>
      <c r="C208" t="s">
        <v>30</v>
      </c>
      <c r="D208" t="s">
        <v>31</v>
      </c>
      <c r="E208" t="s">
        <v>16</v>
      </c>
      <c r="F208" t="s">
        <v>17</v>
      </c>
      <c r="G208" t="s">
        <v>18</v>
      </c>
      <c r="H208">
        <v>16801</v>
      </c>
      <c r="I208" t="s">
        <v>22</v>
      </c>
      <c r="J208">
        <v>0.1</v>
      </c>
      <c r="K208">
        <v>17000</v>
      </c>
      <c r="L208" s="1">
        <v>45322</v>
      </c>
    </row>
    <row r="209" spans="1:12" x14ac:dyDescent="0.3">
      <c r="A209" t="s">
        <v>375</v>
      </c>
      <c r="B209" t="s">
        <v>332</v>
      </c>
      <c r="C209" t="s">
        <v>30</v>
      </c>
      <c r="D209" t="s">
        <v>31</v>
      </c>
      <c r="E209" t="s">
        <v>46</v>
      </c>
      <c r="F209" t="s">
        <v>39</v>
      </c>
      <c r="G209" t="s">
        <v>18</v>
      </c>
      <c r="H209">
        <v>16441</v>
      </c>
      <c r="I209" t="s">
        <v>27</v>
      </c>
      <c r="K209">
        <v>17000</v>
      </c>
      <c r="L209" s="1">
        <v>45296</v>
      </c>
    </row>
    <row r="210" spans="1:12" x14ac:dyDescent="0.3">
      <c r="A210" t="s">
        <v>376</v>
      </c>
      <c r="B210" t="s">
        <v>48</v>
      </c>
      <c r="C210" t="s">
        <v>61</v>
      </c>
      <c r="D210" t="s">
        <v>62</v>
      </c>
      <c r="E210" t="s">
        <v>32</v>
      </c>
      <c r="F210" t="s">
        <v>25</v>
      </c>
      <c r="G210" t="s">
        <v>36</v>
      </c>
      <c r="H210">
        <v>10406</v>
      </c>
      <c r="I210" t="s">
        <v>33</v>
      </c>
      <c r="J210">
        <v>0.3</v>
      </c>
      <c r="K210">
        <v>9000</v>
      </c>
      <c r="L210" s="1">
        <v>45296</v>
      </c>
    </row>
    <row r="211" spans="1:12" x14ac:dyDescent="0.3">
      <c r="A211" t="s">
        <v>377</v>
      </c>
      <c r="B211" t="s">
        <v>204</v>
      </c>
      <c r="C211" t="s">
        <v>14</v>
      </c>
      <c r="D211" t="s">
        <v>15</v>
      </c>
      <c r="E211" t="s">
        <v>16</v>
      </c>
      <c r="F211" t="s">
        <v>39</v>
      </c>
      <c r="G211" t="s">
        <v>26</v>
      </c>
      <c r="H211">
        <v>13574</v>
      </c>
      <c r="K211">
        <v>14000</v>
      </c>
      <c r="L211" s="1">
        <v>45329</v>
      </c>
    </row>
    <row r="212" spans="1:12" x14ac:dyDescent="0.3">
      <c r="A212" t="s">
        <v>378</v>
      </c>
      <c r="B212" t="s">
        <v>82</v>
      </c>
      <c r="C212" t="s">
        <v>14</v>
      </c>
      <c r="D212" t="s">
        <v>15</v>
      </c>
      <c r="E212" t="s">
        <v>46</v>
      </c>
      <c r="F212" t="s">
        <v>39</v>
      </c>
      <c r="G212" t="s">
        <v>26</v>
      </c>
      <c r="H212">
        <v>12771</v>
      </c>
      <c r="I212" t="s">
        <v>33</v>
      </c>
      <c r="J212">
        <v>0.3</v>
      </c>
      <c r="K212">
        <v>14000</v>
      </c>
      <c r="L212" s="1">
        <v>45330</v>
      </c>
    </row>
    <row r="213" spans="1:12" x14ac:dyDescent="0.3">
      <c r="A213" t="s">
        <v>379</v>
      </c>
      <c r="B213" t="s">
        <v>330</v>
      </c>
      <c r="C213" t="s">
        <v>44</v>
      </c>
      <c r="D213" t="s">
        <v>45</v>
      </c>
      <c r="E213" t="s">
        <v>32</v>
      </c>
      <c r="F213" t="s">
        <v>17</v>
      </c>
      <c r="G213" t="s">
        <v>18</v>
      </c>
      <c r="H213">
        <v>14321</v>
      </c>
      <c r="I213" t="s">
        <v>33</v>
      </c>
      <c r="J213">
        <v>0.3</v>
      </c>
      <c r="K213">
        <v>13000</v>
      </c>
      <c r="L213" s="1">
        <v>45337</v>
      </c>
    </row>
    <row r="214" spans="1:12" x14ac:dyDescent="0.3">
      <c r="A214" t="s">
        <v>380</v>
      </c>
      <c r="B214" t="s">
        <v>241</v>
      </c>
      <c r="C214" t="s">
        <v>44</v>
      </c>
      <c r="D214" t="s">
        <v>45</v>
      </c>
      <c r="E214" t="s">
        <v>32</v>
      </c>
      <c r="F214" t="s">
        <v>25</v>
      </c>
      <c r="G214" t="s">
        <v>26</v>
      </c>
      <c r="H214">
        <v>12793</v>
      </c>
      <c r="K214">
        <v>13000</v>
      </c>
      <c r="L214" s="1">
        <v>45325</v>
      </c>
    </row>
    <row r="215" spans="1:12" x14ac:dyDescent="0.3">
      <c r="A215" t="s">
        <v>381</v>
      </c>
      <c r="B215" t="s">
        <v>382</v>
      </c>
      <c r="C215" t="s">
        <v>44</v>
      </c>
      <c r="D215" t="s">
        <v>45</v>
      </c>
      <c r="E215" t="s">
        <v>46</v>
      </c>
      <c r="F215" t="s">
        <v>17</v>
      </c>
      <c r="G215" t="s">
        <v>36</v>
      </c>
      <c r="H215">
        <v>12586</v>
      </c>
      <c r="K215">
        <v>13000</v>
      </c>
      <c r="L215" s="1">
        <v>45341</v>
      </c>
    </row>
    <row r="216" spans="1:12" x14ac:dyDescent="0.3">
      <c r="A216" t="s">
        <v>383</v>
      </c>
      <c r="B216" t="s">
        <v>150</v>
      </c>
      <c r="C216" t="s">
        <v>14</v>
      </c>
      <c r="D216" t="s">
        <v>15</v>
      </c>
      <c r="E216" t="s">
        <v>16</v>
      </c>
      <c r="F216" t="s">
        <v>39</v>
      </c>
      <c r="G216" t="s">
        <v>36</v>
      </c>
      <c r="H216">
        <v>12269</v>
      </c>
      <c r="I216" t="s">
        <v>33</v>
      </c>
      <c r="J216">
        <v>0.3</v>
      </c>
      <c r="K216">
        <v>14000</v>
      </c>
      <c r="L216" s="1">
        <v>45298</v>
      </c>
    </row>
    <row r="217" spans="1:12" x14ac:dyDescent="0.3">
      <c r="A217" t="s">
        <v>384</v>
      </c>
      <c r="B217" t="s">
        <v>202</v>
      </c>
      <c r="C217" t="s">
        <v>61</v>
      </c>
      <c r="D217" t="s">
        <v>62</v>
      </c>
      <c r="E217" t="s">
        <v>46</v>
      </c>
      <c r="F217" t="s">
        <v>17</v>
      </c>
      <c r="G217" t="s">
        <v>26</v>
      </c>
      <c r="H217">
        <v>10488</v>
      </c>
      <c r="I217" t="s">
        <v>27</v>
      </c>
      <c r="K217">
        <v>9000</v>
      </c>
      <c r="L217" s="1">
        <v>45347</v>
      </c>
    </row>
    <row r="218" spans="1:12" x14ac:dyDescent="0.3">
      <c r="A218" t="s">
        <v>385</v>
      </c>
      <c r="B218" t="s">
        <v>74</v>
      </c>
      <c r="C218" t="s">
        <v>14</v>
      </c>
      <c r="D218" t="s">
        <v>15</v>
      </c>
      <c r="E218" t="s">
        <v>16</v>
      </c>
      <c r="F218" t="s">
        <v>39</v>
      </c>
      <c r="G218" t="s">
        <v>18</v>
      </c>
      <c r="H218">
        <v>15754</v>
      </c>
      <c r="I218" t="s">
        <v>33</v>
      </c>
      <c r="J218">
        <v>0.3</v>
      </c>
      <c r="K218">
        <v>14000</v>
      </c>
      <c r="L218" s="1">
        <v>45311</v>
      </c>
    </row>
    <row r="219" spans="1:12" x14ac:dyDescent="0.3">
      <c r="A219" t="s">
        <v>386</v>
      </c>
      <c r="B219" t="s">
        <v>305</v>
      </c>
      <c r="C219" t="s">
        <v>61</v>
      </c>
      <c r="D219" t="s">
        <v>62</v>
      </c>
      <c r="E219" t="s">
        <v>32</v>
      </c>
      <c r="F219" t="s">
        <v>39</v>
      </c>
      <c r="G219" t="s">
        <v>26</v>
      </c>
      <c r="H219">
        <v>10842</v>
      </c>
      <c r="I219" t="s">
        <v>22</v>
      </c>
      <c r="J219">
        <v>0.1</v>
      </c>
      <c r="K219">
        <v>9000</v>
      </c>
      <c r="L219" s="1">
        <v>45311</v>
      </c>
    </row>
    <row r="220" spans="1:12" x14ac:dyDescent="0.3">
      <c r="A220" t="s">
        <v>387</v>
      </c>
      <c r="B220" t="s">
        <v>388</v>
      </c>
      <c r="C220" t="s">
        <v>30</v>
      </c>
      <c r="D220" t="s">
        <v>31</v>
      </c>
      <c r="E220" t="s">
        <v>32</v>
      </c>
      <c r="F220" t="s">
        <v>39</v>
      </c>
      <c r="G220" t="s">
        <v>26</v>
      </c>
      <c r="H220">
        <v>18395</v>
      </c>
      <c r="I220" t="s">
        <v>27</v>
      </c>
      <c r="K220">
        <v>17000</v>
      </c>
      <c r="L220" s="1">
        <v>45297</v>
      </c>
    </row>
    <row r="221" spans="1:12" x14ac:dyDescent="0.3">
      <c r="A221" t="s">
        <v>389</v>
      </c>
      <c r="B221" t="s">
        <v>92</v>
      </c>
      <c r="C221" t="s">
        <v>61</v>
      </c>
      <c r="D221" t="s">
        <v>62</v>
      </c>
      <c r="E221" t="s">
        <v>16</v>
      </c>
      <c r="F221" t="s">
        <v>17</v>
      </c>
      <c r="G221" t="s">
        <v>18</v>
      </c>
      <c r="H221">
        <v>8485</v>
      </c>
      <c r="I221" t="s">
        <v>33</v>
      </c>
      <c r="J221">
        <v>0.3</v>
      </c>
      <c r="K221">
        <v>9000</v>
      </c>
      <c r="L221" s="1">
        <v>45303</v>
      </c>
    </row>
    <row r="222" spans="1:12" x14ac:dyDescent="0.3">
      <c r="A222" t="s">
        <v>390</v>
      </c>
      <c r="B222" t="s">
        <v>391</v>
      </c>
      <c r="C222" t="s">
        <v>61</v>
      </c>
      <c r="D222" t="s">
        <v>62</v>
      </c>
      <c r="E222" t="s">
        <v>32</v>
      </c>
      <c r="F222" t="s">
        <v>25</v>
      </c>
      <c r="G222" t="s">
        <v>18</v>
      </c>
      <c r="H222">
        <v>7634</v>
      </c>
      <c r="I222" t="s">
        <v>22</v>
      </c>
      <c r="J222">
        <v>0.1</v>
      </c>
      <c r="K222">
        <v>9000</v>
      </c>
      <c r="L222" s="1">
        <v>45310</v>
      </c>
    </row>
    <row r="223" spans="1:12" x14ac:dyDescent="0.3">
      <c r="A223" t="s">
        <v>392</v>
      </c>
      <c r="B223" t="s">
        <v>393</v>
      </c>
      <c r="C223" t="s">
        <v>14</v>
      </c>
      <c r="D223" t="s">
        <v>15</v>
      </c>
      <c r="E223" t="s">
        <v>16</v>
      </c>
      <c r="F223" t="s">
        <v>39</v>
      </c>
      <c r="G223" t="s">
        <v>26</v>
      </c>
      <c r="H223">
        <v>15619</v>
      </c>
      <c r="I223" t="s">
        <v>27</v>
      </c>
      <c r="K223">
        <v>14000</v>
      </c>
      <c r="L223" s="1">
        <v>45294</v>
      </c>
    </row>
    <row r="224" spans="1:12" x14ac:dyDescent="0.3">
      <c r="A224" t="s">
        <v>394</v>
      </c>
      <c r="B224" t="s">
        <v>317</v>
      </c>
      <c r="C224" t="s">
        <v>44</v>
      </c>
      <c r="D224" t="s">
        <v>45</v>
      </c>
      <c r="E224" t="s">
        <v>16</v>
      </c>
      <c r="F224" t="s">
        <v>17</v>
      </c>
      <c r="G224" t="s">
        <v>18</v>
      </c>
      <c r="H224">
        <v>11664</v>
      </c>
      <c r="I224" t="s">
        <v>19</v>
      </c>
      <c r="J224">
        <v>0.2</v>
      </c>
      <c r="K224">
        <v>13000</v>
      </c>
      <c r="L224" s="1">
        <v>45345</v>
      </c>
    </row>
    <row r="225" spans="1:12" x14ac:dyDescent="0.3">
      <c r="A225" t="s">
        <v>395</v>
      </c>
      <c r="B225" t="s">
        <v>276</v>
      </c>
      <c r="C225" t="s">
        <v>44</v>
      </c>
      <c r="D225" t="s">
        <v>45</v>
      </c>
      <c r="E225" t="s">
        <v>16</v>
      </c>
      <c r="F225" t="s">
        <v>17</v>
      </c>
      <c r="G225" t="s">
        <v>18</v>
      </c>
      <c r="H225">
        <v>12682</v>
      </c>
      <c r="I225" t="s">
        <v>33</v>
      </c>
      <c r="J225">
        <v>0.3</v>
      </c>
      <c r="K225">
        <v>13000</v>
      </c>
      <c r="L225" s="1">
        <v>45335</v>
      </c>
    </row>
    <row r="226" spans="1:12" x14ac:dyDescent="0.3">
      <c r="A226" t="s">
        <v>396</v>
      </c>
      <c r="B226" t="s">
        <v>397</v>
      </c>
      <c r="C226" t="s">
        <v>61</v>
      </c>
      <c r="D226" t="s">
        <v>62</v>
      </c>
      <c r="E226" t="s">
        <v>16</v>
      </c>
      <c r="F226" t="s">
        <v>17</v>
      </c>
      <c r="G226" t="s">
        <v>26</v>
      </c>
      <c r="H226">
        <v>10210</v>
      </c>
      <c r="K226">
        <v>9000</v>
      </c>
      <c r="L226" s="1">
        <v>45306</v>
      </c>
    </row>
    <row r="227" spans="1:12" x14ac:dyDescent="0.3">
      <c r="A227" t="s">
        <v>398</v>
      </c>
      <c r="B227" t="s">
        <v>346</v>
      </c>
      <c r="C227" t="s">
        <v>30</v>
      </c>
      <c r="D227" t="s">
        <v>31</v>
      </c>
      <c r="E227" t="s">
        <v>46</v>
      </c>
      <c r="F227" t="s">
        <v>25</v>
      </c>
      <c r="G227" t="s">
        <v>36</v>
      </c>
      <c r="H227">
        <v>17778</v>
      </c>
      <c r="I227" t="s">
        <v>27</v>
      </c>
      <c r="K227">
        <v>17000</v>
      </c>
      <c r="L227" s="1">
        <v>45320</v>
      </c>
    </row>
    <row r="228" spans="1:12" x14ac:dyDescent="0.3">
      <c r="A228" t="s">
        <v>399</v>
      </c>
      <c r="B228" t="s">
        <v>157</v>
      </c>
      <c r="C228" t="s">
        <v>30</v>
      </c>
      <c r="D228" t="s">
        <v>31</v>
      </c>
      <c r="E228" t="s">
        <v>46</v>
      </c>
      <c r="F228" t="s">
        <v>39</v>
      </c>
      <c r="G228" t="s">
        <v>26</v>
      </c>
      <c r="H228">
        <v>16714</v>
      </c>
      <c r="I228" t="s">
        <v>19</v>
      </c>
      <c r="J228">
        <v>0.2</v>
      </c>
      <c r="K228">
        <v>17000</v>
      </c>
      <c r="L228" s="1">
        <v>45344</v>
      </c>
    </row>
    <row r="229" spans="1:12" x14ac:dyDescent="0.3">
      <c r="A229" t="s">
        <v>400</v>
      </c>
      <c r="B229" t="s">
        <v>401</v>
      </c>
      <c r="C229" t="s">
        <v>44</v>
      </c>
      <c r="D229" t="s">
        <v>45</v>
      </c>
      <c r="E229" t="s">
        <v>46</v>
      </c>
      <c r="F229" t="s">
        <v>25</v>
      </c>
      <c r="G229" t="s">
        <v>26</v>
      </c>
      <c r="H229">
        <v>12968</v>
      </c>
      <c r="I229" t="s">
        <v>33</v>
      </c>
      <c r="J229">
        <v>0.3</v>
      </c>
      <c r="K229">
        <v>13000</v>
      </c>
      <c r="L229" s="1">
        <v>45327</v>
      </c>
    </row>
    <row r="230" spans="1:12" x14ac:dyDescent="0.3">
      <c r="A230" t="s">
        <v>402</v>
      </c>
      <c r="B230" t="s">
        <v>403</v>
      </c>
      <c r="C230" t="s">
        <v>14</v>
      </c>
      <c r="D230" t="s">
        <v>15</v>
      </c>
      <c r="E230" t="s">
        <v>46</v>
      </c>
      <c r="F230" t="s">
        <v>25</v>
      </c>
      <c r="G230" t="s">
        <v>18</v>
      </c>
      <c r="H230">
        <v>13117</v>
      </c>
      <c r="K230">
        <v>14000</v>
      </c>
      <c r="L230" s="1">
        <v>45349</v>
      </c>
    </row>
    <row r="231" spans="1:12" x14ac:dyDescent="0.3">
      <c r="A231" t="s">
        <v>404</v>
      </c>
      <c r="B231" t="s">
        <v>80</v>
      </c>
      <c r="C231" t="s">
        <v>61</v>
      </c>
      <c r="D231" t="s">
        <v>62</v>
      </c>
      <c r="E231" t="s">
        <v>32</v>
      </c>
      <c r="F231" t="s">
        <v>25</v>
      </c>
      <c r="G231" t="s">
        <v>36</v>
      </c>
      <c r="H231">
        <v>10623</v>
      </c>
      <c r="I231" t="s">
        <v>33</v>
      </c>
      <c r="J231">
        <v>0.3</v>
      </c>
      <c r="K231">
        <v>9000</v>
      </c>
      <c r="L231" s="1">
        <v>45351</v>
      </c>
    </row>
    <row r="232" spans="1:12" x14ac:dyDescent="0.3">
      <c r="A232" t="s">
        <v>405</v>
      </c>
      <c r="B232" t="s">
        <v>406</v>
      </c>
      <c r="C232" t="s">
        <v>14</v>
      </c>
      <c r="D232" t="s">
        <v>15</v>
      </c>
      <c r="E232" t="s">
        <v>46</v>
      </c>
      <c r="F232" t="s">
        <v>39</v>
      </c>
      <c r="G232" t="s">
        <v>36</v>
      </c>
      <c r="H232">
        <v>12965</v>
      </c>
      <c r="K232">
        <v>14000</v>
      </c>
      <c r="L232" s="1">
        <v>45297</v>
      </c>
    </row>
    <row r="233" spans="1:12" x14ac:dyDescent="0.3">
      <c r="A233" t="s">
        <v>407</v>
      </c>
      <c r="B233" t="s">
        <v>408</v>
      </c>
      <c r="C233" t="s">
        <v>14</v>
      </c>
      <c r="D233" t="s">
        <v>15</v>
      </c>
      <c r="E233" t="s">
        <v>46</v>
      </c>
      <c r="F233" t="s">
        <v>25</v>
      </c>
      <c r="G233" t="s">
        <v>26</v>
      </c>
      <c r="H233">
        <v>14662</v>
      </c>
      <c r="I233" t="s">
        <v>33</v>
      </c>
      <c r="J233">
        <v>0.3</v>
      </c>
      <c r="K233">
        <v>14000</v>
      </c>
      <c r="L233" s="1">
        <v>45342</v>
      </c>
    </row>
    <row r="234" spans="1:12" x14ac:dyDescent="0.3">
      <c r="A234" t="s">
        <v>409</v>
      </c>
      <c r="B234" t="s">
        <v>175</v>
      </c>
      <c r="C234" t="s">
        <v>14</v>
      </c>
      <c r="D234" t="s">
        <v>15</v>
      </c>
      <c r="E234" t="s">
        <v>46</v>
      </c>
      <c r="F234" t="s">
        <v>17</v>
      </c>
      <c r="G234" t="s">
        <v>26</v>
      </c>
      <c r="H234">
        <v>15404</v>
      </c>
      <c r="I234" t="s">
        <v>19</v>
      </c>
      <c r="J234">
        <v>0.2</v>
      </c>
      <c r="K234">
        <v>14000</v>
      </c>
      <c r="L234" s="1">
        <v>45340</v>
      </c>
    </row>
    <row r="235" spans="1:12" x14ac:dyDescent="0.3">
      <c r="A235" t="s">
        <v>410</v>
      </c>
      <c r="B235" t="s">
        <v>334</v>
      </c>
      <c r="C235" t="s">
        <v>61</v>
      </c>
      <c r="D235" t="s">
        <v>62</v>
      </c>
      <c r="E235" t="s">
        <v>16</v>
      </c>
      <c r="F235" t="s">
        <v>25</v>
      </c>
      <c r="G235" t="s">
        <v>18</v>
      </c>
      <c r="H235">
        <v>7077</v>
      </c>
      <c r="I235" t="s">
        <v>33</v>
      </c>
      <c r="J235">
        <v>0.3</v>
      </c>
      <c r="K235">
        <v>9000</v>
      </c>
      <c r="L235" s="1">
        <v>45305</v>
      </c>
    </row>
    <row r="236" spans="1:12" x14ac:dyDescent="0.3">
      <c r="A236" t="s">
        <v>411</v>
      </c>
      <c r="B236" t="s">
        <v>412</v>
      </c>
      <c r="C236" t="s">
        <v>61</v>
      </c>
      <c r="D236" t="s">
        <v>62</v>
      </c>
      <c r="E236" t="s">
        <v>32</v>
      </c>
      <c r="F236" t="s">
        <v>17</v>
      </c>
      <c r="G236" t="s">
        <v>18</v>
      </c>
      <c r="H236">
        <v>8233</v>
      </c>
      <c r="I236" t="s">
        <v>22</v>
      </c>
      <c r="J236">
        <v>0.1</v>
      </c>
      <c r="K236">
        <v>9000</v>
      </c>
      <c r="L236" s="1">
        <v>45295</v>
      </c>
    </row>
    <row r="237" spans="1:12" x14ac:dyDescent="0.3">
      <c r="A237" t="s">
        <v>413</v>
      </c>
      <c r="B237" t="s">
        <v>414</v>
      </c>
      <c r="C237" t="s">
        <v>61</v>
      </c>
      <c r="D237" t="s">
        <v>62</v>
      </c>
      <c r="E237" t="s">
        <v>32</v>
      </c>
      <c r="F237" t="s">
        <v>25</v>
      </c>
      <c r="G237" t="s">
        <v>36</v>
      </c>
      <c r="H237">
        <v>9444</v>
      </c>
      <c r="I237" t="s">
        <v>27</v>
      </c>
      <c r="K237">
        <v>9000</v>
      </c>
      <c r="L237" s="1">
        <v>45293</v>
      </c>
    </row>
    <row r="238" spans="1:12" x14ac:dyDescent="0.3">
      <c r="A238" t="s">
        <v>415</v>
      </c>
      <c r="B238" t="s">
        <v>416</v>
      </c>
      <c r="C238" t="s">
        <v>44</v>
      </c>
      <c r="D238" t="s">
        <v>45</v>
      </c>
      <c r="E238" t="s">
        <v>16</v>
      </c>
      <c r="F238" t="s">
        <v>25</v>
      </c>
      <c r="G238" t="s">
        <v>36</v>
      </c>
      <c r="H238">
        <v>12758</v>
      </c>
      <c r="I238" t="s">
        <v>22</v>
      </c>
      <c r="J238">
        <v>0.1</v>
      </c>
      <c r="K238">
        <v>13000</v>
      </c>
      <c r="L238" s="1">
        <v>45331</v>
      </c>
    </row>
    <row r="239" spans="1:12" x14ac:dyDescent="0.3">
      <c r="A239" t="s">
        <v>417</v>
      </c>
      <c r="B239" t="s">
        <v>408</v>
      </c>
      <c r="C239" t="s">
        <v>61</v>
      </c>
      <c r="D239" t="s">
        <v>62</v>
      </c>
      <c r="E239" t="s">
        <v>32</v>
      </c>
      <c r="F239" t="s">
        <v>39</v>
      </c>
      <c r="G239" t="s">
        <v>26</v>
      </c>
      <c r="H239">
        <v>7350</v>
      </c>
      <c r="I239" t="s">
        <v>27</v>
      </c>
      <c r="K239">
        <v>9000</v>
      </c>
      <c r="L239" s="1">
        <v>45315</v>
      </c>
    </row>
    <row r="240" spans="1:12" x14ac:dyDescent="0.3">
      <c r="A240" t="s">
        <v>418</v>
      </c>
      <c r="B240" t="s">
        <v>241</v>
      </c>
      <c r="C240" t="s">
        <v>14</v>
      </c>
      <c r="D240" t="s">
        <v>15</v>
      </c>
      <c r="E240" t="s">
        <v>46</v>
      </c>
      <c r="F240" t="s">
        <v>17</v>
      </c>
      <c r="G240" t="s">
        <v>18</v>
      </c>
      <c r="H240">
        <v>14603</v>
      </c>
      <c r="K240">
        <v>14000</v>
      </c>
      <c r="L240" s="1">
        <v>45315</v>
      </c>
    </row>
    <row r="241" spans="1:12" x14ac:dyDescent="0.3">
      <c r="A241" t="s">
        <v>419</v>
      </c>
      <c r="B241" t="s">
        <v>350</v>
      </c>
      <c r="C241" t="s">
        <v>14</v>
      </c>
      <c r="D241" t="s">
        <v>15</v>
      </c>
      <c r="E241" t="s">
        <v>46</v>
      </c>
      <c r="F241" t="s">
        <v>25</v>
      </c>
      <c r="G241" t="s">
        <v>36</v>
      </c>
      <c r="H241">
        <v>12987</v>
      </c>
      <c r="I241" t="s">
        <v>22</v>
      </c>
      <c r="J241">
        <v>0.1</v>
      </c>
      <c r="K241">
        <v>14000</v>
      </c>
      <c r="L241" s="1">
        <v>45341</v>
      </c>
    </row>
    <row r="242" spans="1:12" x14ac:dyDescent="0.3">
      <c r="A242" t="s">
        <v>420</v>
      </c>
      <c r="B242" t="s">
        <v>233</v>
      </c>
      <c r="C242" t="s">
        <v>30</v>
      </c>
      <c r="D242" t="s">
        <v>31</v>
      </c>
      <c r="E242" t="s">
        <v>32</v>
      </c>
      <c r="F242" t="s">
        <v>25</v>
      </c>
      <c r="G242" t="s">
        <v>36</v>
      </c>
      <c r="H242">
        <v>17236</v>
      </c>
      <c r="I242" t="s">
        <v>33</v>
      </c>
      <c r="J242">
        <v>0.3</v>
      </c>
      <c r="K242">
        <v>17000</v>
      </c>
      <c r="L242" s="1">
        <v>45344</v>
      </c>
    </row>
    <row r="243" spans="1:12" x14ac:dyDescent="0.3">
      <c r="A243" t="s">
        <v>421</v>
      </c>
      <c r="B243" t="s">
        <v>422</v>
      </c>
      <c r="C243" t="s">
        <v>61</v>
      </c>
      <c r="D243" t="s">
        <v>62</v>
      </c>
      <c r="E243" t="s">
        <v>16</v>
      </c>
      <c r="F243" t="s">
        <v>17</v>
      </c>
      <c r="G243" t="s">
        <v>26</v>
      </c>
      <c r="H243">
        <v>7746</v>
      </c>
      <c r="I243" t="s">
        <v>19</v>
      </c>
      <c r="J243">
        <v>0.2</v>
      </c>
      <c r="K243">
        <v>9000</v>
      </c>
      <c r="L243" s="1">
        <v>45296</v>
      </c>
    </row>
    <row r="244" spans="1:12" x14ac:dyDescent="0.3">
      <c r="A244" t="s">
        <v>423</v>
      </c>
      <c r="B244" t="s">
        <v>276</v>
      </c>
      <c r="C244" t="s">
        <v>61</v>
      </c>
      <c r="D244" t="s">
        <v>62</v>
      </c>
      <c r="E244" t="s">
        <v>32</v>
      </c>
      <c r="F244" t="s">
        <v>17</v>
      </c>
      <c r="G244" t="s">
        <v>18</v>
      </c>
      <c r="H244">
        <v>7179</v>
      </c>
      <c r="I244" t="s">
        <v>19</v>
      </c>
      <c r="J244">
        <v>0.2</v>
      </c>
      <c r="K244">
        <v>9000</v>
      </c>
      <c r="L244" s="1">
        <v>45348</v>
      </c>
    </row>
    <row r="245" spans="1:12" x14ac:dyDescent="0.3">
      <c r="A245" t="s">
        <v>424</v>
      </c>
      <c r="B245" t="s">
        <v>125</v>
      </c>
      <c r="C245" t="s">
        <v>30</v>
      </c>
      <c r="D245" t="s">
        <v>31</v>
      </c>
      <c r="E245" t="s">
        <v>16</v>
      </c>
      <c r="F245" t="s">
        <v>17</v>
      </c>
      <c r="G245" t="s">
        <v>26</v>
      </c>
      <c r="H245">
        <v>16939</v>
      </c>
      <c r="I245" t="s">
        <v>33</v>
      </c>
      <c r="J245">
        <v>0.3</v>
      </c>
      <c r="K245">
        <v>17000</v>
      </c>
      <c r="L245" s="1">
        <v>45294</v>
      </c>
    </row>
    <row r="246" spans="1:12" x14ac:dyDescent="0.3">
      <c r="A246" t="s">
        <v>425</v>
      </c>
      <c r="B246" t="s">
        <v>426</v>
      </c>
      <c r="C246" t="s">
        <v>44</v>
      </c>
      <c r="D246" t="s">
        <v>45</v>
      </c>
      <c r="E246" t="s">
        <v>46</v>
      </c>
      <c r="F246" t="s">
        <v>17</v>
      </c>
      <c r="G246" t="s">
        <v>18</v>
      </c>
      <c r="H246">
        <v>14546</v>
      </c>
      <c r="I246" t="s">
        <v>33</v>
      </c>
      <c r="J246">
        <v>0.3</v>
      </c>
      <c r="K246">
        <v>13000</v>
      </c>
      <c r="L246" s="1">
        <v>45309</v>
      </c>
    </row>
    <row r="247" spans="1:12" x14ac:dyDescent="0.3">
      <c r="A247" t="s">
        <v>427</v>
      </c>
      <c r="B247" t="s">
        <v>200</v>
      </c>
      <c r="C247" t="s">
        <v>30</v>
      </c>
      <c r="D247" t="s">
        <v>31</v>
      </c>
      <c r="E247" t="s">
        <v>46</v>
      </c>
      <c r="F247" t="s">
        <v>17</v>
      </c>
      <c r="G247" t="s">
        <v>26</v>
      </c>
      <c r="H247">
        <v>16801</v>
      </c>
      <c r="K247">
        <v>17000</v>
      </c>
      <c r="L247" s="1">
        <v>45313</v>
      </c>
    </row>
    <row r="248" spans="1:12" x14ac:dyDescent="0.3">
      <c r="A248" t="s">
        <v>428</v>
      </c>
      <c r="B248" t="s">
        <v>429</v>
      </c>
      <c r="C248" t="s">
        <v>61</v>
      </c>
      <c r="D248" t="s">
        <v>62</v>
      </c>
      <c r="E248" t="s">
        <v>46</v>
      </c>
      <c r="F248" t="s">
        <v>39</v>
      </c>
      <c r="G248" t="s">
        <v>36</v>
      </c>
      <c r="H248">
        <v>10281</v>
      </c>
      <c r="I248" t="s">
        <v>22</v>
      </c>
      <c r="J248">
        <v>0.1</v>
      </c>
      <c r="K248">
        <v>9000</v>
      </c>
      <c r="L248" s="1">
        <v>45338</v>
      </c>
    </row>
    <row r="249" spans="1:12" x14ac:dyDescent="0.3">
      <c r="A249" t="s">
        <v>430</v>
      </c>
      <c r="B249" t="s">
        <v>41</v>
      </c>
      <c r="C249" t="s">
        <v>61</v>
      </c>
      <c r="D249" t="s">
        <v>62</v>
      </c>
      <c r="E249" t="s">
        <v>16</v>
      </c>
      <c r="F249" t="s">
        <v>25</v>
      </c>
      <c r="G249" t="s">
        <v>26</v>
      </c>
      <c r="H249">
        <v>8203</v>
      </c>
      <c r="I249" t="s">
        <v>33</v>
      </c>
      <c r="J249">
        <v>0.3</v>
      </c>
      <c r="K249">
        <v>9000</v>
      </c>
      <c r="L249" s="1">
        <v>45298</v>
      </c>
    </row>
    <row r="250" spans="1:12" x14ac:dyDescent="0.3">
      <c r="A250" t="s">
        <v>431</v>
      </c>
      <c r="B250" t="s">
        <v>432</v>
      </c>
      <c r="C250" t="s">
        <v>30</v>
      </c>
      <c r="D250" t="s">
        <v>31</v>
      </c>
      <c r="E250" t="s">
        <v>46</v>
      </c>
      <c r="F250" t="s">
        <v>17</v>
      </c>
      <c r="G250" t="s">
        <v>26</v>
      </c>
      <c r="H250">
        <v>17939</v>
      </c>
      <c r="K250">
        <v>17000</v>
      </c>
      <c r="L250" s="1">
        <v>45302</v>
      </c>
    </row>
    <row r="251" spans="1:12" x14ac:dyDescent="0.3">
      <c r="A251" t="s">
        <v>433</v>
      </c>
      <c r="B251" t="s">
        <v>334</v>
      </c>
      <c r="C251" t="s">
        <v>30</v>
      </c>
      <c r="D251" t="s">
        <v>31</v>
      </c>
      <c r="E251" t="s">
        <v>46</v>
      </c>
      <c r="F251" t="s">
        <v>25</v>
      </c>
      <c r="G251" t="s">
        <v>26</v>
      </c>
      <c r="H251">
        <v>18563</v>
      </c>
      <c r="I251" t="s">
        <v>33</v>
      </c>
      <c r="J251">
        <v>0.3</v>
      </c>
      <c r="K251">
        <v>17000</v>
      </c>
      <c r="L251" s="1">
        <v>45331</v>
      </c>
    </row>
    <row r="252" spans="1:12" x14ac:dyDescent="0.3">
      <c r="A252" t="s">
        <v>434</v>
      </c>
      <c r="B252" t="s">
        <v>435</v>
      </c>
      <c r="C252" t="s">
        <v>14</v>
      </c>
      <c r="D252" t="s">
        <v>15</v>
      </c>
      <c r="E252" t="s">
        <v>32</v>
      </c>
      <c r="F252" t="s">
        <v>39</v>
      </c>
      <c r="G252" t="s">
        <v>26</v>
      </c>
      <c r="H252">
        <v>13663</v>
      </c>
      <c r="I252" t="s">
        <v>33</v>
      </c>
      <c r="J252">
        <v>0.3</v>
      </c>
      <c r="K252">
        <v>14000</v>
      </c>
      <c r="L252" s="1">
        <v>45324</v>
      </c>
    </row>
    <row r="253" spans="1:12" x14ac:dyDescent="0.3">
      <c r="A253" t="s">
        <v>436</v>
      </c>
      <c r="B253" t="s">
        <v>296</v>
      </c>
      <c r="C253" t="s">
        <v>44</v>
      </c>
      <c r="D253" t="s">
        <v>45</v>
      </c>
      <c r="E253" t="s">
        <v>32</v>
      </c>
      <c r="F253" t="s">
        <v>25</v>
      </c>
      <c r="G253" t="s">
        <v>26</v>
      </c>
      <c r="H253">
        <v>13777</v>
      </c>
      <c r="K253">
        <v>13000</v>
      </c>
      <c r="L253" s="1">
        <v>45294</v>
      </c>
    </row>
    <row r="254" spans="1:12" x14ac:dyDescent="0.3">
      <c r="A254" t="s">
        <v>437</v>
      </c>
      <c r="B254" t="s">
        <v>325</v>
      </c>
      <c r="C254" t="s">
        <v>44</v>
      </c>
      <c r="D254" t="s">
        <v>45</v>
      </c>
      <c r="E254" t="s">
        <v>16</v>
      </c>
      <c r="F254" t="s">
        <v>17</v>
      </c>
      <c r="G254" t="s">
        <v>36</v>
      </c>
      <c r="H254">
        <v>12568</v>
      </c>
      <c r="I254" t="s">
        <v>27</v>
      </c>
      <c r="K254">
        <v>13000</v>
      </c>
      <c r="L254" s="1">
        <v>45294</v>
      </c>
    </row>
    <row r="255" spans="1:12" x14ac:dyDescent="0.3">
      <c r="A255" t="s">
        <v>438</v>
      </c>
      <c r="B255" t="s">
        <v>373</v>
      </c>
      <c r="C255" t="s">
        <v>61</v>
      </c>
      <c r="D255" t="s">
        <v>62</v>
      </c>
      <c r="E255" t="s">
        <v>46</v>
      </c>
      <c r="F255" t="s">
        <v>17</v>
      </c>
      <c r="G255" t="s">
        <v>36</v>
      </c>
      <c r="H255">
        <v>10125</v>
      </c>
      <c r="I255" t="s">
        <v>22</v>
      </c>
      <c r="J255">
        <v>0.1</v>
      </c>
      <c r="K255">
        <v>9000</v>
      </c>
      <c r="L255" s="1">
        <v>45328</v>
      </c>
    </row>
    <row r="256" spans="1:12" x14ac:dyDescent="0.3">
      <c r="A256" t="s">
        <v>439</v>
      </c>
      <c r="B256" t="s">
        <v>440</v>
      </c>
      <c r="C256" t="s">
        <v>30</v>
      </c>
      <c r="D256" t="s">
        <v>31</v>
      </c>
      <c r="E256" t="s">
        <v>46</v>
      </c>
      <c r="F256" t="s">
        <v>17</v>
      </c>
      <c r="G256" t="s">
        <v>26</v>
      </c>
      <c r="H256">
        <v>16141</v>
      </c>
      <c r="I256" t="s">
        <v>19</v>
      </c>
      <c r="J256">
        <v>0.2</v>
      </c>
      <c r="K256">
        <v>17000</v>
      </c>
      <c r="L256" s="1">
        <v>45299</v>
      </c>
    </row>
    <row r="257" spans="1:12" x14ac:dyDescent="0.3">
      <c r="A257" t="s">
        <v>441</v>
      </c>
      <c r="B257" t="s">
        <v>190</v>
      </c>
      <c r="C257" t="s">
        <v>44</v>
      </c>
      <c r="D257" t="s">
        <v>45</v>
      </c>
      <c r="E257" t="s">
        <v>46</v>
      </c>
      <c r="F257" t="s">
        <v>39</v>
      </c>
      <c r="G257" t="s">
        <v>36</v>
      </c>
      <c r="H257">
        <v>14741</v>
      </c>
      <c r="I257" t="s">
        <v>27</v>
      </c>
      <c r="K257">
        <v>13000</v>
      </c>
      <c r="L257" s="1">
        <v>45299</v>
      </c>
    </row>
    <row r="258" spans="1:12" x14ac:dyDescent="0.3">
      <c r="A258" t="s">
        <v>442</v>
      </c>
      <c r="B258" t="s">
        <v>443</v>
      </c>
      <c r="C258" t="s">
        <v>30</v>
      </c>
      <c r="D258" t="s">
        <v>31</v>
      </c>
      <c r="E258" t="s">
        <v>16</v>
      </c>
      <c r="F258" t="s">
        <v>17</v>
      </c>
      <c r="G258" t="s">
        <v>18</v>
      </c>
      <c r="H258">
        <v>17506</v>
      </c>
      <c r="I258" t="s">
        <v>33</v>
      </c>
      <c r="J258">
        <v>0.3</v>
      </c>
      <c r="K258">
        <v>17000</v>
      </c>
      <c r="L258" s="1">
        <v>45336</v>
      </c>
    </row>
    <row r="259" spans="1:12" x14ac:dyDescent="0.3">
      <c r="A259" t="s">
        <v>444</v>
      </c>
      <c r="B259" t="s">
        <v>445</v>
      </c>
      <c r="C259" t="s">
        <v>44</v>
      </c>
      <c r="D259" t="s">
        <v>45</v>
      </c>
      <c r="E259" t="s">
        <v>32</v>
      </c>
      <c r="F259" t="s">
        <v>25</v>
      </c>
      <c r="G259" t="s">
        <v>18</v>
      </c>
      <c r="H259">
        <v>12851</v>
      </c>
      <c r="I259" t="s">
        <v>19</v>
      </c>
      <c r="J259">
        <v>0.2</v>
      </c>
      <c r="K259">
        <v>13000</v>
      </c>
      <c r="L259" s="1">
        <v>45349</v>
      </c>
    </row>
    <row r="260" spans="1:12" x14ac:dyDescent="0.3">
      <c r="A260" t="s">
        <v>446</v>
      </c>
      <c r="B260" t="s">
        <v>334</v>
      </c>
      <c r="C260" t="s">
        <v>14</v>
      </c>
      <c r="D260" t="s">
        <v>15</v>
      </c>
      <c r="E260" t="s">
        <v>16</v>
      </c>
      <c r="F260" t="s">
        <v>17</v>
      </c>
      <c r="G260" t="s">
        <v>26</v>
      </c>
      <c r="H260">
        <v>13423</v>
      </c>
      <c r="I260" t="s">
        <v>22</v>
      </c>
      <c r="J260">
        <v>0.1</v>
      </c>
      <c r="K260">
        <v>14000</v>
      </c>
      <c r="L260" s="1">
        <v>45327</v>
      </c>
    </row>
    <row r="261" spans="1:12" x14ac:dyDescent="0.3">
      <c r="A261" t="s">
        <v>447</v>
      </c>
      <c r="B261" t="s">
        <v>448</v>
      </c>
      <c r="C261" t="s">
        <v>30</v>
      </c>
      <c r="D261" t="s">
        <v>31</v>
      </c>
      <c r="E261" t="s">
        <v>32</v>
      </c>
      <c r="F261" t="s">
        <v>39</v>
      </c>
      <c r="G261" t="s">
        <v>26</v>
      </c>
      <c r="H261">
        <v>18798</v>
      </c>
      <c r="I261" t="s">
        <v>19</v>
      </c>
      <c r="J261">
        <v>0.2</v>
      </c>
      <c r="K261">
        <v>17000</v>
      </c>
      <c r="L261" s="1">
        <v>45342</v>
      </c>
    </row>
    <row r="262" spans="1:12" x14ac:dyDescent="0.3">
      <c r="A262" t="s">
        <v>449</v>
      </c>
      <c r="B262" t="s">
        <v>301</v>
      </c>
      <c r="C262" t="s">
        <v>44</v>
      </c>
      <c r="D262" t="s">
        <v>45</v>
      </c>
      <c r="E262" t="s">
        <v>32</v>
      </c>
      <c r="F262" t="s">
        <v>25</v>
      </c>
      <c r="G262" t="s">
        <v>18</v>
      </c>
      <c r="H262">
        <v>11969</v>
      </c>
      <c r="K262">
        <v>13000</v>
      </c>
      <c r="L262" s="1">
        <v>45293</v>
      </c>
    </row>
    <row r="263" spans="1:12" x14ac:dyDescent="0.3">
      <c r="A263" t="s">
        <v>450</v>
      </c>
      <c r="B263" t="s">
        <v>301</v>
      </c>
      <c r="C263" t="s">
        <v>30</v>
      </c>
      <c r="D263" t="s">
        <v>31</v>
      </c>
      <c r="E263" t="s">
        <v>46</v>
      </c>
      <c r="F263" t="s">
        <v>39</v>
      </c>
      <c r="G263" t="s">
        <v>18</v>
      </c>
      <c r="H263">
        <v>17506</v>
      </c>
      <c r="I263" t="s">
        <v>22</v>
      </c>
      <c r="J263">
        <v>0.1</v>
      </c>
      <c r="K263">
        <v>17000</v>
      </c>
      <c r="L263" s="1">
        <v>45296</v>
      </c>
    </row>
    <row r="264" spans="1:12" x14ac:dyDescent="0.3">
      <c r="A264" t="s">
        <v>451</v>
      </c>
      <c r="B264" t="s">
        <v>70</v>
      </c>
      <c r="C264" t="s">
        <v>61</v>
      </c>
      <c r="D264" t="s">
        <v>62</v>
      </c>
      <c r="E264" t="s">
        <v>16</v>
      </c>
      <c r="F264" t="s">
        <v>17</v>
      </c>
      <c r="G264" t="s">
        <v>36</v>
      </c>
      <c r="H264">
        <v>10372</v>
      </c>
      <c r="I264" t="s">
        <v>27</v>
      </c>
      <c r="K264">
        <v>9000</v>
      </c>
      <c r="L264" s="1">
        <v>45296</v>
      </c>
    </row>
    <row r="265" spans="1:12" x14ac:dyDescent="0.3">
      <c r="A265" t="s">
        <v>452</v>
      </c>
      <c r="B265" t="s">
        <v>74</v>
      </c>
      <c r="C265" t="s">
        <v>14</v>
      </c>
      <c r="D265" t="s">
        <v>15</v>
      </c>
      <c r="E265" t="s">
        <v>46</v>
      </c>
      <c r="F265" t="s">
        <v>17</v>
      </c>
      <c r="G265" t="s">
        <v>26</v>
      </c>
      <c r="H265">
        <v>14119</v>
      </c>
      <c r="I265" t="s">
        <v>33</v>
      </c>
      <c r="J265">
        <v>0.3</v>
      </c>
      <c r="K265">
        <v>14000</v>
      </c>
      <c r="L265" s="1">
        <v>45300</v>
      </c>
    </row>
    <row r="266" spans="1:12" x14ac:dyDescent="0.3">
      <c r="A266" t="s">
        <v>453</v>
      </c>
      <c r="B266" t="s">
        <v>454</v>
      </c>
      <c r="C266" t="s">
        <v>44</v>
      </c>
      <c r="D266" t="s">
        <v>45</v>
      </c>
      <c r="E266" t="s">
        <v>32</v>
      </c>
      <c r="F266" t="s">
        <v>17</v>
      </c>
      <c r="G266" t="s">
        <v>26</v>
      </c>
      <c r="H266">
        <v>14730</v>
      </c>
      <c r="I266" t="s">
        <v>22</v>
      </c>
      <c r="J266">
        <v>0.1</v>
      </c>
      <c r="K266">
        <v>13000</v>
      </c>
      <c r="L266" s="1">
        <v>45345</v>
      </c>
    </row>
    <row r="267" spans="1:12" x14ac:dyDescent="0.3">
      <c r="A267" t="s">
        <v>455</v>
      </c>
      <c r="B267" t="s">
        <v>241</v>
      </c>
      <c r="C267" t="s">
        <v>44</v>
      </c>
      <c r="D267" t="s">
        <v>45</v>
      </c>
      <c r="E267" t="s">
        <v>46</v>
      </c>
      <c r="F267" t="s">
        <v>25</v>
      </c>
      <c r="G267" t="s">
        <v>18</v>
      </c>
      <c r="H267">
        <v>12321</v>
      </c>
      <c r="I267" t="s">
        <v>19</v>
      </c>
      <c r="J267">
        <v>0.2</v>
      </c>
      <c r="K267">
        <v>13000</v>
      </c>
      <c r="L267" s="1">
        <v>45314</v>
      </c>
    </row>
    <row r="268" spans="1:12" x14ac:dyDescent="0.3">
      <c r="A268" t="s">
        <v>456</v>
      </c>
      <c r="B268" t="s">
        <v>448</v>
      </c>
      <c r="C268" t="s">
        <v>14</v>
      </c>
      <c r="D268" t="s">
        <v>15</v>
      </c>
      <c r="E268" t="s">
        <v>46</v>
      </c>
      <c r="F268" t="s">
        <v>25</v>
      </c>
      <c r="G268" t="s">
        <v>26</v>
      </c>
      <c r="H268">
        <v>15917</v>
      </c>
      <c r="I268" t="s">
        <v>27</v>
      </c>
      <c r="K268">
        <v>14000</v>
      </c>
      <c r="L268" s="1">
        <v>45309</v>
      </c>
    </row>
    <row r="269" spans="1:12" x14ac:dyDescent="0.3">
      <c r="A269" t="s">
        <v>457</v>
      </c>
      <c r="B269" t="s">
        <v>113</v>
      </c>
      <c r="C269" t="s">
        <v>30</v>
      </c>
      <c r="D269" t="s">
        <v>31</v>
      </c>
      <c r="E269" t="s">
        <v>16</v>
      </c>
      <c r="F269" t="s">
        <v>39</v>
      </c>
      <c r="G269" t="s">
        <v>18</v>
      </c>
      <c r="H269">
        <v>17058</v>
      </c>
      <c r="I269" t="s">
        <v>19</v>
      </c>
      <c r="J269">
        <v>0.2</v>
      </c>
      <c r="K269">
        <v>17000</v>
      </c>
      <c r="L269" s="1">
        <v>45329</v>
      </c>
    </row>
    <row r="270" spans="1:12" x14ac:dyDescent="0.3">
      <c r="A270" t="s">
        <v>458</v>
      </c>
      <c r="B270" t="s">
        <v>373</v>
      </c>
      <c r="C270" t="s">
        <v>44</v>
      </c>
      <c r="D270" t="s">
        <v>45</v>
      </c>
      <c r="E270" t="s">
        <v>16</v>
      </c>
      <c r="F270" t="s">
        <v>39</v>
      </c>
      <c r="G270" t="s">
        <v>26</v>
      </c>
      <c r="H270">
        <v>14694</v>
      </c>
      <c r="I270" t="s">
        <v>27</v>
      </c>
      <c r="K270">
        <v>13000</v>
      </c>
      <c r="L270" s="1">
        <v>45313</v>
      </c>
    </row>
    <row r="271" spans="1:12" x14ac:dyDescent="0.3">
      <c r="A271" t="s">
        <v>459</v>
      </c>
      <c r="B271" t="s">
        <v>460</v>
      </c>
      <c r="C271" t="s">
        <v>14</v>
      </c>
      <c r="D271" t="s">
        <v>15</v>
      </c>
      <c r="E271" t="s">
        <v>32</v>
      </c>
      <c r="F271" t="s">
        <v>25</v>
      </c>
      <c r="G271" t="s">
        <v>18</v>
      </c>
      <c r="H271">
        <v>15885</v>
      </c>
      <c r="I271" t="s">
        <v>27</v>
      </c>
      <c r="K271">
        <v>14000</v>
      </c>
      <c r="L271" s="1">
        <v>45308</v>
      </c>
    </row>
    <row r="272" spans="1:12" x14ac:dyDescent="0.3">
      <c r="A272" t="s">
        <v>461</v>
      </c>
      <c r="B272" t="s">
        <v>239</v>
      </c>
      <c r="C272" t="s">
        <v>61</v>
      </c>
      <c r="D272" t="s">
        <v>62</v>
      </c>
      <c r="E272" t="s">
        <v>16</v>
      </c>
      <c r="F272" t="s">
        <v>39</v>
      </c>
      <c r="G272" t="s">
        <v>18</v>
      </c>
      <c r="H272">
        <v>9039</v>
      </c>
      <c r="I272" t="s">
        <v>27</v>
      </c>
      <c r="K272">
        <v>9000</v>
      </c>
      <c r="L272" s="1">
        <v>45310</v>
      </c>
    </row>
    <row r="273" spans="1:12" x14ac:dyDescent="0.3">
      <c r="A273" t="s">
        <v>462</v>
      </c>
      <c r="B273" t="s">
        <v>278</v>
      </c>
      <c r="C273" t="s">
        <v>61</v>
      </c>
      <c r="D273" t="s">
        <v>62</v>
      </c>
      <c r="E273" t="s">
        <v>32</v>
      </c>
      <c r="F273" t="s">
        <v>39</v>
      </c>
      <c r="G273" t="s">
        <v>36</v>
      </c>
      <c r="H273">
        <v>8218</v>
      </c>
      <c r="K273">
        <v>9000</v>
      </c>
      <c r="L273" s="1">
        <v>45296</v>
      </c>
    </row>
    <row r="274" spans="1:12" x14ac:dyDescent="0.3">
      <c r="A274" t="s">
        <v>463</v>
      </c>
      <c r="B274" t="s">
        <v>464</v>
      </c>
      <c r="C274" t="s">
        <v>44</v>
      </c>
      <c r="D274" t="s">
        <v>45</v>
      </c>
      <c r="E274" t="s">
        <v>46</v>
      </c>
      <c r="F274" t="s">
        <v>17</v>
      </c>
      <c r="G274" t="s">
        <v>36</v>
      </c>
      <c r="H274">
        <v>12902</v>
      </c>
      <c r="I274" t="s">
        <v>19</v>
      </c>
      <c r="J274">
        <v>0.2</v>
      </c>
      <c r="K274">
        <v>13000</v>
      </c>
      <c r="L274" s="1">
        <v>45313</v>
      </c>
    </row>
    <row r="275" spans="1:12" x14ac:dyDescent="0.3">
      <c r="A275" t="s">
        <v>465</v>
      </c>
      <c r="B275" t="s">
        <v>373</v>
      </c>
      <c r="C275" t="s">
        <v>30</v>
      </c>
      <c r="D275" t="s">
        <v>31</v>
      </c>
      <c r="E275" t="s">
        <v>16</v>
      </c>
      <c r="F275" t="s">
        <v>17</v>
      </c>
      <c r="G275" t="s">
        <v>26</v>
      </c>
      <c r="H275">
        <v>18525</v>
      </c>
      <c r="I275" t="s">
        <v>33</v>
      </c>
      <c r="J275">
        <v>0.3</v>
      </c>
      <c r="K275">
        <v>17000</v>
      </c>
      <c r="L275" s="1">
        <v>45317</v>
      </c>
    </row>
    <row r="276" spans="1:12" x14ac:dyDescent="0.3">
      <c r="A276" t="s">
        <v>466</v>
      </c>
      <c r="B276" t="s">
        <v>135</v>
      </c>
      <c r="C276" t="s">
        <v>30</v>
      </c>
      <c r="D276" t="s">
        <v>31</v>
      </c>
      <c r="E276" t="s">
        <v>16</v>
      </c>
      <c r="F276" t="s">
        <v>39</v>
      </c>
      <c r="G276" t="s">
        <v>18</v>
      </c>
      <c r="H276">
        <v>16307</v>
      </c>
      <c r="I276" t="s">
        <v>19</v>
      </c>
      <c r="J276">
        <v>0.2</v>
      </c>
      <c r="K276">
        <v>17000</v>
      </c>
      <c r="L276" s="1">
        <v>45321</v>
      </c>
    </row>
    <row r="277" spans="1:12" x14ac:dyDescent="0.3">
      <c r="A277" t="s">
        <v>467</v>
      </c>
      <c r="B277" t="s">
        <v>263</v>
      </c>
      <c r="C277" t="s">
        <v>61</v>
      </c>
      <c r="D277" t="s">
        <v>62</v>
      </c>
      <c r="E277" t="s">
        <v>32</v>
      </c>
      <c r="F277" t="s">
        <v>25</v>
      </c>
      <c r="G277" t="s">
        <v>18</v>
      </c>
      <c r="H277">
        <v>7207</v>
      </c>
      <c r="I277" t="s">
        <v>33</v>
      </c>
      <c r="J277">
        <v>0.3</v>
      </c>
      <c r="K277">
        <v>9000</v>
      </c>
      <c r="L277" s="1">
        <v>45352</v>
      </c>
    </row>
    <row r="278" spans="1:12" x14ac:dyDescent="0.3">
      <c r="A278" t="s">
        <v>468</v>
      </c>
      <c r="B278" t="s">
        <v>309</v>
      </c>
      <c r="C278" t="s">
        <v>61</v>
      </c>
      <c r="D278" t="s">
        <v>62</v>
      </c>
      <c r="E278" t="s">
        <v>32</v>
      </c>
      <c r="F278" t="s">
        <v>25</v>
      </c>
      <c r="G278" t="s">
        <v>36</v>
      </c>
      <c r="H278">
        <v>10824</v>
      </c>
      <c r="I278" t="s">
        <v>27</v>
      </c>
      <c r="K278">
        <v>9000</v>
      </c>
      <c r="L278" s="1">
        <v>45338</v>
      </c>
    </row>
    <row r="279" spans="1:12" x14ac:dyDescent="0.3">
      <c r="A279" t="s">
        <v>469</v>
      </c>
      <c r="B279" t="s">
        <v>408</v>
      </c>
      <c r="C279" t="s">
        <v>44</v>
      </c>
      <c r="D279" t="s">
        <v>45</v>
      </c>
      <c r="E279" t="s">
        <v>46</v>
      </c>
      <c r="F279" t="s">
        <v>39</v>
      </c>
      <c r="G279" t="s">
        <v>36</v>
      </c>
      <c r="H279">
        <v>13042</v>
      </c>
      <c r="I279" t="s">
        <v>33</v>
      </c>
      <c r="J279">
        <v>0.3</v>
      </c>
      <c r="K279">
        <v>13000</v>
      </c>
      <c r="L279" s="1">
        <v>45323</v>
      </c>
    </row>
    <row r="280" spans="1:12" x14ac:dyDescent="0.3">
      <c r="A280" t="s">
        <v>470</v>
      </c>
      <c r="B280" t="s">
        <v>76</v>
      </c>
      <c r="C280" t="s">
        <v>61</v>
      </c>
      <c r="D280" t="s">
        <v>62</v>
      </c>
      <c r="E280" t="s">
        <v>16</v>
      </c>
      <c r="F280" t="s">
        <v>17</v>
      </c>
      <c r="G280" t="s">
        <v>18</v>
      </c>
      <c r="H280">
        <v>7881</v>
      </c>
      <c r="I280" t="s">
        <v>27</v>
      </c>
      <c r="K280">
        <v>9000</v>
      </c>
      <c r="L280" s="1">
        <v>45314</v>
      </c>
    </row>
    <row r="281" spans="1:12" x14ac:dyDescent="0.3">
      <c r="A281" t="s">
        <v>471</v>
      </c>
      <c r="B281" t="s">
        <v>161</v>
      </c>
      <c r="C281" t="s">
        <v>30</v>
      </c>
      <c r="D281" t="s">
        <v>31</v>
      </c>
      <c r="E281" t="s">
        <v>46</v>
      </c>
      <c r="F281" t="s">
        <v>39</v>
      </c>
      <c r="G281" t="s">
        <v>26</v>
      </c>
      <c r="H281">
        <v>17754</v>
      </c>
      <c r="K281">
        <v>17000</v>
      </c>
      <c r="L281" s="1">
        <v>45310</v>
      </c>
    </row>
    <row r="282" spans="1:12" x14ac:dyDescent="0.3">
      <c r="A282" t="s">
        <v>472</v>
      </c>
      <c r="B282" t="s">
        <v>184</v>
      </c>
      <c r="C282" t="s">
        <v>14</v>
      </c>
      <c r="D282" t="s">
        <v>15</v>
      </c>
      <c r="E282" t="s">
        <v>46</v>
      </c>
      <c r="F282" t="s">
        <v>25</v>
      </c>
      <c r="G282" t="s">
        <v>36</v>
      </c>
      <c r="H282">
        <v>14979</v>
      </c>
      <c r="I282" t="s">
        <v>33</v>
      </c>
      <c r="J282">
        <v>0.3</v>
      </c>
      <c r="K282">
        <v>14000</v>
      </c>
      <c r="L282" s="1">
        <v>45340</v>
      </c>
    </row>
    <row r="283" spans="1:12" x14ac:dyDescent="0.3">
      <c r="A283" t="s">
        <v>473</v>
      </c>
      <c r="B283" t="s">
        <v>474</v>
      </c>
      <c r="C283" t="s">
        <v>14</v>
      </c>
      <c r="D283" t="s">
        <v>15</v>
      </c>
      <c r="E283" t="s">
        <v>46</v>
      </c>
      <c r="F283" t="s">
        <v>25</v>
      </c>
      <c r="G283" t="s">
        <v>26</v>
      </c>
      <c r="H283">
        <v>14301</v>
      </c>
      <c r="I283" t="s">
        <v>19</v>
      </c>
      <c r="J283">
        <v>0.2</v>
      </c>
      <c r="K283">
        <v>14000</v>
      </c>
      <c r="L283" s="1">
        <v>45315</v>
      </c>
    </row>
    <row r="284" spans="1:12" x14ac:dyDescent="0.3">
      <c r="A284" t="s">
        <v>475</v>
      </c>
      <c r="B284" t="s">
        <v>448</v>
      </c>
      <c r="C284" t="s">
        <v>14</v>
      </c>
      <c r="D284" t="s">
        <v>15</v>
      </c>
      <c r="E284" t="s">
        <v>46</v>
      </c>
      <c r="F284" t="s">
        <v>39</v>
      </c>
      <c r="G284" t="s">
        <v>36</v>
      </c>
      <c r="H284">
        <v>15130</v>
      </c>
      <c r="I284" t="s">
        <v>27</v>
      </c>
      <c r="K284">
        <v>14000</v>
      </c>
      <c r="L284" s="1">
        <v>45309</v>
      </c>
    </row>
    <row r="285" spans="1:12" x14ac:dyDescent="0.3">
      <c r="A285" t="s">
        <v>476</v>
      </c>
      <c r="B285" t="s">
        <v>460</v>
      </c>
      <c r="C285" t="s">
        <v>14</v>
      </c>
      <c r="D285" t="s">
        <v>15</v>
      </c>
      <c r="E285" t="s">
        <v>32</v>
      </c>
      <c r="F285" t="s">
        <v>25</v>
      </c>
      <c r="G285" t="s">
        <v>36</v>
      </c>
      <c r="H285">
        <v>13528</v>
      </c>
      <c r="I285" t="s">
        <v>33</v>
      </c>
      <c r="J285">
        <v>0.3</v>
      </c>
      <c r="K285">
        <v>14000</v>
      </c>
      <c r="L285" s="1">
        <v>45327</v>
      </c>
    </row>
    <row r="286" spans="1:12" x14ac:dyDescent="0.3">
      <c r="A286" t="s">
        <v>477</v>
      </c>
      <c r="B286" t="s">
        <v>478</v>
      </c>
      <c r="C286" t="s">
        <v>44</v>
      </c>
      <c r="D286" t="s">
        <v>45</v>
      </c>
      <c r="E286" t="s">
        <v>32</v>
      </c>
      <c r="F286" t="s">
        <v>39</v>
      </c>
      <c r="G286" t="s">
        <v>26</v>
      </c>
      <c r="H286">
        <v>12644</v>
      </c>
      <c r="I286" t="s">
        <v>27</v>
      </c>
      <c r="K286">
        <v>13000</v>
      </c>
      <c r="L286" s="1">
        <v>45294</v>
      </c>
    </row>
    <row r="287" spans="1:12" x14ac:dyDescent="0.3">
      <c r="A287" t="s">
        <v>479</v>
      </c>
      <c r="B287" t="s">
        <v>161</v>
      </c>
      <c r="C287" t="s">
        <v>44</v>
      </c>
      <c r="D287" t="s">
        <v>45</v>
      </c>
      <c r="E287" t="s">
        <v>16</v>
      </c>
      <c r="F287" t="s">
        <v>17</v>
      </c>
      <c r="G287" t="s">
        <v>36</v>
      </c>
      <c r="H287">
        <v>13127</v>
      </c>
      <c r="K287">
        <v>13000</v>
      </c>
      <c r="L287" s="1">
        <v>45301</v>
      </c>
    </row>
    <row r="288" spans="1:12" x14ac:dyDescent="0.3">
      <c r="A288" t="s">
        <v>480</v>
      </c>
      <c r="B288" t="s">
        <v>86</v>
      </c>
      <c r="C288" t="s">
        <v>44</v>
      </c>
      <c r="D288" t="s">
        <v>45</v>
      </c>
      <c r="E288" t="s">
        <v>46</v>
      </c>
      <c r="F288" t="s">
        <v>39</v>
      </c>
      <c r="G288" t="s">
        <v>36</v>
      </c>
      <c r="H288">
        <v>11665</v>
      </c>
      <c r="K288">
        <v>13000</v>
      </c>
      <c r="L288" s="1">
        <v>45331</v>
      </c>
    </row>
    <row r="289" spans="1:12" x14ac:dyDescent="0.3">
      <c r="A289" t="s">
        <v>481</v>
      </c>
      <c r="B289" t="s">
        <v>371</v>
      </c>
      <c r="C289" t="s">
        <v>30</v>
      </c>
      <c r="D289" t="s">
        <v>31</v>
      </c>
      <c r="E289" t="s">
        <v>16</v>
      </c>
      <c r="F289" t="s">
        <v>17</v>
      </c>
      <c r="G289" t="s">
        <v>26</v>
      </c>
      <c r="H289">
        <v>18392</v>
      </c>
      <c r="I289" t="s">
        <v>27</v>
      </c>
      <c r="K289">
        <v>17000</v>
      </c>
      <c r="L289" s="1">
        <v>45326</v>
      </c>
    </row>
    <row r="290" spans="1:12" x14ac:dyDescent="0.3">
      <c r="A290" t="s">
        <v>482</v>
      </c>
      <c r="B290" t="s">
        <v>483</v>
      </c>
      <c r="C290" t="s">
        <v>30</v>
      </c>
      <c r="D290" t="s">
        <v>31</v>
      </c>
      <c r="E290" t="s">
        <v>46</v>
      </c>
      <c r="F290" t="s">
        <v>25</v>
      </c>
      <c r="G290" t="s">
        <v>36</v>
      </c>
      <c r="H290">
        <v>16356</v>
      </c>
      <c r="I290" t="s">
        <v>22</v>
      </c>
      <c r="J290">
        <v>0.1</v>
      </c>
      <c r="K290">
        <v>17000</v>
      </c>
      <c r="L290" s="1">
        <v>45318</v>
      </c>
    </row>
    <row r="291" spans="1:12" x14ac:dyDescent="0.3">
      <c r="A291" t="s">
        <v>484</v>
      </c>
      <c r="B291" t="s">
        <v>291</v>
      </c>
      <c r="C291" t="s">
        <v>14</v>
      </c>
      <c r="D291" t="s">
        <v>15</v>
      </c>
      <c r="E291" t="s">
        <v>16</v>
      </c>
      <c r="F291" t="s">
        <v>17</v>
      </c>
      <c r="G291" t="s">
        <v>36</v>
      </c>
      <c r="H291">
        <v>15961</v>
      </c>
      <c r="I291" t="s">
        <v>27</v>
      </c>
      <c r="K291">
        <v>14000</v>
      </c>
      <c r="L291" s="1">
        <v>45328</v>
      </c>
    </row>
    <row r="292" spans="1:12" x14ac:dyDescent="0.3">
      <c r="A292" t="s">
        <v>485</v>
      </c>
      <c r="B292" t="s">
        <v>220</v>
      </c>
      <c r="C292" t="s">
        <v>14</v>
      </c>
      <c r="D292" t="s">
        <v>15</v>
      </c>
      <c r="E292" t="s">
        <v>16</v>
      </c>
      <c r="F292" t="s">
        <v>17</v>
      </c>
      <c r="G292" t="s">
        <v>18</v>
      </c>
      <c r="H292">
        <v>14147</v>
      </c>
      <c r="I292" t="s">
        <v>27</v>
      </c>
      <c r="K292">
        <v>14000</v>
      </c>
      <c r="L292" s="1">
        <v>45341</v>
      </c>
    </row>
    <row r="293" spans="1:12" x14ac:dyDescent="0.3">
      <c r="A293" t="s">
        <v>486</v>
      </c>
      <c r="B293" t="s">
        <v>487</v>
      </c>
      <c r="C293" t="s">
        <v>44</v>
      </c>
      <c r="D293" t="s">
        <v>45</v>
      </c>
      <c r="E293" t="s">
        <v>16</v>
      </c>
      <c r="F293" t="s">
        <v>25</v>
      </c>
      <c r="G293" t="s">
        <v>18</v>
      </c>
      <c r="H293">
        <v>13345</v>
      </c>
      <c r="I293" t="s">
        <v>22</v>
      </c>
      <c r="J293">
        <v>0.1</v>
      </c>
      <c r="K293">
        <v>13000</v>
      </c>
      <c r="L293" s="1">
        <v>45304</v>
      </c>
    </row>
    <row r="294" spans="1:12" x14ac:dyDescent="0.3">
      <c r="A294" t="s">
        <v>488</v>
      </c>
      <c r="B294" t="s">
        <v>489</v>
      </c>
      <c r="C294" t="s">
        <v>30</v>
      </c>
      <c r="D294" t="s">
        <v>31</v>
      </c>
      <c r="E294" t="s">
        <v>46</v>
      </c>
      <c r="F294" t="s">
        <v>25</v>
      </c>
      <c r="G294" t="s">
        <v>36</v>
      </c>
      <c r="H294">
        <v>17828</v>
      </c>
      <c r="I294" t="s">
        <v>19</v>
      </c>
      <c r="J294">
        <v>0.2</v>
      </c>
      <c r="K294">
        <v>17000</v>
      </c>
      <c r="L294" s="1">
        <v>45318</v>
      </c>
    </row>
    <row r="295" spans="1:12" x14ac:dyDescent="0.3">
      <c r="A295" t="s">
        <v>490</v>
      </c>
      <c r="B295" t="s">
        <v>82</v>
      </c>
      <c r="C295" t="s">
        <v>61</v>
      </c>
      <c r="D295" t="s">
        <v>62</v>
      </c>
      <c r="E295" t="s">
        <v>16</v>
      </c>
      <c r="F295" t="s">
        <v>39</v>
      </c>
      <c r="G295" t="s">
        <v>18</v>
      </c>
      <c r="H295">
        <v>9890</v>
      </c>
      <c r="I295" t="s">
        <v>19</v>
      </c>
      <c r="J295">
        <v>0.2</v>
      </c>
      <c r="K295">
        <v>9000</v>
      </c>
      <c r="L295" s="1">
        <v>45325</v>
      </c>
    </row>
    <row r="296" spans="1:12" x14ac:dyDescent="0.3">
      <c r="A296" t="s">
        <v>491</v>
      </c>
      <c r="B296" t="s">
        <v>24</v>
      </c>
      <c r="C296" t="s">
        <v>30</v>
      </c>
      <c r="D296" t="s">
        <v>31</v>
      </c>
      <c r="E296" t="s">
        <v>16</v>
      </c>
      <c r="F296" t="s">
        <v>17</v>
      </c>
      <c r="G296" t="s">
        <v>26</v>
      </c>
      <c r="H296">
        <v>16543</v>
      </c>
      <c r="I296" t="s">
        <v>33</v>
      </c>
      <c r="J296">
        <v>0.3</v>
      </c>
      <c r="K296">
        <v>17000</v>
      </c>
      <c r="L296" s="1">
        <v>45303</v>
      </c>
    </row>
    <row r="297" spans="1:12" x14ac:dyDescent="0.3">
      <c r="A297" t="s">
        <v>492</v>
      </c>
      <c r="B297" t="s">
        <v>330</v>
      </c>
      <c r="C297" t="s">
        <v>30</v>
      </c>
      <c r="D297" t="s">
        <v>31</v>
      </c>
      <c r="E297" t="s">
        <v>16</v>
      </c>
      <c r="F297" t="s">
        <v>17</v>
      </c>
      <c r="G297" t="s">
        <v>26</v>
      </c>
      <c r="H297">
        <v>18162</v>
      </c>
      <c r="I297" t="s">
        <v>33</v>
      </c>
      <c r="J297">
        <v>0.3</v>
      </c>
      <c r="K297">
        <v>17000</v>
      </c>
      <c r="L297" s="1">
        <v>45331</v>
      </c>
    </row>
    <row r="298" spans="1:12" x14ac:dyDescent="0.3">
      <c r="A298" t="s">
        <v>493</v>
      </c>
      <c r="B298" t="s">
        <v>211</v>
      </c>
      <c r="C298" t="s">
        <v>44</v>
      </c>
      <c r="D298" t="s">
        <v>45</v>
      </c>
      <c r="E298" t="s">
        <v>46</v>
      </c>
      <c r="F298" t="s">
        <v>39</v>
      </c>
      <c r="G298" t="s">
        <v>36</v>
      </c>
      <c r="H298">
        <v>11921</v>
      </c>
      <c r="I298" t="s">
        <v>33</v>
      </c>
      <c r="J298">
        <v>0.3</v>
      </c>
      <c r="K298">
        <v>13000</v>
      </c>
      <c r="L298" s="1">
        <v>45341</v>
      </c>
    </row>
    <row r="299" spans="1:12" x14ac:dyDescent="0.3">
      <c r="A299" t="s">
        <v>494</v>
      </c>
      <c r="B299" t="s">
        <v>350</v>
      </c>
      <c r="C299" t="s">
        <v>44</v>
      </c>
      <c r="D299" t="s">
        <v>45</v>
      </c>
      <c r="E299" t="s">
        <v>16</v>
      </c>
      <c r="F299" t="s">
        <v>39</v>
      </c>
      <c r="G299" t="s">
        <v>36</v>
      </c>
      <c r="H299">
        <v>12298</v>
      </c>
      <c r="K299">
        <v>13000</v>
      </c>
      <c r="L299" s="1">
        <v>45314</v>
      </c>
    </row>
    <row r="300" spans="1:12" x14ac:dyDescent="0.3">
      <c r="A300" t="s">
        <v>495</v>
      </c>
      <c r="B300" t="s">
        <v>82</v>
      </c>
      <c r="C300" t="s">
        <v>30</v>
      </c>
      <c r="D300" t="s">
        <v>31</v>
      </c>
      <c r="E300" t="s">
        <v>46</v>
      </c>
      <c r="F300" t="s">
        <v>25</v>
      </c>
      <c r="G300" t="s">
        <v>26</v>
      </c>
      <c r="H300">
        <v>17771</v>
      </c>
      <c r="I300" t="s">
        <v>27</v>
      </c>
      <c r="K300">
        <v>17000</v>
      </c>
      <c r="L300" s="1">
        <v>45316</v>
      </c>
    </row>
    <row r="301" spans="1:12" x14ac:dyDescent="0.3">
      <c r="A301" t="s">
        <v>496</v>
      </c>
      <c r="B301" t="s">
        <v>137</v>
      </c>
      <c r="C301" t="s">
        <v>30</v>
      </c>
      <c r="D301" t="s">
        <v>31</v>
      </c>
      <c r="E301" t="s">
        <v>32</v>
      </c>
      <c r="F301" t="s">
        <v>17</v>
      </c>
      <c r="G301" t="s">
        <v>18</v>
      </c>
      <c r="H301">
        <v>16178</v>
      </c>
      <c r="I301" t="s">
        <v>22</v>
      </c>
      <c r="J301">
        <v>0.1</v>
      </c>
      <c r="K301">
        <v>17000</v>
      </c>
      <c r="L301" s="1">
        <v>45314</v>
      </c>
    </row>
    <row r="302" spans="1:12" x14ac:dyDescent="0.3">
      <c r="A302" t="s">
        <v>497</v>
      </c>
      <c r="B302" t="s">
        <v>445</v>
      </c>
      <c r="C302" t="s">
        <v>30</v>
      </c>
      <c r="D302" t="s">
        <v>31</v>
      </c>
      <c r="E302" t="s">
        <v>16</v>
      </c>
      <c r="F302" t="s">
        <v>17</v>
      </c>
      <c r="G302" t="s">
        <v>18</v>
      </c>
      <c r="H302">
        <v>15827</v>
      </c>
      <c r="I302" t="s">
        <v>27</v>
      </c>
      <c r="K302">
        <v>17000</v>
      </c>
      <c r="L302" s="1">
        <v>45309</v>
      </c>
    </row>
    <row r="303" spans="1:12" x14ac:dyDescent="0.3">
      <c r="A303" t="s">
        <v>498</v>
      </c>
      <c r="B303" t="s">
        <v>84</v>
      </c>
      <c r="C303" t="s">
        <v>30</v>
      </c>
      <c r="D303" t="s">
        <v>31</v>
      </c>
      <c r="E303" t="s">
        <v>32</v>
      </c>
      <c r="F303" t="s">
        <v>25</v>
      </c>
      <c r="G303" t="s">
        <v>26</v>
      </c>
      <c r="H303">
        <v>18034</v>
      </c>
      <c r="I303" t="s">
        <v>27</v>
      </c>
      <c r="K303">
        <v>17000</v>
      </c>
      <c r="L303" s="1">
        <v>45307</v>
      </c>
    </row>
    <row r="304" spans="1:12" x14ac:dyDescent="0.3">
      <c r="A304" t="s">
        <v>499</v>
      </c>
      <c r="B304" t="s">
        <v>500</v>
      </c>
      <c r="C304" t="s">
        <v>44</v>
      </c>
      <c r="D304" t="s">
        <v>45</v>
      </c>
      <c r="E304" t="s">
        <v>16</v>
      </c>
      <c r="F304" t="s">
        <v>25</v>
      </c>
      <c r="G304" t="s">
        <v>18</v>
      </c>
      <c r="H304">
        <v>11410</v>
      </c>
      <c r="K304">
        <v>13000</v>
      </c>
      <c r="L304" s="1">
        <v>45313</v>
      </c>
    </row>
    <row r="305" spans="1:12" x14ac:dyDescent="0.3">
      <c r="A305" t="s">
        <v>501</v>
      </c>
      <c r="B305" t="s">
        <v>334</v>
      </c>
      <c r="C305" t="s">
        <v>14</v>
      </c>
      <c r="D305" t="s">
        <v>15</v>
      </c>
      <c r="E305" t="s">
        <v>16</v>
      </c>
      <c r="F305" t="s">
        <v>25</v>
      </c>
      <c r="G305" t="s">
        <v>18</v>
      </c>
      <c r="H305">
        <v>15950</v>
      </c>
      <c r="I305" t="s">
        <v>27</v>
      </c>
      <c r="K305">
        <v>14000</v>
      </c>
      <c r="L305" s="1">
        <v>45351</v>
      </c>
    </row>
    <row r="306" spans="1:12" x14ac:dyDescent="0.3">
      <c r="A306" t="s">
        <v>502</v>
      </c>
      <c r="B306" t="s">
        <v>363</v>
      </c>
      <c r="C306" t="s">
        <v>61</v>
      </c>
      <c r="D306" t="s">
        <v>62</v>
      </c>
      <c r="E306" t="s">
        <v>46</v>
      </c>
      <c r="F306" t="s">
        <v>39</v>
      </c>
      <c r="G306" t="s">
        <v>18</v>
      </c>
      <c r="H306">
        <v>10096</v>
      </c>
      <c r="I306" t="s">
        <v>33</v>
      </c>
      <c r="J306">
        <v>0.3</v>
      </c>
      <c r="K306">
        <v>9000</v>
      </c>
      <c r="L306" s="1">
        <v>45312</v>
      </c>
    </row>
    <row r="307" spans="1:12" x14ac:dyDescent="0.3">
      <c r="A307" t="s">
        <v>503</v>
      </c>
      <c r="B307" t="s">
        <v>286</v>
      </c>
      <c r="C307" t="s">
        <v>14</v>
      </c>
      <c r="D307" t="s">
        <v>15</v>
      </c>
      <c r="E307" t="s">
        <v>32</v>
      </c>
      <c r="F307" t="s">
        <v>39</v>
      </c>
      <c r="G307" t="s">
        <v>26</v>
      </c>
      <c r="H307">
        <v>12951</v>
      </c>
      <c r="I307" t="s">
        <v>27</v>
      </c>
      <c r="K307">
        <v>14000</v>
      </c>
      <c r="L307" s="1">
        <v>45339</v>
      </c>
    </row>
    <row r="308" spans="1:12" x14ac:dyDescent="0.3">
      <c r="A308" t="s">
        <v>504</v>
      </c>
      <c r="B308" t="s">
        <v>371</v>
      </c>
      <c r="C308" t="s">
        <v>14</v>
      </c>
      <c r="D308" t="s">
        <v>15</v>
      </c>
      <c r="E308" t="s">
        <v>32</v>
      </c>
      <c r="F308" t="s">
        <v>17</v>
      </c>
      <c r="G308" t="s">
        <v>18</v>
      </c>
      <c r="H308">
        <v>15825</v>
      </c>
      <c r="I308" t="s">
        <v>22</v>
      </c>
      <c r="J308">
        <v>0.1</v>
      </c>
      <c r="K308">
        <v>14000</v>
      </c>
      <c r="L308" s="1">
        <v>45345</v>
      </c>
    </row>
    <row r="309" spans="1:12" x14ac:dyDescent="0.3">
      <c r="A309" t="s">
        <v>505</v>
      </c>
      <c r="B309" t="s">
        <v>155</v>
      </c>
      <c r="C309" t="s">
        <v>61</v>
      </c>
      <c r="D309" t="s">
        <v>62</v>
      </c>
      <c r="E309" t="s">
        <v>32</v>
      </c>
      <c r="F309" t="s">
        <v>39</v>
      </c>
      <c r="G309" t="s">
        <v>36</v>
      </c>
      <c r="H309">
        <v>10591</v>
      </c>
      <c r="I309" t="s">
        <v>22</v>
      </c>
      <c r="J309">
        <v>0.1</v>
      </c>
      <c r="K309">
        <v>9000</v>
      </c>
      <c r="L309" s="1">
        <v>45292</v>
      </c>
    </row>
    <row r="310" spans="1:12" x14ac:dyDescent="0.3">
      <c r="A310" t="s">
        <v>506</v>
      </c>
      <c r="B310" t="s">
        <v>118</v>
      </c>
      <c r="C310" t="s">
        <v>14</v>
      </c>
      <c r="D310" t="s">
        <v>15</v>
      </c>
      <c r="E310" t="s">
        <v>46</v>
      </c>
      <c r="F310" t="s">
        <v>17</v>
      </c>
      <c r="G310" t="s">
        <v>36</v>
      </c>
      <c r="H310">
        <v>14626</v>
      </c>
      <c r="I310" t="s">
        <v>27</v>
      </c>
      <c r="K310">
        <v>14000</v>
      </c>
      <c r="L310" s="1">
        <v>45325</v>
      </c>
    </row>
    <row r="311" spans="1:12" x14ac:dyDescent="0.3">
      <c r="A311" t="s">
        <v>507</v>
      </c>
      <c r="B311" t="s">
        <v>508</v>
      </c>
      <c r="C311" t="s">
        <v>61</v>
      </c>
      <c r="D311" t="s">
        <v>62</v>
      </c>
      <c r="E311" t="s">
        <v>46</v>
      </c>
      <c r="F311" t="s">
        <v>25</v>
      </c>
      <c r="G311" t="s">
        <v>18</v>
      </c>
      <c r="H311">
        <v>8354</v>
      </c>
      <c r="I311" t="s">
        <v>19</v>
      </c>
      <c r="J311">
        <v>0.2</v>
      </c>
      <c r="K311">
        <v>9000</v>
      </c>
      <c r="L311" s="1">
        <v>45338</v>
      </c>
    </row>
    <row r="312" spans="1:12" x14ac:dyDescent="0.3">
      <c r="A312" t="s">
        <v>509</v>
      </c>
      <c r="B312" t="s">
        <v>332</v>
      </c>
      <c r="C312" t="s">
        <v>30</v>
      </c>
      <c r="D312" t="s">
        <v>31</v>
      </c>
      <c r="E312" t="s">
        <v>16</v>
      </c>
      <c r="F312" t="s">
        <v>25</v>
      </c>
      <c r="G312" t="s">
        <v>18</v>
      </c>
      <c r="H312">
        <v>18017</v>
      </c>
      <c r="I312" t="s">
        <v>33</v>
      </c>
      <c r="J312">
        <v>0.3</v>
      </c>
      <c r="K312">
        <v>17000</v>
      </c>
      <c r="L312" s="1">
        <v>45342</v>
      </c>
    </row>
    <row r="313" spans="1:12" x14ac:dyDescent="0.3">
      <c r="A313" t="s">
        <v>510</v>
      </c>
      <c r="B313" t="s">
        <v>118</v>
      </c>
      <c r="C313" t="s">
        <v>44</v>
      </c>
      <c r="D313" t="s">
        <v>45</v>
      </c>
      <c r="E313" t="s">
        <v>32</v>
      </c>
      <c r="F313" t="s">
        <v>39</v>
      </c>
      <c r="G313" t="s">
        <v>26</v>
      </c>
      <c r="H313">
        <v>14674</v>
      </c>
      <c r="K313">
        <v>13000</v>
      </c>
      <c r="L313" s="1">
        <v>45344</v>
      </c>
    </row>
    <row r="314" spans="1:12" x14ac:dyDescent="0.3">
      <c r="A314" t="s">
        <v>511</v>
      </c>
      <c r="B314" t="s">
        <v>512</v>
      </c>
      <c r="C314" t="s">
        <v>30</v>
      </c>
      <c r="D314" t="s">
        <v>31</v>
      </c>
      <c r="E314" t="s">
        <v>32</v>
      </c>
      <c r="F314" t="s">
        <v>17</v>
      </c>
      <c r="G314" t="s">
        <v>26</v>
      </c>
      <c r="H314">
        <v>15390</v>
      </c>
      <c r="I314" t="s">
        <v>19</v>
      </c>
      <c r="J314">
        <v>0.2</v>
      </c>
      <c r="K314">
        <v>17000</v>
      </c>
      <c r="L314" s="1">
        <v>45300</v>
      </c>
    </row>
    <row r="315" spans="1:12" x14ac:dyDescent="0.3">
      <c r="A315" t="s">
        <v>513</v>
      </c>
      <c r="B315" t="s">
        <v>188</v>
      </c>
      <c r="C315" t="s">
        <v>44</v>
      </c>
      <c r="D315" t="s">
        <v>45</v>
      </c>
      <c r="E315" t="s">
        <v>32</v>
      </c>
      <c r="F315" t="s">
        <v>17</v>
      </c>
      <c r="G315" t="s">
        <v>36</v>
      </c>
      <c r="H315">
        <v>11964</v>
      </c>
      <c r="K315">
        <v>13000</v>
      </c>
      <c r="L315" s="1">
        <v>45340</v>
      </c>
    </row>
    <row r="316" spans="1:12" x14ac:dyDescent="0.3">
      <c r="A316" t="s">
        <v>514</v>
      </c>
      <c r="B316" t="s">
        <v>131</v>
      </c>
      <c r="C316" t="s">
        <v>30</v>
      </c>
      <c r="D316" t="s">
        <v>31</v>
      </c>
      <c r="E316" t="s">
        <v>16</v>
      </c>
      <c r="F316" t="s">
        <v>39</v>
      </c>
      <c r="G316" t="s">
        <v>26</v>
      </c>
      <c r="H316">
        <v>15046</v>
      </c>
      <c r="I316" t="s">
        <v>33</v>
      </c>
      <c r="J316">
        <v>0.3</v>
      </c>
      <c r="K316">
        <v>17000</v>
      </c>
      <c r="L316" s="1">
        <v>45333</v>
      </c>
    </row>
    <row r="317" spans="1:12" x14ac:dyDescent="0.3">
      <c r="A317" t="s">
        <v>515</v>
      </c>
      <c r="B317" t="s">
        <v>516</v>
      </c>
      <c r="C317" t="s">
        <v>44</v>
      </c>
      <c r="D317" t="s">
        <v>45</v>
      </c>
      <c r="E317" t="s">
        <v>32</v>
      </c>
      <c r="F317" t="s">
        <v>39</v>
      </c>
      <c r="G317" t="s">
        <v>18</v>
      </c>
      <c r="H317">
        <v>12906</v>
      </c>
      <c r="I317" t="s">
        <v>33</v>
      </c>
      <c r="J317">
        <v>0.3</v>
      </c>
      <c r="K317">
        <v>13000</v>
      </c>
      <c r="L317" s="1">
        <v>45302</v>
      </c>
    </row>
    <row r="318" spans="1:12" x14ac:dyDescent="0.3">
      <c r="A318" t="s">
        <v>517</v>
      </c>
      <c r="B318" t="s">
        <v>274</v>
      </c>
      <c r="C318" t="s">
        <v>30</v>
      </c>
      <c r="D318" t="s">
        <v>31</v>
      </c>
      <c r="E318" t="s">
        <v>16</v>
      </c>
      <c r="F318" t="s">
        <v>25</v>
      </c>
      <c r="G318" t="s">
        <v>26</v>
      </c>
      <c r="H318">
        <v>18752</v>
      </c>
      <c r="I318" t="s">
        <v>33</v>
      </c>
      <c r="J318">
        <v>0.3</v>
      </c>
      <c r="K318">
        <v>17000</v>
      </c>
      <c r="L318" s="1">
        <v>45315</v>
      </c>
    </row>
    <row r="319" spans="1:12" x14ac:dyDescent="0.3">
      <c r="A319" t="s">
        <v>518</v>
      </c>
      <c r="B319" t="s">
        <v>519</v>
      </c>
      <c r="C319" t="s">
        <v>44</v>
      </c>
      <c r="D319" t="s">
        <v>45</v>
      </c>
      <c r="E319" t="s">
        <v>32</v>
      </c>
      <c r="F319" t="s">
        <v>17</v>
      </c>
      <c r="G319" t="s">
        <v>18</v>
      </c>
      <c r="H319">
        <v>12863</v>
      </c>
      <c r="I319" t="s">
        <v>27</v>
      </c>
      <c r="K319">
        <v>13000</v>
      </c>
      <c r="L319" s="1">
        <v>45315</v>
      </c>
    </row>
    <row r="320" spans="1:12" x14ac:dyDescent="0.3">
      <c r="A320" t="s">
        <v>520</v>
      </c>
      <c r="B320" t="s">
        <v>101</v>
      </c>
      <c r="C320" t="s">
        <v>61</v>
      </c>
      <c r="D320" t="s">
        <v>62</v>
      </c>
      <c r="E320" t="s">
        <v>16</v>
      </c>
      <c r="F320" t="s">
        <v>39</v>
      </c>
      <c r="G320" t="s">
        <v>18</v>
      </c>
      <c r="H320">
        <v>10120</v>
      </c>
      <c r="I320" t="s">
        <v>19</v>
      </c>
      <c r="J320">
        <v>0.2</v>
      </c>
      <c r="K320">
        <v>9000</v>
      </c>
      <c r="L320" s="1">
        <v>45335</v>
      </c>
    </row>
    <row r="321" spans="1:12" x14ac:dyDescent="0.3">
      <c r="A321" t="s">
        <v>521</v>
      </c>
      <c r="B321" t="s">
        <v>522</v>
      </c>
      <c r="C321" t="s">
        <v>14</v>
      </c>
      <c r="D321" t="s">
        <v>15</v>
      </c>
      <c r="E321" t="s">
        <v>16</v>
      </c>
      <c r="F321" t="s">
        <v>17</v>
      </c>
      <c r="G321" t="s">
        <v>26</v>
      </c>
      <c r="H321">
        <v>14882</v>
      </c>
      <c r="I321" t="s">
        <v>33</v>
      </c>
      <c r="J321">
        <v>0.3</v>
      </c>
      <c r="K321">
        <v>14000</v>
      </c>
      <c r="L321" s="1">
        <v>45296</v>
      </c>
    </row>
    <row r="322" spans="1:12" x14ac:dyDescent="0.3">
      <c r="A322" t="s">
        <v>523</v>
      </c>
      <c r="B322" t="s">
        <v>60</v>
      </c>
      <c r="C322" t="s">
        <v>14</v>
      </c>
      <c r="D322" t="s">
        <v>15</v>
      </c>
      <c r="E322" t="s">
        <v>32</v>
      </c>
      <c r="F322" t="s">
        <v>39</v>
      </c>
      <c r="G322" t="s">
        <v>26</v>
      </c>
      <c r="H322">
        <v>12828</v>
      </c>
      <c r="I322" t="s">
        <v>27</v>
      </c>
      <c r="K322">
        <v>14000</v>
      </c>
      <c r="L322" s="1">
        <v>45326</v>
      </c>
    </row>
    <row r="323" spans="1:12" x14ac:dyDescent="0.3">
      <c r="A323" t="s">
        <v>524</v>
      </c>
      <c r="B323" t="s">
        <v>175</v>
      </c>
      <c r="C323" t="s">
        <v>30</v>
      </c>
      <c r="D323" t="s">
        <v>31</v>
      </c>
      <c r="E323" t="s">
        <v>16</v>
      </c>
      <c r="F323" t="s">
        <v>17</v>
      </c>
      <c r="G323" t="s">
        <v>18</v>
      </c>
      <c r="H323">
        <v>17786</v>
      </c>
      <c r="I323" t="s">
        <v>19</v>
      </c>
      <c r="J323">
        <v>0.2</v>
      </c>
      <c r="K323">
        <v>17000</v>
      </c>
      <c r="L323" s="1">
        <v>45337</v>
      </c>
    </row>
    <row r="324" spans="1:12" x14ac:dyDescent="0.3">
      <c r="A324" t="s">
        <v>525</v>
      </c>
      <c r="B324" t="s">
        <v>356</v>
      </c>
      <c r="C324" t="s">
        <v>14</v>
      </c>
      <c r="D324" t="s">
        <v>15</v>
      </c>
      <c r="E324" t="s">
        <v>16</v>
      </c>
      <c r="F324" t="s">
        <v>17</v>
      </c>
      <c r="G324" t="s">
        <v>18</v>
      </c>
      <c r="H324">
        <v>13857</v>
      </c>
      <c r="I324" t="s">
        <v>19</v>
      </c>
      <c r="J324">
        <v>0.2</v>
      </c>
      <c r="K324">
        <v>14000</v>
      </c>
      <c r="L324" s="1">
        <v>45324</v>
      </c>
    </row>
    <row r="325" spans="1:12" x14ac:dyDescent="0.3">
      <c r="A325" t="s">
        <v>526</v>
      </c>
      <c r="B325" t="s">
        <v>527</v>
      </c>
      <c r="C325" t="s">
        <v>14</v>
      </c>
      <c r="D325" t="s">
        <v>15</v>
      </c>
      <c r="E325" t="s">
        <v>16</v>
      </c>
      <c r="F325" t="s">
        <v>17</v>
      </c>
      <c r="G325" t="s">
        <v>26</v>
      </c>
      <c r="H325">
        <v>15305</v>
      </c>
      <c r="I325" t="s">
        <v>33</v>
      </c>
      <c r="J325">
        <v>0.3</v>
      </c>
      <c r="K325">
        <v>14000</v>
      </c>
      <c r="L325" s="1">
        <v>45338</v>
      </c>
    </row>
    <row r="326" spans="1:12" x14ac:dyDescent="0.3">
      <c r="A326" t="s">
        <v>528</v>
      </c>
      <c r="B326" t="s">
        <v>406</v>
      </c>
      <c r="C326" t="s">
        <v>30</v>
      </c>
      <c r="D326" t="s">
        <v>31</v>
      </c>
      <c r="E326" t="s">
        <v>32</v>
      </c>
      <c r="F326" t="s">
        <v>39</v>
      </c>
      <c r="G326" t="s">
        <v>18</v>
      </c>
      <c r="H326">
        <v>17368</v>
      </c>
      <c r="I326" t="s">
        <v>22</v>
      </c>
      <c r="J326">
        <v>0.1</v>
      </c>
      <c r="K326">
        <v>17000</v>
      </c>
      <c r="L326" s="1">
        <v>45294</v>
      </c>
    </row>
    <row r="327" spans="1:12" x14ac:dyDescent="0.3">
      <c r="A327" t="s">
        <v>529</v>
      </c>
      <c r="B327" t="s">
        <v>474</v>
      </c>
      <c r="C327" t="s">
        <v>14</v>
      </c>
      <c r="D327" t="s">
        <v>15</v>
      </c>
      <c r="E327" t="s">
        <v>16</v>
      </c>
      <c r="F327" t="s">
        <v>25</v>
      </c>
      <c r="G327" t="s">
        <v>18</v>
      </c>
      <c r="H327">
        <v>15824</v>
      </c>
      <c r="K327">
        <v>14000</v>
      </c>
      <c r="L327" s="1">
        <v>45294</v>
      </c>
    </row>
    <row r="328" spans="1:12" x14ac:dyDescent="0.3">
      <c r="A328" t="s">
        <v>530</v>
      </c>
      <c r="B328" t="s">
        <v>70</v>
      </c>
      <c r="C328" t="s">
        <v>44</v>
      </c>
      <c r="D328" t="s">
        <v>45</v>
      </c>
      <c r="E328" t="s">
        <v>32</v>
      </c>
      <c r="F328" t="s">
        <v>39</v>
      </c>
      <c r="G328" t="s">
        <v>26</v>
      </c>
      <c r="H328">
        <v>13645</v>
      </c>
      <c r="K328">
        <v>13000</v>
      </c>
      <c r="L328" s="1">
        <v>45315</v>
      </c>
    </row>
    <row r="329" spans="1:12" x14ac:dyDescent="0.3">
      <c r="A329" t="s">
        <v>531</v>
      </c>
      <c r="B329" t="s">
        <v>137</v>
      </c>
      <c r="C329" t="s">
        <v>61</v>
      </c>
      <c r="D329" t="s">
        <v>62</v>
      </c>
      <c r="E329" t="s">
        <v>46</v>
      </c>
      <c r="F329" t="s">
        <v>17</v>
      </c>
      <c r="G329" t="s">
        <v>18</v>
      </c>
      <c r="H329">
        <v>9796</v>
      </c>
      <c r="I329" t="s">
        <v>27</v>
      </c>
      <c r="K329">
        <v>9000</v>
      </c>
      <c r="L329" s="1">
        <v>45300</v>
      </c>
    </row>
    <row r="330" spans="1:12" x14ac:dyDescent="0.3">
      <c r="A330" t="s">
        <v>532</v>
      </c>
      <c r="B330" t="s">
        <v>204</v>
      </c>
      <c r="C330" t="s">
        <v>30</v>
      </c>
      <c r="D330" t="s">
        <v>31</v>
      </c>
      <c r="E330" t="s">
        <v>32</v>
      </c>
      <c r="F330" t="s">
        <v>25</v>
      </c>
      <c r="G330" t="s">
        <v>26</v>
      </c>
      <c r="H330">
        <v>16609</v>
      </c>
      <c r="I330" t="s">
        <v>27</v>
      </c>
      <c r="K330">
        <v>17000</v>
      </c>
      <c r="L330" s="1">
        <v>45300</v>
      </c>
    </row>
    <row r="331" spans="1:12" x14ac:dyDescent="0.3">
      <c r="A331" t="s">
        <v>533</v>
      </c>
      <c r="B331" t="s">
        <v>397</v>
      </c>
      <c r="C331" t="s">
        <v>14</v>
      </c>
      <c r="D331" t="s">
        <v>15</v>
      </c>
      <c r="E331" t="s">
        <v>32</v>
      </c>
      <c r="F331" t="s">
        <v>17</v>
      </c>
      <c r="G331" t="s">
        <v>36</v>
      </c>
      <c r="H331">
        <v>14758</v>
      </c>
      <c r="I331" t="s">
        <v>27</v>
      </c>
      <c r="K331">
        <v>14000</v>
      </c>
      <c r="L331" s="1">
        <v>45319</v>
      </c>
    </row>
    <row r="332" spans="1:12" x14ac:dyDescent="0.3">
      <c r="A332" t="s">
        <v>534</v>
      </c>
      <c r="B332" t="s">
        <v>388</v>
      </c>
      <c r="C332" t="s">
        <v>44</v>
      </c>
      <c r="D332" t="s">
        <v>45</v>
      </c>
      <c r="E332" t="s">
        <v>32</v>
      </c>
      <c r="F332" t="s">
        <v>17</v>
      </c>
      <c r="G332" t="s">
        <v>36</v>
      </c>
      <c r="H332">
        <v>11635</v>
      </c>
      <c r="I332" t="s">
        <v>33</v>
      </c>
      <c r="J332">
        <v>0.3</v>
      </c>
      <c r="K332">
        <v>13000</v>
      </c>
      <c r="L332" s="1">
        <v>45304</v>
      </c>
    </row>
    <row r="333" spans="1:12" x14ac:dyDescent="0.3">
      <c r="A333" t="s">
        <v>535</v>
      </c>
      <c r="B333" t="s">
        <v>260</v>
      </c>
      <c r="C333" t="s">
        <v>14</v>
      </c>
      <c r="D333" t="s">
        <v>15</v>
      </c>
      <c r="E333" t="s">
        <v>32</v>
      </c>
      <c r="F333" t="s">
        <v>39</v>
      </c>
      <c r="G333" t="s">
        <v>36</v>
      </c>
      <c r="H333">
        <v>14518</v>
      </c>
      <c r="I333" t="s">
        <v>22</v>
      </c>
      <c r="J333">
        <v>0.1</v>
      </c>
      <c r="K333">
        <v>14000</v>
      </c>
      <c r="L333" s="1">
        <v>45307</v>
      </c>
    </row>
    <row r="334" spans="1:12" x14ac:dyDescent="0.3">
      <c r="A334" t="s">
        <v>536</v>
      </c>
      <c r="B334" t="s">
        <v>229</v>
      </c>
      <c r="C334" t="s">
        <v>14</v>
      </c>
      <c r="D334" t="s">
        <v>15</v>
      </c>
      <c r="E334" t="s">
        <v>16</v>
      </c>
      <c r="F334" t="s">
        <v>25</v>
      </c>
      <c r="G334" t="s">
        <v>36</v>
      </c>
      <c r="H334">
        <v>14448</v>
      </c>
      <c r="I334" t="s">
        <v>22</v>
      </c>
      <c r="J334">
        <v>0.1</v>
      </c>
      <c r="K334">
        <v>14000</v>
      </c>
      <c r="L334" s="1">
        <v>45307</v>
      </c>
    </row>
    <row r="335" spans="1:12" x14ac:dyDescent="0.3">
      <c r="A335" t="s">
        <v>537</v>
      </c>
      <c r="B335" t="s">
        <v>464</v>
      </c>
      <c r="C335" t="s">
        <v>61</v>
      </c>
      <c r="D335" t="s">
        <v>62</v>
      </c>
      <c r="E335" t="s">
        <v>46</v>
      </c>
      <c r="F335" t="s">
        <v>25</v>
      </c>
      <c r="G335" t="s">
        <v>26</v>
      </c>
      <c r="H335">
        <v>7889</v>
      </c>
      <c r="I335" t="s">
        <v>22</v>
      </c>
      <c r="J335">
        <v>0.1</v>
      </c>
      <c r="K335">
        <v>9000</v>
      </c>
      <c r="L335" s="1">
        <v>45300</v>
      </c>
    </row>
    <row r="336" spans="1:12" x14ac:dyDescent="0.3">
      <c r="A336" t="s">
        <v>538</v>
      </c>
      <c r="B336" t="s">
        <v>448</v>
      </c>
      <c r="C336" t="s">
        <v>44</v>
      </c>
      <c r="D336" t="s">
        <v>45</v>
      </c>
      <c r="E336" t="s">
        <v>16</v>
      </c>
      <c r="F336" t="s">
        <v>39</v>
      </c>
      <c r="G336" t="s">
        <v>36</v>
      </c>
      <c r="H336">
        <v>13365</v>
      </c>
      <c r="I336" t="s">
        <v>27</v>
      </c>
      <c r="K336">
        <v>13000</v>
      </c>
      <c r="L336" s="1">
        <v>45341</v>
      </c>
    </row>
    <row r="337" spans="1:12" x14ac:dyDescent="0.3">
      <c r="A337" t="s">
        <v>539</v>
      </c>
      <c r="B337" t="s">
        <v>204</v>
      </c>
      <c r="C337" t="s">
        <v>30</v>
      </c>
      <c r="D337" t="s">
        <v>31</v>
      </c>
      <c r="E337" t="s">
        <v>32</v>
      </c>
      <c r="F337" t="s">
        <v>17</v>
      </c>
      <c r="G337" t="s">
        <v>18</v>
      </c>
      <c r="H337">
        <v>17704</v>
      </c>
      <c r="I337" t="s">
        <v>27</v>
      </c>
      <c r="K337">
        <v>17000</v>
      </c>
      <c r="L337" s="1">
        <v>45306</v>
      </c>
    </row>
    <row r="338" spans="1:12" x14ac:dyDescent="0.3">
      <c r="A338" t="s">
        <v>540</v>
      </c>
      <c r="B338" t="s">
        <v>435</v>
      </c>
      <c r="C338" t="s">
        <v>30</v>
      </c>
      <c r="D338" t="s">
        <v>31</v>
      </c>
      <c r="E338" t="s">
        <v>32</v>
      </c>
      <c r="F338" t="s">
        <v>39</v>
      </c>
      <c r="G338" t="s">
        <v>26</v>
      </c>
      <c r="H338">
        <v>18603</v>
      </c>
      <c r="I338" t="s">
        <v>19</v>
      </c>
      <c r="J338">
        <v>0.2</v>
      </c>
      <c r="K338">
        <v>17000</v>
      </c>
      <c r="L338" s="1">
        <v>45332</v>
      </c>
    </row>
    <row r="339" spans="1:12" x14ac:dyDescent="0.3">
      <c r="A339" t="s">
        <v>541</v>
      </c>
      <c r="B339" t="s">
        <v>90</v>
      </c>
      <c r="C339" t="s">
        <v>61</v>
      </c>
      <c r="D339" t="s">
        <v>62</v>
      </c>
      <c r="E339" t="s">
        <v>32</v>
      </c>
      <c r="F339" t="s">
        <v>17</v>
      </c>
      <c r="G339" t="s">
        <v>26</v>
      </c>
      <c r="H339">
        <v>9749</v>
      </c>
      <c r="K339">
        <v>9000</v>
      </c>
      <c r="L339" s="1">
        <v>45342</v>
      </c>
    </row>
    <row r="340" spans="1:12" x14ac:dyDescent="0.3">
      <c r="A340" t="s">
        <v>542</v>
      </c>
      <c r="B340" t="s">
        <v>217</v>
      </c>
      <c r="C340" t="s">
        <v>61</v>
      </c>
      <c r="D340" t="s">
        <v>62</v>
      </c>
      <c r="E340" t="s">
        <v>46</v>
      </c>
      <c r="F340" t="s">
        <v>25</v>
      </c>
      <c r="G340" t="s">
        <v>36</v>
      </c>
      <c r="H340">
        <v>8541</v>
      </c>
      <c r="I340" t="s">
        <v>19</v>
      </c>
      <c r="J340">
        <v>0.2</v>
      </c>
      <c r="K340">
        <v>9000</v>
      </c>
      <c r="L340" s="1">
        <v>45340</v>
      </c>
    </row>
    <row r="341" spans="1:12" x14ac:dyDescent="0.3">
      <c r="A341" t="s">
        <v>543</v>
      </c>
      <c r="B341" t="s">
        <v>544</v>
      </c>
      <c r="C341" t="s">
        <v>44</v>
      </c>
      <c r="D341" t="s">
        <v>45</v>
      </c>
      <c r="E341" t="s">
        <v>32</v>
      </c>
      <c r="F341" t="s">
        <v>17</v>
      </c>
      <c r="G341" t="s">
        <v>26</v>
      </c>
      <c r="H341">
        <v>11591</v>
      </c>
      <c r="K341">
        <v>13000</v>
      </c>
      <c r="L341" s="1">
        <v>45350</v>
      </c>
    </row>
    <row r="342" spans="1:12" x14ac:dyDescent="0.3">
      <c r="A342" t="s">
        <v>545</v>
      </c>
      <c r="B342" t="s">
        <v>166</v>
      </c>
      <c r="C342" t="s">
        <v>61</v>
      </c>
      <c r="D342" t="s">
        <v>62</v>
      </c>
      <c r="E342" t="s">
        <v>46</v>
      </c>
      <c r="F342" t="s">
        <v>39</v>
      </c>
      <c r="G342" t="s">
        <v>26</v>
      </c>
      <c r="H342">
        <v>7549</v>
      </c>
      <c r="K342">
        <v>9000</v>
      </c>
      <c r="L342" s="1">
        <v>45307</v>
      </c>
    </row>
    <row r="343" spans="1:12" x14ac:dyDescent="0.3">
      <c r="A343" t="s">
        <v>546</v>
      </c>
      <c r="B343" t="s">
        <v>289</v>
      </c>
      <c r="C343" t="s">
        <v>30</v>
      </c>
      <c r="D343" t="s">
        <v>31</v>
      </c>
      <c r="E343" t="s">
        <v>16</v>
      </c>
      <c r="F343" t="s">
        <v>25</v>
      </c>
      <c r="G343" t="s">
        <v>36</v>
      </c>
      <c r="H343">
        <v>18469</v>
      </c>
      <c r="I343" t="s">
        <v>33</v>
      </c>
      <c r="J343">
        <v>0.3</v>
      </c>
      <c r="K343">
        <v>17000</v>
      </c>
      <c r="L343" s="1">
        <v>45297</v>
      </c>
    </row>
    <row r="344" spans="1:12" x14ac:dyDescent="0.3">
      <c r="A344" t="s">
        <v>547</v>
      </c>
      <c r="B344" t="s">
        <v>548</v>
      </c>
      <c r="C344" t="s">
        <v>44</v>
      </c>
      <c r="D344" t="s">
        <v>45</v>
      </c>
      <c r="E344" t="s">
        <v>32</v>
      </c>
      <c r="F344" t="s">
        <v>17</v>
      </c>
      <c r="G344" t="s">
        <v>36</v>
      </c>
      <c r="H344">
        <v>13759</v>
      </c>
      <c r="I344" t="s">
        <v>27</v>
      </c>
      <c r="K344">
        <v>13000</v>
      </c>
      <c r="L344" s="1">
        <v>45330</v>
      </c>
    </row>
    <row r="345" spans="1:12" x14ac:dyDescent="0.3">
      <c r="A345" t="s">
        <v>549</v>
      </c>
      <c r="B345" t="s">
        <v>129</v>
      </c>
      <c r="C345" t="s">
        <v>14</v>
      </c>
      <c r="D345" t="s">
        <v>15</v>
      </c>
      <c r="E345" t="s">
        <v>32</v>
      </c>
      <c r="F345" t="s">
        <v>39</v>
      </c>
      <c r="G345" t="s">
        <v>26</v>
      </c>
      <c r="H345">
        <v>14750</v>
      </c>
      <c r="I345" t="s">
        <v>27</v>
      </c>
      <c r="K345">
        <v>14000</v>
      </c>
      <c r="L345" s="1">
        <v>45305</v>
      </c>
    </row>
    <row r="346" spans="1:12" x14ac:dyDescent="0.3">
      <c r="A346" t="s">
        <v>550</v>
      </c>
      <c r="B346" t="s">
        <v>211</v>
      </c>
      <c r="C346" t="s">
        <v>30</v>
      </c>
      <c r="D346" t="s">
        <v>31</v>
      </c>
      <c r="E346" t="s">
        <v>46</v>
      </c>
      <c r="F346" t="s">
        <v>25</v>
      </c>
      <c r="G346" t="s">
        <v>18</v>
      </c>
      <c r="H346">
        <v>18838</v>
      </c>
      <c r="I346" t="s">
        <v>19</v>
      </c>
      <c r="J346">
        <v>0.2</v>
      </c>
      <c r="K346">
        <v>17000</v>
      </c>
      <c r="L346" s="1">
        <v>45339</v>
      </c>
    </row>
    <row r="347" spans="1:12" x14ac:dyDescent="0.3">
      <c r="A347" t="s">
        <v>551</v>
      </c>
      <c r="B347" t="s">
        <v>173</v>
      </c>
      <c r="C347" t="s">
        <v>61</v>
      </c>
      <c r="D347" t="s">
        <v>62</v>
      </c>
      <c r="E347" t="s">
        <v>32</v>
      </c>
      <c r="F347" t="s">
        <v>39</v>
      </c>
      <c r="G347" t="s">
        <v>26</v>
      </c>
      <c r="H347">
        <v>9882</v>
      </c>
      <c r="I347" t="s">
        <v>19</v>
      </c>
      <c r="J347">
        <v>0.2</v>
      </c>
      <c r="K347">
        <v>9000</v>
      </c>
      <c r="L347" s="1">
        <v>45317</v>
      </c>
    </row>
    <row r="348" spans="1:12" x14ac:dyDescent="0.3">
      <c r="A348" t="s">
        <v>552</v>
      </c>
      <c r="B348" t="s">
        <v>553</v>
      </c>
      <c r="C348" t="s">
        <v>30</v>
      </c>
      <c r="D348" t="s">
        <v>31</v>
      </c>
      <c r="E348" t="s">
        <v>46</v>
      </c>
      <c r="F348" t="s">
        <v>17</v>
      </c>
      <c r="G348" t="s">
        <v>36</v>
      </c>
      <c r="H348">
        <v>17185</v>
      </c>
      <c r="I348" t="s">
        <v>33</v>
      </c>
      <c r="J348">
        <v>0.3</v>
      </c>
      <c r="K348">
        <v>17000</v>
      </c>
      <c r="L348" s="1">
        <v>45311</v>
      </c>
    </row>
    <row r="349" spans="1:12" x14ac:dyDescent="0.3">
      <c r="A349" t="s">
        <v>554</v>
      </c>
      <c r="B349" t="s">
        <v>131</v>
      </c>
      <c r="C349" t="s">
        <v>61</v>
      </c>
      <c r="D349" t="s">
        <v>62</v>
      </c>
      <c r="E349" t="s">
        <v>46</v>
      </c>
      <c r="F349" t="s">
        <v>25</v>
      </c>
      <c r="G349" t="s">
        <v>26</v>
      </c>
      <c r="H349">
        <v>8923</v>
      </c>
      <c r="I349" t="s">
        <v>33</v>
      </c>
      <c r="J349">
        <v>0.3</v>
      </c>
      <c r="K349">
        <v>9000</v>
      </c>
      <c r="L349" s="1">
        <v>45350</v>
      </c>
    </row>
    <row r="350" spans="1:12" x14ac:dyDescent="0.3">
      <c r="A350" t="s">
        <v>555</v>
      </c>
      <c r="B350" t="s">
        <v>391</v>
      </c>
      <c r="C350" t="s">
        <v>30</v>
      </c>
      <c r="D350" t="s">
        <v>31</v>
      </c>
      <c r="E350" t="s">
        <v>46</v>
      </c>
      <c r="F350" t="s">
        <v>25</v>
      </c>
      <c r="G350" t="s">
        <v>26</v>
      </c>
      <c r="H350">
        <v>18539</v>
      </c>
      <c r="I350" t="s">
        <v>19</v>
      </c>
      <c r="J350">
        <v>0.2</v>
      </c>
      <c r="K350">
        <v>17000</v>
      </c>
      <c r="L350" s="1">
        <v>45339</v>
      </c>
    </row>
    <row r="351" spans="1:12" x14ac:dyDescent="0.3">
      <c r="A351" t="s">
        <v>556</v>
      </c>
      <c r="B351" t="s">
        <v>557</v>
      </c>
      <c r="C351" t="s">
        <v>30</v>
      </c>
      <c r="D351" t="s">
        <v>31</v>
      </c>
      <c r="E351" t="s">
        <v>16</v>
      </c>
      <c r="F351" t="s">
        <v>39</v>
      </c>
      <c r="G351" t="s">
        <v>26</v>
      </c>
      <c r="H351">
        <v>17949</v>
      </c>
      <c r="K351">
        <v>17000</v>
      </c>
      <c r="L351" s="1">
        <v>45310</v>
      </c>
    </row>
    <row r="352" spans="1:12" x14ac:dyDescent="0.3">
      <c r="A352" t="s">
        <v>558</v>
      </c>
      <c r="B352" t="s">
        <v>35</v>
      </c>
      <c r="C352" t="s">
        <v>30</v>
      </c>
      <c r="D352" t="s">
        <v>31</v>
      </c>
      <c r="E352" t="s">
        <v>32</v>
      </c>
      <c r="F352" t="s">
        <v>17</v>
      </c>
      <c r="G352" t="s">
        <v>26</v>
      </c>
      <c r="H352">
        <v>18413</v>
      </c>
      <c r="I352" t="s">
        <v>19</v>
      </c>
      <c r="J352">
        <v>0.2</v>
      </c>
      <c r="K352">
        <v>17000</v>
      </c>
      <c r="L352" s="1">
        <v>45323</v>
      </c>
    </row>
    <row r="353" spans="1:12" x14ac:dyDescent="0.3">
      <c r="A353" t="s">
        <v>559</v>
      </c>
      <c r="B353" t="s">
        <v>202</v>
      </c>
      <c r="C353" t="s">
        <v>30</v>
      </c>
      <c r="D353" t="s">
        <v>31</v>
      </c>
      <c r="E353" t="s">
        <v>46</v>
      </c>
      <c r="F353" t="s">
        <v>17</v>
      </c>
      <c r="G353" t="s">
        <v>26</v>
      </c>
      <c r="H353">
        <v>17628</v>
      </c>
      <c r="K353">
        <v>17000</v>
      </c>
      <c r="L353" s="1">
        <v>45321</v>
      </c>
    </row>
    <row r="354" spans="1:12" x14ac:dyDescent="0.3">
      <c r="A354" t="s">
        <v>560</v>
      </c>
      <c r="B354" t="s">
        <v>280</v>
      </c>
      <c r="C354" t="s">
        <v>30</v>
      </c>
      <c r="D354" t="s">
        <v>31</v>
      </c>
      <c r="E354" t="s">
        <v>32</v>
      </c>
      <c r="F354" t="s">
        <v>25</v>
      </c>
      <c r="G354" t="s">
        <v>26</v>
      </c>
      <c r="H354">
        <v>17238</v>
      </c>
      <c r="K354">
        <v>17000</v>
      </c>
      <c r="L354" s="1">
        <v>45303</v>
      </c>
    </row>
    <row r="355" spans="1:12" x14ac:dyDescent="0.3">
      <c r="A355" t="s">
        <v>561</v>
      </c>
      <c r="B355" t="s">
        <v>84</v>
      </c>
      <c r="C355" t="s">
        <v>14</v>
      </c>
      <c r="D355" t="s">
        <v>15</v>
      </c>
      <c r="E355" t="s">
        <v>16</v>
      </c>
      <c r="F355" t="s">
        <v>25</v>
      </c>
      <c r="G355" t="s">
        <v>18</v>
      </c>
      <c r="H355">
        <v>15871</v>
      </c>
      <c r="I355" t="s">
        <v>22</v>
      </c>
      <c r="J355">
        <v>0.1</v>
      </c>
      <c r="K355">
        <v>14000</v>
      </c>
      <c r="L355" s="1">
        <v>45340</v>
      </c>
    </row>
    <row r="356" spans="1:12" x14ac:dyDescent="0.3">
      <c r="A356" t="s">
        <v>562</v>
      </c>
      <c r="B356" t="s">
        <v>406</v>
      </c>
      <c r="C356" t="s">
        <v>44</v>
      </c>
      <c r="D356" t="s">
        <v>45</v>
      </c>
      <c r="E356" t="s">
        <v>16</v>
      </c>
      <c r="F356" t="s">
        <v>25</v>
      </c>
      <c r="G356" t="s">
        <v>18</v>
      </c>
      <c r="H356">
        <v>13896</v>
      </c>
      <c r="I356" t="s">
        <v>19</v>
      </c>
      <c r="J356">
        <v>0.2</v>
      </c>
      <c r="K356">
        <v>13000</v>
      </c>
      <c r="L356" s="1">
        <v>45292</v>
      </c>
    </row>
    <row r="357" spans="1:12" x14ac:dyDescent="0.3">
      <c r="A357" t="s">
        <v>563</v>
      </c>
      <c r="B357" t="s">
        <v>24</v>
      </c>
      <c r="C357" t="s">
        <v>61</v>
      </c>
      <c r="D357" t="s">
        <v>62</v>
      </c>
      <c r="E357" t="s">
        <v>46</v>
      </c>
      <c r="F357" t="s">
        <v>25</v>
      </c>
      <c r="G357" t="s">
        <v>26</v>
      </c>
      <c r="H357">
        <v>9612</v>
      </c>
      <c r="I357" t="s">
        <v>27</v>
      </c>
      <c r="K357">
        <v>9000</v>
      </c>
      <c r="L357" s="1">
        <v>45350</v>
      </c>
    </row>
    <row r="358" spans="1:12" x14ac:dyDescent="0.3">
      <c r="A358" t="s">
        <v>564</v>
      </c>
      <c r="B358" t="s">
        <v>332</v>
      </c>
      <c r="C358" t="s">
        <v>61</v>
      </c>
      <c r="D358" t="s">
        <v>62</v>
      </c>
      <c r="E358" t="s">
        <v>32</v>
      </c>
      <c r="F358" t="s">
        <v>25</v>
      </c>
      <c r="G358" t="s">
        <v>26</v>
      </c>
      <c r="H358">
        <v>9259</v>
      </c>
      <c r="K358">
        <v>9000</v>
      </c>
      <c r="L358" s="1">
        <v>45292</v>
      </c>
    </row>
    <row r="359" spans="1:12" x14ac:dyDescent="0.3">
      <c r="A359" t="s">
        <v>565</v>
      </c>
      <c r="B359" t="s">
        <v>166</v>
      </c>
      <c r="C359" t="s">
        <v>30</v>
      </c>
      <c r="D359" t="s">
        <v>31</v>
      </c>
      <c r="E359" t="s">
        <v>16</v>
      </c>
      <c r="F359" t="s">
        <v>17</v>
      </c>
      <c r="G359" t="s">
        <v>18</v>
      </c>
      <c r="H359">
        <v>17057</v>
      </c>
      <c r="K359">
        <v>17000</v>
      </c>
      <c r="L359" s="1">
        <v>45343</v>
      </c>
    </row>
    <row r="360" spans="1:12" x14ac:dyDescent="0.3">
      <c r="A360" t="s">
        <v>566</v>
      </c>
      <c r="B360" t="s">
        <v>120</v>
      </c>
      <c r="C360" t="s">
        <v>14</v>
      </c>
      <c r="D360" t="s">
        <v>15</v>
      </c>
      <c r="E360" t="s">
        <v>32</v>
      </c>
      <c r="F360" t="s">
        <v>39</v>
      </c>
      <c r="G360" t="s">
        <v>18</v>
      </c>
      <c r="H360">
        <v>12987</v>
      </c>
      <c r="I360" t="s">
        <v>19</v>
      </c>
      <c r="J360">
        <v>0.2</v>
      </c>
      <c r="K360">
        <v>14000</v>
      </c>
      <c r="L360" s="1">
        <v>45331</v>
      </c>
    </row>
    <row r="361" spans="1:12" x14ac:dyDescent="0.3">
      <c r="A361" t="s">
        <v>567</v>
      </c>
      <c r="B361" t="s">
        <v>448</v>
      </c>
      <c r="C361" t="s">
        <v>30</v>
      </c>
      <c r="D361" t="s">
        <v>31</v>
      </c>
      <c r="E361" t="s">
        <v>46</v>
      </c>
      <c r="F361" t="s">
        <v>17</v>
      </c>
      <c r="G361" t="s">
        <v>18</v>
      </c>
      <c r="H361">
        <v>16528</v>
      </c>
      <c r="K361">
        <v>17000</v>
      </c>
      <c r="L361" s="1">
        <v>45321</v>
      </c>
    </row>
    <row r="362" spans="1:12" x14ac:dyDescent="0.3">
      <c r="A362" t="s">
        <v>568</v>
      </c>
      <c r="B362" t="s">
        <v>519</v>
      </c>
      <c r="C362" t="s">
        <v>44</v>
      </c>
      <c r="D362" t="s">
        <v>45</v>
      </c>
      <c r="E362" t="s">
        <v>46</v>
      </c>
      <c r="F362" t="s">
        <v>39</v>
      </c>
      <c r="G362" t="s">
        <v>18</v>
      </c>
      <c r="H362">
        <v>13677</v>
      </c>
      <c r="I362" t="s">
        <v>22</v>
      </c>
      <c r="J362">
        <v>0.1</v>
      </c>
      <c r="K362">
        <v>13000</v>
      </c>
      <c r="L362" s="1">
        <v>45297</v>
      </c>
    </row>
    <row r="363" spans="1:12" x14ac:dyDescent="0.3">
      <c r="A363" t="s">
        <v>569</v>
      </c>
      <c r="B363" t="s">
        <v>177</v>
      </c>
      <c r="C363" t="s">
        <v>61</v>
      </c>
      <c r="D363" t="s">
        <v>62</v>
      </c>
      <c r="E363" t="s">
        <v>16</v>
      </c>
      <c r="F363" t="s">
        <v>17</v>
      </c>
      <c r="G363" t="s">
        <v>18</v>
      </c>
      <c r="H363">
        <v>9608</v>
      </c>
      <c r="I363" t="s">
        <v>22</v>
      </c>
      <c r="J363">
        <v>0.1</v>
      </c>
      <c r="K363">
        <v>9000</v>
      </c>
      <c r="L363" s="1">
        <v>45336</v>
      </c>
    </row>
    <row r="364" spans="1:12" x14ac:dyDescent="0.3">
      <c r="A364" t="s">
        <v>570</v>
      </c>
      <c r="B364" t="s">
        <v>325</v>
      </c>
      <c r="C364" t="s">
        <v>61</v>
      </c>
      <c r="D364" t="s">
        <v>62</v>
      </c>
      <c r="E364" t="s">
        <v>46</v>
      </c>
      <c r="F364" t="s">
        <v>39</v>
      </c>
      <c r="G364" t="s">
        <v>36</v>
      </c>
      <c r="H364">
        <v>9317</v>
      </c>
      <c r="I364" t="s">
        <v>22</v>
      </c>
      <c r="J364">
        <v>0.1</v>
      </c>
      <c r="K364">
        <v>9000</v>
      </c>
      <c r="L364" s="1">
        <v>45349</v>
      </c>
    </row>
    <row r="365" spans="1:12" x14ac:dyDescent="0.3">
      <c r="A365" t="s">
        <v>571</v>
      </c>
      <c r="B365" t="s">
        <v>184</v>
      </c>
      <c r="C365" t="s">
        <v>44</v>
      </c>
      <c r="D365" t="s">
        <v>45</v>
      </c>
      <c r="E365" t="s">
        <v>32</v>
      </c>
      <c r="F365" t="s">
        <v>39</v>
      </c>
      <c r="G365" t="s">
        <v>26</v>
      </c>
      <c r="H365">
        <v>12947</v>
      </c>
      <c r="I365" t="s">
        <v>33</v>
      </c>
      <c r="J365">
        <v>0.3</v>
      </c>
      <c r="K365">
        <v>13000</v>
      </c>
      <c r="L365" s="1">
        <v>45294</v>
      </c>
    </row>
    <row r="366" spans="1:12" x14ac:dyDescent="0.3">
      <c r="A366" t="s">
        <v>572</v>
      </c>
      <c r="B366" t="s">
        <v>403</v>
      </c>
      <c r="C366" t="s">
        <v>30</v>
      </c>
      <c r="D366" t="s">
        <v>31</v>
      </c>
      <c r="E366" t="s">
        <v>16</v>
      </c>
      <c r="F366" t="s">
        <v>39</v>
      </c>
      <c r="G366" t="s">
        <v>26</v>
      </c>
      <c r="H366">
        <v>15134</v>
      </c>
      <c r="I366" t="s">
        <v>19</v>
      </c>
      <c r="J366">
        <v>0.2</v>
      </c>
      <c r="K366">
        <v>17000</v>
      </c>
      <c r="L366" s="1">
        <v>45351</v>
      </c>
    </row>
    <row r="367" spans="1:12" x14ac:dyDescent="0.3">
      <c r="A367" t="s">
        <v>573</v>
      </c>
      <c r="B367" t="s">
        <v>303</v>
      </c>
      <c r="C367" t="s">
        <v>14</v>
      </c>
      <c r="D367" t="s">
        <v>15</v>
      </c>
      <c r="E367" t="s">
        <v>32</v>
      </c>
      <c r="F367" t="s">
        <v>39</v>
      </c>
      <c r="G367" t="s">
        <v>18</v>
      </c>
      <c r="H367">
        <v>15081</v>
      </c>
      <c r="K367">
        <v>14000</v>
      </c>
      <c r="L367" s="1">
        <v>45351</v>
      </c>
    </row>
    <row r="368" spans="1:12" x14ac:dyDescent="0.3">
      <c r="A368" t="s">
        <v>574</v>
      </c>
      <c r="B368" t="s">
        <v>263</v>
      </c>
      <c r="C368" t="s">
        <v>44</v>
      </c>
      <c r="D368" t="s">
        <v>45</v>
      </c>
      <c r="E368" t="s">
        <v>16</v>
      </c>
      <c r="F368" t="s">
        <v>25</v>
      </c>
      <c r="G368" t="s">
        <v>26</v>
      </c>
      <c r="H368">
        <v>14418</v>
      </c>
      <c r="K368">
        <v>13000</v>
      </c>
      <c r="L368" s="1">
        <v>45335</v>
      </c>
    </row>
    <row r="369" spans="1:12" x14ac:dyDescent="0.3">
      <c r="A369" t="s">
        <v>575</v>
      </c>
      <c r="B369" t="s">
        <v>84</v>
      </c>
      <c r="C369" t="s">
        <v>30</v>
      </c>
      <c r="D369" t="s">
        <v>31</v>
      </c>
      <c r="E369" t="s">
        <v>46</v>
      </c>
      <c r="F369" t="s">
        <v>39</v>
      </c>
      <c r="G369" t="s">
        <v>18</v>
      </c>
      <c r="H369">
        <v>18237</v>
      </c>
      <c r="I369" t="s">
        <v>22</v>
      </c>
      <c r="J369">
        <v>0.1</v>
      </c>
      <c r="K369">
        <v>17000</v>
      </c>
      <c r="L369" s="1">
        <v>45324</v>
      </c>
    </row>
    <row r="370" spans="1:12" x14ac:dyDescent="0.3">
      <c r="A370" t="s">
        <v>576</v>
      </c>
      <c r="B370" t="s">
        <v>577</v>
      </c>
      <c r="C370" t="s">
        <v>14</v>
      </c>
      <c r="D370" t="s">
        <v>15</v>
      </c>
      <c r="E370" t="s">
        <v>32</v>
      </c>
      <c r="F370" t="s">
        <v>17</v>
      </c>
      <c r="G370" t="s">
        <v>18</v>
      </c>
      <c r="H370">
        <v>15435</v>
      </c>
      <c r="I370" t="s">
        <v>22</v>
      </c>
      <c r="J370">
        <v>0.1</v>
      </c>
      <c r="K370">
        <v>14000</v>
      </c>
      <c r="L370" s="1">
        <v>45313</v>
      </c>
    </row>
    <row r="371" spans="1:12" x14ac:dyDescent="0.3">
      <c r="A371" t="s">
        <v>578</v>
      </c>
      <c r="B371" t="s">
        <v>579</v>
      </c>
      <c r="C371" t="s">
        <v>61</v>
      </c>
      <c r="D371" t="s">
        <v>62</v>
      </c>
      <c r="E371" t="s">
        <v>46</v>
      </c>
      <c r="F371" t="s">
        <v>25</v>
      </c>
      <c r="G371" t="s">
        <v>26</v>
      </c>
      <c r="H371">
        <v>8119</v>
      </c>
      <c r="K371">
        <v>9000</v>
      </c>
      <c r="L371" s="1">
        <v>45323</v>
      </c>
    </row>
    <row r="372" spans="1:12" x14ac:dyDescent="0.3">
      <c r="A372" t="s">
        <v>580</v>
      </c>
      <c r="B372" t="s">
        <v>391</v>
      </c>
      <c r="C372" t="s">
        <v>61</v>
      </c>
      <c r="D372" t="s">
        <v>62</v>
      </c>
      <c r="E372" t="s">
        <v>46</v>
      </c>
      <c r="F372" t="s">
        <v>25</v>
      </c>
      <c r="G372" t="s">
        <v>26</v>
      </c>
      <c r="H372">
        <v>9399</v>
      </c>
      <c r="K372">
        <v>9000</v>
      </c>
      <c r="L372" s="1">
        <v>45297</v>
      </c>
    </row>
    <row r="373" spans="1:12" x14ac:dyDescent="0.3">
      <c r="A373" t="s">
        <v>581</v>
      </c>
      <c r="B373" t="s">
        <v>522</v>
      </c>
      <c r="C373" t="s">
        <v>30</v>
      </c>
      <c r="D373" t="s">
        <v>31</v>
      </c>
      <c r="E373" t="s">
        <v>32</v>
      </c>
      <c r="F373" t="s">
        <v>39</v>
      </c>
      <c r="G373" t="s">
        <v>18</v>
      </c>
      <c r="H373">
        <v>15336</v>
      </c>
      <c r="I373" t="s">
        <v>33</v>
      </c>
      <c r="J373">
        <v>0.3</v>
      </c>
      <c r="K373">
        <v>17000</v>
      </c>
      <c r="L373" s="1">
        <v>45301</v>
      </c>
    </row>
    <row r="374" spans="1:12" x14ac:dyDescent="0.3">
      <c r="A374" t="s">
        <v>582</v>
      </c>
      <c r="B374" t="s">
        <v>101</v>
      </c>
      <c r="C374" t="s">
        <v>44</v>
      </c>
      <c r="D374" t="s">
        <v>45</v>
      </c>
      <c r="E374" t="s">
        <v>16</v>
      </c>
      <c r="F374" t="s">
        <v>17</v>
      </c>
      <c r="G374" t="s">
        <v>36</v>
      </c>
      <c r="H374">
        <v>12477</v>
      </c>
      <c r="I374" t="s">
        <v>22</v>
      </c>
      <c r="J374">
        <v>0.1</v>
      </c>
      <c r="K374">
        <v>13000</v>
      </c>
      <c r="L374" s="1">
        <v>45297</v>
      </c>
    </row>
    <row r="375" spans="1:12" x14ac:dyDescent="0.3">
      <c r="A375" t="s">
        <v>583</v>
      </c>
      <c r="B375" t="s">
        <v>584</v>
      </c>
      <c r="C375" t="s">
        <v>61</v>
      </c>
      <c r="D375" t="s">
        <v>62</v>
      </c>
      <c r="E375" t="s">
        <v>46</v>
      </c>
      <c r="F375" t="s">
        <v>17</v>
      </c>
      <c r="G375" t="s">
        <v>18</v>
      </c>
      <c r="H375">
        <v>7542</v>
      </c>
      <c r="I375" t="s">
        <v>22</v>
      </c>
      <c r="J375">
        <v>0.1</v>
      </c>
      <c r="K375">
        <v>9000</v>
      </c>
      <c r="L375" s="1">
        <v>45303</v>
      </c>
    </row>
    <row r="376" spans="1:12" x14ac:dyDescent="0.3">
      <c r="A376" t="s">
        <v>585</v>
      </c>
      <c r="B376" t="s">
        <v>527</v>
      </c>
      <c r="C376" t="s">
        <v>61</v>
      </c>
      <c r="D376" t="s">
        <v>62</v>
      </c>
      <c r="E376" t="s">
        <v>32</v>
      </c>
      <c r="F376" t="s">
        <v>25</v>
      </c>
      <c r="G376" t="s">
        <v>18</v>
      </c>
      <c r="H376">
        <v>8449</v>
      </c>
      <c r="I376" t="s">
        <v>27</v>
      </c>
      <c r="K376">
        <v>9000</v>
      </c>
      <c r="L376" s="1">
        <v>45297</v>
      </c>
    </row>
    <row r="377" spans="1:12" x14ac:dyDescent="0.3">
      <c r="A377" t="s">
        <v>586</v>
      </c>
      <c r="B377" t="s">
        <v>195</v>
      </c>
      <c r="C377" t="s">
        <v>30</v>
      </c>
      <c r="D377" t="s">
        <v>31</v>
      </c>
      <c r="E377" t="s">
        <v>46</v>
      </c>
      <c r="F377" t="s">
        <v>25</v>
      </c>
      <c r="G377" t="s">
        <v>36</v>
      </c>
      <c r="H377">
        <v>16694</v>
      </c>
      <c r="K377">
        <v>17000</v>
      </c>
      <c r="L377" s="1">
        <v>45341</v>
      </c>
    </row>
    <row r="378" spans="1:12" x14ac:dyDescent="0.3">
      <c r="A378" t="s">
        <v>587</v>
      </c>
      <c r="B378" t="s">
        <v>173</v>
      </c>
      <c r="C378" t="s">
        <v>44</v>
      </c>
      <c r="D378" t="s">
        <v>45</v>
      </c>
      <c r="E378" t="s">
        <v>16</v>
      </c>
      <c r="F378" t="s">
        <v>39</v>
      </c>
      <c r="G378" t="s">
        <v>18</v>
      </c>
      <c r="H378">
        <v>13807</v>
      </c>
      <c r="K378">
        <v>13000</v>
      </c>
      <c r="L378" s="1">
        <v>45302</v>
      </c>
    </row>
    <row r="379" spans="1:12" x14ac:dyDescent="0.3">
      <c r="A379" t="s">
        <v>588</v>
      </c>
      <c r="B379" t="s">
        <v>256</v>
      </c>
      <c r="C379" t="s">
        <v>30</v>
      </c>
      <c r="D379" t="s">
        <v>31</v>
      </c>
      <c r="E379" t="s">
        <v>46</v>
      </c>
      <c r="F379" t="s">
        <v>17</v>
      </c>
      <c r="G379" t="s">
        <v>18</v>
      </c>
      <c r="H379">
        <v>15259</v>
      </c>
      <c r="I379" t="s">
        <v>19</v>
      </c>
      <c r="J379">
        <v>0.2</v>
      </c>
      <c r="K379">
        <v>17000</v>
      </c>
      <c r="L379" s="1">
        <v>45319</v>
      </c>
    </row>
    <row r="380" spans="1:12" x14ac:dyDescent="0.3">
      <c r="A380" t="s">
        <v>589</v>
      </c>
      <c r="B380" t="s">
        <v>70</v>
      </c>
      <c r="C380" t="s">
        <v>30</v>
      </c>
      <c r="D380" t="s">
        <v>31</v>
      </c>
      <c r="E380" t="s">
        <v>46</v>
      </c>
      <c r="F380" t="s">
        <v>25</v>
      </c>
      <c r="G380" t="s">
        <v>36</v>
      </c>
      <c r="H380">
        <v>16030</v>
      </c>
      <c r="I380" t="s">
        <v>19</v>
      </c>
      <c r="J380">
        <v>0.2</v>
      </c>
      <c r="K380">
        <v>17000</v>
      </c>
      <c r="L380" s="1">
        <v>45338</v>
      </c>
    </row>
    <row r="381" spans="1:12" x14ac:dyDescent="0.3">
      <c r="A381" t="s">
        <v>590</v>
      </c>
      <c r="B381" t="s">
        <v>591</v>
      </c>
      <c r="C381" t="s">
        <v>44</v>
      </c>
      <c r="D381" t="s">
        <v>45</v>
      </c>
      <c r="E381" t="s">
        <v>46</v>
      </c>
      <c r="F381" t="s">
        <v>25</v>
      </c>
      <c r="G381" t="s">
        <v>18</v>
      </c>
      <c r="H381">
        <v>12247</v>
      </c>
      <c r="I381" t="s">
        <v>22</v>
      </c>
      <c r="J381">
        <v>0.1</v>
      </c>
      <c r="K381">
        <v>13000</v>
      </c>
      <c r="L381" s="1">
        <v>45352</v>
      </c>
    </row>
    <row r="382" spans="1:12" x14ac:dyDescent="0.3">
      <c r="A382" t="s">
        <v>592</v>
      </c>
      <c r="B382" t="s">
        <v>474</v>
      </c>
      <c r="C382" t="s">
        <v>61</v>
      </c>
      <c r="D382" t="s">
        <v>62</v>
      </c>
      <c r="E382" t="s">
        <v>46</v>
      </c>
      <c r="F382" t="s">
        <v>17</v>
      </c>
      <c r="G382" t="s">
        <v>36</v>
      </c>
      <c r="H382">
        <v>8763</v>
      </c>
      <c r="I382" t="s">
        <v>27</v>
      </c>
      <c r="K382">
        <v>9000</v>
      </c>
      <c r="L382" s="1">
        <v>45300</v>
      </c>
    </row>
    <row r="383" spans="1:12" x14ac:dyDescent="0.3">
      <c r="A383" t="s">
        <v>593</v>
      </c>
      <c r="B383" t="s">
        <v>131</v>
      </c>
      <c r="C383" t="s">
        <v>44</v>
      </c>
      <c r="D383" t="s">
        <v>45</v>
      </c>
      <c r="E383" t="s">
        <v>46</v>
      </c>
      <c r="F383" t="s">
        <v>17</v>
      </c>
      <c r="G383" t="s">
        <v>18</v>
      </c>
      <c r="H383">
        <v>14950</v>
      </c>
      <c r="K383">
        <v>13000</v>
      </c>
      <c r="L383" s="1">
        <v>45312</v>
      </c>
    </row>
    <row r="384" spans="1:12" x14ac:dyDescent="0.3">
      <c r="A384" t="s">
        <v>594</v>
      </c>
      <c r="B384" t="s">
        <v>350</v>
      </c>
      <c r="C384" t="s">
        <v>61</v>
      </c>
      <c r="D384" t="s">
        <v>62</v>
      </c>
      <c r="E384" t="s">
        <v>16</v>
      </c>
      <c r="F384" t="s">
        <v>25</v>
      </c>
      <c r="G384" t="s">
        <v>36</v>
      </c>
      <c r="H384">
        <v>8540</v>
      </c>
      <c r="I384" t="s">
        <v>33</v>
      </c>
      <c r="J384">
        <v>0.3</v>
      </c>
      <c r="K384">
        <v>9000</v>
      </c>
      <c r="L384" s="1">
        <v>45344</v>
      </c>
    </row>
    <row r="385" spans="1:12" x14ac:dyDescent="0.3">
      <c r="A385" t="s">
        <v>595</v>
      </c>
      <c r="B385" t="s">
        <v>180</v>
      </c>
      <c r="C385" t="s">
        <v>30</v>
      </c>
      <c r="D385" t="s">
        <v>31</v>
      </c>
      <c r="E385" t="s">
        <v>32</v>
      </c>
      <c r="F385" t="s">
        <v>39</v>
      </c>
      <c r="G385" t="s">
        <v>18</v>
      </c>
      <c r="H385">
        <v>17425</v>
      </c>
      <c r="I385" t="s">
        <v>27</v>
      </c>
      <c r="K385">
        <v>17000</v>
      </c>
      <c r="L385" s="1">
        <v>45303</v>
      </c>
    </row>
    <row r="386" spans="1:12" x14ac:dyDescent="0.3">
      <c r="A386" t="s">
        <v>596</v>
      </c>
      <c r="B386" t="s">
        <v>270</v>
      </c>
      <c r="C386" t="s">
        <v>14</v>
      </c>
      <c r="D386" t="s">
        <v>15</v>
      </c>
      <c r="E386" t="s">
        <v>16</v>
      </c>
      <c r="F386" t="s">
        <v>17</v>
      </c>
      <c r="G386" t="s">
        <v>26</v>
      </c>
      <c r="H386">
        <v>12858</v>
      </c>
      <c r="K386">
        <v>14000</v>
      </c>
      <c r="L386" s="1">
        <v>45343</v>
      </c>
    </row>
    <row r="387" spans="1:12" x14ac:dyDescent="0.3">
      <c r="A387" t="s">
        <v>597</v>
      </c>
      <c r="B387" t="s">
        <v>142</v>
      </c>
      <c r="C387" t="s">
        <v>14</v>
      </c>
      <c r="D387" t="s">
        <v>15</v>
      </c>
      <c r="E387" t="s">
        <v>46</v>
      </c>
      <c r="F387" t="s">
        <v>39</v>
      </c>
      <c r="G387" t="s">
        <v>36</v>
      </c>
      <c r="H387">
        <v>12570</v>
      </c>
      <c r="I387" t="s">
        <v>33</v>
      </c>
      <c r="J387">
        <v>0.3</v>
      </c>
      <c r="K387">
        <v>14000</v>
      </c>
      <c r="L387" s="1">
        <v>45307</v>
      </c>
    </row>
    <row r="388" spans="1:12" x14ac:dyDescent="0.3">
      <c r="A388" t="s">
        <v>598</v>
      </c>
      <c r="B388" t="s">
        <v>286</v>
      </c>
      <c r="C388" t="s">
        <v>44</v>
      </c>
      <c r="D388" t="s">
        <v>45</v>
      </c>
      <c r="E388" t="s">
        <v>16</v>
      </c>
      <c r="F388" t="s">
        <v>17</v>
      </c>
      <c r="G388" t="s">
        <v>36</v>
      </c>
      <c r="H388">
        <v>11302</v>
      </c>
      <c r="K388">
        <v>13000</v>
      </c>
      <c r="L388" s="1">
        <v>45330</v>
      </c>
    </row>
    <row r="389" spans="1:12" x14ac:dyDescent="0.3">
      <c r="A389" t="s">
        <v>599</v>
      </c>
      <c r="B389" t="s">
        <v>600</v>
      </c>
      <c r="C389" t="s">
        <v>61</v>
      </c>
      <c r="D389" t="s">
        <v>62</v>
      </c>
      <c r="E389" t="s">
        <v>16</v>
      </c>
      <c r="F389" t="s">
        <v>39</v>
      </c>
      <c r="G389" t="s">
        <v>26</v>
      </c>
      <c r="H389">
        <v>8713</v>
      </c>
      <c r="I389" t="s">
        <v>27</v>
      </c>
      <c r="K389">
        <v>9000</v>
      </c>
      <c r="L389" s="1">
        <v>45294</v>
      </c>
    </row>
    <row r="390" spans="1:12" x14ac:dyDescent="0.3">
      <c r="A390" t="s">
        <v>601</v>
      </c>
      <c r="B390" t="s">
        <v>602</v>
      </c>
      <c r="C390" t="s">
        <v>14</v>
      </c>
      <c r="D390" t="s">
        <v>15</v>
      </c>
      <c r="E390" t="s">
        <v>32</v>
      </c>
      <c r="F390" t="s">
        <v>25</v>
      </c>
      <c r="G390" t="s">
        <v>26</v>
      </c>
      <c r="H390">
        <v>14722</v>
      </c>
      <c r="I390" t="s">
        <v>33</v>
      </c>
      <c r="J390">
        <v>0.3</v>
      </c>
      <c r="K390">
        <v>14000</v>
      </c>
      <c r="L390" s="1">
        <v>45302</v>
      </c>
    </row>
    <row r="391" spans="1:12" x14ac:dyDescent="0.3">
      <c r="A391" t="s">
        <v>603</v>
      </c>
      <c r="B391" t="s">
        <v>163</v>
      </c>
      <c r="C391" t="s">
        <v>14</v>
      </c>
      <c r="D391" t="s">
        <v>15</v>
      </c>
      <c r="E391" t="s">
        <v>16</v>
      </c>
      <c r="F391" t="s">
        <v>39</v>
      </c>
      <c r="G391" t="s">
        <v>26</v>
      </c>
      <c r="H391">
        <v>14649</v>
      </c>
      <c r="K391">
        <v>14000</v>
      </c>
      <c r="L391" s="1">
        <v>45340</v>
      </c>
    </row>
    <row r="392" spans="1:12" x14ac:dyDescent="0.3">
      <c r="A392" t="s">
        <v>604</v>
      </c>
      <c r="B392" t="s">
        <v>478</v>
      </c>
      <c r="C392" t="s">
        <v>61</v>
      </c>
      <c r="D392" t="s">
        <v>62</v>
      </c>
      <c r="E392" t="s">
        <v>32</v>
      </c>
      <c r="F392" t="s">
        <v>25</v>
      </c>
      <c r="G392" t="s">
        <v>18</v>
      </c>
      <c r="H392">
        <v>8059</v>
      </c>
      <c r="I392" t="s">
        <v>19</v>
      </c>
      <c r="J392">
        <v>0.2</v>
      </c>
      <c r="K392">
        <v>9000</v>
      </c>
      <c r="L392" s="1">
        <v>45324</v>
      </c>
    </row>
    <row r="393" spans="1:12" x14ac:dyDescent="0.3">
      <c r="A393" t="s">
        <v>605</v>
      </c>
      <c r="B393" t="s">
        <v>103</v>
      </c>
      <c r="C393" t="s">
        <v>44</v>
      </c>
      <c r="D393" t="s">
        <v>45</v>
      </c>
      <c r="E393" t="s">
        <v>46</v>
      </c>
      <c r="F393" t="s">
        <v>17</v>
      </c>
      <c r="G393" t="s">
        <v>36</v>
      </c>
      <c r="H393">
        <v>12896</v>
      </c>
      <c r="I393" t="s">
        <v>27</v>
      </c>
      <c r="K393">
        <v>13000</v>
      </c>
      <c r="L393" s="1">
        <v>45336</v>
      </c>
    </row>
    <row r="394" spans="1:12" x14ac:dyDescent="0.3">
      <c r="A394" t="s">
        <v>606</v>
      </c>
      <c r="B394" t="s">
        <v>80</v>
      </c>
      <c r="C394" t="s">
        <v>30</v>
      </c>
      <c r="D394" t="s">
        <v>31</v>
      </c>
      <c r="E394" t="s">
        <v>32</v>
      </c>
      <c r="F394" t="s">
        <v>17</v>
      </c>
      <c r="G394" t="s">
        <v>18</v>
      </c>
      <c r="H394">
        <v>16210</v>
      </c>
      <c r="K394">
        <v>17000</v>
      </c>
      <c r="L394" s="1">
        <v>45350</v>
      </c>
    </row>
    <row r="395" spans="1:12" x14ac:dyDescent="0.3">
      <c r="A395" t="s">
        <v>607</v>
      </c>
      <c r="B395" t="s">
        <v>78</v>
      </c>
      <c r="C395" t="s">
        <v>44</v>
      </c>
      <c r="D395" t="s">
        <v>45</v>
      </c>
      <c r="E395" t="s">
        <v>46</v>
      </c>
      <c r="F395" t="s">
        <v>17</v>
      </c>
      <c r="G395" t="s">
        <v>36</v>
      </c>
      <c r="H395">
        <v>12865</v>
      </c>
      <c r="I395" t="s">
        <v>19</v>
      </c>
      <c r="J395">
        <v>0.2</v>
      </c>
      <c r="K395">
        <v>13000</v>
      </c>
      <c r="L395" s="1">
        <v>45325</v>
      </c>
    </row>
    <row r="396" spans="1:12" x14ac:dyDescent="0.3">
      <c r="A396" t="s">
        <v>608</v>
      </c>
      <c r="B396" t="s">
        <v>188</v>
      </c>
      <c r="C396" t="s">
        <v>61</v>
      </c>
      <c r="D396" t="s">
        <v>62</v>
      </c>
      <c r="E396" t="s">
        <v>32</v>
      </c>
      <c r="F396" t="s">
        <v>17</v>
      </c>
      <c r="G396" t="s">
        <v>26</v>
      </c>
      <c r="H396">
        <v>9853</v>
      </c>
      <c r="K396">
        <v>9000</v>
      </c>
      <c r="L396" s="1">
        <v>45312</v>
      </c>
    </row>
    <row r="397" spans="1:12" x14ac:dyDescent="0.3">
      <c r="A397" t="s">
        <v>609</v>
      </c>
      <c r="B397" t="s">
        <v>263</v>
      </c>
      <c r="C397" t="s">
        <v>14</v>
      </c>
      <c r="D397" t="s">
        <v>15</v>
      </c>
      <c r="E397" t="s">
        <v>16</v>
      </c>
      <c r="F397" t="s">
        <v>25</v>
      </c>
      <c r="G397" t="s">
        <v>18</v>
      </c>
      <c r="H397">
        <v>15478</v>
      </c>
      <c r="I397" t="s">
        <v>33</v>
      </c>
      <c r="J397">
        <v>0.3</v>
      </c>
      <c r="K397">
        <v>14000</v>
      </c>
      <c r="L397" s="1">
        <v>45333</v>
      </c>
    </row>
    <row r="398" spans="1:12" x14ac:dyDescent="0.3">
      <c r="A398" t="s">
        <v>610</v>
      </c>
      <c r="B398" t="s">
        <v>21</v>
      </c>
      <c r="C398" t="s">
        <v>44</v>
      </c>
      <c r="D398" t="s">
        <v>45</v>
      </c>
      <c r="E398" t="s">
        <v>16</v>
      </c>
      <c r="F398" t="s">
        <v>25</v>
      </c>
      <c r="G398" t="s">
        <v>26</v>
      </c>
      <c r="H398">
        <v>11714</v>
      </c>
      <c r="I398" t="s">
        <v>27</v>
      </c>
      <c r="K398">
        <v>13000</v>
      </c>
      <c r="L398" s="1">
        <v>45302</v>
      </c>
    </row>
    <row r="399" spans="1:12" x14ac:dyDescent="0.3">
      <c r="A399" t="s">
        <v>611</v>
      </c>
      <c r="B399" t="s">
        <v>301</v>
      </c>
      <c r="C399" t="s">
        <v>61</v>
      </c>
      <c r="D399" t="s">
        <v>62</v>
      </c>
      <c r="E399" t="s">
        <v>46</v>
      </c>
      <c r="F399" t="s">
        <v>25</v>
      </c>
      <c r="G399" t="s">
        <v>36</v>
      </c>
      <c r="H399">
        <v>9579</v>
      </c>
      <c r="I399" t="s">
        <v>19</v>
      </c>
      <c r="J399">
        <v>0.2</v>
      </c>
      <c r="K399">
        <v>9000</v>
      </c>
      <c r="L399" s="1">
        <v>45303</v>
      </c>
    </row>
    <row r="400" spans="1:12" x14ac:dyDescent="0.3">
      <c r="A400" t="s">
        <v>612</v>
      </c>
      <c r="B400" t="s">
        <v>92</v>
      </c>
      <c r="C400" t="s">
        <v>61</v>
      </c>
      <c r="D400" t="s">
        <v>62</v>
      </c>
      <c r="E400" t="s">
        <v>46</v>
      </c>
      <c r="F400" t="s">
        <v>25</v>
      </c>
      <c r="G400" t="s">
        <v>26</v>
      </c>
      <c r="H400">
        <v>9515</v>
      </c>
      <c r="I400" t="s">
        <v>19</v>
      </c>
      <c r="J400">
        <v>0.2</v>
      </c>
      <c r="K400">
        <v>9000</v>
      </c>
      <c r="L400" s="1">
        <v>45320</v>
      </c>
    </row>
    <row r="401" spans="1:12" x14ac:dyDescent="0.3">
      <c r="A401" t="s">
        <v>613</v>
      </c>
      <c r="B401" t="s">
        <v>337</v>
      </c>
      <c r="C401" t="s">
        <v>61</v>
      </c>
      <c r="D401" t="s">
        <v>62</v>
      </c>
      <c r="E401" t="s">
        <v>32</v>
      </c>
      <c r="F401" t="s">
        <v>39</v>
      </c>
      <c r="G401" t="s">
        <v>18</v>
      </c>
      <c r="H401">
        <v>7842</v>
      </c>
      <c r="I401" t="s">
        <v>33</v>
      </c>
      <c r="J401">
        <v>0.3</v>
      </c>
      <c r="K401">
        <v>9000</v>
      </c>
      <c r="L401" s="1">
        <v>45340</v>
      </c>
    </row>
    <row r="402" spans="1:12" x14ac:dyDescent="0.3">
      <c r="A402" t="s">
        <v>614</v>
      </c>
      <c r="B402" t="s">
        <v>276</v>
      </c>
      <c r="C402" t="s">
        <v>14</v>
      </c>
      <c r="D402" t="s">
        <v>15</v>
      </c>
      <c r="E402" t="s">
        <v>16</v>
      </c>
      <c r="F402" t="s">
        <v>25</v>
      </c>
      <c r="G402" t="s">
        <v>26</v>
      </c>
      <c r="H402">
        <v>12765</v>
      </c>
      <c r="I402" t="s">
        <v>33</v>
      </c>
      <c r="J402">
        <v>0.3</v>
      </c>
      <c r="K402">
        <v>14000</v>
      </c>
      <c r="L402" s="1">
        <v>45312</v>
      </c>
    </row>
    <row r="403" spans="1:12" x14ac:dyDescent="0.3">
      <c r="A403" t="s">
        <v>615</v>
      </c>
      <c r="B403" t="s">
        <v>29</v>
      </c>
      <c r="C403" t="s">
        <v>14</v>
      </c>
      <c r="D403" t="s">
        <v>15</v>
      </c>
      <c r="E403" t="s">
        <v>46</v>
      </c>
      <c r="F403" t="s">
        <v>39</v>
      </c>
      <c r="G403" t="s">
        <v>36</v>
      </c>
      <c r="H403">
        <v>14161</v>
      </c>
      <c r="I403" t="s">
        <v>33</v>
      </c>
      <c r="J403">
        <v>0.3</v>
      </c>
      <c r="K403">
        <v>14000</v>
      </c>
      <c r="L403" s="1">
        <v>45330</v>
      </c>
    </row>
    <row r="404" spans="1:12" x14ac:dyDescent="0.3">
      <c r="A404" t="s">
        <v>616</v>
      </c>
      <c r="B404" t="s">
        <v>617</v>
      </c>
      <c r="C404" t="s">
        <v>61</v>
      </c>
      <c r="D404" t="s">
        <v>62</v>
      </c>
      <c r="E404" t="s">
        <v>16</v>
      </c>
      <c r="F404" t="s">
        <v>25</v>
      </c>
      <c r="G404" t="s">
        <v>36</v>
      </c>
      <c r="H404">
        <v>8441</v>
      </c>
      <c r="K404">
        <v>9000</v>
      </c>
      <c r="L404" s="1">
        <v>45331</v>
      </c>
    </row>
    <row r="405" spans="1:12" x14ac:dyDescent="0.3">
      <c r="A405" t="s">
        <v>618</v>
      </c>
      <c r="B405" t="s">
        <v>619</v>
      </c>
      <c r="C405" t="s">
        <v>30</v>
      </c>
      <c r="D405" t="s">
        <v>31</v>
      </c>
      <c r="E405" t="s">
        <v>16</v>
      </c>
      <c r="F405" t="s">
        <v>39</v>
      </c>
      <c r="G405" t="s">
        <v>18</v>
      </c>
      <c r="H405">
        <v>17752</v>
      </c>
      <c r="I405" t="s">
        <v>19</v>
      </c>
      <c r="J405">
        <v>0.2</v>
      </c>
      <c r="K405">
        <v>17000</v>
      </c>
      <c r="L405" s="1">
        <v>45312</v>
      </c>
    </row>
    <row r="406" spans="1:12" x14ac:dyDescent="0.3">
      <c r="A406" t="s">
        <v>620</v>
      </c>
      <c r="B406" t="s">
        <v>248</v>
      </c>
      <c r="C406" t="s">
        <v>30</v>
      </c>
      <c r="D406" t="s">
        <v>31</v>
      </c>
      <c r="E406" t="s">
        <v>32</v>
      </c>
      <c r="F406" t="s">
        <v>25</v>
      </c>
      <c r="G406" t="s">
        <v>36</v>
      </c>
      <c r="H406">
        <v>17840</v>
      </c>
      <c r="I406" t="s">
        <v>19</v>
      </c>
      <c r="J406">
        <v>0.2</v>
      </c>
      <c r="K406">
        <v>17000</v>
      </c>
      <c r="L406" s="1">
        <v>45324</v>
      </c>
    </row>
    <row r="407" spans="1:12" x14ac:dyDescent="0.3">
      <c r="A407" t="s">
        <v>621</v>
      </c>
      <c r="B407" t="s">
        <v>177</v>
      </c>
      <c r="C407" t="s">
        <v>44</v>
      </c>
      <c r="D407" t="s">
        <v>45</v>
      </c>
      <c r="E407" t="s">
        <v>16</v>
      </c>
      <c r="F407" t="s">
        <v>17</v>
      </c>
      <c r="G407" t="s">
        <v>36</v>
      </c>
      <c r="H407">
        <v>11760</v>
      </c>
      <c r="K407">
        <v>13000</v>
      </c>
      <c r="L407" s="1">
        <v>45332</v>
      </c>
    </row>
    <row r="408" spans="1:12" x14ac:dyDescent="0.3">
      <c r="A408" t="s">
        <v>622</v>
      </c>
      <c r="B408" t="s">
        <v>548</v>
      </c>
      <c r="C408" t="s">
        <v>44</v>
      </c>
      <c r="D408" t="s">
        <v>45</v>
      </c>
      <c r="E408" t="s">
        <v>16</v>
      </c>
      <c r="F408" t="s">
        <v>25</v>
      </c>
      <c r="G408" t="s">
        <v>36</v>
      </c>
      <c r="H408">
        <v>12183</v>
      </c>
      <c r="I408" t="s">
        <v>19</v>
      </c>
      <c r="J408">
        <v>0.2</v>
      </c>
      <c r="K408">
        <v>13000</v>
      </c>
      <c r="L408" s="1">
        <v>45303</v>
      </c>
    </row>
    <row r="409" spans="1:12" x14ac:dyDescent="0.3">
      <c r="A409" t="s">
        <v>623</v>
      </c>
      <c r="B409" t="s">
        <v>624</v>
      </c>
      <c r="C409" t="s">
        <v>61</v>
      </c>
      <c r="D409" t="s">
        <v>62</v>
      </c>
      <c r="E409" t="s">
        <v>16</v>
      </c>
      <c r="F409" t="s">
        <v>25</v>
      </c>
      <c r="G409" t="s">
        <v>36</v>
      </c>
      <c r="H409">
        <v>10898</v>
      </c>
      <c r="I409" t="s">
        <v>22</v>
      </c>
      <c r="J409">
        <v>0.1</v>
      </c>
      <c r="K409">
        <v>9000</v>
      </c>
      <c r="L409" s="1">
        <v>45323</v>
      </c>
    </row>
    <row r="410" spans="1:12" x14ac:dyDescent="0.3">
      <c r="A410" t="s">
        <v>625</v>
      </c>
      <c r="B410" t="s">
        <v>35</v>
      </c>
      <c r="C410" t="s">
        <v>61</v>
      </c>
      <c r="D410" t="s">
        <v>62</v>
      </c>
      <c r="E410" t="s">
        <v>16</v>
      </c>
      <c r="F410" t="s">
        <v>39</v>
      </c>
      <c r="G410" t="s">
        <v>26</v>
      </c>
      <c r="H410">
        <v>9027</v>
      </c>
      <c r="K410">
        <v>9000</v>
      </c>
      <c r="L410" s="1">
        <v>45335</v>
      </c>
    </row>
    <row r="411" spans="1:12" x14ac:dyDescent="0.3">
      <c r="A411" t="s">
        <v>626</v>
      </c>
      <c r="B411" t="s">
        <v>52</v>
      </c>
      <c r="C411" t="s">
        <v>61</v>
      </c>
      <c r="D411" t="s">
        <v>62</v>
      </c>
      <c r="E411" t="s">
        <v>46</v>
      </c>
      <c r="F411" t="s">
        <v>25</v>
      </c>
      <c r="G411" t="s">
        <v>18</v>
      </c>
      <c r="H411">
        <v>9315</v>
      </c>
      <c r="I411" t="s">
        <v>22</v>
      </c>
      <c r="J411">
        <v>0.1</v>
      </c>
      <c r="K411">
        <v>9000</v>
      </c>
      <c r="L411" s="1">
        <v>45342</v>
      </c>
    </row>
    <row r="412" spans="1:12" x14ac:dyDescent="0.3">
      <c r="A412" t="s">
        <v>627</v>
      </c>
      <c r="B412" t="s">
        <v>294</v>
      </c>
      <c r="C412" t="s">
        <v>30</v>
      </c>
      <c r="D412" t="s">
        <v>31</v>
      </c>
      <c r="E412" t="s">
        <v>32</v>
      </c>
      <c r="F412" t="s">
        <v>17</v>
      </c>
      <c r="G412" t="s">
        <v>18</v>
      </c>
      <c r="H412">
        <v>17202</v>
      </c>
      <c r="I412" t="s">
        <v>33</v>
      </c>
      <c r="J412">
        <v>0.3</v>
      </c>
      <c r="K412">
        <v>17000</v>
      </c>
      <c r="L412" s="1">
        <v>45302</v>
      </c>
    </row>
    <row r="413" spans="1:12" x14ac:dyDescent="0.3">
      <c r="A413" t="s">
        <v>628</v>
      </c>
      <c r="B413" t="s">
        <v>298</v>
      </c>
      <c r="C413" t="s">
        <v>61</v>
      </c>
      <c r="D413" t="s">
        <v>62</v>
      </c>
      <c r="E413" t="s">
        <v>16</v>
      </c>
      <c r="F413" t="s">
        <v>39</v>
      </c>
      <c r="G413" t="s">
        <v>18</v>
      </c>
      <c r="H413">
        <v>9345</v>
      </c>
      <c r="I413" t="s">
        <v>22</v>
      </c>
      <c r="J413">
        <v>0.1</v>
      </c>
      <c r="K413">
        <v>9000</v>
      </c>
      <c r="L413" s="1">
        <v>45309</v>
      </c>
    </row>
    <row r="414" spans="1:12" x14ac:dyDescent="0.3">
      <c r="A414" t="s">
        <v>629</v>
      </c>
      <c r="B414" t="s">
        <v>133</v>
      </c>
      <c r="C414" t="s">
        <v>30</v>
      </c>
      <c r="D414" t="s">
        <v>31</v>
      </c>
      <c r="E414" t="s">
        <v>16</v>
      </c>
      <c r="F414" t="s">
        <v>25</v>
      </c>
      <c r="G414" t="s">
        <v>26</v>
      </c>
      <c r="H414">
        <v>16807</v>
      </c>
      <c r="I414" t="s">
        <v>27</v>
      </c>
      <c r="K414">
        <v>17000</v>
      </c>
      <c r="L414" s="1">
        <v>45305</v>
      </c>
    </row>
    <row r="415" spans="1:12" x14ac:dyDescent="0.3">
      <c r="A415" t="s">
        <v>630</v>
      </c>
      <c r="B415" t="s">
        <v>41</v>
      </c>
      <c r="C415" t="s">
        <v>44</v>
      </c>
      <c r="D415" t="s">
        <v>45</v>
      </c>
      <c r="E415" t="s">
        <v>46</v>
      </c>
      <c r="F415" t="s">
        <v>25</v>
      </c>
      <c r="G415" t="s">
        <v>36</v>
      </c>
      <c r="H415">
        <v>12076</v>
      </c>
      <c r="I415" t="s">
        <v>33</v>
      </c>
      <c r="J415">
        <v>0.3</v>
      </c>
      <c r="K415">
        <v>13000</v>
      </c>
      <c r="L415" s="1">
        <v>45347</v>
      </c>
    </row>
    <row r="416" spans="1:12" x14ac:dyDescent="0.3">
      <c r="A416" t="s">
        <v>631</v>
      </c>
      <c r="B416" t="s">
        <v>96</v>
      </c>
      <c r="C416" t="s">
        <v>61</v>
      </c>
      <c r="D416" t="s">
        <v>62</v>
      </c>
      <c r="E416" t="s">
        <v>32</v>
      </c>
      <c r="F416" t="s">
        <v>25</v>
      </c>
      <c r="G416" t="s">
        <v>18</v>
      </c>
      <c r="H416">
        <v>10320</v>
      </c>
      <c r="I416" t="s">
        <v>27</v>
      </c>
      <c r="K416">
        <v>9000</v>
      </c>
      <c r="L416" s="1">
        <v>45336</v>
      </c>
    </row>
    <row r="417" spans="1:12" x14ac:dyDescent="0.3">
      <c r="A417" t="s">
        <v>632</v>
      </c>
      <c r="B417" t="s">
        <v>624</v>
      </c>
      <c r="C417" t="s">
        <v>61</v>
      </c>
      <c r="D417" t="s">
        <v>62</v>
      </c>
      <c r="E417" t="s">
        <v>32</v>
      </c>
      <c r="F417" t="s">
        <v>39</v>
      </c>
      <c r="G417" t="s">
        <v>18</v>
      </c>
      <c r="H417">
        <v>10214</v>
      </c>
      <c r="I417" t="s">
        <v>19</v>
      </c>
      <c r="J417">
        <v>0.2</v>
      </c>
      <c r="K417">
        <v>9000</v>
      </c>
      <c r="L417" s="1">
        <v>45344</v>
      </c>
    </row>
    <row r="418" spans="1:12" x14ac:dyDescent="0.3">
      <c r="A418" t="s">
        <v>633</v>
      </c>
      <c r="B418" t="s">
        <v>401</v>
      </c>
      <c r="C418" t="s">
        <v>14</v>
      </c>
      <c r="D418" t="s">
        <v>15</v>
      </c>
      <c r="E418" t="s">
        <v>16</v>
      </c>
      <c r="F418" t="s">
        <v>17</v>
      </c>
      <c r="G418" t="s">
        <v>26</v>
      </c>
      <c r="H418">
        <v>13151</v>
      </c>
      <c r="I418" t="s">
        <v>27</v>
      </c>
      <c r="K418">
        <v>14000</v>
      </c>
      <c r="L418" s="1">
        <v>45326</v>
      </c>
    </row>
    <row r="419" spans="1:12" x14ac:dyDescent="0.3">
      <c r="A419" t="s">
        <v>634</v>
      </c>
      <c r="B419" t="s">
        <v>74</v>
      </c>
      <c r="C419" t="s">
        <v>30</v>
      </c>
      <c r="D419" t="s">
        <v>31</v>
      </c>
      <c r="E419" t="s">
        <v>46</v>
      </c>
      <c r="F419" t="s">
        <v>39</v>
      </c>
      <c r="G419" t="s">
        <v>36</v>
      </c>
      <c r="H419">
        <v>18901</v>
      </c>
      <c r="I419" t="s">
        <v>27</v>
      </c>
      <c r="K419">
        <v>17000</v>
      </c>
      <c r="L419" s="1">
        <v>45349</v>
      </c>
    </row>
    <row r="420" spans="1:12" x14ac:dyDescent="0.3">
      <c r="A420" t="s">
        <v>635</v>
      </c>
      <c r="B420" t="s">
        <v>204</v>
      </c>
      <c r="C420" t="s">
        <v>14</v>
      </c>
      <c r="D420" t="s">
        <v>15</v>
      </c>
      <c r="E420" t="s">
        <v>32</v>
      </c>
      <c r="F420" t="s">
        <v>17</v>
      </c>
      <c r="G420" t="s">
        <v>18</v>
      </c>
      <c r="H420">
        <v>13135</v>
      </c>
      <c r="I420" t="s">
        <v>19</v>
      </c>
      <c r="J420">
        <v>0.2</v>
      </c>
      <c r="K420">
        <v>14000</v>
      </c>
      <c r="L420" s="1">
        <v>45336</v>
      </c>
    </row>
    <row r="421" spans="1:12" x14ac:dyDescent="0.3">
      <c r="A421" t="s">
        <v>636</v>
      </c>
      <c r="B421" t="s">
        <v>412</v>
      </c>
      <c r="C421" t="s">
        <v>44</v>
      </c>
      <c r="D421" t="s">
        <v>45</v>
      </c>
      <c r="E421" t="s">
        <v>32</v>
      </c>
      <c r="F421" t="s">
        <v>39</v>
      </c>
      <c r="G421" t="s">
        <v>36</v>
      </c>
      <c r="H421">
        <v>14393</v>
      </c>
      <c r="I421" t="s">
        <v>19</v>
      </c>
      <c r="J421">
        <v>0.2</v>
      </c>
      <c r="K421">
        <v>13000</v>
      </c>
      <c r="L421" s="1">
        <v>45340</v>
      </c>
    </row>
    <row r="422" spans="1:12" x14ac:dyDescent="0.3">
      <c r="A422" t="s">
        <v>637</v>
      </c>
      <c r="B422" t="s">
        <v>198</v>
      </c>
      <c r="C422" t="s">
        <v>61</v>
      </c>
      <c r="D422" t="s">
        <v>62</v>
      </c>
      <c r="E422" t="s">
        <v>46</v>
      </c>
      <c r="F422" t="s">
        <v>25</v>
      </c>
      <c r="G422" t="s">
        <v>26</v>
      </c>
      <c r="H422">
        <v>9590</v>
      </c>
      <c r="I422" t="s">
        <v>33</v>
      </c>
      <c r="J422">
        <v>0.3</v>
      </c>
      <c r="K422">
        <v>9000</v>
      </c>
      <c r="L422" s="1">
        <v>45332</v>
      </c>
    </row>
    <row r="423" spans="1:12" x14ac:dyDescent="0.3">
      <c r="A423" t="s">
        <v>638</v>
      </c>
      <c r="B423" t="s">
        <v>177</v>
      </c>
      <c r="C423" t="s">
        <v>61</v>
      </c>
      <c r="D423" t="s">
        <v>62</v>
      </c>
      <c r="E423" t="s">
        <v>32</v>
      </c>
      <c r="F423" t="s">
        <v>39</v>
      </c>
      <c r="G423" t="s">
        <v>18</v>
      </c>
      <c r="H423">
        <v>8650</v>
      </c>
      <c r="I423" t="s">
        <v>27</v>
      </c>
      <c r="K423">
        <v>9000</v>
      </c>
      <c r="L423" s="1">
        <v>45339</v>
      </c>
    </row>
    <row r="424" spans="1:12" x14ac:dyDescent="0.3">
      <c r="A424" t="s">
        <v>639</v>
      </c>
      <c r="B424" t="s">
        <v>350</v>
      </c>
      <c r="C424" t="s">
        <v>30</v>
      </c>
      <c r="D424" t="s">
        <v>31</v>
      </c>
      <c r="E424" t="s">
        <v>46</v>
      </c>
      <c r="F424" t="s">
        <v>17</v>
      </c>
      <c r="G424" t="s">
        <v>36</v>
      </c>
      <c r="H424">
        <v>17383</v>
      </c>
      <c r="I424" t="s">
        <v>22</v>
      </c>
      <c r="J424">
        <v>0.1</v>
      </c>
      <c r="K424">
        <v>17000</v>
      </c>
      <c r="L424" s="1">
        <v>45347</v>
      </c>
    </row>
    <row r="425" spans="1:12" x14ac:dyDescent="0.3">
      <c r="A425" t="s">
        <v>640</v>
      </c>
      <c r="B425" t="s">
        <v>140</v>
      </c>
      <c r="C425" t="s">
        <v>14</v>
      </c>
      <c r="D425" t="s">
        <v>15</v>
      </c>
      <c r="E425" t="s">
        <v>16</v>
      </c>
      <c r="F425" t="s">
        <v>17</v>
      </c>
      <c r="G425" t="s">
        <v>26</v>
      </c>
      <c r="H425">
        <v>14720</v>
      </c>
      <c r="I425" t="s">
        <v>33</v>
      </c>
      <c r="J425">
        <v>0.3</v>
      </c>
      <c r="K425">
        <v>14000</v>
      </c>
      <c r="L425" s="1">
        <v>45346</v>
      </c>
    </row>
    <row r="426" spans="1:12" x14ac:dyDescent="0.3">
      <c r="A426" t="s">
        <v>641</v>
      </c>
      <c r="B426" t="s">
        <v>200</v>
      </c>
      <c r="C426" t="s">
        <v>61</v>
      </c>
      <c r="D426" t="s">
        <v>62</v>
      </c>
      <c r="E426" t="s">
        <v>32</v>
      </c>
      <c r="F426" t="s">
        <v>17</v>
      </c>
      <c r="G426" t="s">
        <v>18</v>
      </c>
      <c r="H426">
        <v>9026</v>
      </c>
      <c r="I426" t="s">
        <v>33</v>
      </c>
      <c r="J426">
        <v>0.3</v>
      </c>
      <c r="K426">
        <v>9000</v>
      </c>
      <c r="L426" s="1">
        <v>45312</v>
      </c>
    </row>
    <row r="427" spans="1:12" x14ac:dyDescent="0.3">
      <c r="A427" t="s">
        <v>642</v>
      </c>
      <c r="B427" t="s">
        <v>643</v>
      </c>
      <c r="C427" t="s">
        <v>30</v>
      </c>
      <c r="D427" t="s">
        <v>31</v>
      </c>
      <c r="E427" t="s">
        <v>16</v>
      </c>
      <c r="F427" t="s">
        <v>39</v>
      </c>
      <c r="G427" t="s">
        <v>18</v>
      </c>
      <c r="H427">
        <v>17318</v>
      </c>
      <c r="K427">
        <v>17000</v>
      </c>
      <c r="L427" s="1">
        <v>45342</v>
      </c>
    </row>
    <row r="428" spans="1:12" x14ac:dyDescent="0.3">
      <c r="A428" t="s">
        <v>644</v>
      </c>
      <c r="B428" t="s">
        <v>150</v>
      </c>
      <c r="C428" t="s">
        <v>14</v>
      </c>
      <c r="D428" t="s">
        <v>15</v>
      </c>
      <c r="E428" t="s">
        <v>32</v>
      </c>
      <c r="F428" t="s">
        <v>25</v>
      </c>
      <c r="G428" t="s">
        <v>26</v>
      </c>
      <c r="H428">
        <v>15210</v>
      </c>
      <c r="K428">
        <v>14000</v>
      </c>
      <c r="L428" s="1">
        <v>45293</v>
      </c>
    </row>
    <row r="429" spans="1:12" x14ac:dyDescent="0.3">
      <c r="A429" t="s">
        <v>645</v>
      </c>
      <c r="B429" t="s">
        <v>159</v>
      </c>
      <c r="C429" t="s">
        <v>44</v>
      </c>
      <c r="D429" t="s">
        <v>45</v>
      </c>
      <c r="E429" t="s">
        <v>46</v>
      </c>
      <c r="F429" t="s">
        <v>17</v>
      </c>
      <c r="G429" t="s">
        <v>18</v>
      </c>
      <c r="H429">
        <v>14924</v>
      </c>
      <c r="K429">
        <v>13000</v>
      </c>
      <c r="L429" s="1">
        <v>45304</v>
      </c>
    </row>
    <row r="430" spans="1:12" x14ac:dyDescent="0.3">
      <c r="A430" t="s">
        <v>646</v>
      </c>
      <c r="B430" t="s">
        <v>153</v>
      </c>
      <c r="C430" t="s">
        <v>30</v>
      </c>
      <c r="D430" t="s">
        <v>31</v>
      </c>
      <c r="E430" t="s">
        <v>32</v>
      </c>
      <c r="F430" t="s">
        <v>17</v>
      </c>
      <c r="G430" t="s">
        <v>18</v>
      </c>
      <c r="H430">
        <v>17681</v>
      </c>
      <c r="I430" t="s">
        <v>33</v>
      </c>
      <c r="J430">
        <v>0.3</v>
      </c>
      <c r="K430">
        <v>17000</v>
      </c>
      <c r="L430" s="1">
        <v>45308</v>
      </c>
    </row>
    <row r="431" spans="1:12" x14ac:dyDescent="0.3">
      <c r="A431" t="s">
        <v>647</v>
      </c>
      <c r="B431" t="s">
        <v>432</v>
      </c>
      <c r="C431" t="s">
        <v>44</v>
      </c>
      <c r="D431" t="s">
        <v>45</v>
      </c>
      <c r="E431" t="s">
        <v>32</v>
      </c>
      <c r="F431" t="s">
        <v>17</v>
      </c>
      <c r="G431" t="s">
        <v>26</v>
      </c>
      <c r="H431">
        <v>12251</v>
      </c>
      <c r="I431" t="s">
        <v>19</v>
      </c>
      <c r="J431">
        <v>0.2</v>
      </c>
      <c r="K431">
        <v>13000</v>
      </c>
      <c r="L431" s="1">
        <v>45319</v>
      </c>
    </row>
    <row r="432" spans="1:12" x14ac:dyDescent="0.3">
      <c r="A432" t="s">
        <v>648</v>
      </c>
      <c r="B432" t="s">
        <v>13</v>
      </c>
      <c r="C432" t="s">
        <v>14</v>
      </c>
      <c r="D432" t="s">
        <v>15</v>
      </c>
      <c r="E432" t="s">
        <v>32</v>
      </c>
      <c r="F432" t="s">
        <v>25</v>
      </c>
      <c r="G432" t="s">
        <v>36</v>
      </c>
      <c r="H432">
        <v>12319</v>
      </c>
      <c r="I432" t="s">
        <v>19</v>
      </c>
      <c r="J432">
        <v>0.2</v>
      </c>
      <c r="K432">
        <v>14000</v>
      </c>
      <c r="L432" s="1">
        <v>45329</v>
      </c>
    </row>
    <row r="433" spans="1:12" x14ac:dyDescent="0.3">
      <c r="A433" t="s">
        <v>649</v>
      </c>
      <c r="B433" t="s">
        <v>24</v>
      </c>
      <c r="C433" t="s">
        <v>61</v>
      </c>
      <c r="D433" t="s">
        <v>62</v>
      </c>
      <c r="E433" t="s">
        <v>32</v>
      </c>
      <c r="F433" t="s">
        <v>25</v>
      </c>
      <c r="G433" t="s">
        <v>26</v>
      </c>
      <c r="H433">
        <v>8407</v>
      </c>
      <c r="I433" t="s">
        <v>22</v>
      </c>
      <c r="J433">
        <v>0.1</v>
      </c>
      <c r="K433">
        <v>9000</v>
      </c>
      <c r="L433" s="1">
        <v>45347</v>
      </c>
    </row>
    <row r="434" spans="1:12" x14ac:dyDescent="0.3">
      <c r="A434" t="s">
        <v>650</v>
      </c>
      <c r="B434" t="s">
        <v>101</v>
      </c>
      <c r="C434" t="s">
        <v>44</v>
      </c>
      <c r="D434" t="s">
        <v>45</v>
      </c>
      <c r="E434" t="s">
        <v>46</v>
      </c>
      <c r="F434" t="s">
        <v>25</v>
      </c>
      <c r="G434" t="s">
        <v>18</v>
      </c>
      <c r="H434">
        <v>12569</v>
      </c>
      <c r="I434" t="s">
        <v>22</v>
      </c>
      <c r="J434">
        <v>0.1</v>
      </c>
      <c r="K434">
        <v>13000</v>
      </c>
      <c r="L434" s="1">
        <v>45338</v>
      </c>
    </row>
    <row r="435" spans="1:12" x14ac:dyDescent="0.3">
      <c r="A435" t="s">
        <v>651</v>
      </c>
      <c r="B435" t="s">
        <v>652</v>
      </c>
      <c r="C435" t="s">
        <v>14</v>
      </c>
      <c r="D435" t="s">
        <v>15</v>
      </c>
      <c r="E435" t="s">
        <v>46</v>
      </c>
      <c r="F435" t="s">
        <v>17</v>
      </c>
      <c r="G435" t="s">
        <v>36</v>
      </c>
      <c r="H435">
        <v>12561</v>
      </c>
      <c r="K435">
        <v>14000</v>
      </c>
      <c r="L435" s="1">
        <v>45341</v>
      </c>
    </row>
    <row r="436" spans="1:12" x14ac:dyDescent="0.3">
      <c r="A436" t="s">
        <v>653</v>
      </c>
      <c r="B436" t="s">
        <v>393</v>
      </c>
      <c r="C436" t="s">
        <v>44</v>
      </c>
      <c r="D436" t="s">
        <v>45</v>
      </c>
      <c r="E436" t="s">
        <v>16</v>
      </c>
      <c r="F436" t="s">
        <v>39</v>
      </c>
      <c r="G436" t="s">
        <v>18</v>
      </c>
      <c r="H436">
        <v>11280</v>
      </c>
      <c r="I436" t="s">
        <v>27</v>
      </c>
      <c r="K436">
        <v>13000</v>
      </c>
      <c r="L436" s="1">
        <v>45328</v>
      </c>
    </row>
    <row r="437" spans="1:12" x14ac:dyDescent="0.3">
      <c r="A437" t="s">
        <v>654</v>
      </c>
      <c r="B437" t="s">
        <v>109</v>
      </c>
      <c r="C437" t="s">
        <v>44</v>
      </c>
      <c r="D437" t="s">
        <v>45</v>
      </c>
      <c r="E437" t="s">
        <v>46</v>
      </c>
      <c r="F437" t="s">
        <v>17</v>
      </c>
      <c r="G437" t="s">
        <v>26</v>
      </c>
      <c r="H437">
        <v>11872</v>
      </c>
      <c r="I437" t="s">
        <v>19</v>
      </c>
      <c r="J437">
        <v>0.2</v>
      </c>
      <c r="K437">
        <v>13000</v>
      </c>
      <c r="L437" s="1">
        <v>45350</v>
      </c>
    </row>
    <row r="438" spans="1:12" x14ac:dyDescent="0.3">
      <c r="A438" t="s">
        <v>655</v>
      </c>
      <c r="B438" t="s">
        <v>617</v>
      </c>
      <c r="C438" t="s">
        <v>61</v>
      </c>
      <c r="D438" t="s">
        <v>62</v>
      </c>
      <c r="E438" t="s">
        <v>32</v>
      </c>
      <c r="F438" t="s">
        <v>25</v>
      </c>
      <c r="G438" t="s">
        <v>18</v>
      </c>
      <c r="H438">
        <v>7573</v>
      </c>
      <c r="I438" t="s">
        <v>22</v>
      </c>
      <c r="J438">
        <v>0.1</v>
      </c>
      <c r="K438">
        <v>9000</v>
      </c>
      <c r="L438" s="1">
        <v>45329</v>
      </c>
    </row>
    <row r="439" spans="1:12" x14ac:dyDescent="0.3">
      <c r="A439" t="s">
        <v>656</v>
      </c>
      <c r="B439" t="s">
        <v>127</v>
      </c>
      <c r="C439" t="s">
        <v>30</v>
      </c>
      <c r="D439" t="s">
        <v>31</v>
      </c>
      <c r="E439" t="s">
        <v>46</v>
      </c>
      <c r="F439" t="s">
        <v>17</v>
      </c>
      <c r="G439" t="s">
        <v>18</v>
      </c>
      <c r="H439">
        <v>16014</v>
      </c>
      <c r="I439" t="s">
        <v>33</v>
      </c>
      <c r="J439">
        <v>0.3</v>
      </c>
      <c r="K439">
        <v>17000</v>
      </c>
      <c r="L439" s="1">
        <v>45333</v>
      </c>
    </row>
    <row r="440" spans="1:12" x14ac:dyDescent="0.3">
      <c r="A440" t="s">
        <v>657</v>
      </c>
      <c r="B440" t="s">
        <v>248</v>
      </c>
      <c r="C440" t="s">
        <v>30</v>
      </c>
      <c r="D440" t="s">
        <v>31</v>
      </c>
      <c r="E440" t="s">
        <v>16</v>
      </c>
      <c r="F440" t="s">
        <v>25</v>
      </c>
      <c r="G440" t="s">
        <v>26</v>
      </c>
      <c r="H440">
        <v>18587</v>
      </c>
      <c r="I440" t="s">
        <v>33</v>
      </c>
      <c r="J440">
        <v>0.3</v>
      </c>
      <c r="K440">
        <v>17000</v>
      </c>
      <c r="L440" s="1">
        <v>45305</v>
      </c>
    </row>
    <row r="441" spans="1:12" x14ac:dyDescent="0.3">
      <c r="A441" t="s">
        <v>658</v>
      </c>
      <c r="B441" t="s">
        <v>382</v>
      </c>
      <c r="C441" t="s">
        <v>44</v>
      </c>
      <c r="D441" t="s">
        <v>45</v>
      </c>
      <c r="E441" t="s">
        <v>16</v>
      </c>
      <c r="F441" t="s">
        <v>17</v>
      </c>
      <c r="G441" t="s">
        <v>36</v>
      </c>
      <c r="H441">
        <v>13646</v>
      </c>
      <c r="I441" t="s">
        <v>22</v>
      </c>
      <c r="J441">
        <v>0.1</v>
      </c>
      <c r="K441">
        <v>13000</v>
      </c>
      <c r="L441" s="1">
        <v>45342</v>
      </c>
    </row>
    <row r="442" spans="1:12" x14ac:dyDescent="0.3">
      <c r="A442" t="s">
        <v>659</v>
      </c>
      <c r="B442" t="s">
        <v>148</v>
      </c>
      <c r="C442" t="s">
        <v>44</v>
      </c>
      <c r="D442" t="s">
        <v>45</v>
      </c>
      <c r="E442" t="s">
        <v>46</v>
      </c>
      <c r="F442" t="s">
        <v>17</v>
      </c>
      <c r="G442" t="s">
        <v>18</v>
      </c>
      <c r="H442">
        <v>11987</v>
      </c>
      <c r="K442">
        <v>13000</v>
      </c>
      <c r="L442" s="1">
        <v>45332</v>
      </c>
    </row>
    <row r="443" spans="1:12" x14ac:dyDescent="0.3">
      <c r="A443" t="s">
        <v>660</v>
      </c>
      <c r="B443" t="s">
        <v>107</v>
      </c>
      <c r="C443" t="s">
        <v>14</v>
      </c>
      <c r="D443" t="s">
        <v>15</v>
      </c>
      <c r="E443" t="s">
        <v>46</v>
      </c>
      <c r="F443" t="s">
        <v>17</v>
      </c>
      <c r="G443" t="s">
        <v>18</v>
      </c>
      <c r="H443">
        <v>13584</v>
      </c>
      <c r="I443" t="s">
        <v>27</v>
      </c>
      <c r="K443">
        <v>14000</v>
      </c>
      <c r="L443" s="1">
        <v>45318</v>
      </c>
    </row>
    <row r="444" spans="1:12" x14ac:dyDescent="0.3">
      <c r="A444" t="s">
        <v>661</v>
      </c>
      <c r="B444" t="s">
        <v>301</v>
      </c>
      <c r="C444" t="s">
        <v>44</v>
      </c>
      <c r="D444" t="s">
        <v>45</v>
      </c>
      <c r="E444" t="s">
        <v>46</v>
      </c>
      <c r="F444" t="s">
        <v>25</v>
      </c>
      <c r="G444" t="s">
        <v>18</v>
      </c>
      <c r="H444">
        <v>13405</v>
      </c>
      <c r="I444" t="s">
        <v>22</v>
      </c>
      <c r="J444">
        <v>0.1</v>
      </c>
      <c r="K444">
        <v>13000</v>
      </c>
      <c r="L444" s="1">
        <v>45292</v>
      </c>
    </row>
    <row r="445" spans="1:12" x14ac:dyDescent="0.3">
      <c r="A445" t="s">
        <v>662</v>
      </c>
      <c r="B445" t="s">
        <v>289</v>
      </c>
      <c r="C445" t="s">
        <v>14</v>
      </c>
      <c r="D445" t="s">
        <v>15</v>
      </c>
      <c r="E445" t="s">
        <v>32</v>
      </c>
      <c r="F445" t="s">
        <v>17</v>
      </c>
      <c r="G445" t="s">
        <v>26</v>
      </c>
      <c r="H445">
        <v>13173</v>
      </c>
      <c r="I445" t="s">
        <v>27</v>
      </c>
      <c r="K445">
        <v>14000</v>
      </c>
      <c r="L445" s="1">
        <v>45341</v>
      </c>
    </row>
    <row r="446" spans="1:12" x14ac:dyDescent="0.3">
      <c r="A446" t="s">
        <v>663</v>
      </c>
      <c r="B446" t="s">
        <v>177</v>
      </c>
      <c r="C446" t="s">
        <v>61</v>
      </c>
      <c r="D446" t="s">
        <v>62</v>
      </c>
      <c r="E446" t="s">
        <v>32</v>
      </c>
      <c r="F446" t="s">
        <v>39</v>
      </c>
      <c r="G446" t="s">
        <v>26</v>
      </c>
      <c r="H446">
        <v>9202</v>
      </c>
      <c r="I446" t="s">
        <v>27</v>
      </c>
      <c r="K446">
        <v>9000</v>
      </c>
      <c r="L446" s="1">
        <v>45301</v>
      </c>
    </row>
    <row r="447" spans="1:12" x14ac:dyDescent="0.3">
      <c r="A447" t="s">
        <v>664</v>
      </c>
      <c r="B447" t="s">
        <v>222</v>
      </c>
      <c r="C447" t="s">
        <v>30</v>
      </c>
      <c r="D447" t="s">
        <v>31</v>
      </c>
      <c r="E447" t="s">
        <v>32</v>
      </c>
      <c r="F447" t="s">
        <v>39</v>
      </c>
      <c r="G447" t="s">
        <v>18</v>
      </c>
      <c r="H447">
        <v>18990</v>
      </c>
      <c r="I447" t="s">
        <v>19</v>
      </c>
      <c r="J447">
        <v>0.2</v>
      </c>
      <c r="K447">
        <v>17000</v>
      </c>
      <c r="L447" s="1">
        <v>45326</v>
      </c>
    </row>
    <row r="448" spans="1:12" x14ac:dyDescent="0.3">
      <c r="A448" t="s">
        <v>665</v>
      </c>
      <c r="B448" t="s">
        <v>666</v>
      </c>
      <c r="C448" t="s">
        <v>14</v>
      </c>
      <c r="D448" t="s">
        <v>15</v>
      </c>
      <c r="E448" t="s">
        <v>46</v>
      </c>
      <c r="F448" t="s">
        <v>39</v>
      </c>
      <c r="G448" t="s">
        <v>36</v>
      </c>
      <c r="H448">
        <v>14989</v>
      </c>
      <c r="I448" t="s">
        <v>19</v>
      </c>
      <c r="J448">
        <v>0.2</v>
      </c>
      <c r="K448">
        <v>14000</v>
      </c>
      <c r="L448" s="1">
        <v>45295</v>
      </c>
    </row>
    <row r="449" spans="1:12" x14ac:dyDescent="0.3">
      <c r="A449" t="s">
        <v>667</v>
      </c>
      <c r="B449" t="s">
        <v>229</v>
      </c>
      <c r="C449" t="s">
        <v>61</v>
      </c>
      <c r="D449" t="s">
        <v>62</v>
      </c>
      <c r="E449" t="s">
        <v>32</v>
      </c>
      <c r="F449" t="s">
        <v>17</v>
      </c>
      <c r="G449" t="s">
        <v>26</v>
      </c>
      <c r="H449">
        <v>9493</v>
      </c>
      <c r="I449" t="s">
        <v>22</v>
      </c>
      <c r="J449">
        <v>0.1</v>
      </c>
      <c r="K449">
        <v>9000</v>
      </c>
      <c r="L449" s="1">
        <v>45311</v>
      </c>
    </row>
    <row r="450" spans="1:12" x14ac:dyDescent="0.3">
      <c r="A450" t="s">
        <v>668</v>
      </c>
      <c r="B450" t="s">
        <v>305</v>
      </c>
      <c r="C450" t="s">
        <v>44</v>
      </c>
      <c r="D450" t="s">
        <v>45</v>
      </c>
      <c r="E450" t="s">
        <v>32</v>
      </c>
      <c r="F450" t="s">
        <v>25</v>
      </c>
      <c r="G450" t="s">
        <v>26</v>
      </c>
      <c r="H450">
        <v>11562</v>
      </c>
      <c r="I450" t="s">
        <v>22</v>
      </c>
      <c r="J450">
        <v>0.1</v>
      </c>
      <c r="K450">
        <v>13000</v>
      </c>
      <c r="L450" s="1">
        <v>45302</v>
      </c>
    </row>
    <row r="451" spans="1:12" x14ac:dyDescent="0.3">
      <c r="A451" t="s">
        <v>669</v>
      </c>
      <c r="B451" t="s">
        <v>188</v>
      </c>
      <c r="C451" t="s">
        <v>30</v>
      </c>
      <c r="D451" t="s">
        <v>31</v>
      </c>
      <c r="E451" t="s">
        <v>32</v>
      </c>
      <c r="F451" t="s">
        <v>17</v>
      </c>
      <c r="G451" t="s">
        <v>18</v>
      </c>
      <c r="H451">
        <v>18071</v>
      </c>
      <c r="I451" t="s">
        <v>33</v>
      </c>
      <c r="J451">
        <v>0.3</v>
      </c>
      <c r="K451">
        <v>17000</v>
      </c>
      <c r="L451" s="1">
        <v>45338</v>
      </c>
    </row>
    <row r="452" spans="1:12" x14ac:dyDescent="0.3">
      <c r="A452" t="s">
        <v>670</v>
      </c>
      <c r="B452" t="s">
        <v>403</v>
      </c>
      <c r="C452" t="s">
        <v>14</v>
      </c>
      <c r="D452" t="s">
        <v>15</v>
      </c>
      <c r="E452" t="s">
        <v>46</v>
      </c>
      <c r="F452" t="s">
        <v>17</v>
      </c>
      <c r="G452" t="s">
        <v>36</v>
      </c>
      <c r="H452">
        <v>14145</v>
      </c>
      <c r="I452" t="s">
        <v>22</v>
      </c>
      <c r="J452">
        <v>0.1</v>
      </c>
      <c r="K452">
        <v>14000</v>
      </c>
      <c r="L452" s="1">
        <v>45308</v>
      </c>
    </row>
    <row r="453" spans="1:12" x14ac:dyDescent="0.3">
      <c r="A453" t="s">
        <v>671</v>
      </c>
      <c r="B453" t="s">
        <v>672</v>
      </c>
      <c r="C453" t="s">
        <v>14</v>
      </c>
      <c r="D453" t="s">
        <v>15</v>
      </c>
      <c r="E453" t="s">
        <v>46</v>
      </c>
      <c r="F453" t="s">
        <v>17</v>
      </c>
      <c r="G453" t="s">
        <v>26</v>
      </c>
      <c r="H453">
        <v>13475</v>
      </c>
      <c r="I453" t="s">
        <v>22</v>
      </c>
      <c r="J453">
        <v>0.1</v>
      </c>
      <c r="K453">
        <v>14000</v>
      </c>
      <c r="L453" s="1">
        <v>45323</v>
      </c>
    </row>
    <row r="454" spans="1:12" x14ac:dyDescent="0.3">
      <c r="A454" t="s">
        <v>673</v>
      </c>
      <c r="B454" t="s">
        <v>460</v>
      </c>
      <c r="C454" t="s">
        <v>44</v>
      </c>
      <c r="D454" t="s">
        <v>45</v>
      </c>
      <c r="E454" t="s">
        <v>46</v>
      </c>
      <c r="F454" t="s">
        <v>25</v>
      </c>
      <c r="G454" t="s">
        <v>36</v>
      </c>
      <c r="H454">
        <v>14167</v>
      </c>
      <c r="I454" t="s">
        <v>22</v>
      </c>
      <c r="J454">
        <v>0.1</v>
      </c>
      <c r="K454">
        <v>13000</v>
      </c>
      <c r="L454" s="1">
        <v>45349</v>
      </c>
    </row>
    <row r="455" spans="1:12" x14ac:dyDescent="0.3">
      <c r="A455" t="s">
        <v>674</v>
      </c>
      <c r="B455" t="s">
        <v>209</v>
      </c>
      <c r="C455" t="s">
        <v>14</v>
      </c>
      <c r="D455" t="s">
        <v>15</v>
      </c>
      <c r="E455" t="s">
        <v>32</v>
      </c>
      <c r="F455" t="s">
        <v>39</v>
      </c>
      <c r="G455" t="s">
        <v>26</v>
      </c>
      <c r="H455">
        <v>12010</v>
      </c>
      <c r="I455" t="s">
        <v>22</v>
      </c>
      <c r="J455">
        <v>0.1</v>
      </c>
      <c r="K455">
        <v>14000</v>
      </c>
      <c r="L455" s="1">
        <v>45346</v>
      </c>
    </row>
    <row r="456" spans="1:12" x14ac:dyDescent="0.3">
      <c r="A456" t="s">
        <v>675</v>
      </c>
      <c r="B456" t="s">
        <v>676</v>
      </c>
      <c r="C456" t="s">
        <v>44</v>
      </c>
      <c r="D456" t="s">
        <v>45</v>
      </c>
      <c r="E456" t="s">
        <v>32</v>
      </c>
      <c r="F456" t="s">
        <v>17</v>
      </c>
      <c r="G456" t="s">
        <v>36</v>
      </c>
      <c r="H456">
        <v>12568</v>
      </c>
      <c r="I456" t="s">
        <v>19</v>
      </c>
      <c r="J456">
        <v>0.2</v>
      </c>
      <c r="K456">
        <v>13000</v>
      </c>
      <c r="L456" s="1">
        <v>45303</v>
      </c>
    </row>
    <row r="457" spans="1:12" x14ac:dyDescent="0.3">
      <c r="A457" t="s">
        <v>677</v>
      </c>
      <c r="B457" t="s">
        <v>454</v>
      </c>
      <c r="C457" t="s">
        <v>14</v>
      </c>
      <c r="D457" t="s">
        <v>15</v>
      </c>
      <c r="E457" t="s">
        <v>16</v>
      </c>
      <c r="F457" t="s">
        <v>39</v>
      </c>
      <c r="G457" t="s">
        <v>26</v>
      </c>
      <c r="H457">
        <v>14685</v>
      </c>
      <c r="K457">
        <v>14000</v>
      </c>
      <c r="L457" s="1">
        <v>45306</v>
      </c>
    </row>
    <row r="458" spans="1:12" x14ac:dyDescent="0.3">
      <c r="A458" t="s">
        <v>678</v>
      </c>
      <c r="B458" t="s">
        <v>408</v>
      </c>
      <c r="C458" t="s">
        <v>61</v>
      </c>
      <c r="D458" t="s">
        <v>62</v>
      </c>
      <c r="E458" t="s">
        <v>16</v>
      </c>
      <c r="F458" t="s">
        <v>17</v>
      </c>
      <c r="G458" t="s">
        <v>36</v>
      </c>
      <c r="H458">
        <v>10383</v>
      </c>
      <c r="I458" t="s">
        <v>22</v>
      </c>
      <c r="J458">
        <v>0.1</v>
      </c>
      <c r="K458">
        <v>9000</v>
      </c>
      <c r="L458" s="1">
        <v>45328</v>
      </c>
    </row>
    <row r="459" spans="1:12" x14ac:dyDescent="0.3">
      <c r="A459" t="s">
        <v>679</v>
      </c>
      <c r="B459" t="s">
        <v>116</v>
      </c>
      <c r="C459" t="s">
        <v>14</v>
      </c>
      <c r="D459" t="s">
        <v>15</v>
      </c>
      <c r="E459" t="s">
        <v>32</v>
      </c>
      <c r="F459" t="s">
        <v>25</v>
      </c>
      <c r="G459" t="s">
        <v>26</v>
      </c>
      <c r="H459">
        <v>12188</v>
      </c>
      <c r="K459">
        <v>14000</v>
      </c>
      <c r="L459" s="1">
        <v>45296</v>
      </c>
    </row>
    <row r="460" spans="1:12" x14ac:dyDescent="0.3">
      <c r="A460" t="s">
        <v>680</v>
      </c>
      <c r="B460" t="s">
        <v>445</v>
      </c>
      <c r="C460" t="s">
        <v>30</v>
      </c>
      <c r="D460" t="s">
        <v>31</v>
      </c>
      <c r="E460" t="s">
        <v>46</v>
      </c>
      <c r="F460" t="s">
        <v>17</v>
      </c>
      <c r="G460" t="s">
        <v>18</v>
      </c>
      <c r="H460">
        <v>17265</v>
      </c>
      <c r="K460">
        <v>17000</v>
      </c>
      <c r="L460" s="1">
        <v>45292</v>
      </c>
    </row>
    <row r="461" spans="1:12" x14ac:dyDescent="0.3">
      <c r="A461" t="s">
        <v>681</v>
      </c>
      <c r="B461" t="s">
        <v>408</v>
      </c>
      <c r="C461" t="s">
        <v>30</v>
      </c>
      <c r="D461" t="s">
        <v>31</v>
      </c>
      <c r="E461" t="s">
        <v>16</v>
      </c>
      <c r="F461" t="s">
        <v>17</v>
      </c>
      <c r="G461" t="s">
        <v>26</v>
      </c>
      <c r="H461">
        <v>17550</v>
      </c>
      <c r="I461" t="s">
        <v>19</v>
      </c>
      <c r="J461">
        <v>0.2</v>
      </c>
      <c r="K461">
        <v>17000</v>
      </c>
      <c r="L461" s="1">
        <v>45321</v>
      </c>
    </row>
    <row r="462" spans="1:12" x14ac:dyDescent="0.3">
      <c r="A462" t="s">
        <v>682</v>
      </c>
      <c r="B462" t="s">
        <v>38</v>
      </c>
      <c r="C462" t="s">
        <v>61</v>
      </c>
      <c r="D462" t="s">
        <v>62</v>
      </c>
      <c r="E462" t="s">
        <v>32</v>
      </c>
      <c r="F462" t="s">
        <v>39</v>
      </c>
      <c r="G462" t="s">
        <v>26</v>
      </c>
      <c r="H462">
        <v>10114</v>
      </c>
      <c r="I462" t="s">
        <v>19</v>
      </c>
      <c r="J462">
        <v>0.2</v>
      </c>
      <c r="K462">
        <v>9000</v>
      </c>
      <c r="L462" s="1">
        <v>45301</v>
      </c>
    </row>
    <row r="463" spans="1:12" x14ac:dyDescent="0.3">
      <c r="A463" t="s">
        <v>683</v>
      </c>
      <c r="B463" t="s">
        <v>406</v>
      </c>
      <c r="C463" t="s">
        <v>14</v>
      </c>
      <c r="D463" t="s">
        <v>15</v>
      </c>
      <c r="E463" t="s">
        <v>32</v>
      </c>
      <c r="F463" t="s">
        <v>39</v>
      </c>
      <c r="G463" t="s">
        <v>36</v>
      </c>
      <c r="H463">
        <v>14604</v>
      </c>
      <c r="I463" t="s">
        <v>22</v>
      </c>
      <c r="J463">
        <v>0.1</v>
      </c>
      <c r="K463">
        <v>14000</v>
      </c>
      <c r="L463" s="1">
        <v>45352</v>
      </c>
    </row>
    <row r="464" spans="1:12" x14ac:dyDescent="0.3">
      <c r="A464" t="s">
        <v>684</v>
      </c>
      <c r="B464" t="s">
        <v>327</v>
      </c>
      <c r="C464" t="s">
        <v>61</v>
      </c>
      <c r="D464" t="s">
        <v>62</v>
      </c>
      <c r="E464" t="s">
        <v>16</v>
      </c>
      <c r="F464" t="s">
        <v>39</v>
      </c>
      <c r="G464" t="s">
        <v>36</v>
      </c>
      <c r="H464">
        <v>7425</v>
      </c>
      <c r="I464" t="s">
        <v>19</v>
      </c>
      <c r="J464">
        <v>0.2</v>
      </c>
      <c r="K464">
        <v>9000</v>
      </c>
      <c r="L464" s="1">
        <v>45325</v>
      </c>
    </row>
    <row r="465" spans="1:12" x14ac:dyDescent="0.3">
      <c r="A465" t="s">
        <v>685</v>
      </c>
      <c r="B465" t="s">
        <v>414</v>
      </c>
      <c r="C465" t="s">
        <v>61</v>
      </c>
      <c r="D465" t="s">
        <v>62</v>
      </c>
      <c r="E465" t="s">
        <v>32</v>
      </c>
      <c r="F465" t="s">
        <v>25</v>
      </c>
      <c r="G465" t="s">
        <v>26</v>
      </c>
      <c r="H465">
        <v>8146</v>
      </c>
      <c r="I465" t="s">
        <v>22</v>
      </c>
      <c r="J465">
        <v>0.1</v>
      </c>
      <c r="K465">
        <v>9000</v>
      </c>
      <c r="L465" s="1">
        <v>45294</v>
      </c>
    </row>
    <row r="466" spans="1:12" x14ac:dyDescent="0.3">
      <c r="A466" t="s">
        <v>686</v>
      </c>
      <c r="B466" t="s">
        <v>553</v>
      </c>
      <c r="C466" t="s">
        <v>61</v>
      </c>
      <c r="D466" t="s">
        <v>62</v>
      </c>
      <c r="E466" t="s">
        <v>16</v>
      </c>
      <c r="F466" t="s">
        <v>17</v>
      </c>
      <c r="G466" t="s">
        <v>36</v>
      </c>
      <c r="H466">
        <v>10991</v>
      </c>
      <c r="I466" t="s">
        <v>22</v>
      </c>
      <c r="J466">
        <v>0.1</v>
      </c>
      <c r="K466">
        <v>9000</v>
      </c>
      <c r="L466" s="1">
        <v>45329</v>
      </c>
    </row>
    <row r="467" spans="1:12" x14ac:dyDescent="0.3">
      <c r="A467" t="s">
        <v>687</v>
      </c>
      <c r="B467" t="s">
        <v>241</v>
      </c>
      <c r="C467" t="s">
        <v>44</v>
      </c>
      <c r="D467" t="s">
        <v>45</v>
      </c>
      <c r="E467" t="s">
        <v>16</v>
      </c>
      <c r="F467" t="s">
        <v>17</v>
      </c>
      <c r="G467" t="s">
        <v>18</v>
      </c>
      <c r="H467">
        <v>13424</v>
      </c>
      <c r="I467" t="s">
        <v>27</v>
      </c>
      <c r="K467">
        <v>13000</v>
      </c>
      <c r="L467" s="1">
        <v>45295</v>
      </c>
    </row>
    <row r="468" spans="1:12" x14ac:dyDescent="0.3">
      <c r="A468" t="s">
        <v>688</v>
      </c>
      <c r="B468" t="s">
        <v>274</v>
      </c>
      <c r="C468" t="s">
        <v>44</v>
      </c>
      <c r="D468" t="s">
        <v>45</v>
      </c>
      <c r="E468" t="s">
        <v>32</v>
      </c>
      <c r="F468" t="s">
        <v>17</v>
      </c>
      <c r="G468" t="s">
        <v>36</v>
      </c>
      <c r="H468">
        <v>14485</v>
      </c>
      <c r="I468" t="s">
        <v>33</v>
      </c>
      <c r="J468">
        <v>0.3</v>
      </c>
      <c r="K468">
        <v>13000</v>
      </c>
      <c r="L468" s="1">
        <v>45351</v>
      </c>
    </row>
    <row r="469" spans="1:12" x14ac:dyDescent="0.3">
      <c r="A469" t="s">
        <v>689</v>
      </c>
      <c r="B469" t="s">
        <v>180</v>
      </c>
      <c r="C469" t="s">
        <v>30</v>
      </c>
      <c r="D469" t="s">
        <v>31</v>
      </c>
      <c r="E469" t="s">
        <v>46</v>
      </c>
      <c r="F469" t="s">
        <v>17</v>
      </c>
      <c r="G469" t="s">
        <v>36</v>
      </c>
      <c r="H469">
        <v>15956</v>
      </c>
      <c r="I469" t="s">
        <v>22</v>
      </c>
      <c r="J469">
        <v>0.1</v>
      </c>
      <c r="K469">
        <v>17000</v>
      </c>
      <c r="L469" s="1">
        <v>45352</v>
      </c>
    </row>
    <row r="470" spans="1:12" x14ac:dyDescent="0.3">
      <c r="A470" t="s">
        <v>690</v>
      </c>
      <c r="B470" t="s">
        <v>235</v>
      </c>
      <c r="C470" t="s">
        <v>14</v>
      </c>
      <c r="D470" t="s">
        <v>15</v>
      </c>
      <c r="E470" t="s">
        <v>32</v>
      </c>
      <c r="F470" t="s">
        <v>25</v>
      </c>
      <c r="G470" t="s">
        <v>18</v>
      </c>
      <c r="H470">
        <v>13841</v>
      </c>
      <c r="K470">
        <v>14000</v>
      </c>
      <c r="L470" s="1">
        <v>45312</v>
      </c>
    </row>
    <row r="471" spans="1:12" x14ac:dyDescent="0.3">
      <c r="A471" t="s">
        <v>691</v>
      </c>
      <c r="B471" t="s">
        <v>41</v>
      </c>
      <c r="C471" t="s">
        <v>30</v>
      </c>
      <c r="D471" t="s">
        <v>31</v>
      </c>
      <c r="E471" t="s">
        <v>32</v>
      </c>
      <c r="F471" t="s">
        <v>17</v>
      </c>
      <c r="G471" t="s">
        <v>36</v>
      </c>
      <c r="H471">
        <v>16897</v>
      </c>
      <c r="I471" t="s">
        <v>33</v>
      </c>
      <c r="J471">
        <v>0.3</v>
      </c>
      <c r="K471">
        <v>17000</v>
      </c>
      <c r="L471" s="1">
        <v>45346</v>
      </c>
    </row>
    <row r="472" spans="1:12" x14ac:dyDescent="0.3">
      <c r="A472" t="s">
        <v>692</v>
      </c>
      <c r="B472" t="s">
        <v>78</v>
      </c>
      <c r="C472" t="s">
        <v>44</v>
      </c>
      <c r="D472" t="s">
        <v>45</v>
      </c>
      <c r="E472" t="s">
        <v>16</v>
      </c>
      <c r="F472" t="s">
        <v>17</v>
      </c>
      <c r="G472" t="s">
        <v>26</v>
      </c>
      <c r="H472">
        <v>13854</v>
      </c>
      <c r="I472" t="s">
        <v>27</v>
      </c>
      <c r="K472">
        <v>13000</v>
      </c>
      <c r="L472" s="1">
        <v>45294</v>
      </c>
    </row>
    <row r="473" spans="1:12" x14ac:dyDescent="0.3">
      <c r="A473" t="s">
        <v>693</v>
      </c>
      <c r="B473" t="s">
        <v>171</v>
      </c>
      <c r="C473" t="s">
        <v>30</v>
      </c>
      <c r="D473" t="s">
        <v>31</v>
      </c>
      <c r="E473" t="s">
        <v>32</v>
      </c>
      <c r="F473" t="s">
        <v>25</v>
      </c>
      <c r="G473" t="s">
        <v>26</v>
      </c>
      <c r="H473">
        <v>16016</v>
      </c>
      <c r="I473" t="s">
        <v>33</v>
      </c>
      <c r="J473">
        <v>0.3</v>
      </c>
      <c r="K473">
        <v>17000</v>
      </c>
      <c r="L473" s="1">
        <v>45317</v>
      </c>
    </row>
    <row r="474" spans="1:12" x14ac:dyDescent="0.3">
      <c r="A474" t="s">
        <v>694</v>
      </c>
      <c r="B474" t="s">
        <v>184</v>
      </c>
      <c r="C474" t="s">
        <v>30</v>
      </c>
      <c r="D474" t="s">
        <v>31</v>
      </c>
      <c r="E474" t="s">
        <v>46</v>
      </c>
      <c r="F474" t="s">
        <v>25</v>
      </c>
      <c r="G474" t="s">
        <v>18</v>
      </c>
      <c r="H474">
        <v>18899</v>
      </c>
      <c r="K474">
        <v>17000</v>
      </c>
      <c r="L474" s="1">
        <v>45346</v>
      </c>
    </row>
    <row r="475" spans="1:12" x14ac:dyDescent="0.3">
      <c r="A475" t="s">
        <v>695</v>
      </c>
      <c r="B475" t="s">
        <v>330</v>
      </c>
      <c r="C475" t="s">
        <v>44</v>
      </c>
      <c r="D475" t="s">
        <v>45</v>
      </c>
      <c r="E475" t="s">
        <v>32</v>
      </c>
      <c r="F475" t="s">
        <v>17</v>
      </c>
      <c r="G475" t="s">
        <v>18</v>
      </c>
      <c r="H475">
        <v>14292</v>
      </c>
      <c r="I475" t="s">
        <v>19</v>
      </c>
      <c r="J475">
        <v>0.2</v>
      </c>
      <c r="K475">
        <v>13000</v>
      </c>
      <c r="L475" s="1">
        <v>45299</v>
      </c>
    </row>
    <row r="476" spans="1:12" x14ac:dyDescent="0.3">
      <c r="A476" t="s">
        <v>696</v>
      </c>
      <c r="B476" t="s">
        <v>161</v>
      </c>
      <c r="C476" t="s">
        <v>44</v>
      </c>
      <c r="D476" t="s">
        <v>45</v>
      </c>
      <c r="E476" t="s">
        <v>32</v>
      </c>
      <c r="F476" t="s">
        <v>25</v>
      </c>
      <c r="G476" t="s">
        <v>36</v>
      </c>
      <c r="H476">
        <v>12524</v>
      </c>
      <c r="I476" t="s">
        <v>22</v>
      </c>
      <c r="J476">
        <v>0.1</v>
      </c>
      <c r="K476">
        <v>13000</v>
      </c>
      <c r="L476" s="1">
        <v>45329</v>
      </c>
    </row>
    <row r="477" spans="1:12" x14ac:dyDescent="0.3">
      <c r="A477" t="s">
        <v>697</v>
      </c>
      <c r="B477" t="s">
        <v>291</v>
      </c>
      <c r="C477" t="s">
        <v>14</v>
      </c>
      <c r="D477" t="s">
        <v>15</v>
      </c>
      <c r="E477" t="s">
        <v>32</v>
      </c>
      <c r="F477" t="s">
        <v>25</v>
      </c>
      <c r="G477" t="s">
        <v>18</v>
      </c>
      <c r="H477">
        <v>15696</v>
      </c>
      <c r="K477">
        <v>14000</v>
      </c>
      <c r="L477" s="1">
        <v>45343</v>
      </c>
    </row>
    <row r="478" spans="1:12" x14ac:dyDescent="0.3">
      <c r="A478" t="s">
        <v>698</v>
      </c>
      <c r="B478" t="s">
        <v>325</v>
      </c>
      <c r="C478" t="s">
        <v>30</v>
      </c>
      <c r="D478" t="s">
        <v>31</v>
      </c>
      <c r="E478" t="s">
        <v>32</v>
      </c>
      <c r="F478" t="s">
        <v>25</v>
      </c>
      <c r="G478" t="s">
        <v>36</v>
      </c>
      <c r="H478">
        <v>15207</v>
      </c>
      <c r="I478" t="s">
        <v>19</v>
      </c>
      <c r="J478">
        <v>0.2</v>
      </c>
      <c r="K478">
        <v>17000</v>
      </c>
      <c r="L478" s="1">
        <v>45351</v>
      </c>
    </row>
    <row r="479" spans="1:12" x14ac:dyDescent="0.3">
      <c r="A479" t="s">
        <v>699</v>
      </c>
      <c r="B479" t="s">
        <v>337</v>
      </c>
      <c r="C479" t="s">
        <v>61</v>
      </c>
      <c r="D479" t="s">
        <v>62</v>
      </c>
      <c r="E479" t="s">
        <v>46</v>
      </c>
      <c r="F479" t="s">
        <v>25</v>
      </c>
      <c r="G479" t="s">
        <v>36</v>
      </c>
      <c r="H479">
        <v>9798</v>
      </c>
      <c r="K479">
        <v>9000</v>
      </c>
      <c r="L479" s="1">
        <v>45303</v>
      </c>
    </row>
    <row r="480" spans="1:12" x14ac:dyDescent="0.3">
      <c r="A480" t="s">
        <v>700</v>
      </c>
      <c r="B480" t="s">
        <v>408</v>
      </c>
      <c r="C480" t="s">
        <v>44</v>
      </c>
      <c r="D480" t="s">
        <v>45</v>
      </c>
      <c r="E480" t="s">
        <v>46</v>
      </c>
      <c r="F480" t="s">
        <v>17</v>
      </c>
      <c r="G480" t="s">
        <v>36</v>
      </c>
      <c r="H480">
        <v>14618</v>
      </c>
      <c r="I480" t="s">
        <v>19</v>
      </c>
      <c r="J480">
        <v>0.2</v>
      </c>
      <c r="K480">
        <v>13000</v>
      </c>
      <c r="L480" s="1">
        <v>45294</v>
      </c>
    </row>
    <row r="481" spans="1:12" x14ac:dyDescent="0.3">
      <c r="A481" t="s">
        <v>701</v>
      </c>
      <c r="B481" t="s">
        <v>195</v>
      </c>
      <c r="C481" t="s">
        <v>44</v>
      </c>
      <c r="D481" t="s">
        <v>45</v>
      </c>
      <c r="E481" t="s">
        <v>16</v>
      </c>
      <c r="F481" t="s">
        <v>17</v>
      </c>
      <c r="G481" t="s">
        <v>36</v>
      </c>
      <c r="H481">
        <v>12687</v>
      </c>
      <c r="I481" t="s">
        <v>27</v>
      </c>
      <c r="K481">
        <v>13000</v>
      </c>
      <c r="L481" s="1">
        <v>45322</v>
      </c>
    </row>
    <row r="482" spans="1:12" x14ac:dyDescent="0.3">
      <c r="A482" t="s">
        <v>702</v>
      </c>
      <c r="B482" t="s">
        <v>76</v>
      </c>
      <c r="C482" t="s">
        <v>30</v>
      </c>
      <c r="D482" t="s">
        <v>31</v>
      </c>
      <c r="E482" t="s">
        <v>46</v>
      </c>
      <c r="F482" t="s">
        <v>25</v>
      </c>
      <c r="G482" t="s">
        <v>36</v>
      </c>
      <c r="H482">
        <v>15816</v>
      </c>
      <c r="I482" t="s">
        <v>27</v>
      </c>
      <c r="K482">
        <v>17000</v>
      </c>
      <c r="L482" s="1">
        <v>45307</v>
      </c>
    </row>
    <row r="483" spans="1:12" x14ac:dyDescent="0.3">
      <c r="A483" t="s">
        <v>703</v>
      </c>
      <c r="B483" t="s">
        <v>270</v>
      </c>
      <c r="C483" t="s">
        <v>14</v>
      </c>
      <c r="D483" t="s">
        <v>15</v>
      </c>
      <c r="E483" t="s">
        <v>46</v>
      </c>
      <c r="F483" t="s">
        <v>39</v>
      </c>
      <c r="G483" t="s">
        <v>36</v>
      </c>
      <c r="H483">
        <v>13964</v>
      </c>
      <c r="I483" t="s">
        <v>27</v>
      </c>
      <c r="K483">
        <v>14000</v>
      </c>
      <c r="L483" s="1">
        <v>45342</v>
      </c>
    </row>
    <row r="484" spans="1:12" x14ac:dyDescent="0.3">
      <c r="A484" t="s">
        <v>704</v>
      </c>
      <c r="B484" t="s">
        <v>188</v>
      </c>
      <c r="C484" t="s">
        <v>30</v>
      </c>
      <c r="D484" t="s">
        <v>31</v>
      </c>
      <c r="E484" t="s">
        <v>46</v>
      </c>
      <c r="F484" t="s">
        <v>17</v>
      </c>
      <c r="G484" t="s">
        <v>18</v>
      </c>
      <c r="H484">
        <v>15106</v>
      </c>
      <c r="I484" t="s">
        <v>33</v>
      </c>
      <c r="J484">
        <v>0.3</v>
      </c>
      <c r="K484">
        <v>17000</v>
      </c>
      <c r="L484" s="1">
        <v>45330</v>
      </c>
    </row>
    <row r="485" spans="1:12" x14ac:dyDescent="0.3">
      <c r="A485" t="s">
        <v>705</v>
      </c>
      <c r="B485" t="s">
        <v>500</v>
      </c>
      <c r="C485" t="s">
        <v>30</v>
      </c>
      <c r="D485" t="s">
        <v>31</v>
      </c>
      <c r="E485" t="s">
        <v>32</v>
      </c>
      <c r="F485" t="s">
        <v>17</v>
      </c>
      <c r="G485" t="s">
        <v>26</v>
      </c>
      <c r="H485">
        <v>16464</v>
      </c>
      <c r="I485" t="s">
        <v>27</v>
      </c>
      <c r="K485">
        <v>17000</v>
      </c>
      <c r="L485" s="1">
        <v>45306</v>
      </c>
    </row>
    <row r="486" spans="1:12" x14ac:dyDescent="0.3">
      <c r="A486" t="s">
        <v>706</v>
      </c>
      <c r="B486" t="s">
        <v>325</v>
      </c>
      <c r="C486" t="s">
        <v>44</v>
      </c>
      <c r="D486" t="s">
        <v>45</v>
      </c>
      <c r="E486" t="s">
        <v>16</v>
      </c>
      <c r="F486" t="s">
        <v>25</v>
      </c>
      <c r="G486" t="s">
        <v>36</v>
      </c>
      <c r="H486">
        <v>13185</v>
      </c>
      <c r="I486" t="s">
        <v>22</v>
      </c>
      <c r="J486">
        <v>0.1</v>
      </c>
      <c r="K486">
        <v>13000</v>
      </c>
      <c r="L486" s="1">
        <v>45340</v>
      </c>
    </row>
    <row r="487" spans="1:12" x14ac:dyDescent="0.3">
      <c r="A487" t="s">
        <v>707</v>
      </c>
      <c r="B487" t="s">
        <v>56</v>
      </c>
      <c r="C487" t="s">
        <v>61</v>
      </c>
      <c r="D487" t="s">
        <v>62</v>
      </c>
      <c r="E487" t="s">
        <v>46</v>
      </c>
      <c r="F487" t="s">
        <v>25</v>
      </c>
      <c r="G487" t="s">
        <v>18</v>
      </c>
      <c r="H487">
        <v>7968</v>
      </c>
      <c r="I487" t="s">
        <v>27</v>
      </c>
      <c r="K487">
        <v>9000</v>
      </c>
      <c r="L487" s="1">
        <v>45312</v>
      </c>
    </row>
    <row r="488" spans="1:12" x14ac:dyDescent="0.3">
      <c r="A488" t="s">
        <v>708</v>
      </c>
      <c r="B488" t="s">
        <v>296</v>
      </c>
      <c r="C488" t="s">
        <v>30</v>
      </c>
      <c r="D488" t="s">
        <v>31</v>
      </c>
      <c r="E488" t="s">
        <v>16</v>
      </c>
      <c r="F488" t="s">
        <v>25</v>
      </c>
      <c r="G488" t="s">
        <v>26</v>
      </c>
      <c r="H488">
        <v>17869</v>
      </c>
      <c r="I488" t="s">
        <v>33</v>
      </c>
      <c r="J488">
        <v>0.3</v>
      </c>
      <c r="K488">
        <v>17000</v>
      </c>
      <c r="L488" s="1">
        <v>45352</v>
      </c>
    </row>
    <row r="489" spans="1:12" x14ac:dyDescent="0.3">
      <c r="A489" t="s">
        <v>709</v>
      </c>
      <c r="B489" t="s">
        <v>195</v>
      </c>
      <c r="C489" t="s">
        <v>44</v>
      </c>
      <c r="D489" t="s">
        <v>45</v>
      </c>
      <c r="E489" t="s">
        <v>16</v>
      </c>
      <c r="F489" t="s">
        <v>25</v>
      </c>
      <c r="G489" t="s">
        <v>36</v>
      </c>
      <c r="H489">
        <v>13220</v>
      </c>
      <c r="I489" t="s">
        <v>33</v>
      </c>
      <c r="J489">
        <v>0.3</v>
      </c>
      <c r="K489">
        <v>13000</v>
      </c>
      <c r="L489" s="1">
        <v>45303</v>
      </c>
    </row>
    <row r="490" spans="1:12" x14ac:dyDescent="0.3">
      <c r="A490" t="s">
        <v>710</v>
      </c>
      <c r="B490" t="s">
        <v>711</v>
      </c>
      <c r="C490" t="s">
        <v>14</v>
      </c>
      <c r="D490" t="s">
        <v>15</v>
      </c>
      <c r="E490" t="s">
        <v>32</v>
      </c>
      <c r="F490" t="s">
        <v>25</v>
      </c>
      <c r="G490" t="s">
        <v>26</v>
      </c>
      <c r="H490">
        <v>12896</v>
      </c>
      <c r="I490" t="s">
        <v>22</v>
      </c>
      <c r="J490">
        <v>0.1</v>
      </c>
      <c r="K490">
        <v>14000</v>
      </c>
      <c r="L490" s="1">
        <v>45325</v>
      </c>
    </row>
    <row r="491" spans="1:12" x14ac:dyDescent="0.3">
      <c r="A491" t="s">
        <v>712</v>
      </c>
      <c r="B491" t="s">
        <v>711</v>
      </c>
      <c r="C491" t="s">
        <v>30</v>
      </c>
      <c r="D491" t="s">
        <v>31</v>
      </c>
      <c r="E491" t="s">
        <v>16</v>
      </c>
      <c r="F491" t="s">
        <v>25</v>
      </c>
      <c r="G491" t="s">
        <v>18</v>
      </c>
      <c r="H491">
        <v>16395</v>
      </c>
      <c r="I491" t="s">
        <v>19</v>
      </c>
      <c r="J491">
        <v>0.2</v>
      </c>
      <c r="K491">
        <v>17000</v>
      </c>
      <c r="L491" s="1">
        <v>45350</v>
      </c>
    </row>
    <row r="492" spans="1:12" x14ac:dyDescent="0.3">
      <c r="A492" t="s">
        <v>713</v>
      </c>
      <c r="B492" t="s">
        <v>140</v>
      </c>
      <c r="C492" t="s">
        <v>30</v>
      </c>
      <c r="D492" t="s">
        <v>31</v>
      </c>
      <c r="E492" t="s">
        <v>32</v>
      </c>
      <c r="F492" t="s">
        <v>25</v>
      </c>
      <c r="G492" t="s">
        <v>18</v>
      </c>
      <c r="H492">
        <v>17402</v>
      </c>
      <c r="I492" t="s">
        <v>19</v>
      </c>
      <c r="J492">
        <v>0.2</v>
      </c>
      <c r="K492">
        <v>17000</v>
      </c>
      <c r="L492" s="1">
        <v>45341</v>
      </c>
    </row>
    <row r="493" spans="1:12" x14ac:dyDescent="0.3">
      <c r="A493" t="s">
        <v>714</v>
      </c>
      <c r="B493" t="s">
        <v>159</v>
      </c>
      <c r="C493" t="s">
        <v>30</v>
      </c>
      <c r="D493" t="s">
        <v>31</v>
      </c>
      <c r="E493" t="s">
        <v>32</v>
      </c>
      <c r="F493" t="s">
        <v>17</v>
      </c>
      <c r="G493" t="s">
        <v>26</v>
      </c>
      <c r="H493">
        <v>18858</v>
      </c>
      <c r="K493">
        <v>17000</v>
      </c>
      <c r="L493" s="1">
        <v>45329</v>
      </c>
    </row>
    <row r="494" spans="1:12" x14ac:dyDescent="0.3">
      <c r="A494" t="s">
        <v>715</v>
      </c>
      <c r="B494" t="s">
        <v>432</v>
      </c>
      <c r="C494" t="s">
        <v>30</v>
      </c>
      <c r="D494" t="s">
        <v>31</v>
      </c>
      <c r="E494" t="s">
        <v>46</v>
      </c>
      <c r="F494" t="s">
        <v>25</v>
      </c>
      <c r="G494" t="s">
        <v>18</v>
      </c>
      <c r="H494">
        <v>17999</v>
      </c>
      <c r="K494">
        <v>17000</v>
      </c>
      <c r="L494" s="1">
        <v>45342</v>
      </c>
    </row>
    <row r="495" spans="1:12" x14ac:dyDescent="0.3">
      <c r="A495" t="s">
        <v>716</v>
      </c>
      <c r="B495" t="s">
        <v>591</v>
      </c>
      <c r="C495" t="s">
        <v>30</v>
      </c>
      <c r="D495" t="s">
        <v>31</v>
      </c>
      <c r="E495" t="s">
        <v>32</v>
      </c>
      <c r="F495" t="s">
        <v>39</v>
      </c>
      <c r="G495" t="s">
        <v>26</v>
      </c>
      <c r="H495">
        <v>17840</v>
      </c>
      <c r="I495" t="s">
        <v>27</v>
      </c>
      <c r="K495">
        <v>17000</v>
      </c>
      <c r="L495" s="1">
        <v>45342</v>
      </c>
    </row>
    <row r="496" spans="1:12" x14ac:dyDescent="0.3">
      <c r="A496" t="s">
        <v>717</v>
      </c>
      <c r="B496" t="s">
        <v>408</v>
      </c>
      <c r="C496" t="s">
        <v>44</v>
      </c>
      <c r="D496" t="s">
        <v>45</v>
      </c>
      <c r="E496" t="s">
        <v>46</v>
      </c>
      <c r="F496" t="s">
        <v>17</v>
      </c>
      <c r="G496" t="s">
        <v>26</v>
      </c>
      <c r="H496">
        <v>13820</v>
      </c>
      <c r="I496" t="s">
        <v>33</v>
      </c>
      <c r="J496">
        <v>0.3</v>
      </c>
      <c r="K496">
        <v>13000</v>
      </c>
      <c r="L496" s="1">
        <v>45300</v>
      </c>
    </row>
    <row r="497" spans="1:12" x14ac:dyDescent="0.3">
      <c r="A497" t="s">
        <v>718</v>
      </c>
      <c r="B497" t="s">
        <v>280</v>
      </c>
      <c r="C497" t="s">
        <v>14</v>
      </c>
      <c r="D497" t="s">
        <v>15</v>
      </c>
      <c r="E497" t="s">
        <v>16</v>
      </c>
      <c r="F497" t="s">
        <v>39</v>
      </c>
      <c r="G497" t="s">
        <v>36</v>
      </c>
      <c r="H497">
        <v>15484</v>
      </c>
      <c r="I497" t="s">
        <v>27</v>
      </c>
      <c r="K497">
        <v>14000</v>
      </c>
      <c r="L497" s="1">
        <v>45294</v>
      </c>
    </row>
    <row r="498" spans="1:12" x14ac:dyDescent="0.3">
      <c r="A498" t="s">
        <v>719</v>
      </c>
      <c r="B498" t="s">
        <v>720</v>
      </c>
      <c r="C498" t="s">
        <v>30</v>
      </c>
      <c r="D498" t="s">
        <v>31</v>
      </c>
      <c r="E498" t="s">
        <v>16</v>
      </c>
      <c r="F498" t="s">
        <v>25</v>
      </c>
      <c r="G498" t="s">
        <v>26</v>
      </c>
      <c r="H498">
        <v>17316</v>
      </c>
      <c r="I498" t="s">
        <v>22</v>
      </c>
      <c r="J498">
        <v>0.1</v>
      </c>
      <c r="K498">
        <v>17000</v>
      </c>
      <c r="L498" s="1">
        <v>45351</v>
      </c>
    </row>
    <row r="499" spans="1:12" x14ac:dyDescent="0.3">
      <c r="A499" t="s">
        <v>721</v>
      </c>
      <c r="B499" t="s">
        <v>508</v>
      </c>
      <c r="C499" t="s">
        <v>30</v>
      </c>
      <c r="D499" t="s">
        <v>31</v>
      </c>
      <c r="E499" t="s">
        <v>16</v>
      </c>
      <c r="F499" t="s">
        <v>25</v>
      </c>
      <c r="G499" t="s">
        <v>18</v>
      </c>
      <c r="H499">
        <v>16420</v>
      </c>
      <c r="I499" t="s">
        <v>33</v>
      </c>
      <c r="J499">
        <v>0.3</v>
      </c>
      <c r="K499">
        <v>17000</v>
      </c>
      <c r="L499" s="1">
        <v>45302</v>
      </c>
    </row>
    <row r="500" spans="1:12" x14ac:dyDescent="0.3">
      <c r="A500" t="s">
        <v>722</v>
      </c>
      <c r="B500" t="s">
        <v>13</v>
      </c>
      <c r="C500" t="s">
        <v>30</v>
      </c>
      <c r="D500" t="s">
        <v>31</v>
      </c>
      <c r="E500" t="s">
        <v>46</v>
      </c>
      <c r="F500" t="s">
        <v>25</v>
      </c>
      <c r="G500" t="s">
        <v>36</v>
      </c>
      <c r="H500">
        <v>15858</v>
      </c>
      <c r="I500" t="s">
        <v>19</v>
      </c>
      <c r="J500">
        <v>0.2</v>
      </c>
      <c r="K500">
        <v>17000</v>
      </c>
      <c r="L500" s="1">
        <v>45336</v>
      </c>
    </row>
    <row r="501" spans="1:12" x14ac:dyDescent="0.3">
      <c r="A501" t="s">
        <v>723</v>
      </c>
      <c r="B501" t="s">
        <v>432</v>
      </c>
      <c r="C501" t="s">
        <v>30</v>
      </c>
      <c r="D501" t="s">
        <v>31</v>
      </c>
      <c r="E501" t="s">
        <v>32</v>
      </c>
      <c r="F501" t="s">
        <v>39</v>
      </c>
      <c r="G501" t="s">
        <v>18</v>
      </c>
      <c r="H501">
        <v>15197</v>
      </c>
      <c r="K501">
        <v>17000</v>
      </c>
      <c r="L501" s="1">
        <v>45320</v>
      </c>
    </row>
    <row r="502" spans="1:12" x14ac:dyDescent="0.3">
      <c r="A502" t="s">
        <v>724</v>
      </c>
      <c r="B502" t="s">
        <v>127</v>
      </c>
      <c r="C502" t="s">
        <v>44</v>
      </c>
      <c r="D502" t="s">
        <v>45</v>
      </c>
      <c r="E502" t="s">
        <v>46</v>
      </c>
      <c r="F502" t="s">
        <v>17</v>
      </c>
      <c r="G502" t="s">
        <v>36</v>
      </c>
      <c r="H502">
        <v>12438</v>
      </c>
      <c r="I502" t="s">
        <v>27</v>
      </c>
      <c r="K502">
        <v>13000</v>
      </c>
      <c r="L502" s="1">
        <v>45316</v>
      </c>
    </row>
    <row r="503" spans="1:12" x14ac:dyDescent="0.3">
      <c r="A503" t="s">
        <v>725</v>
      </c>
      <c r="B503" t="s">
        <v>159</v>
      </c>
      <c r="C503" t="s">
        <v>61</v>
      </c>
      <c r="D503" t="s">
        <v>62</v>
      </c>
      <c r="E503" t="s">
        <v>16</v>
      </c>
      <c r="F503" t="s">
        <v>39</v>
      </c>
      <c r="G503" t="s">
        <v>26</v>
      </c>
      <c r="H503">
        <v>7923</v>
      </c>
      <c r="I503" t="s">
        <v>19</v>
      </c>
      <c r="J503">
        <v>0.2</v>
      </c>
      <c r="K503">
        <v>9000</v>
      </c>
      <c r="L503" s="1">
        <v>45320</v>
      </c>
    </row>
    <row r="504" spans="1:12" x14ac:dyDescent="0.3">
      <c r="A504" t="s">
        <v>726</v>
      </c>
      <c r="B504" t="s">
        <v>200</v>
      </c>
      <c r="C504" t="s">
        <v>14</v>
      </c>
      <c r="D504" t="s">
        <v>15</v>
      </c>
      <c r="E504" t="s">
        <v>46</v>
      </c>
      <c r="F504" t="s">
        <v>25</v>
      </c>
      <c r="G504" t="s">
        <v>36</v>
      </c>
      <c r="H504">
        <v>13069</v>
      </c>
      <c r="I504" t="s">
        <v>22</v>
      </c>
      <c r="J504">
        <v>0.1</v>
      </c>
      <c r="K504">
        <v>14000</v>
      </c>
      <c r="L504" s="1">
        <v>45296</v>
      </c>
    </row>
    <row r="505" spans="1:12" x14ac:dyDescent="0.3">
      <c r="A505" t="s">
        <v>727</v>
      </c>
      <c r="B505" t="s">
        <v>728</v>
      </c>
      <c r="C505" t="s">
        <v>61</v>
      </c>
      <c r="D505" t="s">
        <v>62</v>
      </c>
      <c r="E505" t="s">
        <v>32</v>
      </c>
      <c r="F505" t="s">
        <v>39</v>
      </c>
      <c r="G505" t="s">
        <v>18</v>
      </c>
      <c r="H505">
        <v>9240</v>
      </c>
      <c r="I505" t="s">
        <v>22</v>
      </c>
      <c r="J505">
        <v>0.1</v>
      </c>
      <c r="K505">
        <v>9000</v>
      </c>
      <c r="L505" s="1">
        <v>45313</v>
      </c>
    </row>
    <row r="506" spans="1:12" x14ac:dyDescent="0.3">
      <c r="A506" t="s">
        <v>729</v>
      </c>
      <c r="B506" t="s">
        <v>195</v>
      </c>
      <c r="C506" t="s">
        <v>61</v>
      </c>
      <c r="D506" t="s">
        <v>62</v>
      </c>
      <c r="E506" t="s">
        <v>16</v>
      </c>
      <c r="F506" t="s">
        <v>25</v>
      </c>
      <c r="G506" t="s">
        <v>36</v>
      </c>
      <c r="H506">
        <v>10860</v>
      </c>
      <c r="I506" t="s">
        <v>19</v>
      </c>
      <c r="J506">
        <v>0.2</v>
      </c>
      <c r="K506">
        <v>9000</v>
      </c>
      <c r="L506" s="1">
        <v>45330</v>
      </c>
    </row>
    <row r="507" spans="1:12" x14ac:dyDescent="0.3">
      <c r="A507" t="s">
        <v>730</v>
      </c>
      <c r="B507" t="s">
        <v>137</v>
      </c>
      <c r="C507" t="s">
        <v>44</v>
      </c>
      <c r="D507" t="s">
        <v>45</v>
      </c>
      <c r="E507" t="s">
        <v>32</v>
      </c>
      <c r="F507" t="s">
        <v>25</v>
      </c>
      <c r="G507" t="s">
        <v>36</v>
      </c>
      <c r="H507">
        <v>11841</v>
      </c>
      <c r="I507" t="s">
        <v>19</v>
      </c>
      <c r="J507">
        <v>0.2</v>
      </c>
      <c r="K507">
        <v>13000</v>
      </c>
      <c r="L507" s="1">
        <v>45318</v>
      </c>
    </row>
    <row r="508" spans="1:12" x14ac:dyDescent="0.3">
      <c r="A508" t="s">
        <v>731</v>
      </c>
      <c r="B508" t="s">
        <v>103</v>
      </c>
      <c r="C508" t="s">
        <v>30</v>
      </c>
      <c r="D508" t="s">
        <v>31</v>
      </c>
      <c r="E508" t="s">
        <v>16</v>
      </c>
      <c r="F508" t="s">
        <v>17</v>
      </c>
      <c r="G508" t="s">
        <v>36</v>
      </c>
      <c r="H508">
        <v>15972</v>
      </c>
      <c r="I508" t="s">
        <v>22</v>
      </c>
      <c r="J508">
        <v>0.1</v>
      </c>
      <c r="K508">
        <v>17000</v>
      </c>
      <c r="L508" s="1">
        <v>45295</v>
      </c>
    </row>
    <row r="509" spans="1:12" x14ac:dyDescent="0.3">
      <c r="A509" t="s">
        <v>732</v>
      </c>
      <c r="B509" t="s">
        <v>617</v>
      </c>
      <c r="C509" t="s">
        <v>61</v>
      </c>
      <c r="D509" t="s">
        <v>62</v>
      </c>
      <c r="E509" t="s">
        <v>32</v>
      </c>
      <c r="F509" t="s">
        <v>25</v>
      </c>
      <c r="G509" t="s">
        <v>36</v>
      </c>
      <c r="H509">
        <v>7015</v>
      </c>
      <c r="K509">
        <v>9000</v>
      </c>
      <c r="L509" s="1">
        <v>45297</v>
      </c>
    </row>
    <row r="510" spans="1:12" x14ac:dyDescent="0.3">
      <c r="A510" t="s">
        <v>733</v>
      </c>
      <c r="B510" t="s">
        <v>142</v>
      </c>
      <c r="C510" t="s">
        <v>61</v>
      </c>
      <c r="D510" t="s">
        <v>62</v>
      </c>
      <c r="E510" t="s">
        <v>32</v>
      </c>
      <c r="F510" t="s">
        <v>25</v>
      </c>
      <c r="G510" t="s">
        <v>18</v>
      </c>
      <c r="H510">
        <v>7847</v>
      </c>
      <c r="I510" t="s">
        <v>19</v>
      </c>
      <c r="J510">
        <v>0.2</v>
      </c>
      <c r="K510">
        <v>9000</v>
      </c>
      <c r="L510" s="1">
        <v>45332</v>
      </c>
    </row>
    <row r="511" spans="1:12" x14ac:dyDescent="0.3">
      <c r="A511" t="s">
        <v>734</v>
      </c>
      <c r="B511" t="s">
        <v>222</v>
      </c>
      <c r="C511" t="s">
        <v>61</v>
      </c>
      <c r="D511" t="s">
        <v>62</v>
      </c>
      <c r="E511" t="s">
        <v>32</v>
      </c>
      <c r="F511" t="s">
        <v>17</v>
      </c>
      <c r="G511" t="s">
        <v>36</v>
      </c>
      <c r="H511">
        <v>8928</v>
      </c>
      <c r="K511">
        <v>9000</v>
      </c>
      <c r="L511" s="1">
        <v>45349</v>
      </c>
    </row>
    <row r="512" spans="1:12" x14ac:dyDescent="0.3">
      <c r="A512" t="s">
        <v>735</v>
      </c>
      <c r="B512" t="s">
        <v>278</v>
      </c>
      <c r="C512" t="s">
        <v>14</v>
      </c>
      <c r="D512" t="s">
        <v>15</v>
      </c>
      <c r="E512" t="s">
        <v>16</v>
      </c>
      <c r="F512" t="s">
        <v>39</v>
      </c>
      <c r="G512" t="s">
        <v>36</v>
      </c>
      <c r="H512">
        <v>12757</v>
      </c>
      <c r="I512" t="s">
        <v>33</v>
      </c>
      <c r="J512">
        <v>0.3</v>
      </c>
      <c r="K512">
        <v>14000</v>
      </c>
      <c r="L512" s="1">
        <v>45348</v>
      </c>
    </row>
    <row r="513" spans="1:12" x14ac:dyDescent="0.3">
      <c r="A513" t="s">
        <v>736</v>
      </c>
      <c r="B513" t="s">
        <v>474</v>
      </c>
      <c r="C513" t="s">
        <v>44</v>
      </c>
      <c r="D513" t="s">
        <v>45</v>
      </c>
      <c r="E513" t="s">
        <v>46</v>
      </c>
      <c r="F513" t="s">
        <v>25</v>
      </c>
      <c r="G513" t="s">
        <v>36</v>
      </c>
      <c r="H513">
        <v>12801</v>
      </c>
      <c r="K513">
        <v>13000</v>
      </c>
      <c r="L513" s="1">
        <v>45308</v>
      </c>
    </row>
    <row r="514" spans="1:12" x14ac:dyDescent="0.3">
      <c r="A514" t="s">
        <v>737</v>
      </c>
      <c r="B514" t="s">
        <v>171</v>
      </c>
      <c r="C514" t="s">
        <v>30</v>
      </c>
      <c r="D514" t="s">
        <v>31</v>
      </c>
      <c r="E514" t="s">
        <v>16</v>
      </c>
      <c r="F514" t="s">
        <v>25</v>
      </c>
      <c r="G514" t="s">
        <v>18</v>
      </c>
      <c r="H514">
        <v>18081</v>
      </c>
      <c r="I514" t="s">
        <v>22</v>
      </c>
      <c r="J514">
        <v>0.1</v>
      </c>
      <c r="K514">
        <v>17000</v>
      </c>
      <c r="L514" s="1">
        <v>45297</v>
      </c>
    </row>
    <row r="515" spans="1:12" x14ac:dyDescent="0.3">
      <c r="A515" t="s">
        <v>738</v>
      </c>
      <c r="B515" t="s">
        <v>317</v>
      </c>
      <c r="C515" t="s">
        <v>61</v>
      </c>
      <c r="D515" t="s">
        <v>62</v>
      </c>
      <c r="E515" t="s">
        <v>16</v>
      </c>
      <c r="F515" t="s">
        <v>25</v>
      </c>
      <c r="G515" t="s">
        <v>26</v>
      </c>
      <c r="H515">
        <v>7249</v>
      </c>
      <c r="K515">
        <v>9000</v>
      </c>
      <c r="L515" s="1">
        <v>45344</v>
      </c>
    </row>
    <row r="516" spans="1:12" x14ac:dyDescent="0.3">
      <c r="A516" t="s">
        <v>739</v>
      </c>
      <c r="B516" t="s">
        <v>388</v>
      </c>
      <c r="C516" t="s">
        <v>61</v>
      </c>
      <c r="D516" t="s">
        <v>62</v>
      </c>
      <c r="E516" t="s">
        <v>16</v>
      </c>
      <c r="F516" t="s">
        <v>25</v>
      </c>
      <c r="G516" t="s">
        <v>36</v>
      </c>
      <c r="H516">
        <v>8224</v>
      </c>
      <c r="I516" t="s">
        <v>22</v>
      </c>
      <c r="J516">
        <v>0.1</v>
      </c>
      <c r="K516">
        <v>9000</v>
      </c>
      <c r="L516" s="1">
        <v>45317</v>
      </c>
    </row>
    <row r="517" spans="1:12" x14ac:dyDescent="0.3">
      <c r="A517" t="s">
        <v>740</v>
      </c>
      <c r="B517" t="s">
        <v>454</v>
      </c>
      <c r="C517" t="s">
        <v>14</v>
      </c>
      <c r="D517" t="s">
        <v>15</v>
      </c>
      <c r="E517" t="s">
        <v>16</v>
      </c>
      <c r="F517" t="s">
        <v>39</v>
      </c>
      <c r="G517" t="s">
        <v>26</v>
      </c>
      <c r="H517">
        <v>15278</v>
      </c>
      <c r="I517" t="s">
        <v>27</v>
      </c>
      <c r="K517">
        <v>14000</v>
      </c>
      <c r="L517" s="1">
        <v>45335</v>
      </c>
    </row>
    <row r="518" spans="1:12" x14ac:dyDescent="0.3">
      <c r="A518" t="s">
        <v>741</v>
      </c>
      <c r="B518" t="s">
        <v>373</v>
      </c>
      <c r="C518" t="s">
        <v>14</v>
      </c>
      <c r="D518" t="s">
        <v>15</v>
      </c>
      <c r="E518" t="s">
        <v>46</v>
      </c>
      <c r="F518" t="s">
        <v>25</v>
      </c>
      <c r="G518" t="s">
        <v>18</v>
      </c>
      <c r="H518">
        <v>15981</v>
      </c>
      <c r="I518" t="s">
        <v>19</v>
      </c>
      <c r="J518">
        <v>0.2</v>
      </c>
      <c r="K518">
        <v>14000</v>
      </c>
      <c r="L518" s="1">
        <v>45343</v>
      </c>
    </row>
    <row r="519" spans="1:12" x14ac:dyDescent="0.3">
      <c r="A519" t="s">
        <v>742</v>
      </c>
      <c r="B519" t="s">
        <v>235</v>
      </c>
      <c r="C519" t="s">
        <v>14</v>
      </c>
      <c r="D519" t="s">
        <v>15</v>
      </c>
      <c r="E519" t="s">
        <v>46</v>
      </c>
      <c r="F519" t="s">
        <v>25</v>
      </c>
      <c r="G519" t="s">
        <v>26</v>
      </c>
      <c r="H519">
        <v>13783</v>
      </c>
      <c r="I519" t="s">
        <v>19</v>
      </c>
      <c r="J519">
        <v>0.2</v>
      </c>
      <c r="K519">
        <v>14000</v>
      </c>
      <c r="L519" s="1">
        <v>45344</v>
      </c>
    </row>
    <row r="520" spans="1:12" x14ac:dyDescent="0.3">
      <c r="A520" t="s">
        <v>743</v>
      </c>
      <c r="B520" t="s">
        <v>422</v>
      </c>
      <c r="C520" t="s">
        <v>30</v>
      </c>
      <c r="D520" t="s">
        <v>31</v>
      </c>
      <c r="E520" t="s">
        <v>46</v>
      </c>
      <c r="F520" t="s">
        <v>39</v>
      </c>
      <c r="G520" t="s">
        <v>18</v>
      </c>
      <c r="H520">
        <v>15356</v>
      </c>
      <c r="K520">
        <v>17000</v>
      </c>
      <c r="L520" s="1">
        <v>45327</v>
      </c>
    </row>
    <row r="521" spans="1:12" x14ac:dyDescent="0.3">
      <c r="A521" t="s">
        <v>744</v>
      </c>
      <c r="B521" t="s">
        <v>512</v>
      </c>
      <c r="C521" t="s">
        <v>30</v>
      </c>
      <c r="D521" t="s">
        <v>31</v>
      </c>
      <c r="E521" t="s">
        <v>46</v>
      </c>
      <c r="F521" t="s">
        <v>39</v>
      </c>
      <c r="G521" t="s">
        <v>36</v>
      </c>
      <c r="H521">
        <v>18756</v>
      </c>
      <c r="I521" t="s">
        <v>22</v>
      </c>
      <c r="J521">
        <v>0.1</v>
      </c>
      <c r="K521">
        <v>17000</v>
      </c>
      <c r="L521" s="1">
        <v>45342</v>
      </c>
    </row>
    <row r="522" spans="1:12" x14ac:dyDescent="0.3">
      <c r="A522" t="s">
        <v>745</v>
      </c>
      <c r="B522" t="s">
        <v>672</v>
      </c>
      <c r="C522" t="s">
        <v>61</v>
      </c>
      <c r="D522" t="s">
        <v>62</v>
      </c>
      <c r="E522" t="s">
        <v>32</v>
      </c>
      <c r="F522" t="s">
        <v>17</v>
      </c>
      <c r="G522" t="s">
        <v>18</v>
      </c>
      <c r="H522">
        <v>7607</v>
      </c>
      <c r="I522" t="s">
        <v>27</v>
      </c>
      <c r="K522">
        <v>9000</v>
      </c>
      <c r="L522" s="1">
        <v>45329</v>
      </c>
    </row>
    <row r="523" spans="1:12" x14ac:dyDescent="0.3">
      <c r="A523" t="s">
        <v>746</v>
      </c>
      <c r="B523" t="s">
        <v>579</v>
      </c>
      <c r="C523" t="s">
        <v>14</v>
      </c>
      <c r="D523" t="s">
        <v>15</v>
      </c>
      <c r="E523" t="s">
        <v>32</v>
      </c>
      <c r="F523" t="s">
        <v>39</v>
      </c>
      <c r="G523" t="s">
        <v>18</v>
      </c>
      <c r="H523">
        <v>15218</v>
      </c>
      <c r="I523" t="s">
        <v>33</v>
      </c>
      <c r="J523">
        <v>0.3</v>
      </c>
      <c r="K523">
        <v>14000</v>
      </c>
      <c r="L523" s="1">
        <v>45347</v>
      </c>
    </row>
    <row r="524" spans="1:12" x14ac:dyDescent="0.3">
      <c r="A524" t="s">
        <v>747</v>
      </c>
      <c r="B524" t="s">
        <v>217</v>
      </c>
      <c r="C524" t="s">
        <v>61</v>
      </c>
      <c r="D524" t="s">
        <v>62</v>
      </c>
      <c r="E524" t="s">
        <v>46</v>
      </c>
      <c r="F524" t="s">
        <v>17</v>
      </c>
      <c r="G524" t="s">
        <v>26</v>
      </c>
      <c r="H524">
        <v>8988</v>
      </c>
      <c r="I524" t="s">
        <v>27</v>
      </c>
      <c r="K524">
        <v>9000</v>
      </c>
      <c r="L524" s="1">
        <v>45330</v>
      </c>
    </row>
    <row r="525" spans="1:12" x14ac:dyDescent="0.3">
      <c r="A525" t="s">
        <v>748</v>
      </c>
      <c r="B525" t="s">
        <v>711</v>
      </c>
      <c r="C525" t="s">
        <v>44</v>
      </c>
      <c r="D525" t="s">
        <v>45</v>
      </c>
      <c r="E525" t="s">
        <v>46</v>
      </c>
      <c r="F525" t="s">
        <v>17</v>
      </c>
      <c r="G525" t="s">
        <v>18</v>
      </c>
      <c r="H525">
        <v>13532</v>
      </c>
      <c r="I525" t="s">
        <v>27</v>
      </c>
      <c r="K525">
        <v>13000</v>
      </c>
      <c r="L525" s="1">
        <v>45335</v>
      </c>
    </row>
    <row r="526" spans="1:12" x14ac:dyDescent="0.3">
      <c r="A526" t="s">
        <v>749</v>
      </c>
      <c r="B526" t="s">
        <v>127</v>
      </c>
      <c r="C526" t="s">
        <v>14</v>
      </c>
      <c r="D526" t="s">
        <v>15</v>
      </c>
      <c r="E526" t="s">
        <v>46</v>
      </c>
      <c r="F526" t="s">
        <v>17</v>
      </c>
      <c r="G526" t="s">
        <v>26</v>
      </c>
      <c r="H526">
        <v>12973</v>
      </c>
      <c r="I526" t="s">
        <v>22</v>
      </c>
      <c r="J526">
        <v>0.1</v>
      </c>
      <c r="K526">
        <v>14000</v>
      </c>
      <c r="L526" s="1">
        <v>45339</v>
      </c>
    </row>
    <row r="527" spans="1:12" x14ac:dyDescent="0.3">
      <c r="A527" t="s">
        <v>750</v>
      </c>
      <c r="B527" t="s">
        <v>123</v>
      </c>
      <c r="C527" t="s">
        <v>30</v>
      </c>
      <c r="D527" t="s">
        <v>31</v>
      </c>
      <c r="E527" t="s">
        <v>32</v>
      </c>
      <c r="F527" t="s">
        <v>17</v>
      </c>
      <c r="G527" t="s">
        <v>36</v>
      </c>
      <c r="H527">
        <v>16273</v>
      </c>
      <c r="I527" t="s">
        <v>33</v>
      </c>
      <c r="J527">
        <v>0.3</v>
      </c>
      <c r="K527">
        <v>17000</v>
      </c>
      <c r="L527" s="1">
        <v>45345</v>
      </c>
    </row>
    <row r="528" spans="1:12" x14ac:dyDescent="0.3">
      <c r="A528" t="s">
        <v>751</v>
      </c>
      <c r="B528" t="s">
        <v>752</v>
      </c>
      <c r="C528" t="s">
        <v>14</v>
      </c>
      <c r="D528" t="s">
        <v>15</v>
      </c>
      <c r="E528" t="s">
        <v>32</v>
      </c>
      <c r="F528" t="s">
        <v>25</v>
      </c>
      <c r="G528" t="s">
        <v>36</v>
      </c>
      <c r="H528">
        <v>15990</v>
      </c>
      <c r="K528">
        <v>14000</v>
      </c>
      <c r="L528" s="1">
        <v>45341</v>
      </c>
    </row>
    <row r="529" spans="1:12" x14ac:dyDescent="0.3">
      <c r="A529" t="s">
        <v>753</v>
      </c>
      <c r="B529" t="s">
        <v>303</v>
      </c>
      <c r="C529" t="s">
        <v>30</v>
      </c>
      <c r="D529" t="s">
        <v>31</v>
      </c>
      <c r="E529" t="s">
        <v>16</v>
      </c>
      <c r="F529" t="s">
        <v>17</v>
      </c>
      <c r="G529" t="s">
        <v>26</v>
      </c>
      <c r="H529">
        <v>17644</v>
      </c>
      <c r="I529" t="s">
        <v>22</v>
      </c>
      <c r="J529">
        <v>0.1</v>
      </c>
      <c r="K529">
        <v>17000</v>
      </c>
      <c r="L529" s="1">
        <v>45304</v>
      </c>
    </row>
    <row r="530" spans="1:12" x14ac:dyDescent="0.3">
      <c r="A530" t="s">
        <v>754</v>
      </c>
      <c r="B530" t="s">
        <v>211</v>
      </c>
      <c r="C530" t="s">
        <v>61</v>
      </c>
      <c r="D530" t="s">
        <v>62</v>
      </c>
      <c r="E530" t="s">
        <v>16</v>
      </c>
      <c r="F530" t="s">
        <v>17</v>
      </c>
      <c r="G530" t="s">
        <v>26</v>
      </c>
      <c r="H530">
        <v>10552</v>
      </c>
      <c r="I530" t="s">
        <v>33</v>
      </c>
      <c r="J530">
        <v>0.3</v>
      </c>
      <c r="K530">
        <v>9000</v>
      </c>
      <c r="L530" s="1">
        <v>45344</v>
      </c>
    </row>
    <row r="531" spans="1:12" x14ac:dyDescent="0.3">
      <c r="A531" t="s">
        <v>755</v>
      </c>
      <c r="B531" t="s">
        <v>166</v>
      </c>
      <c r="C531" t="s">
        <v>44</v>
      </c>
      <c r="D531" t="s">
        <v>45</v>
      </c>
      <c r="E531" t="s">
        <v>32</v>
      </c>
      <c r="F531" t="s">
        <v>17</v>
      </c>
      <c r="G531" t="s">
        <v>26</v>
      </c>
      <c r="H531">
        <v>13075</v>
      </c>
      <c r="K531">
        <v>13000</v>
      </c>
      <c r="L531" s="1">
        <v>45300</v>
      </c>
    </row>
    <row r="532" spans="1:12" x14ac:dyDescent="0.3">
      <c r="A532" t="s">
        <v>756</v>
      </c>
      <c r="B532" t="s">
        <v>140</v>
      </c>
      <c r="C532" t="s">
        <v>14</v>
      </c>
      <c r="D532" t="s">
        <v>15</v>
      </c>
      <c r="E532" t="s">
        <v>32</v>
      </c>
      <c r="F532" t="s">
        <v>25</v>
      </c>
      <c r="G532" t="s">
        <v>18</v>
      </c>
      <c r="H532">
        <v>15428</v>
      </c>
      <c r="I532" t="s">
        <v>22</v>
      </c>
      <c r="J532">
        <v>0.1</v>
      </c>
      <c r="K532">
        <v>14000</v>
      </c>
      <c r="L532" s="1">
        <v>45307</v>
      </c>
    </row>
    <row r="533" spans="1:12" x14ac:dyDescent="0.3">
      <c r="A533" t="s">
        <v>757</v>
      </c>
      <c r="B533" t="s">
        <v>489</v>
      </c>
      <c r="C533" t="s">
        <v>14</v>
      </c>
      <c r="D533" t="s">
        <v>15</v>
      </c>
      <c r="E533" t="s">
        <v>46</v>
      </c>
      <c r="F533" t="s">
        <v>39</v>
      </c>
      <c r="G533" t="s">
        <v>18</v>
      </c>
      <c r="H533">
        <v>13122</v>
      </c>
      <c r="I533" t="s">
        <v>33</v>
      </c>
      <c r="J533">
        <v>0.3</v>
      </c>
      <c r="K533">
        <v>14000</v>
      </c>
      <c r="L533" s="1">
        <v>45344</v>
      </c>
    </row>
    <row r="534" spans="1:12" x14ac:dyDescent="0.3">
      <c r="A534" t="s">
        <v>758</v>
      </c>
      <c r="B534" t="s">
        <v>330</v>
      </c>
      <c r="C534" t="s">
        <v>61</v>
      </c>
      <c r="D534" t="s">
        <v>62</v>
      </c>
      <c r="E534" t="s">
        <v>16</v>
      </c>
      <c r="F534" t="s">
        <v>25</v>
      </c>
      <c r="G534" t="s">
        <v>26</v>
      </c>
      <c r="H534">
        <v>7125</v>
      </c>
      <c r="I534" t="s">
        <v>19</v>
      </c>
      <c r="J534">
        <v>0.2</v>
      </c>
      <c r="K534">
        <v>9000</v>
      </c>
      <c r="L534" s="1">
        <v>45315</v>
      </c>
    </row>
    <row r="535" spans="1:12" x14ac:dyDescent="0.3">
      <c r="A535" t="s">
        <v>759</v>
      </c>
      <c r="B535" t="s">
        <v>600</v>
      </c>
      <c r="C535" t="s">
        <v>61</v>
      </c>
      <c r="D535" t="s">
        <v>62</v>
      </c>
      <c r="E535" t="s">
        <v>32</v>
      </c>
      <c r="F535" t="s">
        <v>17</v>
      </c>
      <c r="G535" t="s">
        <v>26</v>
      </c>
      <c r="H535">
        <v>9258</v>
      </c>
      <c r="I535" t="s">
        <v>33</v>
      </c>
      <c r="J535">
        <v>0.3</v>
      </c>
      <c r="K535">
        <v>9000</v>
      </c>
      <c r="L535" s="1">
        <v>45314</v>
      </c>
    </row>
    <row r="536" spans="1:12" x14ac:dyDescent="0.3">
      <c r="A536" t="s">
        <v>760</v>
      </c>
      <c r="B536" t="s">
        <v>619</v>
      </c>
      <c r="C536" t="s">
        <v>30</v>
      </c>
      <c r="D536" t="s">
        <v>31</v>
      </c>
      <c r="E536" t="s">
        <v>16</v>
      </c>
      <c r="F536" t="s">
        <v>39</v>
      </c>
      <c r="G536" t="s">
        <v>18</v>
      </c>
      <c r="H536">
        <v>16167</v>
      </c>
      <c r="I536" t="s">
        <v>22</v>
      </c>
      <c r="J536">
        <v>0.1</v>
      </c>
      <c r="K536">
        <v>17000</v>
      </c>
      <c r="L536" s="1">
        <v>45316</v>
      </c>
    </row>
    <row r="537" spans="1:12" x14ac:dyDescent="0.3">
      <c r="A537" t="s">
        <v>761</v>
      </c>
      <c r="B537" t="s">
        <v>243</v>
      </c>
      <c r="C537" t="s">
        <v>44</v>
      </c>
      <c r="D537" t="s">
        <v>45</v>
      </c>
      <c r="E537" t="s">
        <v>32</v>
      </c>
      <c r="F537" t="s">
        <v>39</v>
      </c>
      <c r="G537" t="s">
        <v>18</v>
      </c>
      <c r="H537">
        <v>13775</v>
      </c>
      <c r="I537" t="s">
        <v>19</v>
      </c>
      <c r="J537">
        <v>0.2</v>
      </c>
      <c r="K537">
        <v>13000</v>
      </c>
      <c r="L537" s="1">
        <v>45309</v>
      </c>
    </row>
    <row r="538" spans="1:12" x14ac:dyDescent="0.3">
      <c r="A538" t="s">
        <v>762</v>
      </c>
      <c r="B538" t="s">
        <v>90</v>
      </c>
      <c r="C538" t="s">
        <v>14</v>
      </c>
      <c r="D538" t="s">
        <v>15</v>
      </c>
      <c r="E538" t="s">
        <v>16</v>
      </c>
      <c r="F538" t="s">
        <v>25</v>
      </c>
      <c r="G538" t="s">
        <v>36</v>
      </c>
      <c r="H538">
        <v>15733</v>
      </c>
      <c r="I538" t="s">
        <v>19</v>
      </c>
      <c r="J538">
        <v>0.2</v>
      </c>
      <c r="K538">
        <v>14000</v>
      </c>
      <c r="L538" s="1">
        <v>45333</v>
      </c>
    </row>
    <row r="539" spans="1:12" x14ac:dyDescent="0.3">
      <c r="A539" t="s">
        <v>763</v>
      </c>
      <c r="B539" t="s">
        <v>720</v>
      </c>
      <c r="C539" t="s">
        <v>14</v>
      </c>
      <c r="D539" t="s">
        <v>15</v>
      </c>
      <c r="E539" t="s">
        <v>32</v>
      </c>
      <c r="F539" t="s">
        <v>17</v>
      </c>
      <c r="G539" t="s">
        <v>26</v>
      </c>
      <c r="H539">
        <v>15297</v>
      </c>
      <c r="I539" t="s">
        <v>33</v>
      </c>
      <c r="J539">
        <v>0.3</v>
      </c>
      <c r="K539">
        <v>14000</v>
      </c>
      <c r="L539" s="1">
        <v>45337</v>
      </c>
    </row>
    <row r="540" spans="1:12" x14ac:dyDescent="0.3">
      <c r="A540" t="s">
        <v>764</v>
      </c>
      <c r="B540" t="s">
        <v>765</v>
      </c>
      <c r="C540" t="s">
        <v>30</v>
      </c>
      <c r="D540" t="s">
        <v>31</v>
      </c>
      <c r="E540" t="s">
        <v>46</v>
      </c>
      <c r="F540" t="s">
        <v>17</v>
      </c>
      <c r="G540" t="s">
        <v>36</v>
      </c>
      <c r="H540">
        <v>16880</v>
      </c>
      <c r="I540" t="s">
        <v>33</v>
      </c>
      <c r="J540">
        <v>0.3</v>
      </c>
      <c r="K540">
        <v>17000</v>
      </c>
      <c r="L540" s="1">
        <v>45305</v>
      </c>
    </row>
    <row r="541" spans="1:12" x14ac:dyDescent="0.3">
      <c r="A541" t="s">
        <v>766</v>
      </c>
      <c r="B541" t="s">
        <v>123</v>
      </c>
      <c r="C541" t="s">
        <v>61</v>
      </c>
      <c r="D541" t="s">
        <v>62</v>
      </c>
      <c r="E541" t="s">
        <v>16</v>
      </c>
      <c r="F541" t="s">
        <v>25</v>
      </c>
      <c r="G541" t="s">
        <v>18</v>
      </c>
      <c r="H541">
        <v>9095</v>
      </c>
      <c r="I541" t="s">
        <v>33</v>
      </c>
      <c r="J541">
        <v>0.3</v>
      </c>
      <c r="K541">
        <v>9000</v>
      </c>
      <c r="L541" s="1">
        <v>45327</v>
      </c>
    </row>
    <row r="542" spans="1:12" x14ac:dyDescent="0.3">
      <c r="A542" t="s">
        <v>767</v>
      </c>
      <c r="B542" t="s">
        <v>163</v>
      </c>
      <c r="C542" t="s">
        <v>30</v>
      </c>
      <c r="D542" t="s">
        <v>31</v>
      </c>
      <c r="E542" t="s">
        <v>46</v>
      </c>
      <c r="F542" t="s">
        <v>39</v>
      </c>
      <c r="G542" t="s">
        <v>18</v>
      </c>
      <c r="H542">
        <v>16973</v>
      </c>
      <c r="I542" t="s">
        <v>22</v>
      </c>
      <c r="J542">
        <v>0.1</v>
      </c>
      <c r="K542">
        <v>17000</v>
      </c>
      <c r="L542" s="1">
        <v>45313</v>
      </c>
    </row>
    <row r="543" spans="1:12" x14ac:dyDescent="0.3">
      <c r="A543" t="s">
        <v>768</v>
      </c>
      <c r="B543" t="s">
        <v>286</v>
      </c>
      <c r="C543" t="s">
        <v>30</v>
      </c>
      <c r="D543" t="s">
        <v>31</v>
      </c>
      <c r="E543" t="s">
        <v>46</v>
      </c>
      <c r="F543" t="s">
        <v>17</v>
      </c>
      <c r="G543" t="s">
        <v>26</v>
      </c>
      <c r="H543">
        <v>17912</v>
      </c>
      <c r="I543" t="s">
        <v>33</v>
      </c>
      <c r="J543">
        <v>0.3</v>
      </c>
      <c r="K543">
        <v>17000</v>
      </c>
      <c r="L543" s="1">
        <v>45304</v>
      </c>
    </row>
    <row r="544" spans="1:12" x14ac:dyDescent="0.3">
      <c r="A544" t="s">
        <v>769</v>
      </c>
      <c r="B544" t="s">
        <v>440</v>
      </c>
      <c r="C544" t="s">
        <v>44</v>
      </c>
      <c r="D544" t="s">
        <v>45</v>
      </c>
      <c r="E544" t="s">
        <v>32</v>
      </c>
      <c r="F544" t="s">
        <v>39</v>
      </c>
      <c r="G544" t="s">
        <v>36</v>
      </c>
      <c r="H544">
        <v>13705</v>
      </c>
      <c r="I544" t="s">
        <v>33</v>
      </c>
      <c r="J544">
        <v>0.3</v>
      </c>
      <c r="K544">
        <v>13000</v>
      </c>
      <c r="L544" s="1">
        <v>45335</v>
      </c>
    </row>
    <row r="545" spans="1:12" x14ac:dyDescent="0.3">
      <c r="A545" t="s">
        <v>770</v>
      </c>
      <c r="B545" t="s">
        <v>280</v>
      </c>
      <c r="C545" t="s">
        <v>14</v>
      </c>
      <c r="D545" t="s">
        <v>15</v>
      </c>
      <c r="E545" t="s">
        <v>16</v>
      </c>
      <c r="F545" t="s">
        <v>17</v>
      </c>
      <c r="G545" t="s">
        <v>36</v>
      </c>
      <c r="H545">
        <v>13062</v>
      </c>
      <c r="K545">
        <v>14000</v>
      </c>
      <c r="L545" s="1">
        <v>45317</v>
      </c>
    </row>
    <row r="546" spans="1:12" x14ac:dyDescent="0.3">
      <c r="A546" t="s">
        <v>771</v>
      </c>
      <c r="B546" t="s">
        <v>101</v>
      </c>
      <c r="C546" t="s">
        <v>14</v>
      </c>
      <c r="D546" t="s">
        <v>15</v>
      </c>
      <c r="E546" t="s">
        <v>16</v>
      </c>
      <c r="F546" t="s">
        <v>39</v>
      </c>
      <c r="G546" t="s">
        <v>26</v>
      </c>
      <c r="H546">
        <v>15342</v>
      </c>
      <c r="I546" t="s">
        <v>19</v>
      </c>
      <c r="J546">
        <v>0.2</v>
      </c>
      <c r="K546">
        <v>14000</v>
      </c>
      <c r="L546" s="1">
        <v>45313</v>
      </c>
    </row>
    <row r="547" spans="1:12" x14ac:dyDescent="0.3">
      <c r="A547" t="s">
        <v>772</v>
      </c>
      <c r="B547" t="s">
        <v>342</v>
      </c>
      <c r="C547" t="s">
        <v>44</v>
      </c>
      <c r="D547" t="s">
        <v>45</v>
      </c>
      <c r="E547" t="s">
        <v>16</v>
      </c>
      <c r="F547" t="s">
        <v>39</v>
      </c>
      <c r="G547" t="s">
        <v>26</v>
      </c>
      <c r="H547">
        <v>14214</v>
      </c>
      <c r="K547">
        <v>13000</v>
      </c>
      <c r="L547" s="1">
        <v>45350</v>
      </c>
    </row>
    <row r="548" spans="1:12" x14ac:dyDescent="0.3">
      <c r="A548" t="s">
        <v>773</v>
      </c>
      <c r="B548" t="s">
        <v>317</v>
      </c>
      <c r="C548" t="s">
        <v>30</v>
      </c>
      <c r="D548" t="s">
        <v>31</v>
      </c>
      <c r="E548" t="s">
        <v>32</v>
      </c>
      <c r="F548" t="s">
        <v>39</v>
      </c>
      <c r="G548" t="s">
        <v>26</v>
      </c>
      <c r="H548">
        <v>15741</v>
      </c>
      <c r="I548" t="s">
        <v>33</v>
      </c>
      <c r="J548">
        <v>0.3</v>
      </c>
      <c r="K548">
        <v>17000</v>
      </c>
      <c r="L548" s="1">
        <v>45298</v>
      </c>
    </row>
    <row r="549" spans="1:12" x14ac:dyDescent="0.3">
      <c r="A549" t="s">
        <v>774</v>
      </c>
      <c r="B549" t="s">
        <v>508</v>
      </c>
      <c r="C549" t="s">
        <v>30</v>
      </c>
      <c r="D549" t="s">
        <v>31</v>
      </c>
      <c r="E549" t="s">
        <v>16</v>
      </c>
      <c r="F549" t="s">
        <v>39</v>
      </c>
      <c r="G549" t="s">
        <v>18</v>
      </c>
      <c r="H549">
        <v>18878</v>
      </c>
      <c r="I549" t="s">
        <v>33</v>
      </c>
      <c r="J549">
        <v>0.3</v>
      </c>
      <c r="K549">
        <v>17000</v>
      </c>
      <c r="L549" s="1">
        <v>45333</v>
      </c>
    </row>
    <row r="550" spans="1:12" x14ac:dyDescent="0.3">
      <c r="A550" t="s">
        <v>775</v>
      </c>
      <c r="B550" t="s">
        <v>248</v>
      </c>
      <c r="C550" t="s">
        <v>30</v>
      </c>
      <c r="D550" t="s">
        <v>31</v>
      </c>
      <c r="E550" t="s">
        <v>32</v>
      </c>
      <c r="F550" t="s">
        <v>39</v>
      </c>
      <c r="G550" t="s">
        <v>36</v>
      </c>
      <c r="H550">
        <v>16722</v>
      </c>
      <c r="I550" t="s">
        <v>33</v>
      </c>
      <c r="J550">
        <v>0.3</v>
      </c>
      <c r="K550">
        <v>17000</v>
      </c>
      <c r="L550" s="1">
        <v>45315</v>
      </c>
    </row>
    <row r="551" spans="1:12" x14ac:dyDescent="0.3">
      <c r="A551" t="s">
        <v>776</v>
      </c>
      <c r="B551" t="s">
        <v>118</v>
      </c>
      <c r="C551" t="s">
        <v>30</v>
      </c>
      <c r="D551" t="s">
        <v>31</v>
      </c>
      <c r="E551" t="s">
        <v>46</v>
      </c>
      <c r="F551" t="s">
        <v>25</v>
      </c>
      <c r="G551" t="s">
        <v>36</v>
      </c>
      <c r="H551">
        <v>15219</v>
      </c>
      <c r="I551" t="s">
        <v>27</v>
      </c>
      <c r="K551">
        <v>17000</v>
      </c>
      <c r="L551" s="1">
        <v>45329</v>
      </c>
    </row>
    <row r="552" spans="1:12" x14ac:dyDescent="0.3">
      <c r="A552" t="s">
        <v>777</v>
      </c>
      <c r="B552" t="s">
        <v>107</v>
      </c>
      <c r="C552" t="s">
        <v>61</v>
      </c>
      <c r="D552" t="s">
        <v>62</v>
      </c>
      <c r="E552" t="s">
        <v>32</v>
      </c>
      <c r="F552" t="s">
        <v>39</v>
      </c>
      <c r="G552" t="s">
        <v>18</v>
      </c>
      <c r="H552">
        <v>10553</v>
      </c>
      <c r="K552">
        <v>9000</v>
      </c>
      <c r="L552" s="1">
        <v>45325</v>
      </c>
    </row>
    <row r="553" spans="1:12" x14ac:dyDescent="0.3">
      <c r="A553" t="s">
        <v>778</v>
      </c>
      <c r="B553" t="s">
        <v>70</v>
      </c>
      <c r="C553" t="s">
        <v>14</v>
      </c>
      <c r="D553" t="s">
        <v>15</v>
      </c>
      <c r="E553" t="s">
        <v>32</v>
      </c>
      <c r="F553" t="s">
        <v>25</v>
      </c>
      <c r="G553" t="s">
        <v>18</v>
      </c>
      <c r="H553">
        <v>13403</v>
      </c>
      <c r="K553">
        <v>14000</v>
      </c>
      <c r="L553" s="1">
        <v>45328</v>
      </c>
    </row>
    <row r="554" spans="1:12" x14ac:dyDescent="0.3">
      <c r="A554" t="s">
        <v>779</v>
      </c>
      <c r="B554" t="s">
        <v>445</v>
      </c>
      <c r="C554" t="s">
        <v>44</v>
      </c>
      <c r="D554" t="s">
        <v>45</v>
      </c>
      <c r="E554" t="s">
        <v>46</v>
      </c>
      <c r="F554" t="s">
        <v>39</v>
      </c>
      <c r="G554" t="s">
        <v>18</v>
      </c>
      <c r="H554">
        <v>14190</v>
      </c>
      <c r="I554" t="s">
        <v>22</v>
      </c>
      <c r="J554">
        <v>0.1</v>
      </c>
      <c r="K554">
        <v>13000</v>
      </c>
      <c r="L554" s="1">
        <v>45323</v>
      </c>
    </row>
    <row r="555" spans="1:12" x14ac:dyDescent="0.3">
      <c r="A555" t="s">
        <v>780</v>
      </c>
      <c r="B555" t="s">
        <v>150</v>
      </c>
      <c r="C555" t="s">
        <v>44</v>
      </c>
      <c r="D555" t="s">
        <v>45</v>
      </c>
      <c r="E555" t="s">
        <v>46</v>
      </c>
      <c r="F555" t="s">
        <v>39</v>
      </c>
      <c r="G555" t="s">
        <v>18</v>
      </c>
      <c r="H555">
        <v>11019</v>
      </c>
      <c r="K555">
        <v>13000</v>
      </c>
      <c r="L555" s="1">
        <v>45309</v>
      </c>
    </row>
    <row r="556" spans="1:12" x14ac:dyDescent="0.3">
      <c r="A556" t="s">
        <v>781</v>
      </c>
      <c r="B556" t="s">
        <v>401</v>
      </c>
      <c r="C556" t="s">
        <v>44</v>
      </c>
      <c r="D556" t="s">
        <v>45</v>
      </c>
      <c r="E556" t="s">
        <v>16</v>
      </c>
      <c r="F556" t="s">
        <v>25</v>
      </c>
      <c r="G556" t="s">
        <v>36</v>
      </c>
      <c r="H556">
        <v>14216</v>
      </c>
      <c r="I556" t="s">
        <v>22</v>
      </c>
      <c r="J556">
        <v>0.1</v>
      </c>
      <c r="K556">
        <v>13000</v>
      </c>
      <c r="L556" s="1">
        <v>45300</v>
      </c>
    </row>
    <row r="557" spans="1:12" x14ac:dyDescent="0.3">
      <c r="A557" t="s">
        <v>782</v>
      </c>
      <c r="B557" t="s">
        <v>337</v>
      </c>
      <c r="C557" t="s">
        <v>61</v>
      </c>
      <c r="D557" t="s">
        <v>62</v>
      </c>
      <c r="E557" t="s">
        <v>46</v>
      </c>
      <c r="F557" t="s">
        <v>17</v>
      </c>
      <c r="G557" t="s">
        <v>36</v>
      </c>
      <c r="H557">
        <v>8570</v>
      </c>
      <c r="I557" t="s">
        <v>22</v>
      </c>
      <c r="J557">
        <v>0.1</v>
      </c>
      <c r="K557">
        <v>9000</v>
      </c>
      <c r="L557" s="1">
        <v>45294</v>
      </c>
    </row>
    <row r="558" spans="1:12" x14ac:dyDescent="0.3">
      <c r="A558" t="s">
        <v>783</v>
      </c>
      <c r="B558" t="s">
        <v>346</v>
      </c>
      <c r="C558" t="s">
        <v>30</v>
      </c>
      <c r="D558" t="s">
        <v>31</v>
      </c>
      <c r="E558" t="s">
        <v>32</v>
      </c>
      <c r="F558" t="s">
        <v>17</v>
      </c>
      <c r="G558" t="s">
        <v>26</v>
      </c>
      <c r="H558">
        <v>15780</v>
      </c>
      <c r="I558" t="s">
        <v>22</v>
      </c>
      <c r="J558">
        <v>0.1</v>
      </c>
      <c r="K558">
        <v>17000</v>
      </c>
      <c r="L558" s="1">
        <v>45335</v>
      </c>
    </row>
    <row r="559" spans="1:12" x14ac:dyDescent="0.3">
      <c r="A559" t="s">
        <v>784</v>
      </c>
      <c r="B559" t="s">
        <v>68</v>
      </c>
      <c r="C559" t="s">
        <v>44</v>
      </c>
      <c r="D559" t="s">
        <v>45</v>
      </c>
      <c r="E559" t="s">
        <v>32</v>
      </c>
      <c r="F559" t="s">
        <v>39</v>
      </c>
      <c r="G559" t="s">
        <v>36</v>
      </c>
      <c r="H559">
        <v>12278</v>
      </c>
      <c r="I559" t="s">
        <v>19</v>
      </c>
      <c r="J559">
        <v>0.2</v>
      </c>
      <c r="K559">
        <v>13000</v>
      </c>
      <c r="L559" s="1">
        <v>45298</v>
      </c>
    </row>
    <row r="560" spans="1:12" x14ac:dyDescent="0.3">
      <c r="A560" t="s">
        <v>785</v>
      </c>
      <c r="B560" t="s">
        <v>512</v>
      </c>
      <c r="C560" t="s">
        <v>30</v>
      </c>
      <c r="D560" t="s">
        <v>31</v>
      </c>
      <c r="E560" t="s">
        <v>32</v>
      </c>
      <c r="F560" t="s">
        <v>25</v>
      </c>
      <c r="G560" t="s">
        <v>18</v>
      </c>
      <c r="H560">
        <v>16221</v>
      </c>
      <c r="I560" t="s">
        <v>33</v>
      </c>
      <c r="J560">
        <v>0.3</v>
      </c>
      <c r="K560">
        <v>17000</v>
      </c>
      <c r="L560" s="1">
        <v>45321</v>
      </c>
    </row>
    <row r="561" spans="1:12" x14ac:dyDescent="0.3">
      <c r="A561" t="s">
        <v>786</v>
      </c>
      <c r="B561" t="s">
        <v>103</v>
      </c>
      <c r="C561" t="s">
        <v>30</v>
      </c>
      <c r="D561" t="s">
        <v>31</v>
      </c>
      <c r="E561" t="s">
        <v>46</v>
      </c>
      <c r="F561" t="s">
        <v>39</v>
      </c>
      <c r="G561" t="s">
        <v>18</v>
      </c>
      <c r="H561">
        <v>16403</v>
      </c>
      <c r="K561">
        <v>17000</v>
      </c>
      <c r="L561" s="1">
        <v>45314</v>
      </c>
    </row>
    <row r="562" spans="1:12" x14ac:dyDescent="0.3">
      <c r="A562" t="s">
        <v>787</v>
      </c>
      <c r="B562" t="s">
        <v>294</v>
      </c>
      <c r="C562" t="s">
        <v>44</v>
      </c>
      <c r="D562" t="s">
        <v>45</v>
      </c>
      <c r="E562" t="s">
        <v>46</v>
      </c>
      <c r="F562" t="s">
        <v>25</v>
      </c>
      <c r="G562" t="s">
        <v>18</v>
      </c>
      <c r="H562">
        <v>11918</v>
      </c>
      <c r="I562" t="s">
        <v>19</v>
      </c>
      <c r="J562">
        <v>0.2</v>
      </c>
      <c r="K562">
        <v>13000</v>
      </c>
      <c r="L562" s="1">
        <v>45305</v>
      </c>
    </row>
    <row r="563" spans="1:12" x14ac:dyDescent="0.3">
      <c r="A563" t="s">
        <v>788</v>
      </c>
      <c r="B563" t="s">
        <v>464</v>
      </c>
      <c r="C563" t="s">
        <v>44</v>
      </c>
      <c r="D563" t="s">
        <v>45</v>
      </c>
      <c r="E563" t="s">
        <v>32</v>
      </c>
      <c r="F563" t="s">
        <v>17</v>
      </c>
      <c r="G563" t="s">
        <v>26</v>
      </c>
      <c r="H563">
        <v>13664</v>
      </c>
      <c r="I563" t="s">
        <v>22</v>
      </c>
      <c r="J563">
        <v>0.1</v>
      </c>
      <c r="K563">
        <v>13000</v>
      </c>
      <c r="L563" s="1">
        <v>45316</v>
      </c>
    </row>
    <row r="564" spans="1:12" x14ac:dyDescent="0.3">
      <c r="A564" t="s">
        <v>789</v>
      </c>
      <c r="B564" t="s">
        <v>50</v>
      </c>
      <c r="C564" t="s">
        <v>30</v>
      </c>
      <c r="D564" t="s">
        <v>31</v>
      </c>
      <c r="E564" t="s">
        <v>16</v>
      </c>
      <c r="F564" t="s">
        <v>39</v>
      </c>
      <c r="G564" t="s">
        <v>18</v>
      </c>
      <c r="H564">
        <v>17432</v>
      </c>
      <c r="I564" t="s">
        <v>22</v>
      </c>
      <c r="J564">
        <v>0.1</v>
      </c>
      <c r="K564">
        <v>17000</v>
      </c>
      <c r="L564" s="1">
        <v>45334</v>
      </c>
    </row>
    <row r="565" spans="1:12" x14ac:dyDescent="0.3">
      <c r="A565" t="s">
        <v>790</v>
      </c>
      <c r="B565" t="s">
        <v>21</v>
      </c>
      <c r="C565" t="s">
        <v>14</v>
      </c>
      <c r="D565" t="s">
        <v>15</v>
      </c>
      <c r="E565" t="s">
        <v>32</v>
      </c>
      <c r="F565" t="s">
        <v>39</v>
      </c>
      <c r="G565" t="s">
        <v>18</v>
      </c>
      <c r="H565">
        <v>13707</v>
      </c>
      <c r="K565">
        <v>14000</v>
      </c>
      <c r="L565" s="1">
        <v>45316</v>
      </c>
    </row>
    <row r="566" spans="1:12" x14ac:dyDescent="0.3">
      <c r="A566" t="s">
        <v>791</v>
      </c>
      <c r="B566" t="s">
        <v>241</v>
      </c>
      <c r="C566" t="s">
        <v>30</v>
      </c>
      <c r="D566" t="s">
        <v>31</v>
      </c>
      <c r="E566" t="s">
        <v>46</v>
      </c>
      <c r="F566" t="s">
        <v>39</v>
      </c>
      <c r="G566" t="s">
        <v>18</v>
      </c>
      <c r="H566">
        <v>15841</v>
      </c>
      <c r="I566" t="s">
        <v>22</v>
      </c>
      <c r="J566">
        <v>0.1</v>
      </c>
      <c r="K566">
        <v>17000</v>
      </c>
      <c r="L566" s="1">
        <v>45311</v>
      </c>
    </row>
    <row r="567" spans="1:12" x14ac:dyDescent="0.3">
      <c r="A567" t="s">
        <v>792</v>
      </c>
      <c r="B567" t="s">
        <v>274</v>
      </c>
      <c r="C567" t="s">
        <v>14</v>
      </c>
      <c r="D567" t="s">
        <v>15</v>
      </c>
      <c r="E567" t="s">
        <v>16</v>
      </c>
      <c r="F567" t="s">
        <v>39</v>
      </c>
      <c r="G567" t="s">
        <v>36</v>
      </c>
      <c r="H567">
        <v>14550</v>
      </c>
      <c r="I567" t="s">
        <v>27</v>
      </c>
      <c r="K567">
        <v>14000</v>
      </c>
      <c r="L567" s="1">
        <v>45336</v>
      </c>
    </row>
    <row r="568" spans="1:12" x14ac:dyDescent="0.3">
      <c r="A568" t="s">
        <v>793</v>
      </c>
      <c r="B568" t="s">
        <v>363</v>
      </c>
      <c r="C568" t="s">
        <v>14</v>
      </c>
      <c r="D568" t="s">
        <v>15</v>
      </c>
      <c r="E568" t="s">
        <v>16</v>
      </c>
      <c r="F568" t="s">
        <v>39</v>
      </c>
      <c r="G568" t="s">
        <v>26</v>
      </c>
      <c r="H568">
        <v>12482</v>
      </c>
      <c r="I568" t="s">
        <v>33</v>
      </c>
      <c r="J568">
        <v>0.3</v>
      </c>
      <c r="K568">
        <v>14000</v>
      </c>
      <c r="L568" s="1">
        <v>45299</v>
      </c>
    </row>
    <row r="569" spans="1:12" x14ac:dyDescent="0.3">
      <c r="A569" t="s">
        <v>794</v>
      </c>
      <c r="B569" t="s">
        <v>652</v>
      </c>
      <c r="C569" t="s">
        <v>61</v>
      </c>
      <c r="D569" t="s">
        <v>62</v>
      </c>
      <c r="E569" t="s">
        <v>32</v>
      </c>
      <c r="F569" t="s">
        <v>39</v>
      </c>
      <c r="G569" t="s">
        <v>18</v>
      </c>
      <c r="H569">
        <v>10186</v>
      </c>
      <c r="I569" t="s">
        <v>33</v>
      </c>
      <c r="J569">
        <v>0.3</v>
      </c>
      <c r="K569">
        <v>9000</v>
      </c>
      <c r="L569" s="1">
        <v>45345</v>
      </c>
    </row>
    <row r="570" spans="1:12" x14ac:dyDescent="0.3">
      <c r="A570" t="s">
        <v>795</v>
      </c>
      <c r="B570" t="s">
        <v>346</v>
      </c>
      <c r="C570" t="s">
        <v>30</v>
      </c>
      <c r="D570" t="s">
        <v>31</v>
      </c>
      <c r="E570" t="s">
        <v>16</v>
      </c>
      <c r="F570" t="s">
        <v>17</v>
      </c>
      <c r="G570" t="s">
        <v>36</v>
      </c>
      <c r="H570">
        <v>15656</v>
      </c>
      <c r="I570" t="s">
        <v>22</v>
      </c>
      <c r="J570">
        <v>0.1</v>
      </c>
      <c r="K570">
        <v>17000</v>
      </c>
      <c r="L570" s="1">
        <v>45327</v>
      </c>
    </row>
    <row r="571" spans="1:12" x14ac:dyDescent="0.3">
      <c r="A571" t="s">
        <v>796</v>
      </c>
      <c r="B571" t="s">
        <v>211</v>
      </c>
      <c r="C571" t="s">
        <v>61</v>
      </c>
      <c r="D571" t="s">
        <v>62</v>
      </c>
      <c r="E571" t="s">
        <v>46</v>
      </c>
      <c r="F571" t="s">
        <v>25</v>
      </c>
      <c r="G571" t="s">
        <v>18</v>
      </c>
      <c r="H571">
        <v>7052</v>
      </c>
      <c r="I571" t="s">
        <v>22</v>
      </c>
      <c r="J571">
        <v>0.1</v>
      </c>
      <c r="K571">
        <v>9000</v>
      </c>
      <c r="L571" s="1">
        <v>45350</v>
      </c>
    </row>
    <row r="572" spans="1:12" x14ac:dyDescent="0.3">
      <c r="A572" t="s">
        <v>797</v>
      </c>
      <c r="B572" t="s">
        <v>159</v>
      </c>
      <c r="C572" t="s">
        <v>61</v>
      </c>
      <c r="D572" t="s">
        <v>62</v>
      </c>
      <c r="E572" t="s">
        <v>32</v>
      </c>
      <c r="F572" t="s">
        <v>25</v>
      </c>
      <c r="G572" t="s">
        <v>26</v>
      </c>
      <c r="H572">
        <v>7307</v>
      </c>
      <c r="I572" t="s">
        <v>22</v>
      </c>
      <c r="J572">
        <v>0.1</v>
      </c>
      <c r="K572">
        <v>9000</v>
      </c>
      <c r="L572" s="1">
        <v>45349</v>
      </c>
    </row>
    <row r="573" spans="1:12" x14ac:dyDescent="0.3">
      <c r="A573" t="s">
        <v>798</v>
      </c>
      <c r="B573" t="s">
        <v>286</v>
      </c>
      <c r="C573" t="s">
        <v>44</v>
      </c>
      <c r="D573" t="s">
        <v>45</v>
      </c>
      <c r="E573" t="s">
        <v>46</v>
      </c>
      <c r="F573" t="s">
        <v>17</v>
      </c>
      <c r="G573" t="s">
        <v>36</v>
      </c>
      <c r="H573">
        <v>12901</v>
      </c>
      <c r="I573" t="s">
        <v>22</v>
      </c>
      <c r="J573">
        <v>0.1</v>
      </c>
      <c r="K573">
        <v>13000</v>
      </c>
      <c r="L573" s="1">
        <v>45298</v>
      </c>
    </row>
    <row r="574" spans="1:12" x14ac:dyDescent="0.3">
      <c r="A574" t="s">
        <v>799</v>
      </c>
      <c r="B574" t="s">
        <v>412</v>
      </c>
      <c r="C574" t="s">
        <v>14</v>
      </c>
      <c r="D574" t="s">
        <v>15</v>
      </c>
      <c r="E574" t="s">
        <v>46</v>
      </c>
      <c r="F574" t="s">
        <v>17</v>
      </c>
      <c r="G574" t="s">
        <v>26</v>
      </c>
      <c r="H574">
        <v>13280</v>
      </c>
      <c r="K574">
        <v>14000</v>
      </c>
      <c r="L574" s="1">
        <v>45339</v>
      </c>
    </row>
    <row r="575" spans="1:12" x14ac:dyDescent="0.3">
      <c r="A575" t="s">
        <v>800</v>
      </c>
      <c r="B575" t="s">
        <v>78</v>
      </c>
      <c r="C575" t="s">
        <v>14</v>
      </c>
      <c r="D575" t="s">
        <v>15</v>
      </c>
      <c r="E575" t="s">
        <v>32</v>
      </c>
      <c r="F575" t="s">
        <v>25</v>
      </c>
      <c r="G575" t="s">
        <v>26</v>
      </c>
      <c r="H575">
        <v>14650</v>
      </c>
      <c r="I575" t="s">
        <v>19</v>
      </c>
      <c r="J575">
        <v>0.2</v>
      </c>
      <c r="K575">
        <v>14000</v>
      </c>
      <c r="L575" s="1">
        <v>45313</v>
      </c>
    </row>
    <row r="576" spans="1:12" x14ac:dyDescent="0.3">
      <c r="A576" t="s">
        <v>801</v>
      </c>
      <c r="B576" t="s">
        <v>802</v>
      </c>
      <c r="C576" t="s">
        <v>30</v>
      </c>
      <c r="D576" t="s">
        <v>31</v>
      </c>
      <c r="E576" t="s">
        <v>16</v>
      </c>
      <c r="F576" t="s">
        <v>25</v>
      </c>
      <c r="G576" t="s">
        <v>36</v>
      </c>
      <c r="H576">
        <v>18338</v>
      </c>
      <c r="I576" t="s">
        <v>33</v>
      </c>
      <c r="J576">
        <v>0.3</v>
      </c>
      <c r="K576">
        <v>17000</v>
      </c>
      <c r="L576" s="1">
        <v>45303</v>
      </c>
    </row>
    <row r="577" spans="1:12" x14ac:dyDescent="0.3">
      <c r="A577" t="s">
        <v>803</v>
      </c>
      <c r="B577" t="s">
        <v>66</v>
      </c>
      <c r="C577" t="s">
        <v>61</v>
      </c>
      <c r="D577" t="s">
        <v>62</v>
      </c>
      <c r="E577" t="s">
        <v>46</v>
      </c>
      <c r="F577" t="s">
        <v>17</v>
      </c>
      <c r="G577" t="s">
        <v>36</v>
      </c>
      <c r="H577">
        <v>9825</v>
      </c>
      <c r="K577">
        <v>9000</v>
      </c>
      <c r="L577" s="1">
        <v>45343</v>
      </c>
    </row>
    <row r="578" spans="1:12" x14ac:dyDescent="0.3">
      <c r="A578" t="s">
        <v>804</v>
      </c>
      <c r="B578" t="s">
        <v>274</v>
      </c>
      <c r="C578" t="s">
        <v>44</v>
      </c>
      <c r="D578" t="s">
        <v>45</v>
      </c>
      <c r="E578" t="s">
        <v>32</v>
      </c>
      <c r="F578" t="s">
        <v>25</v>
      </c>
      <c r="G578" t="s">
        <v>26</v>
      </c>
      <c r="H578">
        <v>13975</v>
      </c>
      <c r="I578" t="s">
        <v>22</v>
      </c>
      <c r="J578">
        <v>0.1</v>
      </c>
      <c r="K578">
        <v>13000</v>
      </c>
      <c r="L578" s="1">
        <v>45352</v>
      </c>
    </row>
    <row r="579" spans="1:12" x14ac:dyDescent="0.3">
      <c r="A579" t="s">
        <v>805</v>
      </c>
      <c r="B579" t="s">
        <v>412</v>
      </c>
      <c r="C579" t="s">
        <v>14</v>
      </c>
      <c r="D579" t="s">
        <v>15</v>
      </c>
      <c r="E579" t="s">
        <v>46</v>
      </c>
      <c r="F579" t="s">
        <v>39</v>
      </c>
      <c r="G579" t="s">
        <v>36</v>
      </c>
      <c r="H579">
        <v>15286</v>
      </c>
      <c r="I579" t="s">
        <v>27</v>
      </c>
      <c r="K579">
        <v>14000</v>
      </c>
      <c r="L579" s="1">
        <v>45335</v>
      </c>
    </row>
    <row r="580" spans="1:12" x14ac:dyDescent="0.3">
      <c r="A580" t="s">
        <v>806</v>
      </c>
      <c r="B580" t="s">
        <v>508</v>
      </c>
      <c r="C580" t="s">
        <v>61</v>
      </c>
      <c r="D580" t="s">
        <v>62</v>
      </c>
      <c r="E580" t="s">
        <v>46</v>
      </c>
      <c r="F580" t="s">
        <v>39</v>
      </c>
      <c r="G580" t="s">
        <v>18</v>
      </c>
      <c r="H580">
        <v>10533</v>
      </c>
      <c r="I580" t="s">
        <v>19</v>
      </c>
      <c r="J580">
        <v>0.2</v>
      </c>
      <c r="K580">
        <v>9000</v>
      </c>
      <c r="L580" s="1">
        <v>45322</v>
      </c>
    </row>
    <row r="581" spans="1:12" x14ac:dyDescent="0.3">
      <c r="A581" t="s">
        <v>807</v>
      </c>
      <c r="B581" t="s">
        <v>445</v>
      </c>
      <c r="C581" t="s">
        <v>14</v>
      </c>
      <c r="D581" t="s">
        <v>15</v>
      </c>
      <c r="E581" t="s">
        <v>46</v>
      </c>
      <c r="F581" t="s">
        <v>17</v>
      </c>
      <c r="G581" t="s">
        <v>18</v>
      </c>
      <c r="H581">
        <v>12259</v>
      </c>
      <c r="I581" t="s">
        <v>33</v>
      </c>
      <c r="J581">
        <v>0.3</v>
      </c>
      <c r="K581">
        <v>14000</v>
      </c>
      <c r="L581" s="1">
        <v>45333</v>
      </c>
    </row>
    <row r="582" spans="1:12" x14ac:dyDescent="0.3">
      <c r="A582" t="s">
        <v>808</v>
      </c>
      <c r="B582" t="s">
        <v>327</v>
      </c>
      <c r="C582" t="s">
        <v>44</v>
      </c>
      <c r="D582" t="s">
        <v>45</v>
      </c>
      <c r="E582" t="s">
        <v>16</v>
      </c>
      <c r="F582" t="s">
        <v>17</v>
      </c>
      <c r="G582" t="s">
        <v>26</v>
      </c>
      <c r="H582">
        <v>13142</v>
      </c>
      <c r="I582" t="s">
        <v>27</v>
      </c>
      <c r="K582">
        <v>13000</v>
      </c>
      <c r="L582" s="1">
        <v>45298</v>
      </c>
    </row>
    <row r="583" spans="1:12" x14ac:dyDescent="0.3">
      <c r="A583" t="s">
        <v>809</v>
      </c>
      <c r="B583" t="s">
        <v>274</v>
      </c>
      <c r="C583" t="s">
        <v>44</v>
      </c>
      <c r="D583" t="s">
        <v>45</v>
      </c>
      <c r="E583" t="s">
        <v>46</v>
      </c>
      <c r="F583" t="s">
        <v>17</v>
      </c>
      <c r="G583" t="s">
        <v>26</v>
      </c>
      <c r="H583">
        <v>13770</v>
      </c>
      <c r="K583">
        <v>13000</v>
      </c>
      <c r="L583" s="1">
        <v>45301</v>
      </c>
    </row>
    <row r="584" spans="1:12" x14ac:dyDescent="0.3">
      <c r="A584" t="s">
        <v>810</v>
      </c>
      <c r="B584" t="s">
        <v>319</v>
      </c>
      <c r="C584" t="s">
        <v>14</v>
      </c>
      <c r="D584" t="s">
        <v>15</v>
      </c>
      <c r="E584" t="s">
        <v>32</v>
      </c>
      <c r="F584" t="s">
        <v>39</v>
      </c>
      <c r="G584" t="s">
        <v>18</v>
      </c>
      <c r="H584">
        <v>14070</v>
      </c>
      <c r="K584">
        <v>14000</v>
      </c>
      <c r="L584" s="1">
        <v>45346</v>
      </c>
    </row>
    <row r="585" spans="1:12" x14ac:dyDescent="0.3">
      <c r="A585" t="s">
        <v>811</v>
      </c>
      <c r="B585" t="s">
        <v>752</v>
      </c>
      <c r="C585" t="s">
        <v>44</v>
      </c>
      <c r="D585" t="s">
        <v>45</v>
      </c>
      <c r="E585" t="s">
        <v>32</v>
      </c>
      <c r="F585" t="s">
        <v>17</v>
      </c>
      <c r="G585" t="s">
        <v>36</v>
      </c>
      <c r="H585">
        <v>11986</v>
      </c>
      <c r="I585" t="s">
        <v>33</v>
      </c>
      <c r="J585">
        <v>0.3</v>
      </c>
      <c r="K585">
        <v>13000</v>
      </c>
      <c r="L585" s="1">
        <v>45309</v>
      </c>
    </row>
    <row r="586" spans="1:12" x14ac:dyDescent="0.3">
      <c r="A586" t="s">
        <v>812</v>
      </c>
      <c r="B586" t="s">
        <v>166</v>
      </c>
      <c r="C586" t="s">
        <v>44</v>
      </c>
      <c r="D586" t="s">
        <v>45</v>
      </c>
      <c r="E586" t="s">
        <v>16</v>
      </c>
      <c r="F586" t="s">
        <v>39</v>
      </c>
      <c r="G586" t="s">
        <v>36</v>
      </c>
      <c r="H586">
        <v>12651</v>
      </c>
      <c r="I586" t="s">
        <v>19</v>
      </c>
      <c r="J586">
        <v>0.2</v>
      </c>
      <c r="K586">
        <v>13000</v>
      </c>
      <c r="L586" s="1">
        <v>45297</v>
      </c>
    </row>
    <row r="587" spans="1:12" x14ac:dyDescent="0.3">
      <c r="A587" t="s">
        <v>813</v>
      </c>
      <c r="B587" t="s">
        <v>231</v>
      </c>
      <c r="C587" t="s">
        <v>61</v>
      </c>
      <c r="D587" t="s">
        <v>62</v>
      </c>
      <c r="E587" t="s">
        <v>32</v>
      </c>
      <c r="F587" t="s">
        <v>17</v>
      </c>
      <c r="G587" t="s">
        <v>36</v>
      </c>
      <c r="H587">
        <v>8294</v>
      </c>
      <c r="I587" t="s">
        <v>22</v>
      </c>
      <c r="J587">
        <v>0.1</v>
      </c>
      <c r="K587">
        <v>9000</v>
      </c>
      <c r="L587" s="1">
        <v>45323</v>
      </c>
    </row>
    <row r="588" spans="1:12" x14ac:dyDescent="0.3">
      <c r="A588" t="s">
        <v>814</v>
      </c>
      <c r="B588" t="s">
        <v>765</v>
      </c>
      <c r="C588" t="s">
        <v>14</v>
      </c>
      <c r="D588" t="s">
        <v>15</v>
      </c>
      <c r="E588" t="s">
        <v>32</v>
      </c>
      <c r="F588" t="s">
        <v>17</v>
      </c>
      <c r="G588" t="s">
        <v>36</v>
      </c>
      <c r="H588">
        <v>12146</v>
      </c>
      <c r="I588" t="s">
        <v>27</v>
      </c>
      <c r="K588">
        <v>14000</v>
      </c>
      <c r="L588" s="1">
        <v>45327</v>
      </c>
    </row>
    <row r="589" spans="1:12" x14ac:dyDescent="0.3">
      <c r="A589" t="s">
        <v>815</v>
      </c>
      <c r="B589" t="s">
        <v>129</v>
      </c>
      <c r="C589" t="s">
        <v>14</v>
      </c>
      <c r="D589" t="s">
        <v>15</v>
      </c>
      <c r="E589" t="s">
        <v>16</v>
      </c>
      <c r="F589" t="s">
        <v>39</v>
      </c>
      <c r="G589" t="s">
        <v>26</v>
      </c>
      <c r="H589">
        <v>13247</v>
      </c>
      <c r="I589" t="s">
        <v>27</v>
      </c>
      <c r="K589">
        <v>14000</v>
      </c>
      <c r="L589" s="1">
        <v>45327</v>
      </c>
    </row>
    <row r="590" spans="1:12" x14ac:dyDescent="0.3">
      <c r="A590" t="s">
        <v>816</v>
      </c>
      <c r="B590" t="s">
        <v>817</v>
      </c>
      <c r="C590" t="s">
        <v>61</v>
      </c>
      <c r="D590" t="s">
        <v>62</v>
      </c>
      <c r="E590" t="s">
        <v>46</v>
      </c>
      <c r="F590" t="s">
        <v>17</v>
      </c>
      <c r="G590" t="s">
        <v>18</v>
      </c>
      <c r="H590">
        <v>10344</v>
      </c>
      <c r="I590" t="s">
        <v>19</v>
      </c>
      <c r="J590">
        <v>0.2</v>
      </c>
      <c r="K590">
        <v>9000</v>
      </c>
      <c r="L590" s="1">
        <v>45346</v>
      </c>
    </row>
    <row r="591" spans="1:12" x14ac:dyDescent="0.3">
      <c r="A591" t="s">
        <v>818</v>
      </c>
      <c r="B591" t="s">
        <v>188</v>
      </c>
      <c r="C591" t="s">
        <v>61</v>
      </c>
      <c r="D591" t="s">
        <v>62</v>
      </c>
      <c r="E591" t="s">
        <v>16</v>
      </c>
      <c r="F591" t="s">
        <v>39</v>
      </c>
      <c r="G591" t="s">
        <v>36</v>
      </c>
      <c r="H591">
        <v>9932</v>
      </c>
      <c r="K591">
        <v>9000</v>
      </c>
      <c r="L591" s="1">
        <v>45299</v>
      </c>
    </row>
    <row r="592" spans="1:12" x14ac:dyDescent="0.3">
      <c r="A592" t="s">
        <v>819</v>
      </c>
      <c r="B592" t="s">
        <v>200</v>
      </c>
      <c r="C592" t="s">
        <v>44</v>
      </c>
      <c r="D592" t="s">
        <v>45</v>
      </c>
      <c r="E592" t="s">
        <v>32</v>
      </c>
      <c r="F592" t="s">
        <v>17</v>
      </c>
      <c r="G592" t="s">
        <v>36</v>
      </c>
      <c r="H592">
        <v>14399</v>
      </c>
      <c r="I592" t="s">
        <v>33</v>
      </c>
      <c r="J592">
        <v>0.3</v>
      </c>
      <c r="K592">
        <v>13000</v>
      </c>
      <c r="L592" s="1">
        <v>45327</v>
      </c>
    </row>
    <row r="593" spans="1:12" x14ac:dyDescent="0.3">
      <c r="A593" t="s">
        <v>820</v>
      </c>
      <c r="B593" t="s">
        <v>217</v>
      </c>
      <c r="C593" t="s">
        <v>14</v>
      </c>
      <c r="D593" t="s">
        <v>15</v>
      </c>
      <c r="E593" t="s">
        <v>32</v>
      </c>
      <c r="F593" t="s">
        <v>25</v>
      </c>
      <c r="G593" t="s">
        <v>36</v>
      </c>
      <c r="H593">
        <v>12575</v>
      </c>
      <c r="K593">
        <v>14000</v>
      </c>
      <c r="L593" s="1">
        <v>45298</v>
      </c>
    </row>
    <row r="594" spans="1:12" x14ac:dyDescent="0.3">
      <c r="A594" t="s">
        <v>821</v>
      </c>
      <c r="B594" t="s">
        <v>118</v>
      </c>
      <c r="C594" t="s">
        <v>44</v>
      </c>
      <c r="D594" t="s">
        <v>45</v>
      </c>
      <c r="E594" t="s">
        <v>32</v>
      </c>
      <c r="F594" t="s">
        <v>25</v>
      </c>
      <c r="G594" t="s">
        <v>36</v>
      </c>
      <c r="H594">
        <v>11883</v>
      </c>
      <c r="K594">
        <v>13000</v>
      </c>
      <c r="L594" s="1">
        <v>45344</v>
      </c>
    </row>
    <row r="595" spans="1:12" x14ac:dyDescent="0.3">
      <c r="A595" t="s">
        <v>822</v>
      </c>
      <c r="B595" t="s">
        <v>294</v>
      </c>
      <c r="C595" t="s">
        <v>30</v>
      </c>
      <c r="D595" t="s">
        <v>31</v>
      </c>
      <c r="E595" t="s">
        <v>32</v>
      </c>
      <c r="F595" t="s">
        <v>17</v>
      </c>
      <c r="G595" t="s">
        <v>18</v>
      </c>
      <c r="H595">
        <v>18795</v>
      </c>
      <c r="I595" t="s">
        <v>27</v>
      </c>
      <c r="K595">
        <v>17000</v>
      </c>
      <c r="L595" s="1">
        <v>45299</v>
      </c>
    </row>
    <row r="596" spans="1:12" x14ac:dyDescent="0.3">
      <c r="A596" t="s">
        <v>823</v>
      </c>
      <c r="B596" t="s">
        <v>298</v>
      </c>
      <c r="C596" t="s">
        <v>61</v>
      </c>
      <c r="D596" t="s">
        <v>62</v>
      </c>
      <c r="E596" t="s">
        <v>16</v>
      </c>
      <c r="F596" t="s">
        <v>39</v>
      </c>
      <c r="G596" t="s">
        <v>26</v>
      </c>
      <c r="H596">
        <v>7551</v>
      </c>
      <c r="K596">
        <v>9000</v>
      </c>
      <c r="L596" s="1">
        <v>45292</v>
      </c>
    </row>
    <row r="597" spans="1:12" x14ac:dyDescent="0.3">
      <c r="A597" t="s">
        <v>824</v>
      </c>
      <c r="B597" t="s">
        <v>548</v>
      </c>
      <c r="C597" t="s">
        <v>14</v>
      </c>
      <c r="D597" t="s">
        <v>15</v>
      </c>
      <c r="E597" t="s">
        <v>16</v>
      </c>
      <c r="F597" t="s">
        <v>17</v>
      </c>
      <c r="G597" t="s">
        <v>26</v>
      </c>
      <c r="H597">
        <v>13978</v>
      </c>
      <c r="I597" t="s">
        <v>27</v>
      </c>
      <c r="K597">
        <v>14000</v>
      </c>
      <c r="L597" s="1">
        <v>45341</v>
      </c>
    </row>
    <row r="598" spans="1:12" x14ac:dyDescent="0.3">
      <c r="A598" t="s">
        <v>825</v>
      </c>
      <c r="B598" t="s">
        <v>120</v>
      </c>
      <c r="C598" t="s">
        <v>44</v>
      </c>
      <c r="D598" t="s">
        <v>45</v>
      </c>
      <c r="E598" t="s">
        <v>16</v>
      </c>
      <c r="F598" t="s">
        <v>25</v>
      </c>
      <c r="G598" t="s">
        <v>18</v>
      </c>
      <c r="H598">
        <v>12586</v>
      </c>
      <c r="I598" t="s">
        <v>27</v>
      </c>
      <c r="K598">
        <v>13000</v>
      </c>
      <c r="L598" s="1">
        <v>45330</v>
      </c>
    </row>
    <row r="599" spans="1:12" x14ac:dyDescent="0.3">
      <c r="A599" t="s">
        <v>826</v>
      </c>
      <c r="B599" t="s">
        <v>827</v>
      </c>
      <c r="C599" t="s">
        <v>61</v>
      </c>
      <c r="D599" t="s">
        <v>62</v>
      </c>
      <c r="E599" t="s">
        <v>46</v>
      </c>
      <c r="F599" t="s">
        <v>39</v>
      </c>
      <c r="G599" t="s">
        <v>26</v>
      </c>
      <c r="H599">
        <v>10122</v>
      </c>
      <c r="I599" t="s">
        <v>19</v>
      </c>
      <c r="J599">
        <v>0.2</v>
      </c>
      <c r="K599">
        <v>9000</v>
      </c>
      <c r="L599" s="1">
        <v>45309</v>
      </c>
    </row>
    <row r="600" spans="1:12" x14ac:dyDescent="0.3">
      <c r="A600" t="s">
        <v>828</v>
      </c>
      <c r="B600" t="s">
        <v>474</v>
      </c>
      <c r="C600" t="s">
        <v>30</v>
      </c>
      <c r="D600" t="s">
        <v>31</v>
      </c>
      <c r="E600" t="s">
        <v>46</v>
      </c>
      <c r="F600" t="s">
        <v>25</v>
      </c>
      <c r="G600" t="s">
        <v>18</v>
      </c>
      <c r="H600">
        <v>16690</v>
      </c>
      <c r="I600" t="s">
        <v>27</v>
      </c>
      <c r="K600">
        <v>17000</v>
      </c>
      <c r="L600" s="1">
        <v>45336</v>
      </c>
    </row>
    <row r="601" spans="1:12" x14ac:dyDescent="0.3">
      <c r="A601" t="s">
        <v>829</v>
      </c>
      <c r="B601" t="s">
        <v>260</v>
      </c>
      <c r="C601" t="s">
        <v>30</v>
      </c>
      <c r="D601" t="s">
        <v>31</v>
      </c>
      <c r="E601" t="s">
        <v>16</v>
      </c>
      <c r="F601" t="s">
        <v>39</v>
      </c>
      <c r="G601" t="s">
        <v>36</v>
      </c>
      <c r="H601">
        <v>17915</v>
      </c>
      <c r="I601" t="s">
        <v>27</v>
      </c>
      <c r="K601">
        <v>17000</v>
      </c>
      <c r="L601" s="1">
        <v>45332</v>
      </c>
    </row>
    <row r="602" spans="1:12" x14ac:dyDescent="0.3">
      <c r="A602" t="s">
        <v>830</v>
      </c>
      <c r="B602" t="s">
        <v>94</v>
      </c>
      <c r="C602" t="s">
        <v>44</v>
      </c>
      <c r="D602" t="s">
        <v>45</v>
      </c>
      <c r="E602" t="s">
        <v>16</v>
      </c>
      <c r="F602" t="s">
        <v>39</v>
      </c>
      <c r="G602" t="s">
        <v>36</v>
      </c>
      <c r="H602">
        <v>13812</v>
      </c>
      <c r="I602" t="s">
        <v>33</v>
      </c>
      <c r="J602">
        <v>0.3</v>
      </c>
      <c r="K602">
        <v>13000</v>
      </c>
      <c r="L602" s="1">
        <v>45350</v>
      </c>
    </row>
    <row r="603" spans="1:12" x14ac:dyDescent="0.3">
      <c r="A603" t="s">
        <v>831</v>
      </c>
      <c r="B603" t="s">
        <v>422</v>
      </c>
      <c r="C603" t="s">
        <v>44</v>
      </c>
      <c r="D603" t="s">
        <v>45</v>
      </c>
      <c r="E603" t="s">
        <v>16</v>
      </c>
      <c r="F603" t="s">
        <v>39</v>
      </c>
      <c r="G603" t="s">
        <v>26</v>
      </c>
      <c r="H603">
        <v>13608</v>
      </c>
      <c r="I603" t="s">
        <v>33</v>
      </c>
      <c r="J603">
        <v>0.3</v>
      </c>
      <c r="K603">
        <v>13000</v>
      </c>
      <c r="L603" s="1">
        <v>45337</v>
      </c>
    </row>
    <row r="604" spans="1:12" x14ac:dyDescent="0.3">
      <c r="A604" t="s">
        <v>832</v>
      </c>
      <c r="B604" t="s">
        <v>200</v>
      </c>
      <c r="C604" t="s">
        <v>30</v>
      </c>
      <c r="D604" t="s">
        <v>31</v>
      </c>
      <c r="E604" t="s">
        <v>16</v>
      </c>
      <c r="F604" t="s">
        <v>17</v>
      </c>
      <c r="G604" t="s">
        <v>26</v>
      </c>
      <c r="H604">
        <v>17337</v>
      </c>
      <c r="K604">
        <v>17000</v>
      </c>
      <c r="L604" s="1">
        <v>45335</v>
      </c>
    </row>
    <row r="605" spans="1:12" x14ac:dyDescent="0.3">
      <c r="A605" t="s">
        <v>833</v>
      </c>
      <c r="B605" t="s">
        <v>371</v>
      </c>
      <c r="C605" t="s">
        <v>30</v>
      </c>
      <c r="D605" t="s">
        <v>31</v>
      </c>
      <c r="E605" t="s">
        <v>46</v>
      </c>
      <c r="F605" t="s">
        <v>25</v>
      </c>
      <c r="G605" t="s">
        <v>26</v>
      </c>
      <c r="H605">
        <v>15436</v>
      </c>
      <c r="I605" t="s">
        <v>22</v>
      </c>
      <c r="J605">
        <v>0.1</v>
      </c>
      <c r="K605">
        <v>17000</v>
      </c>
      <c r="L605" s="1">
        <v>45316</v>
      </c>
    </row>
    <row r="606" spans="1:12" x14ac:dyDescent="0.3">
      <c r="A606" t="s">
        <v>834</v>
      </c>
      <c r="B606" t="s">
        <v>557</v>
      </c>
      <c r="C606" t="s">
        <v>14</v>
      </c>
      <c r="D606" t="s">
        <v>15</v>
      </c>
      <c r="E606" t="s">
        <v>32</v>
      </c>
      <c r="F606" t="s">
        <v>17</v>
      </c>
      <c r="G606" t="s">
        <v>18</v>
      </c>
      <c r="H606">
        <v>13173</v>
      </c>
      <c r="I606" t="s">
        <v>33</v>
      </c>
      <c r="J606">
        <v>0.3</v>
      </c>
      <c r="K606">
        <v>14000</v>
      </c>
      <c r="L606" s="1">
        <v>45301</v>
      </c>
    </row>
    <row r="607" spans="1:12" x14ac:dyDescent="0.3">
      <c r="A607" t="s">
        <v>835</v>
      </c>
      <c r="B607" t="s">
        <v>676</v>
      </c>
      <c r="C607" t="s">
        <v>30</v>
      </c>
      <c r="D607" t="s">
        <v>31</v>
      </c>
      <c r="E607" t="s">
        <v>32</v>
      </c>
      <c r="F607" t="s">
        <v>39</v>
      </c>
      <c r="G607" t="s">
        <v>18</v>
      </c>
      <c r="H607">
        <v>16469</v>
      </c>
      <c r="K607">
        <v>17000</v>
      </c>
      <c r="L607" s="1">
        <v>45298</v>
      </c>
    </row>
    <row r="608" spans="1:12" x14ac:dyDescent="0.3">
      <c r="A608" t="s">
        <v>836</v>
      </c>
      <c r="B608" t="s">
        <v>837</v>
      </c>
      <c r="C608" t="s">
        <v>44</v>
      </c>
      <c r="D608" t="s">
        <v>45</v>
      </c>
      <c r="E608" t="s">
        <v>16</v>
      </c>
      <c r="F608" t="s">
        <v>39</v>
      </c>
      <c r="G608" t="s">
        <v>26</v>
      </c>
      <c r="H608">
        <v>12592</v>
      </c>
      <c r="I608" t="s">
        <v>19</v>
      </c>
      <c r="J608">
        <v>0.2</v>
      </c>
      <c r="K608">
        <v>13000</v>
      </c>
      <c r="L608" s="1">
        <v>45324</v>
      </c>
    </row>
    <row r="609" spans="1:12" x14ac:dyDescent="0.3">
      <c r="A609" t="s">
        <v>838</v>
      </c>
      <c r="B609" t="s">
        <v>54</v>
      </c>
      <c r="C609" t="s">
        <v>30</v>
      </c>
      <c r="D609" t="s">
        <v>31</v>
      </c>
      <c r="E609" t="s">
        <v>16</v>
      </c>
      <c r="F609" t="s">
        <v>39</v>
      </c>
      <c r="G609" t="s">
        <v>18</v>
      </c>
      <c r="H609">
        <v>18794</v>
      </c>
      <c r="K609">
        <v>17000</v>
      </c>
      <c r="L609" s="1">
        <v>45316</v>
      </c>
    </row>
    <row r="610" spans="1:12" x14ac:dyDescent="0.3">
      <c r="A610" t="s">
        <v>839</v>
      </c>
      <c r="B610" t="s">
        <v>155</v>
      </c>
      <c r="C610" t="s">
        <v>30</v>
      </c>
      <c r="D610" t="s">
        <v>31</v>
      </c>
      <c r="E610" t="s">
        <v>16</v>
      </c>
      <c r="F610" t="s">
        <v>25</v>
      </c>
      <c r="G610" t="s">
        <v>18</v>
      </c>
      <c r="H610">
        <v>18046</v>
      </c>
      <c r="I610" t="s">
        <v>33</v>
      </c>
      <c r="J610">
        <v>0.3</v>
      </c>
      <c r="K610">
        <v>17000</v>
      </c>
      <c r="L610" s="1">
        <v>45304</v>
      </c>
    </row>
    <row r="611" spans="1:12" x14ac:dyDescent="0.3">
      <c r="A611" t="s">
        <v>840</v>
      </c>
      <c r="B611" t="s">
        <v>837</v>
      </c>
      <c r="C611" t="s">
        <v>61</v>
      </c>
      <c r="D611" t="s">
        <v>62</v>
      </c>
      <c r="E611" t="s">
        <v>32</v>
      </c>
      <c r="F611" t="s">
        <v>39</v>
      </c>
      <c r="G611" t="s">
        <v>26</v>
      </c>
      <c r="H611">
        <v>9906</v>
      </c>
      <c r="I611" t="s">
        <v>33</v>
      </c>
      <c r="J611">
        <v>0.3</v>
      </c>
      <c r="K611">
        <v>9000</v>
      </c>
      <c r="L611" s="1">
        <v>45340</v>
      </c>
    </row>
    <row r="612" spans="1:12" x14ac:dyDescent="0.3">
      <c r="A612" t="s">
        <v>841</v>
      </c>
      <c r="B612" t="s">
        <v>86</v>
      </c>
      <c r="C612" t="s">
        <v>44</v>
      </c>
      <c r="D612" t="s">
        <v>45</v>
      </c>
      <c r="E612" t="s">
        <v>16</v>
      </c>
      <c r="F612" t="s">
        <v>25</v>
      </c>
      <c r="G612" t="s">
        <v>36</v>
      </c>
      <c r="H612">
        <v>12838</v>
      </c>
      <c r="I612" t="s">
        <v>19</v>
      </c>
      <c r="J612">
        <v>0.2</v>
      </c>
      <c r="K612">
        <v>13000</v>
      </c>
      <c r="L612" s="1">
        <v>45335</v>
      </c>
    </row>
    <row r="613" spans="1:12" x14ac:dyDescent="0.3">
      <c r="A613" t="s">
        <v>842</v>
      </c>
      <c r="B613" t="s">
        <v>843</v>
      </c>
      <c r="C613" t="s">
        <v>44</v>
      </c>
      <c r="D613" t="s">
        <v>45</v>
      </c>
      <c r="E613" t="s">
        <v>16</v>
      </c>
      <c r="F613" t="s">
        <v>39</v>
      </c>
      <c r="G613" t="s">
        <v>18</v>
      </c>
      <c r="H613">
        <v>12545</v>
      </c>
      <c r="I613" t="s">
        <v>22</v>
      </c>
      <c r="J613">
        <v>0.1</v>
      </c>
      <c r="K613">
        <v>13000</v>
      </c>
      <c r="L613" s="1">
        <v>45319</v>
      </c>
    </row>
    <row r="614" spans="1:12" x14ac:dyDescent="0.3">
      <c r="A614" t="s">
        <v>844</v>
      </c>
      <c r="B614" t="s">
        <v>307</v>
      </c>
      <c r="C614" t="s">
        <v>30</v>
      </c>
      <c r="D614" t="s">
        <v>31</v>
      </c>
      <c r="E614" t="s">
        <v>32</v>
      </c>
      <c r="F614" t="s">
        <v>25</v>
      </c>
      <c r="G614" t="s">
        <v>26</v>
      </c>
      <c r="H614">
        <v>18465</v>
      </c>
      <c r="I614" t="s">
        <v>33</v>
      </c>
      <c r="J614">
        <v>0.3</v>
      </c>
      <c r="K614">
        <v>17000</v>
      </c>
      <c r="L614" s="1">
        <v>45292</v>
      </c>
    </row>
    <row r="615" spans="1:12" x14ac:dyDescent="0.3">
      <c r="A615" t="s">
        <v>845</v>
      </c>
      <c r="B615" t="s">
        <v>802</v>
      </c>
      <c r="C615" t="s">
        <v>44</v>
      </c>
      <c r="D615" t="s">
        <v>45</v>
      </c>
      <c r="E615" t="s">
        <v>32</v>
      </c>
      <c r="F615" t="s">
        <v>25</v>
      </c>
      <c r="G615" t="s">
        <v>36</v>
      </c>
      <c r="H615">
        <v>13444</v>
      </c>
      <c r="I615" t="s">
        <v>22</v>
      </c>
      <c r="J615">
        <v>0.1</v>
      </c>
      <c r="K615">
        <v>13000</v>
      </c>
      <c r="L615" s="1">
        <v>45341</v>
      </c>
    </row>
    <row r="616" spans="1:12" x14ac:dyDescent="0.3">
      <c r="A616" t="s">
        <v>846</v>
      </c>
      <c r="B616" t="s">
        <v>50</v>
      </c>
      <c r="C616" t="s">
        <v>30</v>
      </c>
      <c r="D616" t="s">
        <v>31</v>
      </c>
      <c r="E616" t="s">
        <v>46</v>
      </c>
      <c r="F616" t="s">
        <v>39</v>
      </c>
      <c r="G616" t="s">
        <v>26</v>
      </c>
      <c r="H616">
        <v>16466</v>
      </c>
      <c r="I616" t="s">
        <v>22</v>
      </c>
      <c r="J616">
        <v>0.1</v>
      </c>
      <c r="K616">
        <v>17000</v>
      </c>
      <c r="L616" s="1">
        <v>45342</v>
      </c>
    </row>
    <row r="617" spans="1:12" x14ac:dyDescent="0.3">
      <c r="A617" t="s">
        <v>847</v>
      </c>
      <c r="B617" t="s">
        <v>577</v>
      </c>
      <c r="C617" t="s">
        <v>44</v>
      </c>
      <c r="D617" t="s">
        <v>45</v>
      </c>
      <c r="E617" t="s">
        <v>32</v>
      </c>
      <c r="F617" t="s">
        <v>39</v>
      </c>
      <c r="G617" t="s">
        <v>18</v>
      </c>
      <c r="H617">
        <v>14220</v>
      </c>
      <c r="I617" t="s">
        <v>27</v>
      </c>
      <c r="K617">
        <v>13000</v>
      </c>
      <c r="L617" s="1">
        <v>45302</v>
      </c>
    </row>
    <row r="618" spans="1:12" x14ac:dyDescent="0.3">
      <c r="A618" t="s">
        <v>848</v>
      </c>
      <c r="B618" t="s">
        <v>512</v>
      </c>
      <c r="C618" t="s">
        <v>61</v>
      </c>
      <c r="D618" t="s">
        <v>62</v>
      </c>
      <c r="E618" t="s">
        <v>32</v>
      </c>
      <c r="F618" t="s">
        <v>17</v>
      </c>
      <c r="G618" t="s">
        <v>18</v>
      </c>
      <c r="H618">
        <v>10618</v>
      </c>
      <c r="I618" t="s">
        <v>19</v>
      </c>
      <c r="J618">
        <v>0.2</v>
      </c>
      <c r="K618">
        <v>9000</v>
      </c>
      <c r="L618" s="1">
        <v>45334</v>
      </c>
    </row>
    <row r="619" spans="1:12" x14ac:dyDescent="0.3">
      <c r="A619" t="s">
        <v>849</v>
      </c>
      <c r="B619" t="s">
        <v>282</v>
      </c>
      <c r="C619" t="s">
        <v>30</v>
      </c>
      <c r="D619" t="s">
        <v>31</v>
      </c>
      <c r="E619" t="s">
        <v>46</v>
      </c>
      <c r="F619" t="s">
        <v>25</v>
      </c>
      <c r="G619" t="s">
        <v>26</v>
      </c>
      <c r="H619">
        <v>17172</v>
      </c>
      <c r="K619">
        <v>17000</v>
      </c>
      <c r="L619" s="1">
        <v>45327</v>
      </c>
    </row>
    <row r="620" spans="1:12" x14ac:dyDescent="0.3">
      <c r="A620" t="s">
        <v>850</v>
      </c>
      <c r="B620" t="s">
        <v>393</v>
      </c>
      <c r="C620" t="s">
        <v>14</v>
      </c>
      <c r="D620" t="s">
        <v>15</v>
      </c>
      <c r="E620" t="s">
        <v>32</v>
      </c>
      <c r="F620" t="s">
        <v>39</v>
      </c>
      <c r="G620" t="s">
        <v>36</v>
      </c>
      <c r="H620">
        <v>13825</v>
      </c>
      <c r="I620" t="s">
        <v>19</v>
      </c>
      <c r="J620">
        <v>0.2</v>
      </c>
      <c r="K620">
        <v>14000</v>
      </c>
      <c r="L620" s="1">
        <v>45349</v>
      </c>
    </row>
    <row r="621" spans="1:12" x14ac:dyDescent="0.3">
      <c r="A621" t="s">
        <v>851</v>
      </c>
      <c r="B621" t="s">
        <v>163</v>
      </c>
      <c r="C621" t="s">
        <v>44</v>
      </c>
      <c r="D621" t="s">
        <v>45</v>
      </c>
      <c r="E621" t="s">
        <v>32</v>
      </c>
      <c r="F621" t="s">
        <v>39</v>
      </c>
      <c r="G621" t="s">
        <v>36</v>
      </c>
      <c r="H621">
        <v>12562</v>
      </c>
      <c r="I621" t="s">
        <v>22</v>
      </c>
      <c r="J621">
        <v>0.1</v>
      </c>
      <c r="K621">
        <v>13000</v>
      </c>
      <c r="L621" s="1">
        <v>45316</v>
      </c>
    </row>
    <row r="622" spans="1:12" x14ac:dyDescent="0.3">
      <c r="A622" t="s">
        <v>852</v>
      </c>
      <c r="B622" t="s">
        <v>307</v>
      </c>
      <c r="C622" t="s">
        <v>30</v>
      </c>
      <c r="D622" t="s">
        <v>31</v>
      </c>
      <c r="E622" t="s">
        <v>32</v>
      </c>
      <c r="F622" t="s">
        <v>39</v>
      </c>
      <c r="G622" t="s">
        <v>36</v>
      </c>
      <c r="H622">
        <v>17106</v>
      </c>
      <c r="I622" t="s">
        <v>27</v>
      </c>
      <c r="K622">
        <v>17000</v>
      </c>
      <c r="L622" s="1">
        <v>45320</v>
      </c>
    </row>
    <row r="623" spans="1:12" x14ac:dyDescent="0.3">
      <c r="A623" t="s">
        <v>853</v>
      </c>
      <c r="B623" t="s">
        <v>711</v>
      </c>
      <c r="C623" t="s">
        <v>30</v>
      </c>
      <c r="D623" t="s">
        <v>31</v>
      </c>
      <c r="E623" t="s">
        <v>16</v>
      </c>
      <c r="F623" t="s">
        <v>25</v>
      </c>
      <c r="G623" t="s">
        <v>36</v>
      </c>
      <c r="H623">
        <v>17104</v>
      </c>
      <c r="I623" t="s">
        <v>22</v>
      </c>
      <c r="J623">
        <v>0.1</v>
      </c>
      <c r="K623">
        <v>17000</v>
      </c>
      <c r="L623" s="1">
        <v>45352</v>
      </c>
    </row>
    <row r="624" spans="1:12" x14ac:dyDescent="0.3">
      <c r="A624" t="s">
        <v>854</v>
      </c>
      <c r="B624" t="s">
        <v>843</v>
      </c>
      <c r="C624" t="s">
        <v>14</v>
      </c>
      <c r="D624" t="s">
        <v>15</v>
      </c>
      <c r="E624" t="s">
        <v>16</v>
      </c>
      <c r="F624" t="s">
        <v>25</v>
      </c>
      <c r="G624" t="s">
        <v>18</v>
      </c>
      <c r="H624">
        <v>14745</v>
      </c>
      <c r="I624" t="s">
        <v>19</v>
      </c>
      <c r="J624">
        <v>0.2</v>
      </c>
      <c r="K624">
        <v>14000</v>
      </c>
      <c r="L624" s="1">
        <v>45347</v>
      </c>
    </row>
    <row r="625" spans="1:12" x14ac:dyDescent="0.3">
      <c r="A625" t="s">
        <v>855</v>
      </c>
      <c r="B625" t="s">
        <v>90</v>
      </c>
      <c r="C625" t="s">
        <v>14</v>
      </c>
      <c r="D625" t="s">
        <v>15</v>
      </c>
      <c r="E625" t="s">
        <v>32</v>
      </c>
      <c r="F625" t="s">
        <v>39</v>
      </c>
      <c r="G625" t="s">
        <v>26</v>
      </c>
      <c r="H625">
        <v>15598</v>
      </c>
      <c r="K625">
        <v>14000</v>
      </c>
      <c r="L625" s="1">
        <v>45333</v>
      </c>
    </row>
    <row r="626" spans="1:12" x14ac:dyDescent="0.3">
      <c r="A626" t="s">
        <v>856</v>
      </c>
      <c r="B626" t="s">
        <v>96</v>
      </c>
      <c r="C626" t="s">
        <v>44</v>
      </c>
      <c r="D626" t="s">
        <v>45</v>
      </c>
      <c r="E626" t="s">
        <v>32</v>
      </c>
      <c r="F626" t="s">
        <v>17</v>
      </c>
      <c r="G626" t="s">
        <v>26</v>
      </c>
      <c r="H626">
        <v>12358</v>
      </c>
      <c r="I626" t="s">
        <v>22</v>
      </c>
      <c r="J626">
        <v>0.1</v>
      </c>
      <c r="K626">
        <v>13000</v>
      </c>
      <c r="L626" s="1">
        <v>45297</v>
      </c>
    </row>
    <row r="627" spans="1:12" x14ac:dyDescent="0.3">
      <c r="A627" t="s">
        <v>857</v>
      </c>
      <c r="B627" t="s">
        <v>43</v>
      </c>
      <c r="C627" t="s">
        <v>44</v>
      </c>
      <c r="D627" t="s">
        <v>45</v>
      </c>
      <c r="E627" t="s">
        <v>46</v>
      </c>
      <c r="F627" t="s">
        <v>39</v>
      </c>
      <c r="G627" t="s">
        <v>18</v>
      </c>
      <c r="H627">
        <v>13355</v>
      </c>
      <c r="I627" t="s">
        <v>19</v>
      </c>
      <c r="J627">
        <v>0.2</v>
      </c>
      <c r="K627">
        <v>13000</v>
      </c>
      <c r="L627" s="1">
        <v>45350</v>
      </c>
    </row>
    <row r="628" spans="1:12" x14ac:dyDescent="0.3">
      <c r="A628" t="s">
        <v>858</v>
      </c>
      <c r="B628" t="s">
        <v>70</v>
      </c>
      <c r="C628" t="s">
        <v>61</v>
      </c>
      <c r="D628" t="s">
        <v>62</v>
      </c>
      <c r="E628" t="s">
        <v>46</v>
      </c>
      <c r="F628" t="s">
        <v>39</v>
      </c>
      <c r="G628" t="s">
        <v>36</v>
      </c>
      <c r="H628">
        <v>8773</v>
      </c>
      <c r="I628" t="s">
        <v>33</v>
      </c>
      <c r="J628">
        <v>0.3</v>
      </c>
      <c r="K628">
        <v>9000</v>
      </c>
      <c r="L628" s="1">
        <v>45293</v>
      </c>
    </row>
    <row r="629" spans="1:12" x14ac:dyDescent="0.3">
      <c r="A629" t="s">
        <v>859</v>
      </c>
      <c r="B629" t="s">
        <v>274</v>
      </c>
      <c r="C629" t="s">
        <v>14</v>
      </c>
      <c r="D629" t="s">
        <v>15</v>
      </c>
      <c r="E629" t="s">
        <v>16</v>
      </c>
      <c r="F629" t="s">
        <v>25</v>
      </c>
      <c r="G629" t="s">
        <v>26</v>
      </c>
      <c r="H629">
        <v>14950</v>
      </c>
      <c r="I629" t="s">
        <v>27</v>
      </c>
      <c r="K629">
        <v>14000</v>
      </c>
      <c r="L629" s="1">
        <v>45296</v>
      </c>
    </row>
    <row r="630" spans="1:12" x14ac:dyDescent="0.3">
      <c r="A630" t="s">
        <v>860</v>
      </c>
      <c r="B630" t="s">
        <v>296</v>
      </c>
      <c r="C630" t="s">
        <v>14</v>
      </c>
      <c r="D630" t="s">
        <v>15</v>
      </c>
      <c r="E630" t="s">
        <v>16</v>
      </c>
      <c r="F630" t="s">
        <v>25</v>
      </c>
      <c r="G630" t="s">
        <v>36</v>
      </c>
      <c r="H630">
        <v>15801</v>
      </c>
      <c r="I630" t="s">
        <v>27</v>
      </c>
      <c r="K630">
        <v>14000</v>
      </c>
      <c r="L630" s="1">
        <v>45298</v>
      </c>
    </row>
    <row r="631" spans="1:12" x14ac:dyDescent="0.3">
      <c r="A631" t="s">
        <v>861</v>
      </c>
      <c r="B631" t="s">
        <v>443</v>
      </c>
      <c r="C631" t="s">
        <v>30</v>
      </c>
      <c r="D631" t="s">
        <v>31</v>
      </c>
      <c r="E631" t="s">
        <v>16</v>
      </c>
      <c r="F631" t="s">
        <v>25</v>
      </c>
      <c r="G631" t="s">
        <v>36</v>
      </c>
      <c r="H631">
        <v>18134</v>
      </c>
      <c r="K631">
        <v>17000</v>
      </c>
      <c r="L631" s="1">
        <v>45316</v>
      </c>
    </row>
    <row r="632" spans="1:12" x14ac:dyDescent="0.3">
      <c r="A632" t="s">
        <v>862</v>
      </c>
      <c r="B632" t="s">
        <v>309</v>
      </c>
      <c r="C632" t="s">
        <v>14</v>
      </c>
      <c r="D632" t="s">
        <v>15</v>
      </c>
      <c r="E632" t="s">
        <v>46</v>
      </c>
      <c r="F632" t="s">
        <v>25</v>
      </c>
      <c r="G632" t="s">
        <v>26</v>
      </c>
      <c r="H632">
        <v>12900</v>
      </c>
      <c r="I632" t="s">
        <v>19</v>
      </c>
      <c r="J632">
        <v>0.2</v>
      </c>
      <c r="K632">
        <v>14000</v>
      </c>
      <c r="L632" s="1">
        <v>45339</v>
      </c>
    </row>
    <row r="633" spans="1:12" x14ac:dyDescent="0.3">
      <c r="A633" t="s">
        <v>863</v>
      </c>
      <c r="B633" t="s">
        <v>155</v>
      </c>
      <c r="C633" t="s">
        <v>30</v>
      </c>
      <c r="D633" t="s">
        <v>31</v>
      </c>
      <c r="E633" t="s">
        <v>16</v>
      </c>
      <c r="F633" t="s">
        <v>25</v>
      </c>
      <c r="G633" t="s">
        <v>36</v>
      </c>
      <c r="H633">
        <v>17774</v>
      </c>
      <c r="I633" t="s">
        <v>33</v>
      </c>
      <c r="J633">
        <v>0.3</v>
      </c>
      <c r="K633">
        <v>17000</v>
      </c>
      <c r="L633" s="1">
        <v>45352</v>
      </c>
    </row>
    <row r="634" spans="1:12" x14ac:dyDescent="0.3">
      <c r="A634" t="s">
        <v>864</v>
      </c>
      <c r="B634" t="s">
        <v>166</v>
      </c>
      <c r="C634" t="s">
        <v>44</v>
      </c>
      <c r="D634" t="s">
        <v>45</v>
      </c>
      <c r="E634" t="s">
        <v>32</v>
      </c>
      <c r="F634" t="s">
        <v>25</v>
      </c>
      <c r="G634" t="s">
        <v>18</v>
      </c>
      <c r="H634">
        <v>13345</v>
      </c>
      <c r="I634" t="s">
        <v>27</v>
      </c>
      <c r="K634">
        <v>13000</v>
      </c>
      <c r="L634" s="1">
        <v>45317</v>
      </c>
    </row>
    <row r="635" spans="1:12" x14ac:dyDescent="0.3">
      <c r="A635" t="s">
        <v>865</v>
      </c>
      <c r="B635" t="s">
        <v>168</v>
      </c>
      <c r="C635" t="s">
        <v>14</v>
      </c>
      <c r="D635" t="s">
        <v>15</v>
      </c>
      <c r="E635" t="s">
        <v>46</v>
      </c>
      <c r="F635" t="s">
        <v>25</v>
      </c>
      <c r="G635" t="s">
        <v>26</v>
      </c>
      <c r="H635">
        <v>15036</v>
      </c>
      <c r="I635" t="s">
        <v>33</v>
      </c>
      <c r="J635">
        <v>0.3</v>
      </c>
      <c r="K635">
        <v>14000</v>
      </c>
      <c r="L635" s="1">
        <v>45305</v>
      </c>
    </row>
    <row r="636" spans="1:12" x14ac:dyDescent="0.3">
      <c r="A636" t="s">
        <v>866</v>
      </c>
      <c r="B636" t="s">
        <v>274</v>
      </c>
      <c r="C636" t="s">
        <v>44</v>
      </c>
      <c r="D636" t="s">
        <v>45</v>
      </c>
      <c r="E636" t="s">
        <v>32</v>
      </c>
      <c r="F636" t="s">
        <v>25</v>
      </c>
      <c r="G636" t="s">
        <v>18</v>
      </c>
      <c r="H636">
        <v>13526</v>
      </c>
      <c r="I636" t="s">
        <v>33</v>
      </c>
      <c r="J636">
        <v>0.3</v>
      </c>
      <c r="K636">
        <v>13000</v>
      </c>
      <c r="L636" s="1">
        <v>45304</v>
      </c>
    </row>
    <row r="637" spans="1:12" x14ac:dyDescent="0.3">
      <c r="A637" t="s">
        <v>867</v>
      </c>
      <c r="B637" t="s">
        <v>843</v>
      </c>
      <c r="C637" t="s">
        <v>14</v>
      </c>
      <c r="D637" t="s">
        <v>15</v>
      </c>
      <c r="E637" t="s">
        <v>16</v>
      </c>
      <c r="F637" t="s">
        <v>17</v>
      </c>
      <c r="G637" t="s">
        <v>26</v>
      </c>
      <c r="H637">
        <v>14251</v>
      </c>
      <c r="I637" t="s">
        <v>22</v>
      </c>
      <c r="J637">
        <v>0.1</v>
      </c>
      <c r="K637">
        <v>14000</v>
      </c>
      <c r="L637" s="1">
        <v>45310</v>
      </c>
    </row>
    <row r="638" spans="1:12" x14ac:dyDescent="0.3">
      <c r="A638" t="s">
        <v>868</v>
      </c>
      <c r="B638" t="s">
        <v>13</v>
      </c>
      <c r="C638" t="s">
        <v>30</v>
      </c>
      <c r="D638" t="s">
        <v>31</v>
      </c>
      <c r="E638" t="s">
        <v>32</v>
      </c>
      <c r="F638" t="s">
        <v>25</v>
      </c>
      <c r="G638" t="s">
        <v>26</v>
      </c>
      <c r="H638">
        <v>17378</v>
      </c>
      <c r="K638">
        <v>17000</v>
      </c>
      <c r="L638" s="1">
        <v>45352</v>
      </c>
    </row>
    <row r="639" spans="1:12" x14ac:dyDescent="0.3">
      <c r="A639" t="s">
        <v>869</v>
      </c>
      <c r="B639" t="s">
        <v>282</v>
      </c>
      <c r="C639" t="s">
        <v>44</v>
      </c>
      <c r="D639" t="s">
        <v>45</v>
      </c>
      <c r="E639" t="s">
        <v>16</v>
      </c>
      <c r="F639" t="s">
        <v>39</v>
      </c>
      <c r="G639" t="s">
        <v>18</v>
      </c>
      <c r="H639">
        <v>11409</v>
      </c>
      <c r="I639" t="s">
        <v>33</v>
      </c>
      <c r="J639">
        <v>0.3</v>
      </c>
      <c r="K639">
        <v>13000</v>
      </c>
      <c r="L639" s="1">
        <v>45331</v>
      </c>
    </row>
    <row r="640" spans="1:12" x14ac:dyDescent="0.3">
      <c r="A640" t="s">
        <v>870</v>
      </c>
      <c r="B640" t="s">
        <v>248</v>
      </c>
      <c r="C640" t="s">
        <v>30</v>
      </c>
      <c r="D640" t="s">
        <v>31</v>
      </c>
      <c r="E640" t="s">
        <v>46</v>
      </c>
      <c r="F640" t="s">
        <v>17</v>
      </c>
      <c r="G640" t="s">
        <v>36</v>
      </c>
      <c r="H640">
        <v>17524</v>
      </c>
      <c r="I640" t="s">
        <v>33</v>
      </c>
      <c r="J640">
        <v>0.3</v>
      </c>
      <c r="K640">
        <v>17000</v>
      </c>
      <c r="L640" s="1">
        <v>45336</v>
      </c>
    </row>
    <row r="641" spans="1:12" x14ac:dyDescent="0.3">
      <c r="A641" t="s">
        <v>871</v>
      </c>
      <c r="B641" t="s">
        <v>373</v>
      </c>
      <c r="C641" t="s">
        <v>30</v>
      </c>
      <c r="D641" t="s">
        <v>31</v>
      </c>
      <c r="E641" t="s">
        <v>46</v>
      </c>
      <c r="F641" t="s">
        <v>17</v>
      </c>
      <c r="G641" t="s">
        <v>18</v>
      </c>
      <c r="H641">
        <v>15019</v>
      </c>
      <c r="I641" t="s">
        <v>33</v>
      </c>
      <c r="J641">
        <v>0.3</v>
      </c>
      <c r="K641">
        <v>17000</v>
      </c>
      <c r="L641" s="1">
        <v>45307</v>
      </c>
    </row>
    <row r="642" spans="1:12" x14ac:dyDescent="0.3">
      <c r="A642" t="s">
        <v>872</v>
      </c>
      <c r="B642" t="s">
        <v>294</v>
      </c>
      <c r="C642" t="s">
        <v>61</v>
      </c>
      <c r="D642" t="s">
        <v>62</v>
      </c>
      <c r="E642" t="s">
        <v>46</v>
      </c>
      <c r="F642" t="s">
        <v>17</v>
      </c>
      <c r="G642" t="s">
        <v>18</v>
      </c>
      <c r="H642">
        <v>9783</v>
      </c>
      <c r="I642" t="s">
        <v>33</v>
      </c>
      <c r="J642">
        <v>0.3</v>
      </c>
      <c r="K642">
        <v>9000</v>
      </c>
      <c r="L642" s="1">
        <v>45348</v>
      </c>
    </row>
    <row r="643" spans="1:12" x14ac:dyDescent="0.3">
      <c r="A643" t="s">
        <v>873</v>
      </c>
      <c r="B643" t="s">
        <v>231</v>
      </c>
      <c r="C643" t="s">
        <v>61</v>
      </c>
      <c r="D643" t="s">
        <v>62</v>
      </c>
      <c r="E643" t="s">
        <v>46</v>
      </c>
      <c r="F643" t="s">
        <v>17</v>
      </c>
      <c r="G643" t="s">
        <v>36</v>
      </c>
      <c r="H643">
        <v>9259</v>
      </c>
      <c r="I643" t="s">
        <v>22</v>
      </c>
      <c r="J643">
        <v>0.1</v>
      </c>
      <c r="K643">
        <v>9000</v>
      </c>
      <c r="L643" s="1">
        <v>45303</v>
      </c>
    </row>
    <row r="644" spans="1:12" x14ac:dyDescent="0.3">
      <c r="A644" t="s">
        <v>874</v>
      </c>
      <c r="B644" t="s">
        <v>163</v>
      </c>
      <c r="C644" t="s">
        <v>14</v>
      </c>
      <c r="D644" t="s">
        <v>15</v>
      </c>
      <c r="E644" t="s">
        <v>46</v>
      </c>
      <c r="F644" t="s">
        <v>25</v>
      </c>
      <c r="G644" t="s">
        <v>26</v>
      </c>
      <c r="H644">
        <v>12804</v>
      </c>
      <c r="I644" t="s">
        <v>33</v>
      </c>
      <c r="J644">
        <v>0.3</v>
      </c>
      <c r="K644">
        <v>14000</v>
      </c>
      <c r="L644" s="1">
        <v>45338</v>
      </c>
    </row>
    <row r="645" spans="1:12" x14ac:dyDescent="0.3">
      <c r="A645" t="s">
        <v>875</v>
      </c>
      <c r="B645" t="s">
        <v>50</v>
      </c>
      <c r="C645" t="s">
        <v>14</v>
      </c>
      <c r="D645" t="s">
        <v>15</v>
      </c>
      <c r="E645" t="s">
        <v>16</v>
      </c>
      <c r="F645" t="s">
        <v>25</v>
      </c>
      <c r="G645" t="s">
        <v>18</v>
      </c>
      <c r="H645">
        <v>15479</v>
      </c>
      <c r="I645" t="s">
        <v>27</v>
      </c>
      <c r="K645">
        <v>14000</v>
      </c>
      <c r="L645" s="1">
        <v>45332</v>
      </c>
    </row>
    <row r="646" spans="1:12" x14ac:dyDescent="0.3">
      <c r="A646" t="s">
        <v>876</v>
      </c>
      <c r="B646" t="s">
        <v>129</v>
      </c>
      <c r="C646" t="s">
        <v>61</v>
      </c>
      <c r="D646" t="s">
        <v>62</v>
      </c>
      <c r="E646" t="s">
        <v>16</v>
      </c>
      <c r="F646" t="s">
        <v>25</v>
      </c>
      <c r="G646" t="s">
        <v>18</v>
      </c>
      <c r="H646">
        <v>9259</v>
      </c>
      <c r="I646" t="s">
        <v>33</v>
      </c>
      <c r="J646">
        <v>0.3</v>
      </c>
      <c r="K646">
        <v>9000</v>
      </c>
      <c r="L646" s="1">
        <v>45326</v>
      </c>
    </row>
    <row r="647" spans="1:12" x14ac:dyDescent="0.3">
      <c r="A647" t="s">
        <v>877</v>
      </c>
      <c r="B647" t="s">
        <v>84</v>
      </c>
      <c r="C647" t="s">
        <v>61</v>
      </c>
      <c r="D647" t="s">
        <v>62</v>
      </c>
      <c r="E647" t="s">
        <v>16</v>
      </c>
      <c r="F647" t="s">
        <v>25</v>
      </c>
      <c r="G647" t="s">
        <v>36</v>
      </c>
      <c r="H647">
        <v>8607</v>
      </c>
      <c r="I647" t="s">
        <v>19</v>
      </c>
      <c r="J647">
        <v>0.2</v>
      </c>
      <c r="K647">
        <v>9000</v>
      </c>
      <c r="L647" s="1">
        <v>45349</v>
      </c>
    </row>
    <row r="648" spans="1:12" x14ac:dyDescent="0.3">
      <c r="A648" t="s">
        <v>878</v>
      </c>
      <c r="B648" t="s">
        <v>522</v>
      </c>
      <c r="C648" t="s">
        <v>30</v>
      </c>
      <c r="D648" t="s">
        <v>31</v>
      </c>
      <c r="E648" t="s">
        <v>32</v>
      </c>
      <c r="F648" t="s">
        <v>17</v>
      </c>
      <c r="G648" t="s">
        <v>26</v>
      </c>
      <c r="H648">
        <v>17090</v>
      </c>
      <c r="I648" t="s">
        <v>22</v>
      </c>
      <c r="J648">
        <v>0.1</v>
      </c>
      <c r="K648">
        <v>17000</v>
      </c>
      <c r="L648" s="1">
        <v>45317</v>
      </c>
    </row>
    <row r="649" spans="1:12" x14ac:dyDescent="0.3">
      <c r="A649" t="s">
        <v>879</v>
      </c>
      <c r="B649" t="s">
        <v>301</v>
      </c>
      <c r="C649" t="s">
        <v>14</v>
      </c>
      <c r="D649" t="s">
        <v>15</v>
      </c>
      <c r="E649" t="s">
        <v>16</v>
      </c>
      <c r="F649" t="s">
        <v>25</v>
      </c>
      <c r="G649" t="s">
        <v>26</v>
      </c>
      <c r="H649">
        <v>14802</v>
      </c>
      <c r="I649" t="s">
        <v>19</v>
      </c>
      <c r="J649">
        <v>0.2</v>
      </c>
      <c r="K649">
        <v>14000</v>
      </c>
      <c r="L649" s="1">
        <v>45340</v>
      </c>
    </row>
    <row r="650" spans="1:12" x14ac:dyDescent="0.3">
      <c r="A650" t="s">
        <v>880</v>
      </c>
      <c r="B650" t="s">
        <v>80</v>
      </c>
      <c r="C650" t="s">
        <v>61</v>
      </c>
      <c r="D650" t="s">
        <v>62</v>
      </c>
      <c r="E650" t="s">
        <v>32</v>
      </c>
      <c r="F650" t="s">
        <v>25</v>
      </c>
      <c r="G650" t="s">
        <v>26</v>
      </c>
      <c r="H650">
        <v>10885</v>
      </c>
      <c r="I650" t="s">
        <v>27</v>
      </c>
      <c r="K650">
        <v>9000</v>
      </c>
      <c r="L650" s="1">
        <v>45334</v>
      </c>
    </row>
    <row r="651" spans="1:12" x14ac:dyDescent="0.3">
      <c r="A651" t="s">
        <v>881</v>
      </c>
      <c r="B651" t="s">
        <v>412</v>
      </c>
      <c r="C651" t="s">
        <v>61</v>
      </c>
      <c r="D651" t="s">
        <v>62</v>
      </c>
      <c r="E651" t="s">
        <v>46</v>
      </c>
      <c r="F651" t="s">
        <v>25</v>
      </c>
      <c r="G651" t="s">
        <v>18</v>
      </c>
      <c r="H651">
        <v>10118</v>
      </c>
      <c r="K651">
        <v>9000</v>
      </c>
      <c r="L651" s="1">
        <v>45306</v>
      </c>
    </row>
    <row r="652" spans="1:12" x14ac:dyDescent="0.3">
      <c r="A652" t="s">
        <v>882</v>
      </c>
      <c r="B652" t="s">
        <v>263</v>
      </c>
      <c r="C652" t="s">
        <v>30</v>
      </c>
      <c r="D652" t="s">
        <v>31</v>
      </c>
      <c r="E652" t="s">
        <v>32</v>
      </c>
      <c r="F652" t="s">
        <v>25</v>
      </c>
      <c r="G652" t="s">
        <v>26</v>
      </c>
      <c r="H652">
        <v>15846</v>
      </c>
      <c r="I652" t="s">
        <v>27</v>
      </c>
      <c r="K652">
        <v>17000</v>
      </c>
      <c r="L652" s="1">
        <v>45350</v>
      </c>
    </row>
    <row r="653" spans="1:12" x14ac:dyDescent="0.3">
      <c r="A653" t="s">
        <v>883</v>
      </c>
      <c r="B653" t="s">
        <v>602</v>
      </c>
      <c r="C653" t="s">
        <v>61</v>
      </c>
      <c r="D653" t="s">
        <v>62</v>
      </c>
      <c r="E653" t="s">
        <v>46</v>
      </c>
      <c r="F653" t="s">
        <v>17</v>
      </c>
      <c r="G653" t="s">
        <v>18</v>
      </c>
      <c r="H653">
        <v>7163</v>
      </c>
      <c r="I653" t="s">
        <v>33</v>
      </c>
      <c r="J653">
        <v>0.3</v>
      </c>
      <c r="K653">
        <v>9000</v>
      </c>
      <c r="L653" s="1">
        <v>45298</v>
      </c>
    </row>
    <row r="654" spans="1:12" x14ac:dyDescent="0.3">
      <c r="A654" t="s">
        <v>884</v>
      </c>
      <c r="B654" t="s">
        <v>103</v>
      </c>
      <c r="C654" t="s">
        <v>30</v>
      </c>
      <c r="D654" t="s">
        <v>31</v>
      </c>
      <c r="E654" t="s">
        <v>16</v>
      </c>
      <c r="F654" t="s">
        <v>17</v>
      </c>
      <c r="G654" t="s">
        <v>26</v>
      </c>
      <c r="H654">
        <v>17229</v>
      </c>
      <c r="I654" t="s">
        <v>27</v>
      </c>
      <c r="K654">
        <v>17000</v>
      </c>
      <c r="L654" s="1">
        <v>45303</v>
      </c>
    </row>
    <row r="655" spans="1:12" x14ac:dyDescent="0.3">
      <c r="A655" t="s">
        <v>885</v>
      </c>
      <c r="B655" t="s">
        <v>274</v>
      </c>
      <c r="C655" t="s">
        <v>61</v>
      </c>
      <c r="D655" t="s">
        <v>62</v>
      </c>
      <c r="E655" t="s">
        <v>46</v>
      </c>
      <c r="F655" t="s">
        <v>39</v>
      </c>
      <c r="G655" t="s">
        <v>26</v>
      </c>
      <c r="H655">
        <v>10679</v>
      </c>
      <c r="I655" t="s">
        <v>22</v>
      </c>
      <c r="J655">
        <v>0.1</v>
      </c>
      <c r="K655">
        <v>9000</v>
      </c>
      <c r="L655" s="1">
        <v>45325</v>
      </c>
    </row>
    <row r="656" spans="1:12" x14ac:dyDescent="0.3">
      <c r="A656" t="s">
        <v>886</v>
      </c>
      <c r="B656" t="s">
        <v>70</v>
      </c>
      <c r="C656" t="s">
        <v>44</v>
      </c>
      <c r="D656" t="s">
        <v>45</v>
      </c>
      <c r="E656" t="s">
        <v>16</v>
      </c>
      <c r="F656" t="s">
        <v>17</v>
      </c>
      <c r="G656" t="s">
        <v>36</v>
      </c>
      <c r="H656">
        <v>14347</v>
      </c>
      <c r="I656" t="s">
        <v>33</v>
      </c>
      <c r="J656">
        <v>0.3</v>
      </c>
      <c r="K656">
        <v>13000</v>
      </c>
      <c r="L656" s="1">
        <v>45323</v>
      </c>
    </row>
    <row r="657" spans="1:12" x14ac:dyDescent="0.3">
      <c r="A657" t="s">
        <v>887</v>
      </c>
      <c r="B657" t="s">
        <v>298</v>
      </c>
      <c r="C657" t="s">
        <v>14</v>
      </c>
      <c r="D657" t="s">
        <v>15</v>
      </c>
      <c r="E657" t="s">
        <v>16</v>
      </c>
      <c r="F657" t="s">
        <v>25</v>
      </c>
      <c r="G657" t="s">
        <v>36</v>
      </c>
      <c r="H657">
        <v>12678</v>
      </c>
      <c r="I657" t="s">
        <v>19</v>
      </c>
      <c r="J657">
        <v>0.2</v>
      </c>
      <c r="K657">
        <v>14000</v>
      </c>
      <c r="L657" s="1">
        <v>45296</v>
      </c>
    </row>
    <row r="658" spans="1:12" x14ac:dyDescent="0.3">
      <c r="A658" t="s">
        <v>888</v>
      </c>
      <c r="B658" t="s">
        <v>202</v>
      </c>
      <c r="C658" t="s">
        <v>30</v>
      </c>
      <c r="D658" t="s">
        <v>31</v>
      </c>
      <c r="E658" t="s">
        <v>32</v>
      </c>
      <c r="F658" t="s">
        <v>25</v>
      </c>
      <c r="G658" t="s">
        <v>18</v>
      </c>
      <c r="H658">
        <v>15644</v>
      </c>
      <c r="I658" t="s">
        <v>33</v>
      </c>
      <c r="J658">
        <v>0.3</v>
      </c>
      <c r="K658">
        <v>17000</v>
      </c>
      <c r="L658" s="1">
        <v>45330</v>
      </c>
    </row>
    <row r="659" spans="1:12" x14ac:dyDescent="0.3">
      <c r="A659" t="s">
        <v>889</v>
      </c>
      <c r="B659" t="s">
        <v>371</v>
      </c>
      <c r="C659" t="s">
        <v>14</v>
      </c>
      <c r="D659" t="s">
        <v>15</v>
      </c>
      <c r="E659" t="s">
        <v>16</v>
      </c>
      <c r="F659" t="s">
        <v>25</v>
      </c>
      <c r="G659" t="s">
        <v>36</v>
      </c>
      <c r="H659">
        <v>15322</v>
      </c>
      <c r="I659" t="s">
        <v>33</v>
      </c>
      <c r="J659">
        <v>0.3</v>
      </c>
      <c r="K659">
        <v>14000</v>
      </c>
      <c r="L659" s="1">
        <v>45338</v>
      </c>
    </row>
    <row r="660" spans="1:12" x14ac:dyDescent="0.3">
      <c r="A660" t="s">
        <v>890</v>
      </c>
      <c r="B660" t="s">
        <v>245</v>
      </c>
      <c r="C660" t="s">
        <v>61</v>
      </c>
      <c r="D660" t="s">
        <v>62</v>
      </c>
      <c r="E660" t="s">
        <v>46</v>
      </c>
      <c r="F660" t="s">
        <v>25</v>
      </c>
      <c r="G660" t="s">
        <v>26</v>
      </c>
      <c r="H660">
        <v>7660</v>
      </c>
      <c r="K660">
        <v>9000</v>
      </c>
      <c r="L660" s="1">
        <v>45293</v>
      </c>
    </row>
    <row r="661" spans="1:12" x14ac:dyDescent="0.3">
      <c r="A661" t="s">
        <v>891</v>
      </c>
      <c r="B661" t="s">
        <v>500</v>
      </c>
      <c r="C661" t="s">
        <v>44</v>
      </c>
      <c r="D661" t="s">
        <v>45</v>
      </c>
      <c r="E661" t="s">
        <v>16</v>
      </c>
      <c r="F661" t="s">
        <v>39</v>
      </c>
      <c r="G661" t="s">
        <v>18</v>
      </c>
      <c r="H661">
        <v>11551</v>
      </c>
      <c r="I661" t="s">
        <v>27</v>
      </c>
      <c r="K661">
        <v>13000</v>
      </c>
      <c r="L661" s="1">
        <v>45294</v>
      </c>
    </row>
    <row r="662" spans="1:12" x14ac:dyDescent="0.3">
      <c r="A662" t="s">
        <v>892</v>
      </c>
      <c r="B662" t="s">
        <v>60</v>
      </c>
      <c r="C662" t="s">
        <v>44</v>
      </c>
      <c r="D662" t="s">
        <v>45</v>
      </c>
      <c r="E662" t="s">
        <v>32</v>
      </c>
      <c r="F662" t="s">
        <v>25</v>
      </c>
      <c r="G662" t="s">
        <v>36</v>
      </c>
      <c r="H662">
        <v>14778</v>
      </c>
      <c r="I662" t="s">
        <v>19</v>
      </c>
      <c r="J662">
        <v>0.2</v>
      </c>
      <c r="K662">
        <v>13000</v>
      </c>
      <c r="L662" s="1">
        <v>45325</v>
      </c>
    </row>
    <row r="663" spans="1:12" x14ac:dyDescent="0.3">
      <c r="A663" t="s">
        <v>893</v>
      </c>
      <c r="B663" t="s">
        <v>617</v>
      </c>
      <c r="C663" t="s">
        <v>14</v>
      </c>
      <c r="D663" t="s">
        <v>15</v>
      </c>
      <c r="E663" t="s">
        <v>16</v>
      </c>
      <c r="F663" t="s">
        <v>39</v>
      </c>
      <c r="G663" t="s">
        <v>26</v>
      </c>
      <c r="H663">
        <v>15364</v>
      </c>
      <c r="I663" t="s">
        <v>33</v>
      </c>
      <c r="J663">
        <v>0.3</v>
      </c>
      <c r="K663">
        <v>14000</v>
      </c>
      <c r="L663" s="1">
        <v>45352</v>
      </c>
    </row>
    <row r="664" spans="1:12" x14ac:dyDescent="0.3">
      <c r="A664" t="s">
        <v>894</v>
      </c>
      <c r="B664" t="s">
        <v>248</v>
      </c>
      <c r="C664" t="s">
        <v>61</v>
      </c>
      <c r="D664" t="s">
        <v>62</v>
      </c>
      <c r="E664" t="s">
        <v>16</v>
      </c>
      <c r="F664" t="s">
        <v>17</v>
      </c>
      <c r="G664" t="s">
        <v>36</v>
      </c>
      <c r="H664">
        <v>7698</v>
      </c>
      <c r="I664" t="s">
        <v>19</v>
      </c>
      <c r="J664">
        <v>0.2</v>
      </c>
      <c r="K664">
        <v>9000</v>
      </c>
      <c r="L664" s="1">
        <v>45345</v>
      </c>
    </row>
    <row r="665" spans="1:12" x14ac:dyDescent="0.3">
      <c r="A665" t="s">
        <v>895</v>
      </c>
      <c r="B665" t="s">
        <v>617</v>
      </c>
      <c r="C665" t="s">
        <v>44</v>
      </c>
      <c r="D665" t="s">
        <v>45</v>
      </c>
      <c r="E665" t="s">
        <v>16</v>
      </c>
      <c r="F665" t="s">
        <v>25</v>
      </c>
      <c r="G665" t="s">
        <v>26</v>
      </c>
      <c r="H665">
        <v>13701</v>
      </c>
      <c r="I665" t="s">
        <v>27</v>
      </c>
      <c r="K665">
        <v>13000</v>
      </c>
      <c r="L665" s="1">
        <v>45308</v>
      </c>
    </row>
    <row r="666" spans="1:12" x14ac:dyDescent="0.3">
      <c r="A666" t="s">
        <v>896</v>
      </c>
      <c r="B666" t="s">
        <v>280</v>
      </c>
      <c r="C666" t="s">
        <v>30</v>
      </c>
      <c r="D666" t="s">
        <v>31</v>
      </c>
      <c r="E666" t="s">
        <v>46</v>
      </c>
      <c r="F666" t="s">
        <v>39</v>
      </c>
      <c r="G666" t="s">
        <v>26</v>
      </c>
      <c r="H666">
        <v>15281</v>
      </c>
      <c r="I666" t="s">
        <v>19</v>
      </c>
      <c r="J666">
        <v>0.2</v>
      </c>
      <c r="K666">
        <v>17000</v>
      </c>
      <c r="L666" s="1">
        <v>45316</v>
      </c>
    </row>
    <row r="667" spans="1:12" x14ac:dyDescent="0.3">
      <c r="A667" t="s">
        <v>897</v>
      </c>
      <c r="B667" t="s">
        <v>186</v>
      </c>
      <c r="C667" t="s">
        <v>14</v>
      </c>
      <c r="D667" t="s">
        <v>15</v>
      </c>
      <c r="E667" t="s">
        <v>32</v>
      </c>
      <c r="F667" t="s">
        <v>25</v>
      </c>
      <c r="G667" t="s">
        <v>26</v>
      </c>
      <c r="H667">
        <v>15520</v>
      </c>
      <c r="I667" t="s">
        <v>27</v>
      </c>
      <c r="K667">
        <v>14000</v>
      </c>
      <c r="L667" s="1">
        <v>45335</v>
      </c>
    </row>
    <row r="668" spans="1:12" x14ac:dyDescent="0.3">
      <c r="A668" t="s">
        <v>898</v>
      </c>
      <c r="B668" t="s">
        <v>309</v>
      </c>
      <c r="C668" t="s">
        <v>44</v>
      </c>
      <c r="D668" t="s">
        <v>45</v>
      </c>
      <c r="E668" t="s">
        <v>16</v>
      </c>
      <c r="F668" t="s">
        <v>25</v>
      </c>
      <c r="G668" t="s">
        <v>18</v>
      </c>
      <c r="H668">
        <v>12949</v>
      </c>
      <c r="I668" t="s">
        <v>27</v>
      </c>
      <c r="K668">
        <v>13000</v>
      </c>
      <c r="L668" s="1">
        <v>45330</v>
      </c>
    </row>
    <row r="669" spans="1:12" x14ac:dyDescent="0.3">
      <c r="A669" t="s">
        <v>899</v>
      </c>
      <c r="B669" t="s">
        <v>321</v>
      </c>
      <c r="C669" t="s">
        <v>14</v>
      </c>
      <c r="D669" t="s">
        <v>15</v>
      </c>
      <c r="E669" t="s">
        <v>32</v>
      </c>
      <c r="F669" t="s">
        <v>17</v>
      </c>
      <c r="G669" t="s">
        <v>26</v>
      </c>
      <c r="H669">
        <v>12533</v>
      </c>
      <c r="I669" t="s">
        <v>27</v>
      </c>
      <c r="K669">
        <v>14000</v>
      </c>
      <c r="L669" s="1">
        <v>45326</v>
      </c>
    </row>
    <row r="670" spans="1:12" x14ac:dyDescent="0.3">
      <c r="A670" t="s">
        <v>900</v>
      </c>
      <c r="B670" t="s">
        <v>676</v>
      </c>
      <c r="C670" t="s">
        <v>61</v>
      </c>
      <c r="D670" t="s">
        <v>62</v>
      </c>
      <c r="E670" t="s">
        <v>16</v>
      </c>
      <c r="F670" t="s">
        <v>17</v>
      </c>
      <c r="G670" t="s">
        <v>36</v>
      </c>
      <c r="H670">
        <v>10583</v>
      </c>
      <c r="I670" t="s">
        <v>22</v>
      </c>
      <c r="J670">
        <v>0.1</v>
      </c>
      <c r="K670">
        <v>9000</v>
      </c>
      <c r="L670" s="1">
        <v>45336</v>
      </c>
    </row>
    <row r="671" spans="1:12" x14ac:dyDescent="0.3">
      <c r="A671" t="s">
        <v>901</v>
      </c>
      <c r="B671" t="s">
        <v>388</v>
      </c>
      <c r="C671" t="s">
        <v>44</v>
      </c>
      <c r="D671" t="s">
        <v>45</v>
      </c>
      <c r="E671" t="s">
        <v>46</v>
      </c>
      <c r="F671" t="s">
        <v>17</v>
      </c>
      <c r="G671" t="s">
        <v>36</v>
      </c>
      <c r="H671">
        <v>13412</v>
      </c>
      <c r="I671" t="s">
        <v>27</v>
      </c>
      <c r="K671">
        <v>13000</v>
      </c>
      <c r="L671" s="1">
        <v>45298</v>
      </c>
    </row>
    <row r="672" spans="1:12" x14ac:dyDescent="0.3">
      <c r="A672" t="s">
        <v>902</v>
      </c>
      <c r="B672" t="s">
        <v>186</v>
      </c>
      <c r="C672" t="s">
        <v>30</v>
      </c>
      <c r="D672" t="s">
        <v>31</v>
      </c>
      <c r="E672" t="s">
        <v>46</v>
      </c>
      <c r="F672" t="s">
        <v>25</v>
      </c>
      <c r="G672" t="s">
        <v>18</v>
      </c>
      <c r="H672">
        <v>16160</v>
      </c>
      <c r="I672" t="s">
        <v>27</v>
      </c>
      <c r="K672">
        <v>17000</v>
      </c>
      <c r="L672" s="1">
        <v>45348</v>
      </c>
    </row>
    <row r="673" spans="1:12" x14ac:dyDescent="0.3">
      <c r="A673" t="s">
        <v>903</v>
      </c>
      <c r="B673" t="s">
        <v>388</v>
      </c>
      <c r="C673" t="s">
        <v>30</v>
      </c>
      <c r="D673" t="s">
        <v>31</v>
      </c>
      <c r="E673" t="s">
        <v>32</v>
      </c>
      <c r="F673" t="s">
        <v>25</v>
      </c>
      <c r="G673" t="s">
        <v>26</v>
      </c>
      <c r="H673">
        <v>18045</v>
      </c>
      <c r="I673" t="s">
        <v>22</v>
      </c>
      <c r="J673">
        <v>0.1</v>
      </c>
      <c r="K673">
        <v>17000</v>
      </c>
      <c r="L673" s="1">
        <v>45328</v>
      </c>
    </row>
    <row r="674" spans="1:12" x14ac:dyDescent="0.3">
      <c r="A674" t="s">
        <v>904</v>
      </c>
      <c r="B674" t="s">
        <v>905</v>
      </c>
      <c r="C674" t="s">
        <v>14</v>
      </c>
      <c r="D674" t="s">
        <v>15</v>
      </c>
      <c r="E674" t="s">
        <v>46</v>
      </c>
      <c r="F674" t="s">
        <v>39</v>
      </c>
      <c r="G674" t="s">
        <v>18</v>
      </c>
      <c r="H674">
        <v>14817</v>
      </c>
      <c r="I674" t="s">
        <v>33</v>
      </c>
      <c r="J674">
        <v>0.3</v>
      </c>
      <c r="K674">
        <v>14000</v>
      </c>
      <c r="L674" s="1">
        <v>45318</v>
      </c>
    </row>
    <row r="675" spans="1:12" x14ac:dyDescent="0.3">
      <c r="A675" t="s">
        <v>906</v>
      </c>
      <c r="B675" t="s">
        <v>116</v>
      </c>
      <c r="C675" t="s">
        <v>44</v>
      </c>
      <c r="D675" t="s">
        <v>45</v>
      </c>
      <c r="E675" t="s">
        <v>46</v>
      </c>
      <c r="F675" t="s">
        <v>39</v>
      </c>
      <c r="G675" t="s">
        <v>26</v>
      </c>
      <c r="H675">
        <v>12038</v>
      </c>
      <c r="I675" t="s">
        <v>33</v>
      </c>
      <c r="J675">
        <v>0.3</v>
      </c>
      <c r="K675">
        <v>13000</v>
      </c>
      <c r="L675" s="1">
        <v>45346</v>
      </c>
    </row>
    <row r="676" spans="1:12" x14ac:dyDescent="0.3">
      <c r="A676" t="s">
        <v>907</v>
      </c>
      <c r="B676" t="s">
        <v>388</v>
      </c>
      <c r="C676" t="s">
        <v>30</v>
      </c>
      <c r="D676" t="s">
        <v>31</v>
      </c>
      <c r="E676" t="s">
        <v>16</v>
      </c>
      <c r="F676" t="s">
        <v>17</v>
      </c>
      <c r="G676" t="s">
        <v>26</v>
      </c>
      <c r="H676">
        <v>16627</v>
      </c>
      <c r="I676" t="s">
        <v>19</v>
      </c>
      <c r="J676">
        <v>0.2</v>
      </c>
      <c r="K676">
        <v>17000</v>
      </c>
      <c r="L676" s="1">
        <v>45318</v>
      </c>
    </row>
    <row r="677" spans="1:12" x14ac:dyDescent="0.3">
      <c r="A677" t="s">
        <v>908</v>
      </c>
      <c r="B677" t="s">
        <v>82</v>
      </c>
      <c r="C677" t="s">
        <v>61</v>
      </c>
      <c r="D677" t="s">
        <v>62</v>
      </c>
      <c r="E677" t="s">
        <v>32</v>
      </c>
      <c r="F677" t="s">
        <v>17</v>
      </c>
      <c r="G677" t="s">
        <v>26</v>
      </c>
      <c r="H677">
        <v>9272</v>
      </c>
      <c r="K677">
        <v>9000</v>
      </c>
      <c r="L677" s="1">
        <v>45308</v>
      </c>
    </row>
    <row r="678" spans="1:12" x14ac:dyDescent="0.3">
      <c r="A678" t="s">
        <v>909</v>
      </c>
      <c r="B678" t="s">
        <v>118</v>
      </c>
      <c r="C678" t="s">
        <v>30</v>
      </c>
      <c r="D678" t="s">
        <v>31</v>
      </c>
      <c r="E678" t="s">
        <v>16</v>
      </c>
      <c r="F678" t="s">
        <v>17</v>
      </c>
      <c r="G678" t="s">
        <v>26</v>
      </c>
      <c r="H678">
        <v>15565</v>
      </c>
      <c r="I678" t="s">
        <v>22</v>
      </c>
      <c r="J678">
        <v>0.1</v>
      </c>
      <c r="K678">
        <v>17000</v>
      </c>
      <c r="L678" s="1">
        <v>45339</v>
      </c>
    </row>
    <row r="679" spans="1:12" x14ac:dyDescent="0.3">
      <c r="A679" t="s">
        <v>910</v>
      </c>
      <c r="B679" t="s">
        <v>29</v>
      </c>
      <c r="C679" t="s">
        <v>44</v>
      </c>
      <c r="D679" t="s">
        <v>45</v>
      </c>
      <c r="E679" t="s">
        <v>32</v>
      </c>
      <c r="F679" t="s">
        <v>25</v>
      </c>
      <c r="G679" t="s">
        <v>26</v>
      </c>
      <c r="H679">
        <v>12640</v>
      </c>
      <c r="I679" t="s">
        <v>33</v>
      </c>
      <c r="J679">
        <v>0.3</v>
      </c>
      <c r="K679">
        <v>13000</v>
      </c>
      <c r="L679" s="1">
        <v>45343</v>
      </c>
    </row>
    <row r="680" spans="1:12" x14ac:dyDescent="0.3">
      <c r="A680" t="s">
        <v>911</v>
      </c>
      <c r="B680" t="s">
        <v>382</v>
      </c>
      <c r="C680" t="s">
        <v>14</v>
      </c>
      <c r="D680" t="s">
        <v>15</v>
      </c>
      <c r="E680" t="s">
        <v>32</v>
      </c>
      <c r="F680" t="s">
        <v>17</v>
      </c>
      <c r="G680" t="s">
        <v>26</v>
      </c>
      <c r="H680">
        <v>12021</v>
      </c>
      <c r="I680" t="s">
        <v>22</v>
      </c>
      <c r="J680">
        <v>0.1</v>
      </c>
      <c r="K680">
        <v>14000</v>
      </c>
      <c r="L680" s="1">
        <v>45344</v>
      </c>
    </row>
    <row r="681" spans="1:12" x14ac:dyDescent="0.3">
      <c r="A681" t="s">
        <v>912</v>
      </c>
      <c r="B681" t="s">
        <v>429</v>
      </c>
      <c r="C681" t="s">
        <v>61</v>
      </c>
      <c r="D681" t="s">
        <v>62</v>
      </c>
      <c r="E681" t="s">
        <v>32</v>
      </c>
      <c r="F681" t="s">
        <v>25</v>
      </c>
      <c r="G681" t="s">
        <v>36</v>
      </c>
      <c r="H681">
        <v>7908</v>
      </c>
      <c r="I681" t="s">
        <v>33</v>
      </c>
      <c r="J681">
        <v>0.3</v>
      </c>
      <c r="K681">
        <v>9000</v>
      </c>
      <c r="L681" s="1">
        <v>45297</v>
      </c>
    </row>
    <row r="682" spans="1:12" x14ac:dyDescent="0.3">
      <c r="A682" t="s">
        <v>913</v>
      </c>
      <c r="B682" t="s">
        <v>359</v>
      </c>
      <c r="C682" t="s">
        <v>61</v>
      </c>
      <c r="D682" t="s">
        <v>62</v>
      </c>
      <c r="E682" t="s">
        <v>46</v>
      </c>
      <c r="F682" t="s">
        <v>39</v>
      </c>
      <c r="G682" t="s">
        <v>26</v>
      </c>
      <c r="H682">
        <v>9134</v>
      </c>
      <c r="I682" t="s">
        <v>33</v>
      </c>
      <c r="J682">
        <v>0.3</v>
      </c>
      <c r="K682">
        <v>9000</v>
      </c>
      <c r="L682" s="1">
        <v>45337</v>
      </c>
    </row>
    <row r="683" spans="1:12" x14ac:dyDescent="0.3">
      <c r="A683" t="s">
        <v>914</v>
      </c>
      <c r="B683" t="s">
        <v>359</v>
      </c>
      <c r="C683" t="s">
        <v>44</v>
      </c>
      <c r="D683" t="s">
        <v>45</v>
      </c>
      <c r="E683" t="s">
        <v>16</v>
      </c>
      <c r="F683" t="s">
        <v>17</v>
      </c>
      <c r="G683" t="s">
        <v>36</v>
      </c>
      <c r="H683">
        <v>11043</v>
      </c>
      <c r="I683" t="s">
        <v>19</v>
      </c>
      <c r="J683">
        <v>0.2</v>
      </c>
      <c r="K683">
        <v>13000</v>
      </c>
      <c r="L683" s="1">
        <v>45346</v>
      </c>
    </row>
    <row r="684" spans="1:12" x14ac:dyDescent="0.3">
      <c r="A684" t="s">
        <v>915</v>
      </c>
      <c r="B684" t="s">
        <v>270</v>
      </c>
      <c r="C684" t="s">
        <v>30</v>
      </c>
      <c r="D684" t="s">
        <v>31</v>
      </c>
      <c r="E684" t="s">
        <v>32</v>
      </c>
      <c r="F684" t="s">
        <v>25</v>
      </c>
      <c r="G684" t="s">
        <v>26</v>
      </c>
      <c r="H684">
        <v>17091</v>
      </c>
      <c r="I684" t="s">
        <v>27</v>
      </c>
      <c r="K684">
        <v>17000</v>
      </c>
      <c r="L684" s="1">
        <v>45336</v>
      </c>
    </row>
    <row r="685" spans="1:12" x14ac:dyDescent="0.3">
      <c r="A685" t="s">
        <v>916</v>
      </c>
      <c r="B685" t="s">
        <v>56</v>
      </c>
      <c r="C685" t="s">
        <v>44</v>
      </c>
      <c r="D685" t="s">
        <v>45</v>
      </c>
      <c r="E685" t="s">
        <v>16</v>
      </c>
      <c r="F685" t="s">
        <v>25</v>
      </c>
      <c r="G685" t="s">
        <v>36</v>
      </c>
      <c r="H685">
        <v>11979</v>
      </c>
      <c r="I685" t="s">
        <v>22</v>
      </c>
      <c r="J685">
        <v>0.1</v>
      </c>
      <c r="K685">
        <v>13000</v>
      </c>
      <c r="L685" s="1">
        <v>45302</v>
      </c>
    </row>
    <row r="686" spans="1:12" x14ac:dyDescent="0.3">
      <c r="A686" t="s">
        <v>917</v>
      </c>
      <c r="B686" t="s">
        <v>263</v>
      </c>
      <c r="C686" t="s">
        <v>61</v>
      </c>
      <c r="D686" t="s">
        <v>62</v>
      </c>
      <c r="E686" t="s">
        <v>46</v>
      </c>
      <c r="F686" t="s">
        <v>39</v>
      </c>
      <c r="G686" t="s">
        <v>36</v>
      </c>
      <c r="H686">
        <v>8660</v>
      </c>
      <c r="I686" t="s">
        <v>27</v>
      </c>
      <c r="K686">
        <v>9000</v>
      </c>
      <c r="L686" s="1">
        <v>45304</v>
      </c>
    </row>
    <row r="687" spans="1:12" x14ac:dyDescent="0.3">
      <c r="A687" t="s">
        <v>918</v>
      </c>
      <c r="B687" t="s">
        <v>184</v>
      </c>
      <c r="C687" t="s">
        <v>14</v>
      </c>
      <c r="D687" t="s">
        <v>15</v>
      </c>
      <c r="E687" t="s">
        <v>32</v>
      </c>
      <c r="F687" t="s">
        <v>39</v>
      </c>
      <c r="G687" t="s">
        <v>36</v>
      </c>
      <c r="H687">
        <v>14974</v>
      </c>
      <c r="I687" t="s">
        <v>27</v>
      </c>
      <c r="K687">
        <v>14000</v>
      </c>
      <c r="L687" s="1">
        <v>45350</v>
      </c>
    </row>
    <row r="688" spans="1:12" x14ac:dyDescent="0.3">
      <c r="A688" t="s">
        <v>919</v>
      </c>
      <c r="B688" t="s">
        <v>920</v>
      </c>
      <c r="C688" t="s">
        <v>30</v>
      </c>
      <c r="D688" t="s">
        <v>31</v>
      </c>
      <c r="E688" t="s">
        <v>46</v>
      </c>
      <c r="F688" t="s">
        <v>25</v>
      </c>
      <c r="G688" t="s">
        <v>26</v>
      </c>
      <c r="H688">
        <v>18944</v>
      </c>
      <c r="I688" t="s">
        <v>19</v>
      </c>
      <c r="J688">
        <v>0.2</v>
      </c>
      <c r="K688">
        <v>17000</v>
      </c>
      <c r="L688" s="1">
        <v>45321</v>
      </c>
    </row>
    <row r="689" spans="1:12" x14ac:dyDescent="0.3">
      <c r="A689" t="s">
        <v>921</v>
      </c>
      <c r="B689" t="s">
        <v>137</v>
      </c>
      <c r="C689" t="s">
        <v>14</v>
      </c>
      <c r="D689" t="s">
        <v>15</v>
      </c>
      <c r="E689" t="s">
        <v>46</v>
      </c>
      <c r="F689" t="s">
        <v>25</v>
      </c>
      <c r="G689" t="s">
        <v>36</v>
      </c>
      <c r="H689">
        <v>14073</v>
      </c>
      <c r="I689" t="s">
        <v>22</v>
      </c>
      <c r="J689">
        <v>0.1</v>
      </c>
      <c r="K689">
        <v>14000</v>
      </c>
      <c r="L689" s="1">
        <v>45327</v>
      </c>
    </row>
    <row r="690" spans="1:12" x14ac:dyDescent="0.3">
      <c r="A690" t="s">
        <v>922</v>
      </c>
      <c r="B690" t="s">
        <v>241</v>
      </c>
      <c r="C690" t="s">
        <v>30</v>
      </c>
      <c r="D690" t="s">
        <v>31</v>
      </c>
      <c r="E690" t="s">
        <v>46</v>
      </c>
      <c r="F690" t="s">
        <v>25</v>
      </c>
      <c r="G690" t="s">
        <v>26</v>
      </c>
      <c r="H690">
        <v>18918</v>
      </c>
      <c r="I690" t="s">
        <v>33</v>
      </c>
      <c r="J690">
        <v>0.3</v>
      </c>
      <c r="K690">
        <v>17000</v>
      </c>
      <c r="L690" s="1">
        <v>45348</v>
      </c>
    </row>
    <row r="691" spans="1:12" x14ac:dyDescent="0.3">
      <c r="A691" t="s">
        <v>923</v>
      </c>
      <c r="B691" t="s">
        <v>105</v>
      </c>
      <c r="C691" t="s">
        <v>30</v>
      </c>
      <c r="D691" t="s">
        <v>31</v>
      </c>
      <c r="E691" t="s">
        <v>16</v>
      </c>
      <c r="F691" t="s">
        <v>17</v>
      </c>
      <c r="G691" t="s">
        <v>36</v>
      </c>
      <c r="H691">
        <v>17306</v>
      </c>
      <c r="K691">
        <v>17000</v>
      </c>
      <c r="L691" s="1">
        <v>45341</v>
      </c>
    </row>
    <row r="692" spans="1:12" x14ac:dyDescent="0.3">
      <c r="A692" t="s">
        <v>924</v>
      </c>
      <c r="B692" t="s">
        <v>401</v>
      </c>
      <c r="C692" t="s">
        <v>30</v>
      </c>
      <c r="D692" t="s">
        <v>31</v>
      </c>
      <c r="E692" t="s">
        <v>46</v>
      </c>
      <c r="F692" t="s">
        <v>39</v>
      </c>
      <c r="G692" t="s">
        <v>36</v>
      </c>
      <c r="H692">
        <v>18672</v>
      </c>
      <c r="I692" t="s">
        <v>27</v>
      </c>
      <c r="K692">
        <v>17000</v>
      </c>
      <c r="L692" s="1">
        <v>45347</v>
      </c>
    </row>
    <row r="693" spans="1:12" x14ac:dyDescent="0.3">
      <c r="A693" t="s">
        <v>925</v>
      </c>
      <c r="B693" t="s">
        <v>489</v>
      </c>
      <c r="C693" t="s">
        <v>14</v>
      </c>
      <c r="D693" t="s">
        <v>15</v>
      </c>
      <c r="E693" t="s">
        <v>46</v>
      </c>
      <c r="F693" t="s">
        <v>25</v>
      </c>
      <c r="G693" t="s">
        <v>36</v>
      </c>
      <c r="H693">
        <v>14595</v>
      </c>
      <c r="I693" t="s">
        <v>19</v>
      </c>
      <c r="J693">
        <v>0.2</v>
      </c>
      <c r="K693">
        <v>14000</v>
      </c>
      <c r="L693" s="1">
        <v>45335</v>
      </c>
    </row>
    <row r="694" spans="1:12" x14ac:dyDescent="0.3">
      <c r="A694" t="s">
        <v>926</v>
      </c>
      <c r="B694" t="s">
        <v>397</v>
      </c>
      <c r="C694" t="s">
        <v>30</v>
      </c>
      <c r="D694" t="s">
        <v>31</v>
      </c>
      <c r="E694" t="s">
        <v>46</v>
      </c>
      <c r="F694" t="s">
        <v>17</v>
      </c>
      <c r="G694" t="s">
        <v>26</v>
      </c>
      <c r="H694">
        <v>17194</v>
      </c>
      <c r="I694" t="s">
        <v>22</v>
      </c>
      <c r="J694">
        <v>0.1</v>
      </c>
      <c r="K694">
        <v>17000</v>
      </c>
      <c r="L694" s="1">
        <v>45336</v>
      </c>
    </row>
    <row r="695" spans="1:12" x14ac:dyDescent="0.3">
      <c r="A695" t="s">
        <v>927</v>
      </c>
      <c r="B695" t="s">
        <v>643</v>
      </c>
      <c r="C695" t="s">
        <v>44</v>
      </c>
      <c r="D695" t="s">
        <v>45</v>
      </c>
      <c r="E695" t="s">
        <v>46</v>
      </c>
      <c r="F695" t="s">
        <v>25</v>
      </c>
      <c r="G695" t="s">
        <v>36</v>
      </c>
      <c r="H695">
        <v>13759</v>
      </c>
      <c r="I695" t="s">
        <v>33</v>
      </c>
      <c r="J695">
        <v>0.3</v>
      </c>
      <c r="K695">
        <v>13000</v>
      </c>
      <c r="L695" s="1">
        <v>45296</v>
      </c>
    </row>
    <row r="696" spans="1:12" x14ac:dyDescent="0.3">
      <c r="A696" t="s">
        <v>928</v>
      </c>
      <c r="B696" t="s">
        <v>80</v>
      </c>
      <c r="C696" t="s">
        <v>61</v>
      </c>
      <c r="D696" t="s">
        <v>62</v>
      </c>
      <c r="E696" t="s">
        <v>46</v>
      </c>
      <c r="F696" t="s">
        <v>17</v>
      </c>
      <c r="G696" t="s">
        <v>18</v>
      </c>
      <c r="H696">
        <v>10663</v>
      </c>
      <c r="I696" t="s">
        <v>27</v>
      </c>
      <c r="K696">
        <v>9000</v>
      </c>
      <c r="L696" s="1">
        <v>45309</v>
      </c>
    </row>
    <row r="697" spans="1:12" x14ac:dyDescent="0.3">
      <c r="A697" t="s">
        <v>929</v>
      </c>
      <c r="B697" t="s">
        <v>280</v>
      </c>
      <c r="C697" t="s">
        <v>44</v>
      </c>
      <c r="D697" t="s">
        <v>45</v>
      </c>
      <c r="E697" t="s">
        <v>46</v>
      </c>
      <c r="F697" t="s">
        <v>39</v>
      </c>
      <c r="G697" t="s">
        <v>18</v>
      </c>
      <c r="H697">
        <v>11961</v>
      </c>
      <c r="I697" t="s">
        <v>19</v>
      </c>
      <c r="J697">
        <v>0.2</v>
      </c>
      <c r="K697">
        <v>13000</v>
      </c>
      <c r="L697" s="1">
        <v>45347</v>
      </c>
    </row>
    <row r="698" spans="1:12" x14ac:dyDescent="0.3">
      <c r="A698" t="s">
        <v>930</v>
      </c>
      <c r="B698" t="s">
        <v>289</v>
      </c>
      <c r="C698" t="s">
        <v>44</v>
      </c>
      <c r="D698" t="s">
        <v>45</v>
      </c>
      <c r="E698" t="s">
        <v>32</v>
      </c>
      <c r="F698" t="s">
        <v>25</v>
      </c>
      <c r="G698" t="s">
        <v>26</v>
      </c>
      <c r="H698">
        <v>12458</v>
      </c>
      <c r="I698" t="s">
        <v>19</v>
      </c>
      <c r="J698">
        <v>0.2</v>
      </c>
      <c r="K698">
        <v>13000</v>
      </c>
      <c r="L698" s="1">
        <v>45341</v>
      </c>
    </row>
    <row r="699" spans="1:12" x14ac:dyDescent="0.3">
      <c r="A699" t="s">
        <v>931</v>
      </c>
      <c r="B699" t="s">
        <v>78</v>
      </c>
      <c r="C699" t="s">
        <v>14</v>
      </c>
      <c r="D699" t="s">
        <v>15</v>
      </c>
      <c r="E699" t="s">
        <v>16</v>
      </c>
      <c r="F699" t="s">
        <v>39</v>
      </c>
      <c r="G699" t="s">
        <v>36</v>
      </c>
      <c r="H699">
        <v>14514</v>
      </c>
      <c r="I699" t="s">
        <v>22</v>
      </c>
      <c r="J699">
        <v>0.1</v>
      </c>
      <c r="K699">
        <v>14000</v>
      </c>
      <c r="L699" s="1">
        <v>45340</v>
      </c>
    </row>
    <row r="700" spans="1:12" x14ac:dyDescent="0.3">
      <c r="A700" t="s">
        <v>932</v>
      </c>
      <c r="B700" t="s">
        <v>144</v>
      </c>
      <c r="C700" t="s">
        <v>14</v>
      </c>
      <c r="D700" t="s">
        <v>15</v>
      </c>
      <c r="E700" t="s">
        <v>46</v>
      </c>
      <c r="F700" t="s">
        <v>17</v>
      </c>
      <c r="G700" t="s">
        <v>26</v>
      </c>
      <c r="H700">
        <v>13291</v>
      </c>
      <c r="K700">
        <v>14000</v>
      </c>
      <c r="L700" s="1">
        <v>45349</v>
      </c>
    </row>
    <row r="701" spans="1:12" x14ac:dyDescent="0.3">
      <c r="A701" t="s">
        <v>933</v>
      </c>
      <c r="B701" t="s">
        <v>60</v>
      </c>
      <c r="C701" t="s">
        <v>30</v>
      </c>
      <c r="D701" t="s">
        <v>31</v>
      </c>
      <c r="E701" t="s">
        <v>46</v>
      </c>
      <c r="F701" t="s">
        <v>25</v>
      </c>
      <c r="G701" t="s">
        <v>26</v>
      </c>
      <c r="H701">
        <v>16147</v>
      </c>
      <c r="K701">
        <v>17000</v>
      </c>
      <c r="L701" s="1">
        <v>45306</v>
      </c>
    </row>
    <row r="702" spans="1:12" x14ac:dyDescent="0.3">
      <c r="A702" t="s">
        <v>934</v>
      </c>
      <c r="B702" t="s">
        <v>522</v>
      </c>
      <c r="C702" t="s">
        <v>44</v>
      </c>
      <c r="D702" t="s">
        <v>45</v>
      </c>
      <c r="E702" t="s">
        <v>32</v>
      </c>
      <c r="F702" t="s">
        <v>39</v>
      </c>
      <c r="G702" t="s">
        <v>36</v>
      </c>
      <c r="H702">
        <v>12959</v>
      </c>
      <c r="I702" t="s">
        <v>27</v>
      </c>
      <c r="K702">
        <v>13000</v>
      </c>
      <c r="L702" s="1">
        <v>45294</v>
      </c>
    </row>
    <row r="703" spans="1:12" x14ac:dyDescent="0.3">
      <c r="A703" t="s">
        <v>935</v>
      </c>
      <c r="B703" t="s">
        <v>217</v>
      </c>
      <c r="C703" t="s">
        <v>61</v>
      </c>
      <c r="D703" t="s">
        <v>62</v>
      </c>
      <c r="E703" t="s">
        <v>16</v>
      </c>
      <c r="F703" t="s">
        <v>25</v>
      </c>
      <c r="G703" t="s">
        <v>36</v>
      </c>
      <c r="H703">
        <v>10999</v>
      </c>
      <c r="I703" t="s">
        <v>22</v>
      </c>
      <c r="J703">
        <v>0.1</v>
      </c>
      <c r="K703">
        <v>9000</v>
      </c>
      <c r="L703" s="1">
        <v>45336</v>
      </c>
    </row>
    <row r="704" spans="1:12" x14ac:dyDescent="0.3">
      <c r="A704" t="s">
        <v>936</v>
      </c>
      <c r="B704" t="s">
        <v>544</v>
      </c>
      <c r="C704" t="s">
        <v>30</v>
      </c>
      <c r="D704" t="s">
        <v>31</v>
      </c>
      <c r="E704" t="s">
        <v>16</v>
      </c>
      <c r="F704" t="s">
        <v>25</v>
      </c>
      <c r="G704" t="s">
        <v>18</v>
      </c>
      <c r="H704">
        <v>17761</v>
      </c>
      <c r="I704" t="s">
        <v>19</v>
      </c>
      <c r="J704">
        <v>0.2</v>
      </c>
      <c r="K704">
        <v>17000</v>
      </c>
      <c r="L704" s="1">
        <v>45316</v>
      </c>
    </row>
    <row r="705" spans="1:12" x14ac:dyDescent="0.3">
      <c r="A705" t="s">
        <v>937</v>
      </c>
      <c r="B705" t="s">
        <v>107</v>
      </c>
      <c r="C705" t="s">
        <v>30</v>
      </c>
      <c r="D705" t="s">
        <v>31</v>
      </c>
      <c r="E705" t="s">
        <v>46</v>
      </c>
      <c r="F705" t="s">
        <v>39</v>
      </c>
      <c r="G705" t="s">
        <v>36</v>
      </c>
      <c r="H705">
        <v>15766</v>
      </c>
      <c r="I705" t="s">
        <v>27</v>
      </c>
      <c r="K705">
        <v>17000</v>
      </c>
      <c r="L705" s="1">
        <v>45308</v>
      </c>
    </row>
    <row r="706" spans="1:12" x14ac:dyDescent="0.3">
      <c r="A706" t="s">
        <v>938</v>
      </c>
      <c r="B706" t="s">
        <v>939</v>
      </c>
      <c r="C706" t="s">
        <v>61</v>
      </c>
      <c r="D706" t="s">
        <v>62</v>
      </c>
      <c r="E706" t="s">
        <v>16</v>
      </c>
      <c r="F706" t="s">
        <v>17</v>
      </c>
      <c r="G706" t="s">
        <v>36</v>
      </c>
      <c r="H706">
        <v>7753</v>
      </c>
      <c r="K706">
        <v>9000</v>
      </c>
      <c r="L706" s="1">
        <v>45319</v>
      </c>
    </row>
    <row r="707" spans="1:12" x14ac:dyDescent="0.3">
      <c r="A707" t="s">
        <v>940</v>
      </c>
      <c r="B707" t="s">
        <v>414</v>
      </c>
      <c r="C707" t="s">
        <v>30</v>
      </c>
      <c r="D707" t="s">
        <v>31</v>
      </c>
      <c r="E707" t="s">
        <v>46</v>
      </c>
      <c r="F707" t="s">
        <v>17</v>
      </c>
      <c r="G707" t="s">
        <v>36</v>
      </c>
      <c r="H707">
        <v>16846</v>
      </c>
      <c r="I707" t="s">
        <v>19</v>
      </c>
      <c r="J707">
        <v>0.2</v>
      </c>
      <c r="K707">
        <v>17000</v>
      </c>
      <c r="L707" s="1">
        <v>45328</v>
      </c>
    </row>
    <row r="708" spans="1:12" x14ac:dyDescent="0.3">
      <c r="A708" t="s">
        <v>941</v>
      </c>
      <c r="B708" t="s">
        <v>720</v>
      </c>
      <c r="C708" t="s">
        <v>44</v>
      </c>
      <c r="D708" t="s">
        <v>45</v>
      </c>
      <c r="E708" t="s">
        <v>32</v>
      </c>
      <c r="F708" t="s">
        <v>39</v>
      </c>
      <c r="G708" t="s">
        <v>36</v>
      </c>
      <c r="H708">
        <v>14293</v>
      </c>
      <c r="I708" t="s">
        <v>19</v>
      </c>
      <c r="J708">
        <v>0.2</v>
      </c>
      <c r="K708">
        <v>13000</v>
      </c>
      <c r="L708" s="1">
        <v>45327</v>
      </c>
    </row>
    <row r="709" spans="1:12" x14ac:dyDescent="0.3">
      <c r="A709" t="s">
        <v>942</v>
      </c>
      <c r="B709" t="s">
        <v>309</v>
      </c>
      <c r="C709" t="s">
        <v>61</v>
      </c>
      <c r="D709" t="s">
        <v>62</v>
      </c>
      <c r="E709" t="s">
        <v>32</v>
      </c>
      <c r="F709" t="s">
        <v>25</v>
      </c>
      <c r="G709" t="s">
        <v>26</v>
      </c>
      <c r="H709">
        <v>7612</v>
      </c>
      <c r="K709">
        <v>9000</v>
      </c>
      <c r="L709" s="1">
        <v>45343</v>
      </c>
    </row>
    <row r="710" spans="1:12" x14ac:dyDescent="0.3">
      <c r="A710" t="s">
        <v>943</v>
      </c>
      <c r="B710" t="s">
        <v>243</v>
      </c>
      <c r="C710" t="s">
        <v>61</v>
      </c>
      <c r="D710" t="s">
        <v>62</v>
      </c>
      <c r="E710" t="s">
        <v>46</v>
      </c>
      <c r="F710" t="s">
        <v>25</v>
      </c>
      <c r="G710" t="s">
        <v>26</v>
      </c>
      <c r="H710">
        <v>9117</v>
      </c>
      <c r="I710" t="s">
        <v>27</v>
      </c>
      <c r="K710">
        <v>9000</v>
      </c>
      <c r="L710" s="1">
        <v>45338</v>
      </c>
    </row>
    <row r="711" spans="1:12" x14ac:dyDescent="0.3">
      <c r="A711" t="s">
        <v>944</v>
      </c>
      <c r="B711" t="s">
        <v>478</v>
      </c>
      <c r="C711" t="s">
        <v>61</v>
      </c>
      <c r="D711" t="s">
        <v>62</v>
      </c>
      <c r="E711" t="s">
        <v>46</v>
      </c>
      <c r="F711" t="s">
        <v>17</v>
      </c>
      <c r="G711" t="s">
        <v>26</v>
      </c>
      <c r="H711">
        <v>10516</v>
      </c>
      <c r="I711" t="s">
        <v>27</v>
      </c>
      <c r="K711">
        <v>9000</v>
      </c>
      <c r="L711" s="1">
        <v>45295</v>
      </c>
    </row>
    <row r="712" spans="1:12" x14ac:dyDescent="0.3">
      <c r="A712" t="s">
        <v>945</v>
      </c>
      <c r="B712" t="s">
        <v>41</v>
      </c>
      <c r="C712" t="s">
        <v>44</v>
      </c>
      <c r="D712" t="s">
        <v>45</v>
      </c>
      <c r="E712" t="s">
        <v>32</v>
      </c>
      <c r="F712" t="s">
        <v>25</v>
      </c>
      <c r="G712" t="s">
        <v>36</v>
      </c>
      <c r="H712">
        <v>12951</v>
      </c>
      <c r="I712" t="s">
        <v>22</v>
      </c>
      <c r="J712">
        <v>0.1</v>
      </c>
      <c r="K712">
        <v>13000</v>
      </c>
      <c r="L712" s="1">
        <v>45320</v>
      </c>
    </row>
    <row r="713" spans="1:12" x14ac:dyDescent="0.3">
      <c r="A713" t="s">
        <v>946</v>
      </c>
      <c r="B713" t="s">
        <v>577</v>
      </c>
      <c r="C713" t="s">
        <v>30</v>
      </c>
      <c r="D713" t="s">
        <v>31</v>
      </c>
      <c r="E713" t="s">
        <v>46</v>
      </c>
      <c r="F713" t="s">
        <v>17</v>
      </c>
      <c r="G713" t="s">
        <v>26</v>
      </c>
      <c r="H713">
        <v>17283</v>
      </c>
      <c r="I713" t="s">
        <v>33</v>
      </c>
      <c r="J713">
        <v>0.3</v>
      </c>
      <c r="K713">
        <v>17000</v>
      </c>
      <c r="L713" s="1">
        <v>45314</v>
      </c>
    </row>
    <row r="714" spans="1:12" x14ac:dyDescent="0.3">
      <c r="A714" t="s">
        <v>947</v>
      </c>
      <c r="B714" t="s">
        <v>406</v>
      </c>
      <c r="C714" t="s">
        <v>14</v>
      </c>
      <c r="D714" t="s">
        <v>15</v>
      </c>
      <c r="E714" t="s">
        <v>46</v>
      </c>
      <c r="F714" t="s">
        <v>39</v>
      </c>
      <c r="G714" t="s">
        <v>26</v>
      </c>
      <c r="H714">
        <v>12814</v>
      </c>
      <c r="I714" t="s">
        <v>27</v>
      </c>
      <c r="K714">
        <v>14000</v>
      </c>
      <c r="L714" s="1">
        <v>45328</v>
      </c>
    </row>
    <row r="715" spans="1:12" x14ac:dyDescent="0.3">
      <c r="A715" t="s">
        <v>948</v>
      </c>
      <c r="B715" t="s">
        <v>92</v>
      </c>
      <c r="C715" t="s">
        <v>44</v>
      </c>
      <c r="D715" t="s">
        <v>45</v>
      </c>
      <c r="E715" t="s">
        <v>46</v>
      </c>
      <c r="F715" t="s">
        <v>17</v>
      </c>
      <c r="G715" t="s">
        <v>36</v>
      </c>
      <c r="H715">
        <v>13757</v>
      </c>
      <c r="I715" t="s">
        <v>27</v>
      </c>
      <c r="K715">
        <v>13000</v>
      </c>
      <c r="L715" s="1">
        <v>45323</v>
      </c>
    </row>
    <row r="716" spans="1:12" x14ac:dyDescent="0.3">
      <c r="A716" t="s">
        <v>949</v>
      </c>
      <c r="B716" t="s">
        <v>296</v>
      </c>
      <c r="C716" t="s">
        <v>61</v>
      </c>
      <c r="D716" t="s">
        <v>62</v>
      </c>
      <c r="E716" t="s">
        <v>32</v>
      </c>
      <c r="F716" t="s">
        <v>17</v>
      </c>
      <c r="G716" t="s">
        <v>26</v>
      </c>
      <c r="H716">
        <v>8173</v>
      </c>
      <c r="K716">
        <v>9000</v>
      </c>
      <c r="L716" s="1">
        <v>45332</v>
      </c>
    </row>
    <row r="717" spans="1:12" x14ac:dyDescent="0.3">
      <c r="A717" t="s">
        <v>950</v>
      </c>
      <c r="B717" t="s">
        <v>619</v>
      </c>
      <c r="C717" t="s">
        <v>44</v>
      </c>
      <c r="D717" t="s">
        <v>45</v>
      </c>
      <c r="E717" t="s">
        <v>16</v>
      </c>
      <c r="F717" t="s">
        <v>17</v>
      </c>
      <c r="G717" t="s">
        <v>36</v>
      </c>
      <c r="H717">
        <v>13585</v>
      </c>
      <c r="I717" t="s">
        <v>27</v>
      </c>
      <c r="K717">
        <v>13000</v>
      </c>
      <c r="L717" s="1">
        <v>45328</v>
      </c>
    </row>
    <row r="718" spans="1:12" x14ac:dyDescent="0.3">
      <c r="A718" t="s">
        <v>951</v>
      </c>
      <c r="B718" t="s">
        <v>309</v>
      </c>
      <c r="C718" t="s">
        <v>14</v>
      </c>
      <c r="D718" t="s">
        <v>15</v>
      </c>
      <c r="E718" t="s">
        <v>32</v>
      </c>
      <c r="F718" t="s">
        <v>25</v>
      </c>
      <c r="G718" t="s">
        <v>36</v>
      </c>
      <c r="H718">
        <v>12934</v>
      </c>
      <c r="I718" t="s">
        <v>33</v>
      </c>
      <c r="J718">
        <v>0.3</v>
      </c>
      <c r="K718">
        <v>14000</v>
      </c>
      <c r="L718" s="1">
        <v>45312</v>
      </c>
    </row>
    <row r="719" spans="1:12" x14ac:dyDescent="0.3">
      <c r="A719" t="s">
        <v>952</v>
      </c>
      <c r="B719" t="s">
        <v>278</v>
      </c>
      <c r="C719" t="s">
        <v>30</v>
      </c>
      <c r="D719" t="s">
        <v>31</v>
      </c>
      <c r="E719" t="s">
        <v>16</v>
      </c>
      <c r="F719" t="s">
        <v>39</v>
      </c>
      <c r="G719" t="s">
        <v>36</v>
      </c>
      <c r="H719">
        <v>16111</v>
      </c>
      <c r="K719">
        <v>17000</v>
      </c>
      <c r="L719" s="1">
        <v>45341</v>
      </c>
    </row>
    <row r="720" spans="1:12" x14ac:dyDescent="0.3">
      <c r="A720" t="s">
        <v>953</v>
      </c>
      <c r="B720" t="s">
        <v>303</v>
      </c>
      <c r="C720" t="s">
        <v>61</v>
      </c>
      <c r="D720" t="s">
        <v>62</v>
      </c>
      <c r="E720" t="s">
        <v>46</v>
      </c>
      <c r="F720" t="s">
        <v>25</v>
      </c>
      <c r="G720" t="s">
        <v>18</v>
      </c>
      <c r="H720">
        <v>10498</v>
      </c>
      <c r="I720" t="s">
        <v>22</v>
      </c>
      <c r="J720">
        <v>0.1</v>
      </c>
      <c r="K720">
        <v>9000</v>
      </c>
      <c r="L720" s="1">
        <v>45300</v>
      </c>
    </row>
    <row r="721" spans="1:12" x14ac:dyDescent="0.3">
      <c r="A721" t="s">
        <v>954</v>
      </c>
      <c r="B721" t="s">
        <v>397</v>
      </c>
      <c r="C721" t="s">
        <v>30</v>
      </c>
      <c r="D721" t="s">
        <v>31</v>
      </c>
      <c r="E721" t="s">
        <v>16</v>
      </c>
      <c r="F721" t="s">
        <v>39</v>
      </c>
      <c r="G721" t="s">
        <v>26</v>
      </c>
      <c r="H721">
        <v>15327</v>
      </c>
      <c r="I721" t="s">
        <v>19</v>
      </c>
      <c r="J721">
        <v>0.2</v>
      </c>
      <c r="K721">
        <v>17000</v>
      </c>
      <c r="L721" s="1">
        <v>45302</v>
      </c>
    </row>
    <row r="722" spans="1:12" x14ac:dyDescent="0.3">
      <c r="A722" t="s">
        <v>955</v>
      </c>
      <c r="B722" t="s">
        <v>41</v>
      </c>
      <c r="C722" t="s">
        <v>14</v>
      </c>
      <c r="D722" t="s">
        <v>15</v>
      </c>
      <c r="E722" t="s">
        <v>32</v>
      </c>
      <c r="F722" t="s">
        <v>17</v>
      </c>
      <c r="G722" t="s">
        <v>26</v>
      </c>
      <c r="H722">
        <v>12220</v>
      </c>
      <c r="I722" t="s">
        <v>22</v>
      </c>
      <c r="J722">
        <v>0.1</v>
      </c>
      <c r="K722">
        <v>14000</v>
      </c>
      <c r="L722" s="1">
        <v>45341</v>
      </c>
    </row>
    <row r="723" spans="1:12" x14ac:dyDescent="0.3">
      <c r="A723" t="s">
        <v>956</v>
      </c>
      <c r="B723" t="s">
        <v>512</v>
      </c>
      <c r="C723" t="s">
        <v>14</v>
      </c>
      <c r="D723" t="s">
        <v>15</v>
      </c>
      <c r="E723" t="s">
        <v>32</v>
      </c>
      <c r="F723" t="s">
        <v>17</v>
      </c>
      <c r="G723" t="s">
        <v>26</v>
      </c>
      <c r="H723">
        <v>12636</v>
      </c>
      <c r="I723" t="s">
        <v>22</v>
      </c>
      <c r="J723">
        <v>0.1</v>
      </c>
      <c r="K723">
        <v>14000</v>
      </c>
      <c r="L723" s="1">
        <v>45333</v>
      </c>
    </row>
    <row r="724" spans="1:12" x14ac:dyDescent="0.3">
      <c r="A724" t="s">
        <v>957</v>
      </c>
      <c r="B724" t="s">
        <v>137</v>
      </c>
      <c r="C724" t="s">
        <v>30</v>
      </c>
      <c r="D724" t="s">
        <v>31</v>
      </c>
      <c r="E724" t="s">
        <v>32</v>
      </c>
      <c r="F724" t="s">
        <v>25</v>
      </c>
      <c r="G724" t="s">
        <v>26</v>
      </c>
      <c r="H724">
        <v>16163</v>
      </c>
      <c r="K724">
        <v>17000</v>
      </c>
      <c r="L724" s="1">
        <v>45332</v>
      </c>
    </row>
    <row r="725" spans="1:12" x14ac:dyDescent="0.3">
      <c r="A725" t="s">
        <v>958</v>
      </c>
      <c r="B725" t="s">
        <v>175</v>
      </c>
      <c r="C725" t="s">
        <v>44</v>
      </c>
      <c r="D725" t="s">
        <v>45</v>
      </c>
      <c r="E725" t="s">
        <v>32</v>
      </c>
      <c r="F725" t="s">
        <v>25</v>
      </c>
      <c r="G725" t="s">
        <v>26</v>
      </c>
      <c r="H725">
        <v>12461</v>
      </c>
      <c r="I725" t="s">
        <v>33</v>
      </c>
      <c r="J725">
        <v>0.3</v>
      </c>
      <c r="K725">
        <v>13000</v>
      </c>
      <c r="L725" s="1">
        <v>45347</v>
      </c>
    </row>
    <row r="726" spans="1:12" x14ac:dyDescent="0.3">
      <c r="A726" t="s">
        <v>959</v>
      </c>
      <c r="B726" t="s">
        <v>231</v>
      </c>
      <c r="C726" t="s">
        <v>30</v>
      </c>
      <c r="D726" t="s">
        <v>31</v>
      </c>
      <c r="E726" t="s">
        <v>16</v>
      </c>
      <c r="F726" t="s">
        <v>17</v>
      </c>
      <c r="G726" t="s">
        <v>18</v>
      </c>
      <c r="H726">
        <v>18971</v>
      </c>
      <c r="I726" t="s">
        <v>27</v>
      </c>
      <c r="K726">
        <v>17000</v>
      </c>
      <c r="L726" s="1">
        <v>45303</v>
      </c>
    </row>
    <row r="727" spans="1:12" x14ac:dyDescent="0.3">
      <c r="A727" t="s">
        <v>960</v>
      </c>
      <c r="B727" t="s">
        <v>195</v>
      </c>
      <c r="C727" t="s">
        <v>61</v>
      </c>
      <c r="D727" t="s">
        <v>62</v>
      </c>
      <c r="E727" t="s">
        <v>16</v>
      </c>
      <c r="F727" t="s">
        <v>39</v>
      </c>
      <c r="G727" t="s">
        <v>26</v>
      </c>
      <c r="H727">
        <v>10593</v>
      </c>
      <c r="I727" t="s">
        <v>27</v>
      </c>
      <c r="K727">
        <v>9000</v>
      </c>
      <c r="L727" s="1">
        <v>45319</v>
      </c>
    </row>
    <row r="728" spans="1:12" x14ac:dyDescent="0.3">
      <c r="A728" t="s">
        <v>961</v>
      </c>
      <c r="B728" t="s">
        <v>202</v>
      </c>
      <c r="C728" t="s">
        <v>30</v>
      </c>
      <c r="D728" t="s">
        <v>31</v>
      </c>
      <c r="E728" t="s">
        <v>46</v>
      </c>
      <c r="F728" t="s">
        <v>17</v>
      </c>
      <c r="G728" t="s">
        <v>26</v>
      </c>
      <c r="H728">
        <v>15930</v>
      </c>
      <c r="I728" t="s">
        <v>22</v>
      </c>
      <c r="J728">
        <v>0.1</v>
      </c>
      <c r="K728">
        <v>17000</v>
      </c>
      <c r="L728" s="1">
        <v>45320</v>
      </c>
    </row>
    <row r="729" spans="1:12" x14ac:dyDescent="0.3">
      <c r="A729" t="s">
        <v>962</v>
      </c>
      <c r="B729" t="s">
        <v>131</v>
      </c>
      <c r="C729" t="s">
        <v>61</v>
      </c>
      <c r="D729" t="s">
        <v>62</v>
      </c>
      <c r="E729" t="s">
        <v>46</v>
      </c>
      <c r="F729" t="s">
        <v>25</v>
      </c>
      <c r="G729" t="s">
        <v>36</v>
      </c>
      <c r="H729">
        <v>7043</v>
      </c>
      <c r="I729" t="s">
        <v>22</v>
      </c>
      <c r="J729">
        <v>0.1</v>
      </c>
      <c r="K729">
        <v>9000</v>
      </c>
      <c r="L729" s="1">
        <v>45325</v>
      </c>
    </row>
    <row r="730" spans="1:12" x14ac:dyDescent="0.3">
      <c r="A730" t="s">
        <v>963</v>
      </c>
      <c r="B730" t="s">
        <v>393</v>
      </c>
      <c r="C730" t="s">
        <v>44</v>
      </c>
      <c r="D730" t="s">
        <v>45</v>
      </c>
      <c r="E730" t="s">
        <v>46</v>
      </c>
      <c r="F730" t="s">
        <v>17</v>
      </c>
      <c r="G730" t="s">
        <v>36</v>
      </c>
      <c r="H730">
        <v>13191</v>
      </c>
      <c r="I730" t="s">
        <v>22</v>
      </c>
      <c r="J730">
        <v>0.1</v>
      </c>
      <c r="K730">
        <v>13000</v>
      </c>
      <c r="L730" s="1">
        <v>45336</v>
      </c>
    </row>
    <row r="731" spans="1:12" x14ac:dyDescent="0.3">
      <c r="A731" t="s">
        <v>964</v>
      </c>
      <c r="B731" t="s">
        <v>445</v>
      </c>
      <c r="C731" t="s">
        <v>61</v>
      </c>
      <c r="D731" t="s">
        <v>62</v>
      </c>
      <c r="E731" t="s">
        <v>46</v>
      </c>
      <c r="F731" t="s">
        <v>25</v>
      </c>
      <c r="G731" t="s">
        <v>36</v>
      </c>
      <c r="H731">
        <v>10268</v>
      </c>
      <c r="I731" t="s">
        <v>33</v>
      </c>
      <c r="J731">
        <v>0.3</v>
      </c>
      <c r="K731">
        <v>9000</v>
      </c>
      <c r="L731" s="1">
        <v>45330</v>
      </c>
    </row>
    <row r="732" spans="1:12" x14ac:dyDescent="0.3">
      <c r="A732" t="s">
        <v>965</v>
      </c>
      <c r="B732" t="s">
        <v>401</v>
      </c>
      <c r="C732" t="s">
        <v>14</v>
      </c>
      <c r="D732" t="s">
        <v>15</v>
      </c>
      <c r="E732" t="s">
        <v>16</v>
      </c>
      <c r="F732" t="s">
        <v>17</v>
      </c>
      <c r="G732" t="s">
        <v>18</v>
      </c>
      <c r="H732">
        <v>13686</v>
      </c>
      <c r="I732" t="s">
        <v>27</v>
      </c>
      <c r="K732">
        <v>14000</v>
      </c>
      <c r="L732" s="1">
        <v>45319</v>
      </c>
    </row>
    <row r="733" spans="1:12" x14ac:dyDescent="0.3">
      <c r="A733" t="s">
        <v>966</v>
      </c>
      <c r="B733" t="s">
        <v>268</v>
      </c>
      <c r="C733" t="s">
        <v>44</v>
      </c>
      <c r="D733" t="s">
        <v>45</v>
      </c>
      <c r="E733" t="s">
        <v>16</v>
      </c>
      <c r="F733" t="s">
        <v>39</v>
      </c>
      <c r="G733" t="s">
        <v>26</v>
      </c>
      <c r="H733">
        <v>12596</v>
      </c>
      <c r="K733">
        <v>13000</v>
      </c>
      <c r="L733" s="1">
        <v>45306</v>
      </c>
    </row>
    <row r="734" spans="1:12" x14ac:dyDescent="0.3">
      <c r="A734" t="s">
        <v>967</v>
      </c>
      <c r="B734" t="s">
        <v>222</v>
      </c>
      <c r="C734" t="s">
        <v>61</v>
      </c>
      <c r="D734" t="s">
        <v>62</v>
      </c>
      <c r="E734" t="s">
        <v>16</v>
      </c>
      <c r="F734" t="s">
        <v>25</v>
      </c>
      <c r="G734" t="s">
        <v>26</v>
      </c>
      <c r="H734">
        <v>10131</v>
      </c>
      <c r="I734" t="s">
        <v>27</v>
      </c>
      <c r="K734">
        <v>9000</v>
      </c>
      <c r="L734" s="1">
        <v>45343</v>
      </c>
    </row>
    <row r="735" spans="1:12" x14ac:dyDescent="0.3">
      <c r="A735" t="s">
        <v>968</v>
      </c>
      <c r="B735" t="s">
        <v>765</v>
      </c>
      <c r="C735" t="s">
        <v>30</v>
      </c>
      <c r="D735" t="s">
        <v>31</v>
      </c>
      <c r="E735" t="s">
        <v>46</v>
      </c>
      <c r="F735" t="s">
        <v>39</v>
      </c>
      <c r="G735" t="s">
        <v>26</v>
      </c>
      <c r="H735">
        <v>17178</v>
      </c>
      <c r="I735" t="s">
        <v>33</v>
      </c>
      <c r="J735">
        <v>0.3</v>
      </c>
      <c r="K735">
        <v>17000</v>
      </c>
      <c r="L735" s="1">
        <v>45318</v>
      </c>
    </row>
    <row r="736" spans="1:12" x14ac:dyDescent="0.3">
      <c r="A736" t="s">
        <v>969</v>
      </c>
      <c r="B736" t="s">
        <v>171</v>
      </c>
      <c r="C736" t="s">
        <v>14</v>
      </c>
      <c r="D736" t="s">
        <v>15</v>
      </c>
      <c r="E736" t="s">
        <v>32</v>
      </c>
      <c r="F736" t="s">
        <v>25</v>
      </c>
      <c r="G736" t="s">
        <v>36</v>
      </c>
      <c r="H736">
        <v>12452</v>
      </c>
      <c r="K736">
        <v>14000</v>
      </c>
      <c r="L736" s="1">
        <v>45331</v>
      </c>
    </row>
    <row r="737" spans="1:12" x14ac:dyDescent="0.3">
      <c r="A737" t="s">
        <v>970</v>
      </c>
      <c r="B737" t="s">
        <v>123</v>
      </c>
      <c r="C737" t="s">
        <v>61</v>
      </c>
      <c r="D737" t="s">
        <v>62</v>
      </c>
      <c r="E737" t="s">
        <v>32</v>
      </c>
      <c r="F737" t="s">
        <v>17</v>
      </c>
      <c r="G737" t="s">
        <v>18</v>
      </c>
      <c r="H737">
        <v>7623</v>
      </c>
      <c r="I737" t="s">
        <v>22</v>
      </c>
      <c r="J737">
        <v>0.1</v>
      </c>
      <c r="K737">
        <v>9000</v>
      </c>
      <c r="L737" s="1">
        <v>45326</v>
      </c>
    </row>
    <row r="738" spans="1:12" x14ac:dyDescent="0.3">
      <c r="A738" t="s">
        <v>971</v>
      </c>
      <c r="B738" t="s">
        <v>243</v>
      </c>
      <c r="C738" t="s">
        <v>14</v>
      </c>
      <c r="D738" t="s">
        <v>15</v>
      </c>
      <c r="E738" t="s">
        <v>46</v>
      </c>
      <c r="F738" t="s">
        <v>17</v>
      </c>
      <c r="G738" t="s">
        <v>18</v>
      </c>
      <c r="H738">
        <v>14929</v>
      </c>
      <c r="K738">
        <v>14000</v>
      </c>
      <c r="L738" s="1">
        <v>45338</v>
      </c>
    </row>
    <row r="739" spans="1:12" x14ac:dyDescent="0.3">
      <c r="A739" t="s">
        <v>972</v>
      </c>
      <c r="B739" t="s">
        <v>192</v>
      </c>
      <c r="C739" t="s">
        <v>14</v>
      </c>
      <c r="D739" t="s">
        <v>15</v>
      </c>
      <c r="E739" t="s">
        <v>32</v>
      </c>
      <c r="F739" t="s">
        <v>25</v>
      </c>
      <c r="G739" t="s">
        <v>36</v>
      </c>
      <c r="H739">
        <v>12889</v>
      </c>
      <c r="I739" t="s">
        <v>33</v>
      </c>
      <c r="J739">
        <v>0.3</v>
      </c>
      <c r="K739">
        <v>14000</v>
      </c>
      <c r="L739" s="1">
        <v>45318</v>
      </c>
    </row>
    <row r="740" spans="1:12" x14ac:dyDescent="0.3">
      <c r="A740" t="s">
        <v>973</v>
      </c>
      <c r="B740" t="s">
        <v>443</v>
      </c>
      <c r="C740" t="s">
        <v>61</v>
      </c>
      <c r="D740" t="s">
        <v>62</v>
      </c>
      <c r="E740" t="s">
        <v>46</v>
      </c>
      <c r="F740" t="s">
        <v>17</v>
      </c>
      <c r="G740" t="s">
        <v>26</v>
      </c>
      <c r="H740">
        <v>10241</v>
      </c>
      <c r="I740" t="s">
        <v>22</v>
      </c>
      <c r="J740">
        <v>0.1</v>
      </c>
      <c r="K740">
        <v>9000</v>
      </c>
      <c r="L740" s="1">
        <v>45313</v>
      </c>
    </row>
    <row r="741" spans="1:12" x14ac:dyDescent="0.3">
      <c r="A741" t="s">
        <v>974</v>
      </c>
      <c r="B741" t="s">
        <v>159</v>
      </c>
      <c r="C741" t="s">
        <v>44</v>
      </c>
      <c r="D741" t="s">
        <v>45</v>
      </c>
      <c r="E741" t="s">
        <v>32</v>
      </c>
      <c r="F741" t="s">
        <v>17</v>
      </c>
      <c r="G741" t="s">
        <v>36</v>
      </c>
      <c r="H741">
        <v>11292</v>
      </c>
      <c r="I741" t="s">
        <v>27</v>
      </c>
      <c r="K741">
        <v>13000</v>
      </c>
      <c r="L741" s="1">
        <v>45322</v>
      </c>
    </row>
    <row r="742" spans="1:12" x14ac:dyDescent="0.3">
      <c r="A742" t="s">
        <v>975</v>
      </c>
      <c r="B742" t="s">
        <v>35</v>
      </c>
      <c r="C742" t="s">
        <v>30</v>
      </c>
      <c r="D742" t="s">
        <v>31</v>
      </c>
      <c r="E742" t="s">
        <v>46</v>
      </c>
      <c r="F742" t="s">
        <v>25</v>
      </c>
      <c r="G742" t="s">
        <v>18</v>
      </c>
      <c r="H742">
        <v>18991</v>
      </c>
      <c r="I742" t="s">
        <v>19</v>
      </c>
      <c r="J742">
        <v>0.2</v>
      </c>
      <c r="K742">
        <v>17000</v>
      </c>
      <c r="L742" s="1">
        <v>45316</v>
      </c>
    </row>
    <row r="743" spans="1:12" x14ac:dyDescent="0.3">
      <c r="A743" t="s">
        <v>976</v>
      </c>
      <c r="B743" t="s">
        <v>298</v>
      </c>
      <c r="C743" t="s">
        <v>44</v>
      </c>
      <c r="D743" t="s">
        <v>45</v>
      </c>
      <c r="E743" t="s">
        <v>16</v>
      </c>
      <c r="F743" t="s">
        <v>25</v>
      </c>
      <c r="G743" t="s">
        <v>18</v>
      </c>
      <c r="H743">
        <v>12887</v>
      </c>
      <c r="I743" t="s">
        <v>22</v>
      </c>
      <c r="J743">
        <v>0.1</v>
      </c>
      <c r="K743">
        <v>13000</v>
      </c>
      <c r="L743" s="1">
        <v>45325</v>
      </c>
    </row>
    <row r="744" spans="1:12" x14ac:dyDescent="0.3">
      <c r="A744" t="s">
        <v>977</v>
      </c>
      <c r="B744" t="s">
        <v>239</v>
      </c>
      <c r="C744" t="s">
        <v>61</v>
      </c>
      <c r="D744" t="s">
        <v>62</v>
      </c>
      <c r="E744" t="s">
        <v>46</v>
      </c>
      <c r="F744" t="s">
        <v>39</v>
      </c>
      <c r="G744" t="s">
        <v>36</v>
      </c>
      <c r="H744">
        <v>10834</v>
      </c>
      <c r="I744" t="s">
        <v>33</v>
      </c>
      <c r="J744">
        <v>0.3</v>
      </c>
      <c r="K744">
        <v>9000</v>
      </c>
      <c r="L744" s="1">
        <v>45302</v>
      </c>
    </row>
    <row r="745" spans="1:12" x14ac:dyDescent="0.3">
      <c r="A745" t="s">
        <v>978</v>
      </c>
      <c r="B745" t="s">
        <v>305</v>
      </c>
      <c r="C745" t="s">
        <v>14</v>
      </c>
      <c r="D745" t="s">
        <v>15</v>
      </c>
      <c r="E745" t="s">
        <v>16</v>
      </c>
      <c r="F745" t="s">
        <v>39</v>
      </c>
      <c r="G745" t="s">
        <v>26</v>
      </c>
      <c r="H745">
        <v>12500</v>
      </c>
      <c r="I745" t="s">
        <v>33</v>
      </c>
      <c r="J745">
        <v>0.3</v>
      </c>
      <c r="K745">
        <v>14000</v>
      </c>
      <c r="L745" s="1">
        <v>45322</v>
      </c>
    </row>
    <row r="746" spans="1:12" x14ac:dyDescent="0.3">
      <c r="A746" t="s">
        <v>979</v>
      </c>
      <c r="B746" t="s">
        <v>278</v>
      </c>
      <c r="C746" t="s">
        <v>44</v>
      </c>
      <c r="D746" t="s">
        <v>45</v>
      </c>
      <c r="E746" t="s">
        <v>46</v>
      </c>
      <c r="F746" t="s">
        <v>25</v>
      </c>
      <c r="G746" t="s">
        <v>26</v>
      </c>
      <c r="H746">
        <v>11892</v>
      </c>
      <c r="I746" t="s">
        <v>22</v>
      </c>
      <c r="J746">
        <v>0.1</v>
      </c>
      <c r="K746">
        <v>13000</v>
      </c>
      <c r="L746" s="1">
        <v>45307</v>
      </c>
    </row>
    <row r="747" spans="1:12" x14ac:dyDescent="0.3">
      <c r="A747" t="s">
        <v>980</v>
      </c>
      <c r="B747" t="s">
        <v>90</v>
      </c>
      <c r="C747" t="s">
        <v>30</v>
      </c>
      <c r="D747" t="s">
        <v>31</v>
      </c>
      <c r="E747" t="s">
        <v>32</v>
      </c>
      <c r="F747" t="s">
        <v>25</v>
      </c>
      <c r="G747" t="s">
        <v>36</v>
      </c>
      <c r="H747">
        <v>17394</v>
      </c>
      <c r="I747" t="s">
        <v>22</v>
      </c>
      <c r="J747">
        <v>0.1</v>
      </c>
      <c r="K747">
        <v>17000</v>
      </c>
      <c r="L747" s="1">
        <v>45317</v>
      </c>
    </row>
    <row r="748" spans="1:12" x14ac:dyDescent="0.3">
      <c r="A748" t="s">
        <v>981</v>
      </c>
      <c r="B748" t="s">
        <v>294</v>
      </c>
      <c r="C748" t="s">
        <v>14</v>
      </c>
      <c r="D748" t="s">
        <v>15</v>
      </c>
      <c r="E748" t="s">
        <v>32</v>
      </c>
      <c r="F748" t="s">
        <v>39</v>
      </c>
      <c r="G748" t="s">
        <v>26</v>
      </c>
      <c r="H748">
        <v>13946</v>
      </c>
      <c r="I748" t="s">
        <v>27</v>
      </c>
      <c r="K748">
        <v>14000</v>
      </c>
      <c r="L748" s="1">
        <v>45301</v>
      </c>
    </row>
    <row r="749" spans="1:12" x14ac:dyDescent="0.3">
      <c r="A749" t="s">
        <v>982</v>
      </c>
      <c r="B749" t="s">
        <v>478</v>
      </c>
      <c r="C749" t="s">
        <v>14</v>
      </c>
      <c r="D749" t="s">
        <v>15</v>
      </c>
      <c r="E749" t="s">
        <v>32</v>
      </c>
      <c r="F749" t="s">
        <v>25</v>
      </c>
      <c r="G749" t="s">
        <v>36</v>
      </c>
      <c r="H749">
        <v>12374</v>
      </c>
      <c r="I749" t="s">
        <v>27</v>
      </c>
      <c r="K749">
        <v>14000</v>
      </c>
      <c r="L749" s="1">
        <v>45313</v>
      </c>
    </row>
    <row r="750" spans="1:12" x14ac:dyDescent="0.3">
      <c r="A750" t="s">
        <v>983</v>
      </c>
      <c r="B750" t="s">
        <v>148</v>
      </c>
      <c r="C750" t="s">
        <v>14</v>
      </c>
      <c r="D750" t="s">
        <v>15</v>
      </c>
      <c r="E750" t="s">
        <v>32</v>
      </c>
      <c r="F750" t="s">
        <v>17</v>
      </c>
      <c r="G750" t="s">
        <v>26</v>
      </c>
      <c r="H750">
        <v>12630</v>
      </c>
      <c r="I750" t="s">
        <v>27</v>
      </c>
      <c r="K750">
        <v>14000</v>
      </c>
      <c r="L750" s="1">
        <v>45342</v>
      </c>
    </row>
    <row r="751" spans="1:12" x14ac:dyDescent="0.3">
      <c r="A751" t="s">
        <v>984</v>
      </c>
      <c r="B751" t="s">
        <v>843</v>
      </c>
      <c r="C751" t="s">
        <v>61</v>
      </c>
      <c r="D751" t="s">
        <v>62</v>
      </c>
      <c r="E751" t="s">
        <v>32</v>
      </c>
      <c r="F751" t="s">
        <v>17</v>
      </c>
      <c r="G751" t="s">
        <v>26</v>
      </c>
      <c r="H751">
        <v>10229</v>
      </c>
      <c r="I751" t="s">
        <v>33</v>
      </c>
      <c r="J751">
        <v>0.3</v>
      </c>
      <c r="K751">
        <v>9000</v>
      </c>
      <c r="L751" s="1">
        <v>45343</v>
      </c>
    </row>
    <row r="752" spans="1:12" x14ac:dyDescent="0.3">
      <c r="A752" t="s">
        <v>985</v>
      </c>
      <c r="B752" t="s">
        <v>445</v>
      </c>
      <c r="C752" t="s">
        <v>44</v>
      </c>
      <c r="D752" t="s">
        <v>45</v>
      </c>
      <c r="E752" t="s">
        <v>32</v>
      </c>
      <c r="F752" t="s">
        <v>39</v>
      </c>
      <c r="G752" t="s">
        <v>36</v>
      </c>
      <c r="H752">
        <v>12467</v>
      </c>
      <c r="I752" t="s">
        <v>19</v>
      </c>
      <c r="J752">
        <v>0.2</v>
      </c>
      <c r="K752">
        <v>13000</v>
      </c>
      <c r="L752" s="1">
        <v>45308</v>
      </c>
    </row>
    <row r="753" spans="1:12" x14ac:dyDescent="0.3">
      <c r="A753" t="s">
        <v>986</v>
      </c>
      <c r="B753" t="s">
        <v>987</v>
      </c>
      <c r="C753" t="s">
        <v>61</v>
      </c>
      <c r="D753" t="s">
        <v>62</v>
      </c>
      <c r="E753" t="s">
        <v>16</v>
      </c>
      <c r="F753" t="s">
        <v>17</v>
      </c>
      <c r="G753" t="s">
        <v>26</v>
      </c>
      <c r="H753">
        <v>8207</v>
      </c>
      <c r="I753" t="s">
        <v>27</v>
      </c>
      <c r="K753">
        <v>9000</v>
      </c>
      <c r="L753" s="1">
        <v>45336</v>
      </c>
    </row>
    <row r="754" spans="1:12" x14ac:dyDescent="0.3">
      <c r="A754" t="s">
        <v>988</v>
      </c>
      <c r="B754" t="s">
        <v>211</v>
      </c>
      <c r="C754" t="s">
        <v>44</v>
      </c>
      <c r="D754" t="s">
        <v>45</v>
      </c>
      <c r="E754" t="s">
        <v>16</v>
      </c>
      <c r="F754" t="s">
        <v>17</v>
      </c>
      <c r="G754" t="s">
        <v>36</v>
      </c>
      <c r="H754">
        <v>13999</v>
      </c>
      <c r="K754">
        <v>13000</v>
      </c>
      <c r="L754" s="1">
        <v>45309</v>
      </c>
    </row>
    <row r="755" spans="1:12" x14ac:dyDescent="0.3">
      <c r="A755" t="s">
        <v>989</v>
      </c>
      <c r="B755" t="s">
        <v>319</v>
      </c>
      <c r="C755" t="s">
        <v>44</v>
      </c>
      <c r="D755" t="s">
        <v>45</v>
      </c>
      <c r="E755" t="s">
        <v>32</v>
      </c>
      <c r="F755" t="s">
        <v>39</v>
      </c>
      <c r="G755" t="s">
        <v>18</v>
      </c>
      <c r="H755">
        <v>12840</v>
      </c>
      <c r="I755" t="s">
        <v>33</v>
      </c>
      <c r="J755">
        <v>0.3</v>
      </c>
      <c r="K755">
        <v>13000</v>
      </c>
      <c r="L755" s="1">
        <v>45344</v>
      </c>
    </row>
    <row r="756" spans="1:12" x14ac:dyDescent="0.3">
      <c r="A756" t="s">
        <v>990</v>
      </c>
      <c r="B756" t="s">
        <v>307</v>
      </c>
      <c r="C756" t="s">
        <v>30</v>
      </c>
      <c r="D756" t="s">
        <v>31</v>
      </c>
      <c r="E756" t="s">
        <v>46</v>
      </c>
      <c r="F756" t="s">
        <v>25</v>
      </c>
      <c r="G756" t="s">
        <v>26</v>
      </c>
      <c r="H756">
        <v>17072</v>
      </c>
      <c r="K756">
        <v>17000</v>
      </c>
      <c r="L756" s="1">
        <v>45338</v>
      </c>
    </row>
    <row r="757" spans="1:12" x14ac:dyDescent="0.3">
      <c r="A757" t="s">
        <v>991</v>
      </c>
      <c r="B757" t="s">
        <v>557</v>
      </c>
      <c r="C757" t="s">
        <v>30</v>
      </c>
      <c r="D757" t="s">
        <v>31</v>
      </c>
      <c r="E757" t="s">
        <v>16</v>
      </c>
      <c r="F757" t="s">
        <v>25</v>
      </c>
      <c r="G757" t="s">
        <v>36</v>
      </c>
      <c r="H757">
        <v>17953</v>
      </c>
      <c r="I757" t="s">
        <v>22</v>
      </c>
      <c r="J757">
        <v>0.1</v>
      </c>
      <c r="K757">
        <v>17000</v>
      </c>
      <c r="L757" s="1">
        <v>45334</v>
      </c>
    </row>
    <row r="758" spans="1:12" x14ac:dyDescent="0.3">
      <c r="A758" t="s">
        <v>992</v>
      </c>
      <c r="B758" t="s">
        <v>105</v>
      </c>
      <c r="C758" t="s">
        <v>61</v>
      </c>
      <c r="D758" t="s">
        <v>62</v>
      </c>
      <c r="E758" t="s">
        <v>32</v>
      </c>
      <c r="F758" t="s">
        <v>39</v>
      </c>
      <c r="G758" t="s">
        <v>26</v>
      </c>
      <c r="H758">
        <v>9037</v>
      </c>
      <c r="I758" t="s">
        <v>27</v>
      </c>
      <c r="K758">
        <v>9000</v>
      </c>
      <c r="L758" s="1">
        <v>45301</v>
      </c>
    </row>
    <row r="759" spans="1:12" x14ac:dyDescent="0.3">
      <c r="A759" t="s">
        <v>993</v>
      </c>
      <c r="B759" t="s">
        <v>291</v>
      </c>
      <c r="C759" t="s">
        <v>30</v>
      </c>
      <c r="D759" t="s">
        <v>31</v>
      </c>
      <c r="E759" t="s">
        <v>46</v>
      </c>
      <c r="F759" t="s">
        <v>39</v>
      </c>
      <c r="G759" t="s">
        <v>36</v>
      </c>
      <c r="H759">
        <v>15452</v>
      </c>
      <c r="I759" t="s">
        <v>22</v>
      </c>
      <c r="J759">
        <v>0.1</v>
      </c>
      <c r="K759">
        <v>17000</v>
      </c>
      <c r="L759" s="1">
        <v>45325</v>
      </c>
    </row>
    <row r="760" spans="1:12" x14ac:dyDescent="0.3">
      <c r="A760" t="s">
        <v>994</v>
      </c>
      <c r="B760" t="s">
        <v>13</v>
      </c>
      <c r="C760" t="s">
        <v>14</v>
      </c>
      <c r="D760" t="s">
        <v>15</v>
      </c>
      <c r="E760" t="s">
        <v>32</v>
      </c>
      <c r="F760" t="s">
        <v>25</v>
      </c>
      <c r="G760" t="s">
        <v>18</v>
      </c>
      <c r="H760">
        <v>12827</v>
      </c>
      <c r="I760" t="s">
        <v>22</v>
      </c>
      <c r="J760">
        <v>0.1</v>
      </c>
      <c r="K760">
        <v>14000</v>
      </c>
      <c r="L760" s="1">
        <v>45323</v>
      </c>
    </row>
    <row r="761" spans="1:12" x14ac:dyDescent="0.3">
      <c r="A761" t="s">
        <v>995</v>
      </c>
      <c r="B761" t="s">
        <v>229</v>
      </c>
      <c r="C761" t="s">
        <v>14</v>
      </c>
      <c r="D761" t="s">
        <v>15</v>
      </c>
      <c r="E761" t="s">
        <v>16</v>
      </c>
      <c r="F761" t="s">
        <v>39</v>
      </c>
      <c r="G761" t="s">
        <v>36</v>
      </c>
      <c r="H761">
        <v>14694</v>
      </c>
      <c r="K761">
        <v>14000</v>
      </c>
      <c r="L761" s="1">
        <v>45325</v>
      </c>
    </row>
    <row r="762" spans="1:12" x14ac:dyDescent="0.3">
      <c r="A762" t="s">
        <v>996</v>
      </c>
      <c r="B762" t="s">
        <v>233</v>
      </c>
      <c r="C762" t="s">
        <v>30</v>
      </c>
      <c r="D762" t="s">
        <v>31</v>
      </c>
      <c r="E762" t="s">
        <v>32</v>
      </c>
      <c r="F762" t="s">
        <v>17</v>
      </c>
      <c r="G762" t="s">
        <v>18</v>
      </c>
      <c r="H762">
        <v>17481</v>
      </c>
      <c r="I762" t="s">
        <v>22</v>
      </c>
      <c r="J762">
        <v>0.1</v>
      </c>
      <c r="K762">
        <v>17000</v>
      </c>
      <c r="L762" s="1">
        <v>45292</v>
      </c>
    </row>
    <row r="763" spans="1:12" x14ac:dyDescent="0.3">
      <c r="A763" t="s">
        <v>997</v>
      </c>
      <c r="B763" t="s">
        <v>553</v>
      </c>
      <c r="C763" t="s">
        <v>61</v>
      </c>
      <c r="D763" t="s">
        <v>62</v>
      </c>
      <c r="E763" t="s">
        <v>32</v>
      </c>
      <c r="F763" t="s">
        <v>17</v>
      </c>
      <c r="G763" t="s">
        <v>26</v>
      </c>
      <c r="H763">
        <v>7248</v>
      </c>
      <c r="I763" t="s">
        <v>33</v>
      </c>
      <c r="J763">
        <v>0.3</v>
      </c>
      <c r="K763">
        <v>9000</v>
      </c>
      <c r="L763" s="1">
        <v>45327</v>
      </c>
    </row>
    <row r="764" spans="1:12" x14ac:dyDescent="0.3">
      <c r="A764" t="s">
        <v>998</v>
      </c>
      <c r="B764" t="s">
        <v>127</v>
      </c>
      <c r="C764" t="s">
        <v>30</v>
      </c>
      <c r="D764" t="s">
        <v>31</v>
      </c>
      <c r="E764" t="s">
        <v>16</v>
      </c>
      <c r="F764" t="s">
        <v>25</v>
      </c>
      <c r="G764" t="s">
        <v>26</v>
      </c>
      <c r="H764">
        <v>16088</v>
      </c>
      <c r="I764" t="s">
        <v>27</v>
      </c>
      <c r="K764">
        <v>17000</v>
      </c>
      <c r="L764" s="1">
        <v>45294</v>
      </c>
    </row>
    <row r="765" spans="1:12" x14ac:dyDescent="0.3">
      <c r="A765" t="s">
        <v>999</v>
      </c>
      <c r="B765" t="s">
        <v>1000</v>
      </c>
      <c r="C765" t="s">
        <v>30</v>
      </c>
      <c r="D765" t="s">
        <v>31</v>
      </c>
      <c r="E765" t="s">
        <v>32</v>
      </c>
      <c r="F765" t="s">
        <v>25</v>
      </c>
      <c r="G765" t="s">
        <v>26</v>
      </c>
      <c r="H765">
        <v>15397</v>
      </c>
      <c r="I765" t="s">
        <v>22</v>
      </c>
      <c r="J765">
        <v>0.1</v>
      </c>
      <c r="K765">
        <v>17000</v>
      </c>
      <c r="L765" s="1">
        <v>45338</v>
      </c>
    </row>
    <row r="766" spans="1:12" x14ac:dyDescent="0.3">
      <c r="A766" t="s">
        <v>1001</v>
      </c>
      <c r="B766" t="s">
        <v>24</v>
      </c>
      <c r="C766" t="s">
        <v>61</v>
      </c>
      <c r="D766" t="s">
        <v>62</v>
      </c>
      <c r="E766" t="s">
        <v>32</v>
      </c>
      <c r="F766" t="s">
        <v>25</v>
      </c>
      <c r="G766" t="s">
        <v>26</v>
      </c>
      <c r="H766">
        <v>9690</v>
      </c>
      <c r="I766" t="s">
        <v>19</v>
      </c>
      <c r="J766">
        <v>0.2</v>
      </c>
      <c r="K766">
        <v>9000</v>
      </c>
      <c r="L766" s="1">
        <v>45328</v>
      </c>
    </row>
    <row r="767" spans="1:12" x14ac:dyDescent="0.3">
      <c r="A767" t="s">
        <v>1002</v>
      </c>
      <c r="B767" t="s">
        <v>422</v>
      </c>
      <c r="C767" t="s">
        <v>61</v>
      </c>
      <c r="D767" t="s">
        <v>62</v>
      </c>
      <c r="E767" t="s">
        <v>16</v>
      </c>
      <c r="F767" t="s">
        <v>25</v>
      </c>
      <c r="G767" t="s">
        <v>26</v>
      </c>
      <c r="H767">
        <v>9361</v>
      </c>
      <c r="I767" t="s">
        <v>33</v>
      </c>
      <c r="J767">
        <v>0.3</v>
      </c>
      <c r="K767">
        <v>9000</v>
      </c>
      <c r="L767" s="1">
        <v>45335</v>
      </c>
    </row>
    <row r="768" spans="1:12" x14ac:dyDescent="0.3">
      <c r="A768" t="s">
        <v>1003</v>
      </c>
      <c r="B768" t="s">
        <v>483</v>
      </c>
      <c r="C768" t="s">
        <v>61</v>
      </c>
      <c r="D768" t="s">
        <v>62</v>
      </c>
      <c r="E768" t="s">
        <v>32</v>
      </c>
      <c r="F768" t="s">
        <v>25</v>
      </c>
      <c r="G768" t="s">
        <v>18</v>
      </c>
      <c r="H768">
        <v>9252</v>
      </c>
      <c r="K768">
        <v>9000</v>
      </c>
      <c r="L768" s="1">
        <v>45324</v>
      </c>
    </row>
    <row r="769" spans="1:12" x14ac:dyDescent="0.3">
      <c r="A769" t="s">
        <v>1004</v>
      </c>
      <c r="B769" t="s">
        <v>150</v>
      </c>
      <c r="C769" t="s">
        <v>44</v>
      </c>
      <c r="D769" t="s">
        <v>45</v>
      </c>
      <c r="E769" t="s">
        <v>16</v>
      </c>
      <c r="F769" t="s">
        <v>39</v>
      </c>
      <c r="G769" t="s">
        <v>36</v>
      </c>
      <c r="H769">
        <v>14823</v>
      </c>
      <c r="I769" t="s">
        <v>33</v>
      </c>
      <c r="J769">
        <v>0.3</v>
      </c>
      <c r="K769">
        <v>13000</v>
      </c>
      <c r="L769" s="1">
        <v>45349</v>
      </c>
    </row>
    <row r="770" spans="1:12" x14ac:dyDescent="0.3">
      <c r="A770" t="s">
        <v>1005</v>
      </c>
      <c r="B770" t="s">
        <v>301</v>
      </c>
      <c r="C770" t="s">
        <v>30</v>
      </c>
      <c r="D770" t="s">
        <v>31</v>
      </c>
      <c r="E770" t="s">
        <v>46</v>
      </c>
      <c r="F770" t="s">
        <v>17</v>
      </c>
      <c r="G770" t="s">
        <v>26</v>
      </c>
      <c r="H770">
        <v>16763</v>
      </c>
      <c r="I770" t="s">
        <v>33</v>
      </c>
      <c r="J770">
        <v>0.3</v>
      </c>
      <c r="K770">
        <v>17000</v>
      </c>
      <c r="L770" s="1">
        <v>45330</v>
      </c>
    </row>
    <row r="771" spans="1:12" x14ac:dyDescent="0.3">
      <c r="A771" t="s">
        <v>1006</v>
      </c>
      <c r="B771" t="s">
        <v>56</v>
      </c>
      <c r="C771" t="s">
        <v>44</v>
      </c>
      <c r="D771" t="s">
        <v>45</v>
      </c>
      <c r="E771" t="s">
        <v>46</v>
      </c>
      <c r="F771" t="s">
        <v>39</v>
      </c>
      <c r="G771" t="s">
        <v>26</v>
      </c>
      <c r="H771">
        <v>12040</v>
      </c>
      <c r="I771" t="s">
        <v>33</v>
      </c>
      <c r="J771">
        <v>0.3</v>
      </c>
      <c r="K771">
        <v>13000</v>
      </c>
      <c r="L771" s="1">
        <v>45320</v>
      </c>
    </row>
    <row r="772" spans="1:12" x14ac:dyDescent="0.3">
      <c r="A772" t="s">
        <v>1007</v>
      </c>
      <c r="B772" t="s">
        <v>52</v>
      </c>
      <c r="C772" t="s">
        <v>14</v>
      </c>
      <c r="D772" t="s">
        <v>15</v>
      </c>
      <c r="E772" t="s">
        <v>16</v>
      </c>
      <c r="F772" t="s">
        <v>25</v>
      </c>
      <c r="G772" t="s">
        <v>36</v>
      </c>
      <c r="H772">
        <v>14440</v>
      </c>
      <c r="I772" t="s">
        <v>22</v>
      </c>
      <c r="J772">
        <v>0.1</v>
      </c>
      <c r="K772">
        <v>14000</v>
      </c>
      <c r="L772" s="1">
        <v>45325</v>
      </c>
    </row>
    <row r="773" spans="1:12" x14ac:dyDescent="0.3">
      <c r="A773" t="s">
        <v>1008</v>
      </c>
      <c r="B773" t="s">
        <v>256</v>
      </c>
      <c r="C773" t="s">
        <v>14</v>
      </c>
      <c r="D773" t="s">
        <v>15</v>
      </c>
      <c r="E773" t="s">
        <v>46</v>
      </c>
      <c r="F773" t="s">
        <v>25</v>
      </c>
      <c r="G773" t="s">
        <v>18</v>
      </c>
      <c r="H773">
        <v>15505</v>
      </c>
      <c r="I773" t="s">
        <v>33</v>
      </c>
      <c r="J773">
        <v>0.3</v>
      </c>
      <c r="K773">
        <v>14000</v>
      </c>
      <c r="L773" s="1">
        <v>45293</v>
      </c>
    </row>
    <row r="774" spans="1:12" x14ac:dyDescent="0.3">
      <c r="A774" t="s">
        <v>1009</v>
      </c>
      <c r="B774" t="s">
        <v>140</v>
      </c>
      <c r="C774" t="s">
        <v>30</v>
      </c>
      <c r="D774" t="s">
        <v>31</v>
      </c>
      <c r="E774" t="s">
        <v>16</v>
      </c>
      <c r="F774" t="s">
        <v>39</v>
      </c>
      <c r="G774" t="s">
        <v>26</v>
      </c>
      <c r="H774">
        <v>17337</v>
      </c>
      <c r="I774" t="s">
        <v>27</v>
      </c>
      <c r="K774">
        <v>17000</v>
      </c>
      <c r="L774" s="1">
        <v>45301</v>
      </c>
    </row>
    <row r="775" spans="1:12" x14ac:dyDescent="0.3">
      <c r="A775" t="s">
        <v>1010</v>
      </c>
      <c r="B775" t="s">
        <v>43</v>
      </c>
      <c r="C775" t="s">
        <v>61</v>
      </c>
      <c r="D775" t="s">
        <v>62</v>
      </c>
      <c r="E775" t="s">
        <v>46</v>
      </c>
      <c r="F775" t="s">
        <v>25</v>
      </c>
      <c r="G775" t="s">
        <v>18</v>
      </c>
      <c r="H775">
        <v>8085</v>
      </c>
      <c r="I775" t="s">
        <v>33</v>
      </c>
      <c r="J775">
        <v>0.3</v>
      </c>
      <c r="K775">
        <v>9000</v>
      </c>
      <c r="L775" s="1">
        <v>45348</v>
      </c>
    </row>
    <row r="776" spans="1:12" x14ac:dyDescent="0.3">
      <c r="A776" t="s">
        <v>1011</v>
      </c>
      <c r="B776" t="s">
        <v>519</v>
      </c>
      <c r="C776" t="s">
        <v>44</v>
      </c>
      <c r="D776" t="s">
        <v>45</v>
      </c>
      <c r="E776" t="s">
        <v>46</v>
      </c>
      <c r="F776" t="s">
        <v>17</v>
      </c>
      <c r="G776" t="s">
        <v>18</v>
      </c>
      <c r="H776">
        <v>13336</v>
      </c>
      <c r="K776">
        <v>13000</v>
      </c>
      <c r="L776" s="1">
        <v>45328</v>
      </c>
    </row>
    <row r="777" spans="1:12" x14ac:dyDescent="0.3">
      <c r="A777" t="s">
        <v>1012</v>
      </c>
      <c r="B777" t="s">
        <v>553</v>
      </c>
      <c r="C777" t="s">
        <v>14</v>
      </c>
      <c r="D777" t="s">
        <v>15</v>
      </c>
      <c r="E777" t="s">
        <v>16</v>
      </c>
      <c r="F777" t="s">
        <v>17</v>
      </c>
      <c r="G777" t="s">
        <v>36</v>
      </c>
      <c r="H777">
        <v>12708</v>
      </c>
      <c r="K777">
        <v>14000</v>
      </c>
      <c r="L777" s="1">
        <v>45344</v>
      </c>
    </row>
    <row r="778" spans="1:12" x14ac:dyDescent="0.3">
      <c r="A778" t="s">
        <v>1013</v>
      </c>
      <c r="B778" t="s">
        <v>260</v>
      </c>
      <c r="C778" t="s">
        <v>14</v>
      </c>
      <c r="D778" t="s">
        <v>15</v>
      </c>
      <c r="E778" t="s">
        <v>16</v>
      </c>
      <c r="F778" t="s">
        <v>39</v>
      </c>
      <c r="G778" t="s">
        <v>36</v>
      </c>
      <c r="H778">
        <v>12153</v>
      </c>
      <c r="I778" t="s">
        <v>27</v>
      </c>
      <c r="K778">
        <v>14000</v>
      </c>
      <c r="L778" s="1">
        <v>45316</v>
      </c>
    </row>
    <row r="779" spans="1:12" x14ac:dyDescent="0.3">
      <c r="A779" t="s">
        <v>1014</v>
      </c>
      <c r="B779" t="s">
        <v>200</v>
      </c>
      <c r="C779" t="s">
        <v>14</v>
      </c>
      <c r="D779" t="s">
        <v>15</v>
      </c>
      <c r="E779" t="s">
        <v>46</v>
      </c>
      <c r="F779" t="s">
        <v>17</v>
      </c>
      <c r="G779" t="s">
        <v>36</v>
      </c>
      <c r="H779">
        <v>13706</v>
      </c>
      <c r="I779" t="s">
        <v>22</v>
      </c>
      <c r="J779">
        <v>0.1</v>
      </c>
      <c r="K779">
        <v>14000</v>
      </c>
      <c r="L779" s="1">
        <v>45347</v>
      </c>
    </row>
    <row r="780" spans="1:12" x14ac:dyDescent="0.3">
      <c r="A780" t="s">
        <v>1015</v>
      </c>
      <c r="B780" t="s">
        <v>294</v>
      </c>
      <c r="C780" t="s">
        <v>14</v>
      </c>
      <c r="D780" t="s">
        <v>15</v>
      </c>
      <c r="E780" t="s">
        <v>16</v>
      </c>
      <c r="F780" t="s">
        <v>39</v>
      </c>
      <c r="G780" t="s">
        <v>36</v>
      </c>
      <c r="H780">
        <v>12221</v>
      </c>
      <c r="I780" t="s">
        <v>33</v>
      </c>
      <c r="J780">
        <v>0.3</v>
      </c>
      <c r="K780">
        <v>14000</v>
      </c>
      <c r="L780" s="1">
        <v>45325</v>
      </c>
    </row>
    <row r="781" spans="1:12" x14ac:dyDescent="0.3">
      <c r="A781" t="s">
        <v>1016</v>
      </c>
      <c r="B781" t="s">
        <v>125</v>
      </c>
      <c r="C781" t="s">
        <v>44</v>
      </c>
      <c r="D781" t="s">
        <v>45</v>
      </c>
      <c r="E781" t="s">
        <v>46</v>
      </c>
      <c r="F781" t="s">
        <v>39</v>
      </c>
      <c r="G781" t="s">
        <v>26</v>
      </c>
      <c r="H781">
        <v>11904</v>
      </c>
      <c r="I781" t="s">
        <v>19</v>
      </c>
      <c r="J781">
        <v>0.2</v>
      </c>
      <c r="K781">
        <v>13000</v>
      </c>
      <c r="L781" s="1">
        <v>45295</v>
      </c>
    </row>
    <row r="782" spans="1:12" x14ac:dyDescent="0.3">
      <c r="A782" t="s">
        <v>1017</v>
      </c>
      <c r="B782" t="s">
        <v>305</v>
      </c>
      <c r="C782" t="s">
        <v>61</v>
      </c>
      <c r="D782" t="s">
        <v>62</v>
      </c>
      <c r="E782" t="s">
        <v>46</v>
      </c>
      <c r="F782" t="s">
        <v>39</v>
      </c>
      <c r="G782" t="s">
        <v>26</v>
      </c>
      <c r="H782">
        <v>9067</v>
      </c>
      <c r="I782" t="s">
        <v>22</v>
      </c>
      <c r="J782">
        <v>0.1</v>
      </c>
      <c r="K782">
        <v>9000</v>
      </c>
      <c r="L782" s="1">
        <v>45306</v>
      </c>
    </row>
    <row r="783" spans="1:12" x14ac:dyDescent="0.3">
      <c r="A783" t="s">
        <v>1018</v>
      </c>
      <c r="B783" t="s">
        <v>435</v>
      </c>
      <c r="C783" t="s">
        <v>61</v>
      </c>
      <c r="D783" t="s">
        <v>62</v>
      </c>
      <c r="E783" t="s">
        <v>32</v>
      </c>
      <c r="F783" t="s">
        <v>25</v>
      </c>
      <c r="G783" t="s">
        <v>36</v>
      </c>
      <c r="H783">
        <v>7338</v>
      </c>
      <c r="K783">
        <v>9000</v>
      </c>
      <c r="L783" s="1">
        <v>45328</v>
      </c>
    </row>
    <row r="784" spans="1:12" x14ac:dyDescent="0.3">
      <c r="A784" t="s">
        <v>1019</v>
      </c>
      <c r="B784" t="s">
        <v>464</v>
      </c>
      <c r="C784" t="s">
        <v>61</v>
      </c>
      <c r="D784" t="s">
        <v>62</v>
      </c>
      <c r="E784" t="s">
        <v>46</v>
      </c>
      <c r="F784" t="s">
        <v>25</v>
      </c>
      <c r="G784" t="s">
        <v>36</v>
      </c>
      <c r="H784">
        <v>9055</v>
      </c>
      <c r="K784">
        <v>9000</v>
      </c>
      <c r="L784" s="1">
        <v>45341</v>
      </c>
    </row>
    <row r="785" spans="1:12" x14ac:dyDescent="0.3">
      <c r="A785" t="s">
        <v>1020</v>
      </c>
      <c r="B785" t="s">
        <v>153</v>
      </c>
      <c r="C785" t="s">
        <v>44</v>
      </c>
      <c r="D785" t="s">
        <v>45</v>
      </c>
      <c r="E785" t="s">
        <v>46</v>
      </c>
      <c r="F785" t="s">
        <v>39</v>
      </c>
      <c r="G785" t="s">
        <v>18</v>
      </c>
      <c r="H785">
        <v>12998</v>
      </c>
      <c r="K785">
        <v>13000</v>
      </c>
      <c r="L785" s="1">
        <v>45333</v>
      </c>
    </row>
    <row r="786" spans="1:12" x14ac:dyDescent="0.3">
      <c r="A786" t="s">
        <v>1021</v>
      </c>
      <c r="B786" t="s">
        <v>519</v>
      </c>
      <c r="C786" t="s">
        <v>44</v>
      </c>
      <c r="D786" t="s">
        <v>45</v>
      </c>
      <c r="E786" t="s">
        <v>32</v>
      </c>
      <c r="F786" t="s">
        <v>25</v>
      </c>
      <c r="G786" t="s">
        <v>36</v>
      </c>
      <c r="H786">
        <v>14181</v>
      </c>
      <c r="K786">
        <v>13000</v>
      </c>
      <c r="L786" s="1">
        <v>45312</v>
      </c>
    </row>
    <row r="787" spans="1:12" x14ac:dyDescent="0.3">
      <c r="A787" t="s">
        <v>1022</v>
      </c>
      <c r="B787" t="s">
        <v>163</v>
      </c>
      <c r="C787" t="s">
        <v>14</v>
      </c>
      <c r="D787" t="s">
        <v>15</v>
      </c>
      <c r="E787" t="s">
        <v>32</v>
      </c>
      <c r="F787" t="s">
        <v>39</v>
      </c>
      <c r="G787" t="s">
        <v>36</v>
      </c>
      <c r="H787">
        <v>13734</v>
      </c>
      <c r="I787" t="s">
        <v>33</v>
      </c>
      <c r="J787">
        <v>0.3</v>
      </c>
      <c r="K787">
        <v>14000</v>
      </c>
      <c r="L787" s="1">
        <v>45314</v>
      </c>
    </row>
    <row r="788" spans="1:12" x14ac:dyDescent="0.3">
      <c r="A788" t="s">
        <v>1023</v>
      </c>
      <c r="B788" t="s">
        <v>391</v>
      </c>
      <c r="C788" t="s">
        <v>30</v>
      </c>
      <c r="D788" t="s">
        <v>31</v>
      </c>
      <c r="E788" t="s">
        <v>16</v>
      </c>
      <c r="F788" t="s">
        <v>39</v>
      </c>
      <c r="G788" t="s">
        <v>18</v>
      </c>
      <c r="H788">
        <v>18152</v>
      </c>
      <c r="I788" t="s">
        <v>33</v>
      </c>
      <c r="J788">
        <v>0.3</v>
      </c>
      <c r="K788">
        <v>17000</v>
      </c>
      <c r="L788" s="1">
        <v>45302</v>
      </c>
    </row>
    <row r="789" spans="1:12" x14ac:dyDescent="0.3">
      <c r="A789" t="s">
        <v>1024</v>
      </c>
      <c r="B789" t="s">
        <v>38</v>
      </c>
      <c r="C789" t="s">
        <v>61</v>
      </c>
      <c r="D789" t="s">
        <v>62</v>
      </c>
      <c r="E789" t="s">
        <v>16</v>
      </c>
      <c r="F789" t="s">
        <v>25</v>
      </c>
      <c r="G789" t="s">
        <v>36</v>
      </c>
      <c r="H789">
        <v>7183</v>
      </c>
      <c r="I789" t="s">
        <v>19</v>
      </c>
      <c r="J789">
        <v>0.2</v>
      </c>
      <c r="K789">
        <v>9000</v>
      </c>
      <c r="L789" s="1">
        <v>45304</v>
      </c>
    </row>
    <row r="790" spans="1:12" x14ac:dyDescent="0.3">
      <c r="A790" t="s">
        <v>1025</v>
      </c>
      <c r="B790" t="s">
        <v>317</v>
      </c>
      <c r="C790" t="s">
        <v>44</v>
      </c>
      <c r="D790" t="s">
        <v>45</v>
      </c>
      <c r="E790" t="s">
        <v>16</v>
      </c>
      <c r="F790" t="s">
        <v>25</v>
      </c>
      <c r="G790" t="s">
        <v>18</v>
      </c>
      <c r="H790">
        <v>14029</v>
      </c>
      <c r="I790" t="s">
        <v>22</v>
      </c>
      <c r="J790">
        <v>0.1</v>
      </c>
      <c r="K790">
        <v>13000</v>
      </c>
      <c r="L790" s="1">
        <v>45307</v>
      </c>
    </row>
    <row r="791" spans="1:12" x14ac:dyDescent="0.3">
      <c r="A791" t="s">
        <v>1026</v>
      </c>
      <c r="B791" t="s">
        <v>373</v>
      </c>
      <c r="C791" t="s">
        <v>30</v>
      </c>
      <c r="D791" t="s">
        <v>31</v>
      </c>
      <c r="E791" t="s">
        <v>32</v>
      </c>
      <c r="F791" t="s">
        <v>17</v>
      </c>
      <c r="G791" t="s">
        <v>26</v>
      </c>
      <c r="H791">
        <v>18294</v>
      </c>
      <c r="I791" t="s">
        <v>22</v>
      </c>
      <c r="J791">
        <v>0.1</v>
      </c>
      <c r="K791">
        <v>17000</v>
      </c>
      <c r="L791" s="1">
        <v>45311</v>
      </c>
    </row>
    <row r="792" spans="1:12" x14ac:dyDescent="0.3">
      <c r="A792" t="s">
        <v>1027</v>
      </c>
      <c r="B792" t="s">
        <v>231</v>
      </c>
      <c r="C792" t="s">
        <v>14</v>
      </c>
      <c r="D792" t="s">
        <v>15</v>
      </c>
      <c r="E792" t="s">
        <v>46</v>
      </c>
      <c r="F792" t="s">
        <v>25</v>
      </c>
      <c r="G792" t="s">
        <v>26</v>
      </c>
      <c r="H792">
        <v>14203</v>
      </c>
      <c r="I792" t="s">
        <v>19</v>
      </c>
      <c r="J792">
        <v>0.2</v>
      </c>
      <c r="K792">
        <v>14000</v>
      </c>
      <c r="L792" s="1">
        <v>45305</v>
      </c>
    </row>
    <row r="793" spans="1:12" x14ac:dyDescent="0.3">
      <c r="A793" t="s">
        <v>1028</v>
      </c>
      <c r="B793" t="s">
        <v>168</v>
      </c>
      <c r="C793" t="s">
        <v>30</v>
      </c>
      <c r="D793" t="s">
        <v>31</v>
      </c>
      <c r="E793" t="s">
        <v>16</v>
      </c>
      <c r="F793" t="s">
        <v>17</v>
      </c>
      <c r="G793" t="s">
        <v>26</v>
      </c>
      <c r="H793">
        <v>17989</v>
      </c>
      <c r="I793" t="s">
        <v>19</v>
      </c>
      <c r="J793">
        <v>0.2</v>
      </c>
      <c r="K793">
        <v>17000</v>
      </c>
      <c r="L793" s="1">
        <v>45336</v>
      </c>
    </row>
    <row r="794" spans="1:12" x14ac:dyDescent="0.3">
      <c r="A794" t="s">
        <v>1029</v>
      </c>
      <c r="B794" t="s">
        <v>765</v>
      </c>
      <c r="C794" t="s">
        <v>14</v>
      </c>
      <c r="D794" t="s">
        <v>15</v>
      </c>
      <c r="E794" t="s">
        <v>46</v>
      </c>
      <c r="F794" t="s">
        <v>39</v>
      </c>
      <c r="G794" t="s">
        <v>26</v>
      </c>
      <c r="H794">
        <v>14157</v>
      </c>
      <c r="I794" t="s">
        <v>22</v>
      </c>
      <c r="J794">
        <v>0.1</v>
      </c>
      <c r="K794">
        <v>14000</v>
      </c>
      <c r="L794" s="1">
        <v>45308</v>
      </c>
    </row>
    <row r="795" spans="1:12" x14ac:dyDescent="0.3">
      <c r="A795" t="s">
        <v>1030</v>
      </c>
      <c r="B795" t="s">
        <v>557</v>
      </c>
      <c r="C795" t="s">
        <v>30</v>
      </c>
      <c r="D795" t="s">
        <v>31</v>
      </c>
      <c r="E795" t="s">
        <v>32</v>
      </c>
      <c r="F795" t="s">
        <v>39</v>
      </c>
      <c r="G795" t="s">
        <v>26</v>
      </c>
      <c r="H795">
        <v>16111</v>
      </c>
      <c r="I795" t="s">
        <v>22</v>
      </c>
      <c r="J795">
        <v>0.1</v>
      </c>
      <c r="K795">
        <v>17000</v>
      </c>
      <c r="L795" s="1">
        <v>45321</v>
      </c>
    </row>
    <row r="796" spans="1:12" x14ac:dyDescent="0.3">
      <c r="A796" t="s">
        <v>1031</v>
      </c>
      <c r="B796" t="s">
        <v>1032</v>
      </c>
      <c r="C796" t="s">
        <v>14</v>
      </c>
      <c r="D796" t="s">
        <v>15</v>
      </c>
      <c r="E796" t="s">
        <v>46</v>
      </c>
      <c r="F796" t="s">
        <v>39</v>
      </c>
      <c r="G796" t="s">
        <v>36</v>
      </c>
      <c r="H796">
        <v>14715</v>
      </c>
      <c r="I796" t="s">
        <v>33</v>
      </c>
      <c r="J796">
        <v>0.3</v>
      </c>
      <c r="K796">
        <v>14000</v>
      </c>
      <c r="L796" s="1">
        <v>45347</v>
      </c>
    </row>
    <row r="797" spans="1:12" x14ac:dyDescent="0.3">
      <c r="A797" t="s">
        <v>1033</v>
      </c>
      <c r="B797" t="s">
        <v>43</v>
      </c>
      <c r="C797" t="s">
        <v>30</v>
      </c>
      <c r="D797" t="s">
        <v>31</v>
      </c>
      <c r="E797" t="s">
        <v>16</v>
      </c>
      <c r="F797" t="s">
        <v>17</v>
      </c>
      <c r="G797" t="s">
        <v>18</v>
      </c>
      <c r="H797">
        <v>16559</v>
      </c>
      <c r="I797" t="s">
        <v>27</v>
      </c>
      <c r="K797">
        <v>17000</v>
      </c>
      <c r="L797" s="1">
        <v>45337</v>
      </c>
    </row>
    <row r="798" spans="1:12" x14ac:dyDescent="0.3">
      <c r="A798" t="s">
        <v>1034</v>
      </c>
      <c r="B798" t="s">
        <v>432</v>
      </c>
      <c r="C798" t="s">
        <v>61</v>
      </c>
      <c r="D798" t="s">
        <v>62</v>
      </c>
      <c r="E798" t="s">
        <v>16</v>
      </c>
      <c r="F798" t="s">
        <v>39</v>
      </c>
      <c r="G798" t="s">
        <v>18</v>
      </c>
      <c r="H798">
        <v>7763</v>
      </c>
      <c r="I798" t="s">
        <v>19</v>
      </c>
      <c r="J798">
        <v>0.2</v>
      </c>
      <c r="K798">
        <v>9000</v>
      </c>
      <c r="L798" s="1">
        <v>45324</v>
      </c>
    </row>
    <row r="799" spans="1:12" x14ac:dyDescent="0.3">
      <c r="A799" t="s">
        <v>1035</v>
      </c>
      <c r="B799" t="s">
        <v>330</v>
      </c>
      <c r="C799" t="s">
        <v>14</v>
      </c>
      <c r="D799" t="s">
        <v>15</v>
      </c>
      <c r="E799" t="s">
        <v>32</v>
      </c>
      <c r="F799" t="s">
        <v>25</v>
      </c>
      <c r="G799" t="s">
        <v>26</v>
      </c>
      <c r="H799">
        <v>13248</v>
      </c>
      <c r="I799" t="s">
        <v>33</v>
      </c>
      <c r="J799">
        <v>0.3</v>
      </c>
      <c r="K799">
        <v>14000</v>
      </c>
      <c r="L799" s="1">
        <v>45323</v>
      </c>
    </row>
    <row r="800" spans="1:12" x14ac:dyDescent="0.3">
      <c r="A800" t="s">
        <v>1036</v>
      </c>
      <c r="B800" t="s">
        <v>101</v>
      </c>
      <c r="C800" t="s">
        <v>44</v>
      </c>
      <c r="D800" t="s">
        <v>45</v>
      </c>
      <c r="E800" t="s">
        <v>32</v>
      </c>
      <c r="F800" t="s">
        <v>17</v>
      </c>
      <c r="G800" t="s">
        <v>26</v>
      </c>
      <c r="H800">
        <v>12441</v>
      </c>
      <c r="I800" t="s">
        <v>33</v>
      </c>
      <c r="J800">
        <v>0.3</v>
      </c>
      <c r="K800">
        <v>13000</v>
      </c>
      <c r="L800" s="1">
        <v>45332</v>
      </c>
    </row>
    <row r="801" spans="1:12" x14ac:dyDescent="0.3">
      <c r="A801" t="s">
        <v>1037</v>
      </c>
      <c r="B801" t="s">
        <v>289</v>
      </c>
      <c r="C801" t="s">
        <v>30</v>
      </c>
      <c r="D801" t="s">
        <v>31</v>
      </c>
      <c r="E801" t="s">
        <v>32</v>
      </c>
      <c r="F801" t="s">
        <v>39</v>
      </c>
      <c r="G801" t="s">
        <v>36</v>
      </c>
      <c r="H801">
        <v>18599</v>
      </c>
      <c r="K801">
        <v>17000</v>
      </c>
      <c r="L801" s="1">
        <v>45348</v>
      </c>
    </row>
    <row r="802" spans="1:12" x14ac:dyDescent="0.3">
      <c r="A802" t="s">
        <v>1038</v>
      </c>
      <c r="B802" t="s">
        <v>676</v>
      </c>
      <c r="C802" t="s">
        <v>30</v>
      </c>
      <c r="D802" t="s">
        <v>31</v>
      </c>
      <c r="E802" t="s">
        <v>32</v>
      </c>
      <c r="F802" t="s">
        <v>25</v>
      </c>
      <c r="G802" t="s">
        <v>36</v>
      </c>
      <c r="H802">
        <v>18674</v>
      </c>
      <c r="K802">
        <v>17000</v>
      </c>
      <c r="L802" s="1">
        <v>45334</v>
      </c>
    </row>
    <row r="803" spans="1:12" x14ac:dyDescent="0.3">
      <c r="A803" t="s">
        <v>1039</v>
      </c>
      <c r="B803" t="s">
        <v>325</v>
      </c>
      <c r="C803" t="s">
        <v>61</v>
      </c>
      <c r="D803" t="s">
        <v>62</v>
      </c>
      <c r="E803" t="s">
        <v>16</v>
      </c>
      <c r="F803" t="s">
        <v>39</v>
      </c>
      <c r="G803" t="s">
        <v>26</v>
      </c>
      <c r="H803">
        <v>10574</v>
      </c>
      <c r="I803" t="s">
        <v>19</v>
      </c>
      <c r="J803">
        <v>0.2</v>
      </c>
      <c r="K803">
        <v>9000</v>
      </c>
      <c r="L803" s="1">
        <v>45318</v>
      </c>
    </row>
    <row r="804" spans="1:12" x14ac:dyDescent="0.3">
      <c r="A804" t="s">
        <v>1040</v>
      </c>
      <c r="B804" t="s">
        <v>56</v>
      </c>
      <c r="C804" t="s">
        <v>44</v>
      </c>
      <c r="D804" t="s">
        <v>45</v>
      </c>
      <c r="E804" t="s">
        <v>46</v>
      </c>
      <c r="F804" t="s">
        <v>17</v>
      </c>
      <c r="G804" t="s">
        <v>26</v>
      </c>
      <c r="H804">
        <v>12348</v>
      </c>
      <c r="K804">
        <v>13000</v>
      </c>
      <c r="L804" s="1">
        <v>45326</v>
      </c>
    </row>
    <row r="805" spans="1:12" x14ac:dyDescent="0.3">
      <c r="A805" t="s">
        <v>1041</v>
      </c>
      <c r="B805" t="s">
        <v>35</v>
      </c>
      <c r="C805" t="s">
        <v>44</v>
      </c>
      <c r="D805" t="s">
        <v>45</v>
      </c>
      <c r="E805" t="s">
        <v>16</v>
      </c>
      <c r="F805" t="s">
        <v>39</v>
      </c>
      <c r="G805" t="s">
        <v>26</v>
      </c>
      <c r="H805">
        <v>14277</v>
      </c>
      <c r="I805" t="s">
        <v>19</v>
      </c>
      <c r="J805">
        <v>0.2</v>
      </c>
      <c r="K805">
        <v>13000</v>
      </c>
      <c r="L805" s="1">
        <v>45347</v>
      </c>
    </row>
    <row r="806" spans="1:12" x14ac:dyDescent="0.3">
      <c r="A806" t="s">
        <v>1042</v>
      </c>
      <c r="B806" t="s">
        <v>256</v>
      </c>
      <c r="C806" t="s">
        <v>44</v>
      </c>
      <c r="D806" t="s">
        <v>45</v>
      </c>
      <c r="E806" t="s">
        <v>46</v>
      </c>
      <c r="F806" t="s">
        <v>25</v>
      </c>
      <c r="G806" t="s">
        <v>26</v>
      </c>
      <c r="H806">
        <v>14821</v>
      </c>
      <c r="I806" t="s">
        <v>27</v>
      </c>
      <c r="K806">
        <v>13000</v>
      </c>
      <c r="L806" s="1">
        <v>45350</v>
      </c>
    </row>
    <row r="807" spans="1:12" x14ac:dyDescent="0.3">
      <c r="A807" t="s">
        <v>1043</v>
      </c>
      <c r="B807" t="s">
        <v>74</v>
      </c>
      <c r="C807" t="s">
        <v>14</v>
      </c>
      <c r="D807" t="s">
        <v>15</v>
      </c>
      <c r="E807" t="s">
        <v>16</v>
      </c>
      <c r="F807" t="s">
        <v>39</v>
      </c>
      <c r="G807" t="s">
        <v>26</v>
      </c>
      <c r="H807">
        <v>12484</v>
      </c>
      <c r="I807" t="s">
        <v>19</v>
      </c>
      <c r="J807">
        <v>0.2</v>
      </c>
      <c r="K807">
        <v>14000</v>
      </c>
      <c r="L807" s="1">
        <v>45312</v>
      </c>
    </row>
    <row r="808" spans="1:12" x14ac:dyDescent="0.3">
      <c r="A808" t="s">
        <v>1044</v>
      </c>
      <c r="B808" t="s">
        <v>412</v>
      </c>
      <c r="C808" t="s">
        <v>14</v>
      </c>
      <c r="D808" t="s">
        <v>15</v>
      </c>
      <c r="E808" t="s">
        <v>46</v>
      </c>
      <c r="F808" t="s">
        <v>17</v>
      </c>
      <c r="G808" t="s">
        <v>36</v>
      </c>
      <c r="H808">
        <v>13242</v>
      </c>
      <c r="K808">
        <v>14000</v>
      </c>
      <c r="L808" s="1">
        <v>45339</v>
      </c>
    </row>
    <row r="809" spans="1:12" x14ac:dyDescent="0.3">
      <c r="A809" t="s">
        <v>1045</v>
      </c>
      <c r="B809" t="s">
        <v>454</v>
      </c>
      <c r="C809" t="s">
        <v>30</v>
      </c>
      <c r="D809" t="s">
        <v>31</v>
      </c>
      <c r="E809" t="s">
        <v>32</v>
      </c>
      <c r="F809" t="s">
        <v>25</v>
      </c>
      <c r="G809" t="s">
        <v>18</v>
      </c>
      <c r="H809">
        <v>15538</v>
      </c>
      <c r="I809" t="s">
        <v>19</v>
      </c>
      <c r="J809">
        <v>0.2</v>
      </c>
      <c r="K809">
        <v>17000</v>
      </c>
      <c r="L809" s="1">
        <v>45293</v>
      </c>
    </row>
    <row r="810" spans="1:12" x14ac:dyDescent="0.3">
      <c r="A810" t="s">
        <v>1046</v>
      </c>
      <c r="B810" t="s">
        <v>522</v>
      </c>
      <c r="C810" t="s">
        <v>30</v>
      </c>
      <c r="D810" t="s">
        <v>31</v>
      </c>
      <c r="E810" t="s">
        <v>16</v>
      </c>
      <c r="F810" t="s">
        <v>39</v>
      </c>
      <c r="G810" t="s">
        <v>26</v>
      </c>
      <c r="H810">
        <v>15945</v>
      </c>
      <c r="I810" t="s">
        <v>27</v>
      </c>
      <c r="K810">
        <v>17000</v>
      </c>
      <c r="L810" s="1">
        <v>45306</v>
      </c>
    </row>
    <row r="811" spans="1:12" x14ac:dyDescent="0.3">
      <c r="A811" t="s">
        <v>1047</v>
      </c>
      <c r="B811" t="s">
        <v>817</v>
      </c>
      <c r="C811" t="s">
        <v>14</v>
      </c>
      <c r="D811" t="s">
        <v>15</v>
      </c>
      <c r="E811" t="s">
        <v>46</v>
      </c>
      <c r="F811" t="s">
        <v>25</v>
      </c>
      <c r="G811" t="s">
        <v>26</v>
      </c>
      <c r="H811">
        <v>15194</v>
      </c>
      <c r="K811">
        <v>14000</v>
      </c>
      <c r="L811" s="1">
        <v>45300</v>
      </c>
    </row>
    <row r="812" spans="1:12" x14ac:dyDescent="0.3">
      <c r="A812" t="s">
        <v>1048</v>
      </c>
      <c r="B812" t="s">
        <v>105</v>
      </c>
      <c r="C812" t="s">
        <v>61</v>
      </c>
      <c r="D812" t="s">
        <v>62</v>
      </c>
      <c r="E812" t="s">
        <v>16</v>
      </c>
      <c r="F812" t="s">
        <v>39</v>
      </c>
      <c r="G812" t="s">
        <v>36</v>
      </c>
      <c r="H812">
        <v>7753</v>
      </c>
      <c r="K812">
        <v>9000</v>
      </c>
      <c r="L812" s="1">
        <v>45323</v>
      </c>
    </row>
    <row r="813" spans="1:12" x14ac:dyDescent="0.3">
      <c r="A813" t="s">
        <v>1049</v>
      </c>
      <c r="B813" t="s">
        <v>508</v>
      </c>
      <c r="C813" t="s">
        <v>44</v>
      </c>
      <c r="D813" t="s">
        <v>45</v>
      </c>
      <c r="E813" t="s">
        <v>32</v>
      </c>
      <c r="F813" t="s">
        <v>25</v>
      </c>
      <c r="G813" t="s">
        <v>18</v>
      </c>
      <c r="H813">
        <v>12673</v>
      </c>
      <c r="I813" t="s">
        <v>22</v>
      </c>
      <c r="J813">
        <v>0.1</v>
      </c>
      <c r="K813">
        <v>13000</v>
      </c>
      <c r="L813" s="1">
        <v>45351</v>
      </c>
    </row>
    <row r="814" spans="1:12" x14ac:dyDescent="0.3">
      <c r="A814" t="s">
        <v>1050</v>
      </c>
      <c r="B814" t="s">
        <v>70</v>
      </c>
      <c r="C814" t="s">
        <v>44</v>
      </c>
      <c r="D814" t="s">
        <v>45</v>
      </c>
      <c r="E814" t="s">
        <v>16</v>
      </c>
      <c r="F814" t="s">
        <v>39</v>
      </c>
      <c r="G814" t="s">
        <v>18</v>
      </c>
      <c r="H814">
        <v>14103</v>
      </c>
      <c r="I814" t="s">
        <v>19</v>
      </c>
      <c r="J814">
        <v>0.2</v>
      </c>
      <c r="K814">
        <v>13000</v>
      </c>
      <c r="L814" s="1">
        <v>45296</v>
      </c>
    </row>
    <row r="815" spans="1:12" x14ac:dyDescent="0.3">
      <c r="A815" t="s">
        <v>1051</v>
      </c>
      <c r="B815" t="s">
        <v>429</v>
      </c>
      <c r="C815" t="s">
        <v>61</v>
      </c>
      <c r="D815" t="s">
        <v>62</v>
      </c>
      <c r="E815" t="s">
        <v>16</v>
      </c>
      <c r="F815" t="s">
        <v>17</v>
      </c>
      <c r="G815" t="s">
        <v>36</v>
      </c>
      <c r="H815">
        <v>10635</v>
      </c>
      <c r="I815" t="s">
        <v>19</v>
      </c>
      <c r="J815">
        <v>0.2</v>
      </c>
      <c r="K815">
        <v>9000</v>
      </c>
      <c r="L815" s="1">
        <v>45319</v>
      </c>
    </row>
    <row r="816" spans="1:12" x14ac:dyDescent="0.3">
      <c r="A816" t="s">
        <v>1052</v>
      </c>
      <c r="B816" t="s">
        <v>155</v>
      </c>
      <c r="C816" t="s">
        <v>14</v>
      </c>
      <c r="D816" t="s">
        <v>15</v>
      </c>
      <c r="E816" t="s">
        <v>16</v>
      </c>
      <c r="F816" t="s">
        <v>39</v>
      </c>
      <c r="G816" t="s">
        <v>36</v>
      </c>
      <c r="H816">
        <v>14949</v>
      </c>
      <c r="I816" t="s">
        <v>33</v>
      </c>
      <c r="J816">
        <v>0.3</v>
      </c>
      <c r="K816">
        <v>14000</v>
      </c>
      <c r="L816" s="1">
        <v>45317</v>
      </c>
    </row>
    <row r="817" spans="1:12" x14ac:dyDescent="0.3">
      <c r="A817" t="s">
        <v>1053</v>
      </c>
      <c r="B817" t="s">
        <v>233</v>
      </c>
      <c r="C817" t="s">
        <v>14</v>
      </c>
      <c r="D817" t="s">
        <v>15</v>
      </c>
      <c r="E817" t="s">
        <v>16</v>
      </c>
      <c r="F817" t="s">
        <v>25</v>
      </c>
      <c r="G817" t="s">
        <v>36</v>
      </c>
      <c r="H817">
        <v>13871</v>
      </c>
      <c r="I817" t="s">
        <v>22</v>
      </c>
      <c r="J817">
        <v>0.1</v>
      </c>
      <c r="K817">
        <v>14000</v>
      </c>
      <c r="L817" s="1">
        <v>45348</v>
      </c>
    </row>
    <row r="818" spans="1:12" x14ac:dyDescent="0.3">
      <c r="A818" t="s">
        <v>1054</v>
      </c>
      <c r="B818" t="s">
        <v>24</v>
      </c>
      <c r="C818" t="s">
        <v>61</v>
      </c>
      <c r="D818" t="s">
        <v>62</v>
      </c>
      <c r="E818" t="s">
        <v>16</v>
      </c>
      <c r="F818" t="s">
        <v>25</v>
      </c>
      <c r="G818" t="s">
        <v>26</v>
      </c>
      <c r="H818">
        <v>8586</v>
      </c>
      <c r="I818" t="s">
        <v>27</v>
      </c>
      <c r="K818">
        <v>9000</v>
      </c>
      <c r="L818" s="1">
        <v>45340</v>
      </c>
    </row>
    <row r="819" spans="1:12" x14ac:dyDescent="0.3">
      <c r="A819" t="s">
        <v>1055</v>
      </c>
      <c r="B819" t="s">
        <v>1032</v>
      </c>
      <c r="C819" t="s">
        <v>44</v>
      </c>
      <c r="D819" t="s">
        <v>45</v>
      </c>
      <c r="E819" t="s">
        <v>46</v>
      </c>
      <c r="F819" t="s">
        <v>17</v>
      </c>
      <c r="G819" t="s">
        <v>36</v>
      </c>
      <c r="H819">
        <v>14622</v>
      </c>
      <c r="I819" t="s">
        <v>33</v>
      </c>
      <c r="J819">
        <v>0.3</v>
      </c>
      <c r="K819">
        <v>13000</v>
      </c>
      <c r="L819" s="1">
        <v>45341</v>
      </c>
    </row>
    <row r="820" spans="1:12" x14ac:dyDescent="0.3">
      <c r="A820" t="s">
        <v>1056</v>
      </c>
      <c r="B820" t="s">
        <v>643</v>
      </c>
      <c r="C820" t="s">
        <v>61</v>
      </c>
      <c r="D820" t="s">
        <v>62</v>
      </c>
      <c r="E820" t="s">
        <v>32</v>
      </c>
      <c r="F820" t="s">
        <v>17</v>
      </c>
      <c r="G820" t="s">
        <v>36</v>
      </c>
      <c r="H820">
        <v>9511</v>
      </c>
      <c r="I820" t="s">
        <v>22</v>
      </c>
      <c r="J820">
        <v>0.1</v>
      </c>
      <c r="K820">
        <v>9000</v>
      </c>
      <c r="L820" s="1">
        <v>45336</v>
      </c>
    </row>
    <row r="821" spans="1:12" x14ac:dyDescent="0.3">
      <c r="A821" t="s">
        <v>1057</v>
      </c>
      <c r="B821" t="s">
        <v>80</v>
      </c>
      <c r="C821" t="s">
        <v>61</v>
      </c>
      <c r="D821" t="s">
        <v>62</v>
      </c>
      <c r="E821" t="s">
        <v>16</v>
      </c>
      <c r="F821" t="s">
        <v>17</v>
      </c>
      <c r="G821" t="s">
        <v>18</v>
      </c>
      <c r="H821">
        <v>9959</v>
      </c>
      <c r="I821" t="s">
        <v>27</v>
      </c>
      <c r="K821">
        <v>9000</v>
      </c>
      <c r="L821" s="1">
        <v>45299</v>
      </c>
    </row>
    <row r="822" spans="1:12" x14ac:dyDescent="0.3">
      <c r="A822" t="s">
        <v>1058</v>
      </c>
      <c r="B822" t="s">
        <v>135</v>
      </c>
      <c r="C822" t="s">
        <v>44</v>
      </c>
      <c r="D822" t="s">
        <v>45</v>
      </c>
      <c r="E822" t="s">
        <v>46</v>
      </c>
      <c r="F822" t="s">
        <v>17</v>
      </c>
      <c r="G822" t="s">
        <v>36</v>
      </c>
      <c r="H822">
        <v>12846</v>
      </c>
      <c r="I822" t="s">
        <v>22</v>
      </c>
      <c r="J822">
        <v>0.1</v>
      </c>
      <c r="K822">
        <v>13000</v>
      </c>
      <c r="L822" s="1">
        <v>45303</v>
      </c>
    </row>
    <row r="823" spans="1:12" x14ac:dyDescent="0.3">
      <c r="A823" t="s">
        <v>1059</v>
      </c>
      <c r="B823" t="s">
        <v>600</v>
      </c>
      <c r="C823" t="s">
        <v>44</v>
      </c>
      <c r="D823" t="s">
        <v>45</v>
      </c>
      <c r="E823" t="s">
        <v>46</v>
      </c>
      <c r="F823" t="s">
        <v>25</v>
      </c>
      <c r="G823" t="s">
        <v>36</v>
      </c>
      <c r="H823">
        <v>12327</v>
      </c>
      <c r="I823" t="s">
        <v>19</v>
      </c>
      <c r="J823">
        <v>0.2</v>
      </c>
      <c r="K823">
        <v>13000</v>
      </c>
      <c r="L823" s="1">
        <v>45337</v>
      </c>
    </row>
    <row r="824" spans="1:12" x14ac:dyDescent="0.3">
      <c r="A824" t="s">
        <v>1060</v>
      </c>
      <c r="B824" t="s">
        <v>1000</v>
      </c>
      <c r="C824" t="s">
        <v>14</v>
      </c>
      <c r="D824" t="s">
        <v>15</v>
      </c>
      <c r="E824" t="s">
        <v>32</v>
      </c>
      <c r="F824" t="s">
        <v>39</v>
      </c>
      <c r="G824" t="s">
        <v>36</v>
      </c>
      <c r="H824">
        <v>14597</v>
      </c>
      <c r="I824" t="s">
        <v>33</v>
      </c>
      <c r="J824">
        <v>0.3</v>
      </c>
      <c r="K824">
        <v>14000</v>
      </c>
      <c r="L824" s="1">
        <v>45297</v>
      </c>
    </row>
    <row r="825" spans="1:12" x14ac:dyDescent="0.3">
      <c r="A825" t="s">
        <v>1061</v>
      </c>
      <c r="B825" t="s">
        <v>548</v>
      </c>
      <c r="C825" t="s">
        <v>61</v>
      </c>
      <c r="D825" t="s">
        <v>62</v>
      </c>
      <c r="E825" t="s">
        <v>16</v>
      </c>
      <c r="F825" t="s">
        <v>39</v>
      </c>
      <c r="G825" t="s">
        <v>26</v>
      </c>
      <c r="H825">
        <v>10890</v>
      </c>
      <c r="I825" t="s">
        <v>19</v>
      </c>
      <c r="J825">
        <v>0.2</v>
      </c>
      <c r="K825">
        <v>9000</v>
      </c>
      <c r="L825" s="1">
        <v>45316</v>
      </c>
    </row>
    <row r="826" spans="1:12" x14ac:dyDescent="0.3">
      <c r="A826" t="s">
        <v>1062</v>
      </c>
      <c r="B826" t="s">
        <v>388</v>
      </c>
      <c r="C826" t="s">
        <v>14</v>
      </c>
      <c r="D826" t="s">
        <v>15</v>
      </c>
      <c r="E826" t="s">
        <v>32</v>
      </c>
      <c r="F826" t="s">
        <v>17</v>
      </c>
      <c r="G826" t="s">
        <v>26</v>
      </c>
      <c r="H826">
        <v>15568</v>
      </c>
      <c r="I826" t="s">
        <v>19</v>
      </c>
      <c r="J826">
        <v>0.2</v>
      </c>
      <c r="K826">
        <v>14000</v>
      </c>
      <c r="L826" s="1">
        <v>45302</v>
      </c>
    </row>
    <row r="827" spans="1:12" x14ac:dyDescent="0.3">
      <c r="A827" t="s">
        <v>1063</v>
      </c>
      <c r="B827" t="s">
        <v>412</v>
      </c>
      <c r="C827" t="s">
        <v>44</v>
      </c>
      <c r="D827" t="s">
        <v>45</v>
      </c>
      <c r="E827" t="s">
        <v>16</v>
      </c>
      <c r="F827" t="s">
        <v>25</v>
      </c>
      <c r="G827" t="s">
        <v>36</v>
      </c>
      <c r="H827">
        <v>12261</v>
      </c>
      <c r="I827" t="s">
        <v>33</v>
      </c>
      <c r="J827">
        <v>0.3</v>
      </c>
      <c r="K827">
        <v>13000</v>
      </c>
      <c r="L827" s="1">
        <v>45338</v>
      </c>
    </row>
    <row r="828" spans="1:12" x14ac:dyDescent="0.3">
      <c r="A828" t="s">
        <v>1064</v>
      </c>
      <c r="B828" t="s">
        <v>298</v>
      </c>
      <c r="C828" t="s">
        <v>30</v>
      </c>
      <c r="D828" t="s">
        <v>31</v>
      </c>
      <c r="E828" t="s">
        <v>16</v>
      </c>
      <c r="F828" t="s">
        <v>25</v>
      </c>
      <c r="G828" t="s">
        <v>18</v>
      </c>
      <c r="H828">
        <v>18680</v>
      </c>
      <c r="I828" t="s">
        <v>19</v>
      </c>
      <c r="J828">
        <v>0.2</v>
      </c>
      <c r="K828">
        <v>17000</v>
      </c>
      <c r="L828" s="1">
        <v>45304</v>
      </c>
    </row>
    <row r="829" spans="1:12" x14ac:dyDescent="0.3">
      <c r="A829" t="s">
        <v>1065</v>
      </c>
      <c r="B829" t="s">
        <v>109</v>
      </c>
      <c r="C829" t="s">
        <v>30</v>
      </c>
      <c r="D829" t="s">
        <v>31</v>
      </c>
      <c r="E829" t="s">
        <v>32</v>
      </c>
      <c r="F829" t="s">
        <v>17</v>
      </c>
      <c r="G829" t="s">
        <v>36</v>
      </c>
      <c r="H829">
        <v>18503</v>
      </c>
      <c r="K829">
        <v>17000</v>
      </c>
      <c r="L829" s="1">
        <v>45326</v>
      </c>
    </row>
    <row r="830" spans="1:12" x14ac:dyDescent="0.3">
      <c r="A830" t="s">
        <v>1066</v>
      </c>
      <c r="B830" t="s">
        <v>64</v>
      </c>
      <c r="C830" t="s">
        <v>61</v>
      </c>
      <c r="D830" t="s">
        <v>62</v>
      </c>
      <c r="E830" t="s">
        <v>32</v>
      </c>
      <c r="F830" t="s">
        <v>25</v>
      </c>
      <c r="G830" t="s">
        <v>26</v>
      </c>
      <c r="H830">
        <v>9701</v>
      </c>
      <c r="K830">
        <v>9000</v>
      </c>
      <c r="L830" s="1">
        <v>45321</v>
      </c>
    </row>
    <row r="831" spans="1:12" x14ac:dyDescent="0.3">
      <c r="A831" t="s">
        <v>1067</v>
      </c>
      <c r="B831" t="s">
        <v>527</v>
      </c>
      <c r="C831" t="s">
        <v>14</v>
      </c>
      <c r="D831" t="s">
        <v>15</v>
      </c>
      <c r="E831" t="s">
        <v>16</v>
      </c>
      <c r="F831" t="s">
        <v>39</v>
      </c>
      <c r="G831" t="s">
        <v>18</v>
      </c>
      <c r="H831">
        <v>13002</v>
      </c>
      <c r="I831" t="s">
        <v>27</v>
      </c>
      <c r="K831">
        <v>14000</v>
      </c>
      <c r="L831" s="1">
        <v>45309</v>
      </c>
    </row>
    <row r="832" spans="1:12" x14ac:dyDescent="0.3">
      <c r="A832" t="s">
        <v>1068</v>
      </c>
      <c r="B832" t="s">
        <v>209</v>
      </c>
      <c r="C832" t="s">
        <v>44</v>
      </c>
      <c r="D832" t="s">
        <v>45</v>
      </c>
      <c r="E832" t="s">
        <v>32</v>
      </c>
      <c r="F832" t="s">
        <v>25</v>
      </c>
      <c r="G832" t="s">
        <v>18</v>
      </c>
      <c r="H832">
        <v>11225</v>
      </c>
      <c r="I832" t="s">
        <v>33</v>
      </c>
      <c r="J832">
        <v>0.3</v>
      </c>
      <c r="K832">
        <v>13000</v>
      </c>
      <c r="L832" s="1">
        <v>45294</v>
      </c>
    </row>
    <row r="833" spans="1:12" x14ac:dyDescent="0.3">
      <c r="A833" t="s">
        <v>1069</v>
      </c>
      <c r="B833" t="s">
        <v>619</v>
      </c>
      <c r="C833" t="s">
        <v>14</v>
      </c>
      <c r="D833" t="s">
        <v>15</v>
      </c>
      <c r="E833" t="s">
        <v>16</v>
      </c>
      <c r="F833" t="s">
        <v>39</v>
      </c>
      <c r="G833" t="s">
        <v>26</v>
      </c>
      <c r="H833">
        <v>13222</v>
      </c>
      <c r="I833" t="s">
        <v>33</v>
      </c>
      <c r="J833">
        <v>0.3</v>
      </c>
      <c r="K833">
        <v>14000</v>
      </c>
      <c r="L833" s="1">
        <v>45350</v>
      </c>
    </row>
    <row r="834" spans="1:12" x14ac:dyDescent="0.3">
      <c r="A834" t="s">
        <v>1070</v>
      </c>
      <c r="B834" t="s">
        <v>43</v>
      </c>
      <c r="C834" t="s">
        <v>14</v>
      </c>
      <c r="D834" t="s">
        <v>15</v>
      </c>
      <c r="E834" t="s">
        <v>46</v>
      </c>
      <c r="F834" t="s">
        <v>25</v>
      </c>
      <c r="G834" t="s">
        <v>18</v>
      </c>
      <c r="H834">
        <v>14752</v>
      </c>
      <c r="I834" t="s">
        <v>33</v>
      </c>
      <c r="J834">
        <v>0.3</v>
      </c>
      <c r="K834">
        <v>14000</v>
      </c>
      <c r="L834" s="1">
        <v>45331</v>
      </c>
    </row>
    <row r="835" spans="1:12" x14ac:dyDescent="0.3">
      <c r="A835" t="s">
        <v>1071</v>
      </c>
      <c r="B835" t="s">
        <v>305</v>
      </c>
      <c r="C835" t="s">
        <v>44</v>
      </c>
      <c r="D835" t="s">
        <v>45</v>
      </c>
      <c r="E835" t="s">
        <v>46</v>
      </c>
      <c r="F835" t="s">
        <v>39</v>
      </c>
      <c r="G835" t="s">
        <v>26</v>
      </c>
      <c r="H835">
        <v>12475</v>
      </c>
      <c r="I835" t="s">
        <v>22</v>
      </c>
      <c r="J835">
        <v>0.1</v>
      </c>
      <c r="K835">
        <v>13000</v>
      </c>
      <c r="L835" s="1">
        <v>45297</v>
      </c>
    </row>
    <row r="836" spans="1:12" x14ac:dyDescent="0.3">
      <c r="A836" t="s">
        <v>1072</v>
      </c>
      <c r="B836" t="s">
        <v>1073</v>
      </c>
      <c r="C836" t="s">
        <v>30</v>
      </c>
      <c r="D836" t="s">
        <v>31</v>
      </c>
      <c r="E836" t="s">
        <v>46</v>
      </c>
      <c r="F836" t="s">
        <v>17</v>
      </c>
      <c r="G836" t="s">
        <v>18</v>
      </c>
      <c r="H836">
        <v>18106</v>
      </c>
      <c r="K836">
        <v>17000</v>
      </c>
      <c r="L836" s="1">
        <v>45345</v>
      </c>
    </row>
    <row r="837" spans="1:12" x14ac:dyDescent="0.3">
      <c r="A837" t="s">
        <v>1074</v>
      </c>
      <c r="B837" t="s">
        <v>905</v>
      </c>
      <c r="C837" t="s">
        <v>30</v>
      </c>
      <c r="D837" t="s">
        <v>31</v>
      </c>
      <c r="E837" t="s">
        <v>46</v>
      </c>
      <c r="F837" t="s">
        <v>25</v>
      </c>
      <c r="G837" t="s">
        <v>18</v>
      </c>
      <c r="H837">
        <v>17845</v>
      </c>
      <c r="I837" t="s">
        <v>33</v>
      </c>
      <c r="J837">
        <v>0.3</v>
      </c>
      <c r="K837">
        <v>17000</v>
      </c>
      <c r="L837" s="1">
        <v>45313</v>
      </c>
    </row>
    <row r="838" spans="1:12" x14ac:dyDescent="0.3">
      <c r="A838" t="s">
        <v>1075</v>
      </c>
      <c r="B838" t="s">
        <v>388</v>
      </c>
      <c r="C838" t="s">
        <v>44</v>
      </c>
      <c r="D838" t="s">
        <v>45</v>
      </c>
      <c r="E838" t="s">
        <v>16</v>
      </c>
      <c r="F838" t="s">
        <v>25</v>
      </c>
      <c r="G838" t="s">
        <v>26</v>
      </c>
      <c r="H838">
        <v>11238</v>
      </c>
      <c r="I838" t="s">
        <v>22</v>
      </c>
      <c r="J838">
        <v>0.1</v>
      </c>
      <c r="K838">
        <v>13000</v>
      </c>
      <c r="L838" s="1">
        <v>45328</v>
      </c>
    </row>
    <row r="839" spans="1:12" x14ac:dyDescent="0.3">
      <c r="A839" t="s">
        <v>1076</v>
      </c>
      <c r="B839" t="s">
        <v>765</v>
      </c>
      <c r="C839" t="s">
        <v>14</v>
      </c>
      <c r="D839" t="s">
        <v>15</v>
      </c>
      <c r="E839" t="s">
        <v>46</v>
      </c>
      <c r="F839" t="s">
        <v>39</v>
      </c>
      <c r="G839" t="s">
        <v>26</v>
      </c>
      <c r="H839">
        <v>14477</v>
      </c>
      <c r="I839" t="s">
        <v>33</v>
      </c>
      <c r="J839">
        <v>0.3</v>
      </c>
      <c r="K839">
        <v>14000</v>
      </c>
      <c r="L839" s="1">
        <v>45319</v>
      </c>
    </row>
    <row r="840" spans="1:12" x14ac:dyDescent="0.3">
      <c r="A840" t="s">
        <v>1077</v>
      </c>
      <c r="B840" t="s">
        <v>837</v>
      </c>
      <c r="C840" t="s">
        <v>30</v>
      </c>
      <c r="D840" t="s">
        <v>31</v>
      </c>
      <c r="E840" t="s">
        <v>46</v>
      </c>
      <c r="F840" t="s">
        <v>39</v>
      </c>
      <c r="G840" t="s">
        <v>26</v>
      </c>
      <c r="H840">
        <v>17552</v>
      </c>
      <c r="I840" t="s">
        <v>33</v>
      </c>
      <c r="J840">
        <v>0.3</v>
      </c>
      <c r="K840">
        <v>17000</v>
      </c>
      <c r="L840" s="1">
        <v>45351</v>
      </c>
    </row>
    <row r="841" spans="1:12" x14ac:dyDescent="0.3">
      <c r="A841" t="s">
        <v>1078</v>
      </c>
      <c r="B841" t="s">
        <v>720</v>
      </c>
      <c r="C841" t="s">
        <v>61</v>
      </c>
      <c r="D841" t="s">
        <v>62</v>
      </c>
      <c r="E841" t="s">
        <v>16</v>
      </c>
      <c r="F841" t="s">
        <v>39</v>
      </c>
      <c r="G841" t="s">
        <v>26</v>
      </c>
      <c r="H841">
        <v>9038</v>
      </c>
      <c r="K841">
        <v>9000</v>
      </c>
      <c r="L841" s="1">
        <v>45343</v>
      </c>
    </row>
    <row r="842" spans="1:12" x14ac:dyDescent="0.3">
      <c r="A842" t="s">
        <v>1079</v>
      </c>
      <c r="B842" t="s">
        <v>720</v>
      </c>
      <c r="C842" t="s">
        <v>44</v>
      </c>
      <c r="D842" t="s">
        <v>45</v>
      </c>
      <c r="E842" t="s">
        <v>16</v>
      </c>
      <c r="F842" t="s">
        <v>17</v>
      </c>
      <c r="G842" t="s">
        <v>18</v>
      </c>
      <c r="H842">
        <v>11006</v>
      </c>
      <c r="I842" t="s">
        <v>22</v>
      </c>
      <c r="J842">
        <v>0.1</v>
      </c>
      <c r="K842">
        <v>13000</v>
      </c>
      <c r="L842" s="1">
        <v>45293</v>
      </c>
    </row>
    <row r="843" spans="1:12" x14ac:dyDescent="0.3">
      <c r="A843" t="s">
        <v>1080</v>
      </c>
      <c r="B843" t="s">
        <v>332</v>
      </c>
      <c r="C843" t="s">
        <v>14</v>
      </c>
      <c r="D843" t="s">
        <v>15</v>
      </c>
      <c r="E843" t="s">
        <v>16</v>
      </c>
      <c r="F843" t="s">
        <v>25</v>
      </c>
      <c r="G843" t="s">
        <v>26</v>
      </c>
      <c r="H843">
        <v>13698</v>
      </c>
      <c r="K843">
        <v>14000</v>
      </c>
      <c r="L843" s="1">
        <v>45294</v>
      </c>
    </row>
    <row r="844" spans="1:12" x14ac:dyDescent="0.3">
      <c r="A844" t="s">
        <v>1081</v>
      </c>
      <c r="B844" t="s">
        <v>282</v>
      </c>
      <c r="C844" t="s">
        <v>44</v>
      </c>
      <c r="D844" t="s">
        <v>45</v>
      </c>
      <c r="E844" t="s">
        <v>32</v>
      </c>
      <c r="F844" t="s">
        <v>39</v>
      </c>
      <c r="G844" t="s">
        <v>18</v>
      </c>
      <c r="H844">
        <v>13826</v>
      </c>
      <c r="I844" t="s">
        <v>33</v>
      </c>
      <c r="J844">
        <v>0.3</v>
      </c>
      <c r="K844">
        <v>13000</v>
      </c>
      <c r="L844" s="1">
        <v>45308</v>
      </c>
    </row>
    <row r="845" spans="1:12" x14ac:dyDescent="0.3">
      <c r="A845" t="s">
        <v>1082</v>
      </c>
      <c r="B845" t="s">
        <v>652</v>
      </c>
      <c r="C845" t="s">
        <v>30</v>
      </c>
      <c r="D845" t="s">
        <v>31</v>
      </c>
      <c r="E845" t="s">
        <v>46</v>
      </c>
      <c r="F845" t="s">
        <v>39</v>
      </c>
      <c r="G845" t="s">
        <v>26</v>
      </c>
      <c r="H845">
        <v>16326</v>
      </c>
      <c r="I845" t="s">
        <v>22</v>
      </c>
      <c r="J845">
        <v>0.1</v>
      </c>
      <c r="K845">
        <v>17000</v>
      </c>
      <c r="L845" s="1">
        <v>45299</v>
      </c>
    </row>
    <row r="846" spans="1:12" x14ac:dyDescent="0.3">
      <c r="A846" t="s">
        <v>1083</v>
      </c>
      <c r="B846" t="s">
        <v>317</v>
      </c>
      <c r="C846" t="s">
        <v>30</v>
      </c>
      <c r="D846" t="s">
        <v>31</v>
      </c>
      <c r="E846" t="s">
        <v>46</v>
      </c>
      <c r="F846" t="s">
        <v>39</v>
      </c>
      <c r="G846" t="s">
        <v>26</v>
      </c>
      <c r="H846">
        <v>17523</v>
      </c>
      <c r="I846" t="s">
        <v>22</v>
      </c>
      <c r="J846">
        <v>0.1</v>
      </c>
      <c r="K846">
        <v>17000</v>
      </c>
      <c r="L846" s="1">
        <v>45345</v>
      </c>
    </row>
    <row r="847" spans="1:12" x14ac:dyDescent="0.3">
      <c r="A847" t="s">
        <v>1084</v>
      </c>
      <c r="B847" t="s">
        <v>35</v>
      </c>
      <c r="C847" t="s">
        <v>30</v>
      </c>
      <c r="D847" t="s">
        <v>31</v>
      </c>
      <c r="E847" t="s">
        <v>46</v>
      </c>
      <c r="F847" t="s">
        <v>39</v>
      </c>
      <c r="G847" t="s">
        <v>36</v>
      </c>
      <c r="H847">
        <v>18752</v>
      </c>
      <c r="K847">
        <v>17000</v>
      </c>
      <c r="L847" s="1">
        <v>45343</v>
      </c>
    </row>
    <row r="848" spans="1:12" x14ac:dyDescent="0.3">
      <c r="A848" t="s">
        <v>1085</v>
      </c>
      <c r="B848" t="s">
        <v>68</v>
      </c>
      <c r="C848" t="s">
        <v>44</v>
      </c>
      <c r="D848" t="s">
        <v>45</v>
      </c>
      <c r="E848" t="s">
        <v>46</v>
      </c>
      <c r="F848" t="s">
        <v>25</v>
      </c>
      <c r="G848" t="s">
        <v>26</v>
      </c>
      <c r="H848">
        <v>12886</v>
      </c>
      <c r="I848" t="s">
        <v>27</v>
      </c>
      <c r="K848">
        <v>13000</v>
      </c>
      <c r="L848" s="1">
        <v>45349</v>
      </c>
    </row>
    <row r="849" spans="1:12" x14ac:dyDescent="0.3">
      <c r="A849" t="s">
        <v>1086</v>
      </c>
      <c r="B849" t="s">
        <v>802</v>
      </c>
      <c r="C849" t="s">
        <v>61</v>
      </c>
      <c r="D849" t="s">
        <v>62</v>
      </c>
      <c r="E849" t="s">
        <v>16</v>
      </c>
      <c r="F849" t="s">
        <v>25</v>
      </c>
      <c r="G849" t="s">
        <v>26</v>
      </c>
      <c r="H849">
        <v>8226</v>
      </c>
      <c r="I849" t="s">
        <v>27</v>
      </c>
      <c r="K849">
        <v>9000</v>
      </c>
      <c r="L849" s="1">
        <v>45338</v>
      </c>
    </row>
    <row r="850" spans="1:12" x14ac:dyDescent="0.3">
      <c r="A850" t="s">
        <v>1087</v>
      </c>
      <c r="B850" t="s">
        <v>317</v>
      </c>
      <c r="C850" t="s">
        <v>14</v>
      </c>
      <c r="D850" t="s">
        <v>15</v>
      </c>
      <c r="E850" t="s">
        <v>32</v>
      </c>
      <c r="F850" t="s">
        <v>39</v>
      </c>
      <c r="G850" t="s">
        <v>26</v>
      </c>
      <c r="H850">
        <v>13358</v>
      </c>
      <c r="I850" t="s">
        <v>33</v>
      </c>
      <c r="J850">
        <v>0.3</v>
      </c>
      <c r="K850">
        <v>14000</v>
      </c>
      <c r="L850" s="1">
        <v>45296</v>
      </c>
    </row>
    <row r="851" spans="1:12" x14ac:dyDescent="0.3">
      <c r="A851" t="s">
        <v>1088</v>
      </c>
      <c r="B851" t="s">
        <v>256</v>
      </c>
      <c r="C851" t="s">
        <v>14</v>
      </c>
      <c r="D851" t="s">
        <v>15</v>
      </c>
      <c r="E851" t="s">
        <v>46</v>
      </c>
      <c r="F851" t="s">
        <v>17</v>
      </c>
      <c r="G851" t="s">
        <v>26</v>
      </c>
      <c r="H851">
        <v>14188</v>
      </c>
      <c r="I851" t="s">
        <v>19</v>
      </c>
      <c r="J851">
        <v>0.2</v>
      </c>
      <c r="K851">
        <v>14000</v>
      </c>
      <c r="L851" s="1">
        <v>45328</v>
      </c>
    </row>
    <row r="852" spans="1:12" x14ac:dyDescent="0.3">
      <c r="A852" t="s">
        <v>1089</v>
      </c>
      <c r="B852" t="s">
        <v>337</v>
      </c>
      <c r="C852" t="s">
        <v>44</v>
      </c>
      <c r="D852" t="s">
        <v>45</v>
      </c>
      <c r="E852" t="s">
        <v>16</v>
      </c>
      <c r="F852" t="s">
        <v>25</v>
      </c>
      <c r="G852" t="s">
        <v>36</v>
      </c>
      <c r="H852">
        <v>13888</v>
      </c>
      <c r="I852" t="s">
        <v>33</v>
      </c>
      <c r="J852">
        <v>0.3</v>
      </c>
      <c r="K852">
        <v>13000</v>
      </c>
      <c r="L852" s="1">
        <v>45337</v>
      </c>
    </row>
    <row r="853" spans="1:12" x14ac:dyDescent="0.3">
      <c r="A853" t="s">
        <v>1090</v>
      </c>
      <c r="B853" t="s">
        <v>584</v>
      </c>
      <c r="C853" t="s">
        <v>61</v>
      </c>
      <c r="D853" t="s">
        <v>62</v>
      </c>
      <c r="E853" t="s">
        <v>32</v>
      </c>
      <c r="F853" t="s">
        <v>17</v>
      </c>
      <c r="G853" t="s">
        <v>18</v>
      </c>
      <c r="H853">
        <v>8522</v>
      </c>
      <c r="K853">
        <v>9000</v>
      </c>
      <c r="L853" s="1">
        <v>45345</v>
      </c>
    </row>
    <row r="854" spans="1:12" x14ac:dyDescent="0.3">
      <c r="A854" t="s">
        <v>1091</v>
      </c>
      <c r="B854" t="s">
        <v>289</v>
      </c>
      <c r="C854" t="s">
        <v>30</v>
      </c>
      <c r="D854" t="s">
        <v>31</v>
      </c>
      <c r="E854" t="s">
        <v>32</v>
      </c>
      <c r="F854" t="s">
        <v>25</v>
      </c>
      <c r="G854" t="s">
        <v>36</v>
      </c>
      <c r="H854">
        <v>18215</v>
      </c>
      <c r="I854" t="s">
        <v>22</v>
      </c>
      <c r="J854">
        <v>0.1</v>
      </c>
      <c r="K854">
        <v>17000</v>
      </c>
      <c r="L854" s="1">
        <v>45341</v>
      </c>
    </row>
    <row r="855" spans="1:12" x14ac:dyDescent="0.3">
      <c r="A855" t="s">
        <v>1092</v>
      </c>
      <c r="B855" t="s">
        <v>229</v>
      </c>
      <c r="C855" t="s">
        <v>61</v>
      </c>
      <c r="D855" t="s">
        <v>62</v>
      </c>
      <c r="E855" t="s">
        <v>16</v>
      </c>
      <c r="F855" t="s">
        <v>25</v>
      </c>
      <c r="G855" t="s">
        <v>36</v>
      </c>
      <c r="H855">
        <v>10706</v>
      </c>
      <c r="I855" t="s">
        <v>27</v>
      </c>
      <c r="K855">
        <v>9000</v>
      </c>
      <c r="L855" s="1">
        <v>45301</v>
      </c>
    </row>
    <row r="856" spans="1:12" x14ac:dyDescent="0.3">
      <c r="A856" t="s">
        <v>1093</v>
      </c>
      <c r="B856" t="s">
        <v>391</v>
      </c>
      <c r="C856" t="s">
        <v>61</v>
      </c>
      <c r="D856" t="s">
        <v>62</v>
      </c>
      <c r="E856" t="s">
        <v>16</v>
      </c>
      <c r="F856" t="s">
        <v>39</v>
      </c>
      <c r="G856" t="s">
        <v>36</v>
      </c>
      <c r="H856">
        <v>10176</v>
      </c>
      <c r="I856" t="s">
        <v>33</v>
      </c>
      <c r="J856">
        <v>0.3</v>
      </c>
      <c r="K856">
        <v>9000</v>
      </c>
      <c r="L856" s="1">
        <v>45301</v>
      </c>
    </row>
    <row r="857" spans="1:12" x14ac:dyDescent="0.3">
      <c r="A857" t="s">
        <v>1094</v>
      </c>
      <c r="B857" t="s">
        <v>140</v>
      </c>
      <c r="C857" t="s">
        <v>14</v>
      </c>
      <c r="D857" t="s">
        <v>15</v>
      </c>
      <c r="E857" t="s">
        <v>16</v>
      </c>
      <c r="F857" t="s">
        <v>39</v>
      </c>
      <c r="G857" t="s">
        <v>18</v>
      </c>
      <c r="H857">
        <v>12840</v>
      </c>
      <c r="I857" t="s">
        <v>22</v>
      </c>
      <c r="J857">
        <v>0.1</v>
      </c>
      <c r="K857">
        <v>14000</v>
      </c>
      <c r="L857" s="1">
        <v>45321</v>
      </c>
    </row>
    <row r="858" spans="1:12" x14ac:dyDescent="0.3">
      <c r="A858" t="s">
        <v>1095</v>
      </c>
      <c r="B858" t="s">
        <v>101</v>
      </c>
      <c r="C858" t="s">
        <v>14</v>
      </c>
      <c r="D858" t="s">
        <v>15</v>
      </c>
      <c r="E858" t="s">
        <v>32</v>
      </c>
      <c r="F858" t="s">
        <v>17</v>
      </c>
      <c r="G858" t="s">
        <v>18</v>
      </c>
      <c r="H858">
        <v>14814</v>
      </c>
      <c r="I858" t="s">
        <v>27</v>
      </c>
      <c r="K858">
        <v>14000</v>
      </c>
      <c r="L858" s="1">
        <v>45347</v>
      </c>
    </row>
    <row r="859" spans="1:12" x14ac:dyDescent="0.3">
      <c r="A859" t="s">
        <v>1096</v>
      </c>
      <c r="B859" t="s">
        <v>432</v>
      </c>
      <c r="C859" t="s">
        <v>61</v>
      </c>
      <c r="D859" t="s">
        <v>62</v>
      </c>
      <c r="E859" t="s">
        <v>32</v>
      </c>
      <c r="F859" t="s">
        <v>25</v>
      </c>
      <c r="G859" t="s">
        <v>26</v>
      </c>
      <c r="H859">
        <v>10138</v>
      </c>
      <c r="I859" t="s">
        <v>33</v>
      </c>
      <c r="J859">
        <v>0.3</v>
      </c>
      <c r="K859">
        <v>9000</v>
      </c>
      <c r="L859" s="1">
        <v>45293</v>
      </c>
    </row>
    <row r="860" spans="1:12" x14ac:dyDescent="0.3">
      <c r="A860" t="s">
        <v>1097</v>
      </c>
      <c r="B860" t="s">
        <v>579</v>
      </c>
      <c r="C860" t="s">
        <v>30</v>
      </c>
      <c r="D860" t="s">
        <v>31</v>
      </c>
      <c r="E860" t="s">
        <v>16</v>
      </c>
      <c r="F860" t="s">
        <v>25</v>
      </c>
      <c r="G860" t="s">
        <v>36</v>
      </c>
      <c r="H860">
        <v>15821</v>
      </c>
      <c r="I860" t="s">
        <v>19</v>
      </c>
      <c r="J860">
        <v>0.2</v>
      </c>
      <c r="K860">
        <v>17000</v>
      </c>
      <c r="L860" s="1">
        <v>45310</v>
      </c>
    </row>
    <row r="861" spans="1:12" x14ac:dyDescent="0.3">
      <c r="A861" t="s">
        <v>1098</v>
      </c>
      <c r="B861" t="s">
        <v>307</v>
      </c>
      <c r="C861" t="s">
        <v>30</v>
      </c>
      <c r="D861" t="s">
        <v>31</v>
      </c>
      <c r="E861" t="s">
        <v>46</v>
      </c>
      <c r="F861" t="s">
        <v>39</v>
      </c>
      <c r="G861" t="s">
        <v>18</v>
      </c>
      <c r="H861">
        <v>16116</v>
      </c>
      <c r="I861" t="s">
        <v>19</v>
      </c>
      <c r="J861">
        <v>0.2</v>
      </c>
      <c r="K861">
        <v>17000</v>
      </c>
      <c r="L861" s="1">
        <v>45302</v>
      </c>
    </row>
    <row r="862" spans="1:12" x14ac:dyDescent="0.3">
      <c r="A862" t="s">
        <v>1099</v>
      </c>
      <c r="B862" t="s">
        <v>222</v>
      </c>
      <c r="C862" t="s">
        <v>14</v>
      </c>
      <c r="D862" t="s">
        <v>15</v>
      </c>
      <c r="E862" t="s">
        <v>16</v>
      </c>
      <c r="F862" t="s">
        <v>39</v>
      </c>
      <c r="G862" t="s">
        <v>26</v>
      </c>
      <c r="H862">
        <v>12419</v>
      </c>
      <c r="I862" t="s">
        <v>19</v>
      </c>
      <c r="J862">
        <v>0.2</v>
      </c>
      <c r="K862">
        <v>14000</v>
      </c>
      <c r="L862" s="1">
        <v>45326</v>
      </c>
    </row>
    <row r="863" spans="1:12" x14ac:dyDescent="0.3">
      <c r="A863" t="s">
        <v>1100</v>
      </c>
      <c r="B863" t="s">
        <v>301</v>
      </c>
      <c r="C863" t="s">
        <v>30</v>
      </c>
      <c r="D863" t="s">
        <v>31</v>
      </c>
      <c r="E863" t="s">
        <v>46</v>
      </c>
      <c r="F863" t="s">
        <v>25</v>
      </c>
      <c r="G863" t="s">
        <v>26</v>
      </c>
      <c r="H863">
        <v>18293</v>
      </c>
      <c r="I863" t="s">
        <v>33</v>
      </c>
      <c r="J863">
        <v>0.3</v>
      </c>
      <c r="K863">
        <v>17000</v>
      </c>
      <c r="L863" s="1">
        <v>45328</v>
      </c>
    </row>
    <row r="864" spans="1:12" x14ac:dyDescent="0.3">
      <c r="A864" t="s">
        <v>1101</v>
      </c>
      <c r="B864" t="s">
        <v>235</v>
      </c>
      <c r="C864" t="s">
        <v>14</v>
      </c>
      <c r="D864" t="s">
        <v>15</v>
      </c>
      <c r="E864" t="s">
        <v>46</v>
      </c>
      <c r="F864" t="s">
        <v>39</v>
      </c>
      <c r="G864" t="s">
        <v>36</v>
      </c>
      <c r="H864">
        <v>14214</v>
      </c>
      <c r="K864">
        <v>14000</v>
      </c>
      <c r="L864" s="1">
        <v>45295</v>
      </c>
    </row>
    <row r="865" spans="1:12" x14ac:dyDescent="0.3">
      <c r="A865" t="s">
        <v>1102</v>
      </c>
      <c r="B865" t="s">
        <v>557</v>
      </c>
      <c r="C865" t="s">
        <v>61</v>
      </c>
      <c r="D865" t="s">
        <v>62</v>
      </c>
      <c r="E865" t="s">
        <v>16</v>
      </c>
      <c r="F865" t="s">
        <v>25</v>
      </c>
      <c r="G865" t="s">
        <v>18</v>
      </c>
      <c r="H865">
        <v>8571</v>
      </c>
      <c r="I865" t="s">
        <v>22</v>
      </c>
      <c r="J865">
        <v>0.1</v>
      </c>
      <c r="K865">
        <v>9000</v>
      </c>
      <c r="L865" s="1">
        <v>45297</v>
      </c>
    </row>
    <row r="866" spans="1:12" x14ac:dyDescent="0.3">
      <c r="A866" t="s">
        <v>1103</v>
      </c>
      <c r="B866" t="s">
        <v>177</v>
      </c>
      <c r="C866" t="s">
        <v>44</v>
      </c>
      <c r="D866" t="s">
        <v>45</v>
      </c>
      <c r="E866" t="s">
        <v>16</v>
      </c>
      <c r="F866" t="s">
        <v>39</v>
      </c>
      <c r="G866" t="s">
        <v>26</v>
      </c>
      <c r="H866">
        <v>13578</v>
      </c>
      <c r="K866">
        <v>13000</v>
      </c>
      <c r="L866" s="1">
        <v>45331</v>
      </c>
    </row>
    <row r="867" spans="1:12" x14ac:dyDescent="0.3">
      <c r="A867" t="s">
        <v>1104</v>
      </c>
      <c r="B867" t="s">
        <v>1105</v>
      </c>
      <c r="C867" t="s">
        <v>30</v>
      </c>
      <c r="D867" t="s">
        <v>31</v>
      </c>
      <c r="E867" t="s">
        <v>32</v>
      </c>
      <c r="F867" t="s">
        <v>39</v>
      </c>
      <c r="G867" t="s">
        <v>26</v>
      </c>
      <c r="H867">
        <v>18314</v>
      </c>
      <c r="I867" t="s">
        <v>27</v>
      </c>
      <c r="K867">
        <v>17000</v>
      </c>
      <c r="L867" s="1">
        <v>45297</v>
      </c>
    </row>
    <row r="868" spans="1:12" x14ac:dyDescent="0.3">
      <c r="A868" t="s">
        <v>1106</v>
      </c>
      <c r="B868" t="s">
        <v>148</v>
      </c>
      <c r="C868" t="s">
        <v>61</v>
      </c>
      <c r="D868" t="s">
        <v>62</v>
      </c>
      <c r="E868" t="s">
        <v>16</v>
      </c>
      <c r="F868" t="s">
        <v>25</v>
      </c>
      <c r="G868" t="s">
        <v>18</v>
      </c>
      <c r="H868">
        <v>10329</v>
      </c>
      <c r="K868">
        <v>9000</v>
      </c>
      <c r="L868" s="1">
        <v>45298</v>
      </c>
    </row>
    <row r="869" spans="1:12" x14ac:dyDescent="0.3">
      <c r="A869" t="s">
        <v>1107</v>
      </c>
      <c r="B869" t="s">
        <v>123</v>
      </c>
      <c r="C869" t="s">
        <v>61</v>
      </c>
      <c r="D869" t="s">
        <v>62</v>
      </c>
      <c r="E869" t="s">
        <v>46</v>
      </c>
      <c r="F869" t="s">
        <v>25</v>
      </c>
      <c r="G869" t="s">
        <v>18</v>
      </c>
      <c r="H869">
        <v>7588</v>
      </c>
      <c r="I869" t="s">
        <v>27</v>
      </c>
      <c r="K869">
        <v>9000</v>
      </c>
      <c r="L869" s="1">
        <v>45308</v>
      </c>
    </row>
    <row r="870" spans="1:12" x14ac:dyDescent="0.3">
      <c r="A870" t="s">
        <v>1108</v>
      </c>
      <c r="B870" t="s">
        <v>827</v>
      </c>
      <c r="C870" t="s">
        <v>61</v>
      </c>
      <c r="D870" t="s">
        <v>62</v>
      </c>
      <c r="E870" t="s">
        <v>32</v>
      </c>
      <c r="F870" t="s">
        <v>39</v>
      </c>
      <c r="G870" t="s">
        <v>26</v>
      </c>
      <c r="H870">
        <v>8353</v>
      </c>
      <c r="I870" t="s">
        <v>33</v>
      </c>
      <c r="J870">
        <v>0.3</v>
      </c>
      <c r="K870">
        <v>9000</v>
      </c>
      <c r="L870" s="1">
        <v>45321</v>
      </c>
    </row>
    <row r="871" spans="1:12" x14ac:dyDescent="0.3">
      <c r="A871" t="s">
        <v>1109</v>
      </c>
      <c r="B871" t="s">
        <v>711</v>
      </c>
      <c r="C871" t="s">
        <v>14</v>
      </c>
      <c r="D871" t="s">
        <v>15</v>
      </c>
      <c r="E871" t="s">
        <v>46</v>
      </c>
      <c r="F871" t="s">
        <v>25</v>
      </c>
      <c r="G871" t="s">
        <v>36</v>
      </c>
      <c r="H871">
        <v>13960</v>
      </c>
      <c r="K871">
        <v>14000</v>
      </c>
      <c r="L871" s="1">
        <v>45346</v>
      </c>
    </row>
    <row r="872" spans="1:12" x14ac:dyDescent="0.3">
      <c r="A872" t="s">
        <v>1110</v>
      </c>
      <c r="B872" t="s">
        <v>256</v>
      </c>
      <c r="C872" t="s">
        <v>30</v>
      </c>
      <c r="D872" t="s">
        <v>31</v>
      </c>
      <c r="E872" t="s">
        <v>16</v>
      </c>
      <c r="F872" t="s">
        <v>39</v>
      </c>
      <c r="G872" t="s">
        <v>18</v>
      </c>
      <c r="H872">
        <v>17080</v>
      </c>
      <c r="I872" t="s">
        <v>22</v>
      </c>
      <c r="J872">
        <v>0.1</v>
      </c>
      <c r="K872">
        <v>17000</v>
      </c>
      <c r="L872" s="1">
        <v>45317</v>
      </c>
    </row>
    <row r="873" spans="1:12" x14ac:dyDescent="0.3">
      <c r="A873" t="s">
        <v>1111</v>
      </c>
      <c r="B873" t="s">
        <v>1112</v>
      </c>
      <c r="C873" t="s">
        <v>14</v>
      </c>
      <c r="D873" t="s">
        <v>15</v>
      </c>
      <c r="E873" t="s">
        <v>46</v>
      </c>
      <c r="F873" t="s">
        <v>39</v>
      </c>
      <c r="G873" t="s">
        <v>26</v>
      </c>
      <c r="H873">
        <v>12290</v>
      </c>
      <c r="I873" t="s">
        <v>33</v>
      </c>
      <c r="J873">
        <v>0.3</v>
      </c>
      <c r="K873">
        <v>14000</v>
      </c>
      <c r="L873" s="1">
        <v>45326</v>
      </c>
    </row>
    <row r="874" spans="1:12" x14ac:dyDescent="0.3">
      <c r="A874" t="s">
        <v>1113</v>
      </c>
      <c r="B874" t="s">
        <v>52</v>
      </c>
      <c r="C874" t="s">
        <v>61</v>
      </c>
      <c r="D874" t="s">
        <v>62</v>
      </c>
      <c r="E874" t="s">
        <v>32</v>
      </c>
      <c r="F874" t="s">
        <v>39</v>
      </c>
      <c r="G874" t="s">
        <v>18</v>
      </c>
      <c r="H874">
        <v>9244</v>
      </c>
      <c r="I874" t="s">
        <v>19</v>
      </c>
      <c r="J874">
        <v>0.2</v>
      </c>
      <c r="K874">
        <v>9000</v>
      </c>
      <c r="L874" s="1">
        <v>45322</v>
      </c>
    </row>
    <row r="875" spans="1:12" x14ac:dyDescent="0.3">
      <c r="A875" t="s">
        <v>1114</v>
      </c>
      <c r="B875" t="s">
        <v>41</v>
      </c>
      <c r="C875" t="s">
        <v>30</v>
      </c>
      <c r="D875" t="s">
        <v>31</v>
      </c>
      <c r="E875" t="s">
        <v>32</v>
      </c>
      <c r="F875" t="s">
        <v>39</v>
      </c>
      <c r="G875" t="s">
        <v>26</v>
      </c>
      <c r="H875">
        <v>16765</v>
      </c>
      <c r="K875">
        <v>17000</v>
      </c>
      <c r="L875" s="1">
        <v>45328</v>
      </c>
    </row>
    <row r="876" spans="1:12" x14ac:dyDescent="0.3">
      <c r="A876" t="s">
        <v>1115</v>
      </c>
      <c r="B876" t="s">
        <v>602</v>
      </c>
      <c r="C876" t="s">
        <v>44</v>
      </c>
      <c r="D876" t="s">
        <v>45</v>
      </c>
      <c r="E876" t="s">
        <v>32</v>
      </c>
      <c r="F876" t="s">
        <v>39</v>
      </c>
      <c r="G876" t="s">
        <v>26</v>
      </c>
      <c r="H876">
        <v>11319</v>
      </c>
      <c r="I876" t="s">
        <v>27</v>
      </c>
      <c r="K876">
        <v>13000</v>
      </c>
      <c r="L876" s="1">
        <v>45345</v>
      </c>
    </row>
    <row r="877" spans="1:12" x14ac:dyDescent="0.3">
      <c r="A877" t="s">
        <v>1116</v>
      </c>
      <c r="B877" t="s">
        <v>227</v>
      </c>
      <c r="C877" t="s">
        <v>61</v>
      </c>
      <c r="D877" t="s">
        <v>62</v>
      </c>
      <c r="E877" t="s">
        <v>46</v>
      </c>
      <c r="F877" t="s">
        <v>39</v>
      </c>
      <c r="G877" t="s">
        <v>18</v>
      </c>
      <c r="H877">
        <v>10367</v>
      </c>
      <c r="K877">
        <v>9000</v>
      </c>
      <c r="L877" s="1">
        <v>45303</v>
      </c>
    </row>
    <row r="878" spans="1:12" x14ac:dyDescent="0.3">
      <c r="A878" t="s">
        <v>1117</v>
      </c>
      <c r="B878" t="s">
        <v>70</v>
      </c>
      <c r="C878" t="s">
        <v>14</v>
      </c>
      <c r="D878" t="s">
        <v>15</v>
      </c>
      <c r="E878" t="s">
        <v>16</v>
      </c>
      <c r="F878" t="s">
        <v>25</v>
      </c>
      <c r="G878" t="s">
        <v>26</v>
      </c>
      <c r="H878">
        <v>15334</v>
      </c>
      <c r="I878" t="s">
        <v>27</v>
      </c>
      <c r="K878">
        <v>14000</v>
      </c>
      <c r="L878" s="1">
        <v>45341</v>
      </c>
    </row>
    <row r="879" spans="1:12" x14ac:dyDescent="0.3">
      <c r="A879" t="s">
        <v>1118</v>
      </c>
      <c r="B879" t="s">
        <v>487</v>
      </c>
      <c r="C879" t="s">
        <v>30</v>
      </c>
      <c r="D879" t="s">
        <v>31</v>
      </c>
      <c r="E879" t="s">
        <v>46</v>
      </c>
      <c r="F879" t="s">
        <v>39</v>
      </c>
      <c r="G879" t="s">
        <v>26</v>
      </c>
      <c r="H879">
        <v>15251</v>
      </c>
      <c r="I879" t="s">
        <v>22</v>
      </c>
      <c r="J879">
        <v>0.1</v>
      </c>
      <c r="K879">
        <v>17000</v>
      </c>
      <c r="L879" s="1">
        <v>45305</v>
      </c>
    </row>
    <row r="880" spans="1:12" x14ac:dyDescent="0.3">
      <c r="A880" t="s">
        <v>1119</v>
      </c>
      <c r="B880" t="s">
        <v>412</v>
      </c>
      <c r="C880" t="s">
        <v>14</v>
      </c>
      <c r="D880" t="s">
        <v>15</v>
      </c>
      <c r="E880" t="s">
        <v>32</v>
      </c>
      <c r="F880" t="s">
        <v>39</v>
      </c>
      <c r="G880" t="s">
        <v>18</v>
      </c>
      <c r="H880">
        <v>13855</v>
      </c>
      <c r="I880" t="s">
        <v>27</v>
      </c>
      <c r="K880">
        <v>14000</v>
      </c>
      <c r="L880" s="1">
        <v>45310</v>
      </c>
    </row>
    <row r="881" spans="1:12" x14ac:dyDescent="0.3">
      <c r="A881" t="s">
        <v>1120</v>
      </c>
      <c r="B881" t="s">
        <v>617</v>
      </c>
      <c r="C881" t="s">
        <v>61</v>
      </c>
      <c r="D881" t="s">
        <v>62</v>
      </c>
      <c r="E881" t="s">
        <v>32</v>
      </c>
      <c r="F881" t="s">
        <v>25</v>
      </c>
      <c r="G881" t="s">
        <v>26</v>
      </c>
      <c r="H881">
        <v>10593</v>
      </c>
      <c r="I881" t="s">
        <v>33</v>
      </c>
      <c r="J881">
        <v>0.3</v>
      </c>
      <c r="K881">
        <v>9000</v>
      </c>
      <c r="L881" s="1">
        <v>45311</v>
      </c>
    </row>
    <row r="882" spans="1:12" x14ac:dyDescent="0.3">
      <c r="A882" t="s">
        <v>1121</v>
      </c>
      <c r="B882" t="s">
        <v>579</v>
      </c>
      <c r="C882" t="s">
        <v>30</v>
      </c>
      <c r="D882" t="s">
        <v>31</v>
      </c>
      <c r="E882" t="s">
        <v>46</v>
      </c>
      <c r="F882" t="s">
        <v>39</v>
      </c>
      <c r="G882" t="s">
        <v>36</v>
      </c>
      <c r="H882">
        <v>15365</v>
      </c>
      <c r="I882" t="s">
        <v>27</v>
      </c>
      <c r="K882">
        <v>17000</v>
      </c>
      <c r="L882" s="1">
        <v>45292</v>
      </c>
    </row>
    <row r="883" spans="1:12" x14ac:dyDescent="0.3">
      <c r="A883" t="s">
        <v>1122</v>
      </c>
      <c r="B883" t="s">
        <v>86</v>
      </c>
      <c r="C883" t="s">
        <v>61</v>
      </c>
      <c r="D883" t="s">
        <v>62</v>
      </c>
      <c r="E883" t="s">
        <v>32</v>
      </c>
      <c r="F883" t="s">
        <v>17</v>
      </c>
      <c r="G883" t="s">
        <v>18</v>
      </c>
      <c r="H883">
        <v>8512</v>
      </c>
      <c r="I883" t="s">
        <v>27</v>
      </c>
      <c r="K883">
        <v>9000</v>
      </c>
      <c r="L883" s="1">
        <v>45295</v>
      </c>
    </row>
    <row r="884" spans="1:12" x14ac:dyDescent="0.3">
      <c r="A884" t="s">
        <v>1123</v>
      </c>
      <c r="B884" t="s">
        <v>190</v>
      </c>
      <c r="C884" t="s">
        <v>30</v>
      </c>
      <c r="D884" t="s">
        <v>31</v>
      </c>
      <c r="E884" t="s">
        <v>32</v>
      </c>
      <c r="F884" t="s">
        <v>17</v>
      </c>
      <c r="G884" t="s">
        <v>18</v>
      </c>
      <c r="H884">
        <v>15963</v>
      </c>
      <c r="K884">
        <v>17000</v>
      </c>
      <c r="L884" s="1">
        <v>45336</v>
      </c>
    </row>
    <row r="885" spans="1:12" x14ac:dyDescent="0.3">
      <c r="A885" t="s">
        <v>1124</v>
      </c>
      <c r="B885" t="s">
        <v>337</v>
      </c>
      <c r="C885" t="s">
        <v>30</v>
      </c>
      <c r="D885" t="s">
        <v>31</v>
      </c>
      <c r="E885" t="s">
        <v>16</v>
      </c>
      <c r="F885" t="s">
        <v>17</v>
      </c>
      <c r="G885" t="s">
        <v>36</v>
      </c>
      <c r="H885">
        <v>16562</v>
      </c>
      <c r="K885">
        <v>17000</v>
      </c>
      <c r="L885" s="1">
        <v>45326</v>
      </c>
    </row>
    <row r="886" spans="1:12" x14ac:dyDescent="0.3">
      <c r="A886" t="s">
        <v>1125</v>
      </c>
      <c r="B886" t="s">
        <v>817</v>
      </c>
      <c r="C886" t="s">
        <v>44</v>
      </c>
      <c r="D886" t="s">
        <v>45</v>
      </c>
      <c r="E886" t="s">
        <v>46</v>
      </c>
      <c r="F886" t="s">
        <v>25</v>
      </c>
      <c r="G886" t="s">
        <v>18</v>
      </c>
      <c r="H886">
        <v>13275</v>
      </c>
      <c r="K886">
        <v>13000</v>
      </c>
      <c r="L886" s="1">
        <v>45345</v>
      </c>
    </row>
    <row r="887" spans="1:12" x14ac:dyDescent="0.3">
      <c r="A887" t="s">
        <v>1126</v>
      </c>
      <c r="B887" t="s">
        <v>827</v>
      </c>
      <c r="C887" t="s">
        <v>61</v>
      </c>
      <c r="D887" t="s">
        <v>62</v>
      </c>
      <c r="E887" t="s">
        <v>32</v>
      </c>
      <c r="F887" t="s">
        <v>17</v>
      </c>
      <c r="G887" t="s">
        <v>26</v>
      </c>
      <c r="H887">
        <v>7514</v>
      </c>
      <c r="I887" t="s">
        <v>19</v>
      </c>
      <c r="J887">
        <v>0.2</v>
      </c>
      <c r="K887">
        <v>9000</v>
      </c>
      <c r="L887" s="1">
        <v>45292</v>
      </c>
    </row>
    <row r="888" spans="1:12" x14ac:dyDescent="0.3">
      <c r="A888" t="s">
        <v>1127</v>
      </c>
      <c r="B888" t="s">
        <v>21</v>
      </c>
      <c r="C888" t="s">
        <v>14</v>
      </c>
      <c r="D888" t="s">
        <v>15</v>
      </c>
      <c r="E888" t="s">
        <v>32</v>
      </c>
      <c r="F888" t="s">
        <v>39</v>
      </c>
      <c r="G888" t="s">
        <v>36</v>
      </c>
      <c r="H888">
        <v>14694</v>
      </c>
      <c r="K888">
        <v>14000</v>
      </c>
      <c r="L888" s="1">
        <v>45300</v>
      </c>
    </row>
    <row r="889" spans="1:12" x14ac:dyDescent="0.3">
      <c r="A889" t="s">
        <v>1128</v>
      </c>
      <c r="B889" t="s">
        <v>843</v>
      </c>
      <c r="C889" t="s">
        <v>61</v>
      </c>
      <c r="D889" t="s">
        <v>62</v>
      </c>
      <c r="E889" t="s">
        <v>46</v>
      </c>
      <c r="F889" t="s">
        <v>39</v>
      </c>
      <c r="G889" t="s">
        <v>26</v>
      </c>
      <c r="H889">
        <v>10810</v>
      </c>
      <c r="K889">
        <v>9000</v>
      </c>
      <c r="L889" s="1">
        <v>45331</v>
      </c>
    </row>
    <row r="890" spans="1:12" x14ac:dyDescent="0.3">
      <c r="A890" t="s">
        <v>1129</v>
      </c>
      <c r="B890" t="s">
        <v>429</v>
      </c>
      <c r="C890" t="s">
        <v>61</v>
      </c>
      <c r="D890" t="s">
        <v>62</v>
      </c>
      <c r="E890" t="s">
        <v>16</v>
      </c>
      <c r="F890" t="s">
        <v>17</v>
      </c>
      <c r="G890" t="s">
        <v>36</v>
      </c>
      <c r="H890">
        <v>8455</v>
      </c>
      <c r="I890" t="s">
        <v>19</v>
      </c>
      <c r="J890">
        <v>0.2</v>
      </c>
      <c r="K890">
        <v>9000</v>
      </c>
      <c r="L890" s="1">
        <v>45303</v>
      </c>
    </row>
    <row r="891" spans="1:12" x14ac:dyDescent="0.3">
      <c r="A891" t="s">
        <v>1130</v>
      </c>
      <c r="B891" t="s">
        <v>617</v>
      </c>
      <c r="C891" t="s">
        <v>14</v>
      </c>
      <c r="D891" t="s">
        <v>15</v>
      </c>
      <c r="E891" t="s">
        <v>16</v>
      </c>
      <c r="F891" t="s">
        <v>17</v>
      </c>
      <c r="G891" t="s">
        <v>26</v>
      </c>
      <c r="H891">
        <v>12969</v>
      </c>
      <c r="I891" t="s">
        <v>27</v>
      </c>
      <c r="K891">
        <v>14000</v>
      </c>
      <c r="L891" s="1">
        <v>45309</v>
      </c>
    </row>
    <row r="892" spans="1:12" x14ac:dyDescent="0.3">
      <c r="A892" t="s">
        <v>1131</v>
      </c>
      <c r="B892" t="s">
        <v>512</v>
      </c>
      <c r="C892" t="s">
        <v>30</v>
      </c>
      <c r="D892" t="s">
        <v>31</v>
      </c>
      <c r="E892" t="s">
        <v>32</v>
      </c>
      <c r="F892" t="s">
        <v>25</v>
      </c>
      <c r="G892" t="s">
        <v>26</v>
      </c>
      <c r="H892">
        <v>16979</v>
      </c>
      <c r="I892" t="s">
        <v>33</v>
      </c>
      <c r="J892">
        <v>0.3</v>
      </c>
      <c r="K892">
        <v>17000</v>
      </c>
      <c r="L892" s="1">
        <v>45299</v>
      </c>
    </row>
    <row r="893" spans="1:12" x14ac:dyDescent="0.3">
      <c r="A893" t="s">
        <v>1132</v>
      </c>
      <c r="B893" t="s">
        <v>356</v>
      </c>
      <c r="C893" t="s">
        <v>14</v>
      </c>
      <c r="D893" t="s">
        <v>15</v>
      </c>
      <c r="E893" t="s">
        <v>32</v>
      </c>
      <c r="F893" t="s">
        <v>39</v>
      </c>
      <c r="G893" t="s">
        <v>26</v>
      </c>
      <c r="H893">
        <v>14156</v>
      </c>
      <c r="I893" t="s">
        <v>33</v>
      </c>
      <c r="J893">
        <v>0.3</v>
      </c>
      <c r="K893">
        <v>14000</v>
      </c>
      <c r="L893" s="1">
        <v>45321</v>
      </c>
    </row>
    <row r="894" spans="1:12" x14ac:dyDescent="0.3">
      <c r="A894" t="s">
        <v>1133</v>
      </c>
      <c r="B894" t="s">
        <v>905</v>
      </c>
      <c r="C894" t="s">
        <v>14</v>
      </c>
      <c r="D894" t="s">
        <v>15</v>
      </c>
      <c r="E894" t="s">
        <v>32</v>
      </c>
      <c r="F894" t="s">
        <v>17</v>
      </c>
      <c r="G894" t="s">
        <v>26</v>
      </c>
      <c r="H894">
        <v>15037</v>
      </c>
      <c r="I894" t="s">
        <v>22</v>
      </c>
      <c r="J894">
        <v>0.1</v>
      </c>
      <c r="K894">
        <v>14000</v>
      </c>
      <c r="L894" s="1">
        <v>45335</v>
      </c>
    </row>
    <row r="895" spans="1:12" x14ac:dyDescent="0.3">
      <c r="A895" t="s">
        <v>1134</v>
      </c>
      <c r="B895" t="s">
        <v>416</v>
      </c>
      <c r="C895" t="s">
        <v>30</v>
      </c>
      <c r="D895" t="s">
        <v>31</v>
      </c>
      <c r="E895" t="s">
        <v>16</v>
      </c>
      <c r="F895" t="s">
        <v>25</v>
      </c>
      <c r="G895" t="s">
        <v>36</v>
      </c>
      <c r="H895">
        <v>17191</v>
      </c>
      <c r="I895" t="s">
        <v>22</v>
      </c>
      <c r="J895">
        <v>0.1</v>
      </c>
      <c r="K895">
        <v>17000</v>
      </c>
      <c r="L895" s="1">
        <v>45322</v>
      </c>
    </row>
    <row r="896" spans="1:12" x14ac:dyDescent="0.3">
      <c r="A896" t="s">
        <v>1135</v>
      </c>
      <c r="B896" t="s">
        <v>330</v>
      </c>
      <c r="C896" t="s">
        <v>61</v>
      </c>
      <c r="D896" t="s">
        <v>62</v>
      </c>
      <c r="E896" t="s">
        <v>16</v>
      </c>
      <c r="F896" t="s">
        <v>39</v>
      </c>
      <c r="G896" t="s">
        <v>36</v>
      </c>
      <c r="H896">
        <v>8724</v>
      </c>
      <c r="I896" t="s">
        <v>33</v>
      </c>
      <c r="J896">
        <v>0.3</v>
      </c>
      <c r="K896">
        <v>9000</v>
      </c>
      <c r="L896" s="1">
        <v>45343</v>
      </c>
    </row>
    <row r="897" spans="1:12" x14ac:dyDescent="0.3">
      <c r="A897" t="s">
        <v>1136</v>
      </c>
      <c r="B897" t="s">
        <v>361</v>
      </c>
      <c r="C897" t="s">
        <v>44</v>
      </c>
      <c r="D897" t="s">
        <v>45</v>
      </c>
      <c r="E897" t="s">
        <v>32</v>
      </c>
      <c r="F897" t="s">
        <v>39</v>
      </c>
      <c r="G897" t="s">
        <v>26</v>
      </c>
      <c r="H897">
        <v>14069</v>
      </c>
      <c r="I897" t="s">
        <v>33</v>
      </c>
      <c r="J897">
        <v>0.3</v>
      </c>
      <c r="K897">
        <v>13000</v>
      </c>
      <c r="L897" s="1">
        <v>45338</v>
      </c>
    </row>
    <row r="898" spans="1:12" x14ac:dyDescent="0.3">
      <c r="A898" t="s">
        <v>1137</v>
      </c>
      <c r="B898" t="s">
        <v>522</v>
      </c>
      <c r="C898" t="s">
        <v>30</v>
      </c>
      <c r="D898" t="s">
        <v>31</v>
      </c>
      <c r="E898" t="s">
        <v>32</v>
      </c>
      <c r="F898" t="s">
        <v>39</v>
      </c>
      <c r="G898" t="s">
        <v>36</v>
      </c>
      <c r="H898">
        <v>17368</v>
      </c>
      <c r="I898" t="s">
        <v>19</v>
      </c>
      <c r="J898">
        <v>0.2</v>
      </c>
      <c r="K898">
        <v>17000</v>
      </c>
      <c r="L898" s="1">
        <v>45328</v>
      </c>
    </row>
    <row r="899" spans="1:12" x14ac:dyDescent="0.3">
      <c r="A899" t="s">
        <v>1138</v>
      </c>
      <c r="B899" t="s">
        <v>68</v>
      </c>
      <c r="C899" t="s">
        <v>30</v>
      </c>
      <c r="D899" t="s">
        <v>31</v>
      </c>
      <c r="E899" t="s">
        <v>16</v>
      </c>
      <c r="F899" t="s">
        <v>39</v>
      </c>
      <c r="G899" t="s">
        <v>18</v>
      </c>
      <c r="H899">
        <v>16174</v>
      </c>
      <c r="K899">
        <v>17000</v>
      </c>
      <c r="L899" s="1">
        <v>45297</v>
      </c>
    </row>
    <row r="900" spans="1:12" x14ac:dyDescent="0.3">
      <c r="A900" t="s">
        <v>1139</v>
      </c>
      <c r="B900" t="s">
        <v>440</v>
      </c>
      <c r="C900" t="s">
        <v>14</v>
      </c>
      <c r="D900" t="s">
        <v>15</v>
      </c>
      <c r="E900" t="s">
        <v>46</v>
      </c>
      <c r="F900" t="s">
        <v>17</v>
      </c>
      <c r="G900" t="s">
        <v>18</v>
      </c>
      <c r="H900">
        <v>14522</v>
      </c>
      <c r="I900" t="s">
        <v>33</v>
      </c>
      <c r="J900">
        <v>0.3</v>
      </c>
      <c r="K900">
        <v>14000</v>
      </c>
      <c r="L900" s="1">
        <v>45309</v>
      </c>
    </row>
    <row r="901" spans="1:12" x14ac:dyDescent="0.3">
      <c r="A901" t="s">
        <v>1140</v>
      </c>
      <c r="B901" t="s">
        <v>643</v>
      </c>
      <c r="C901" t="s">
        <v>14</v>
      </c>
      <c r="D901" t="s">
        <v>15</v>
      </c>
      <c r="E901" t="s">
        <v>16</v>
      </c>
      <c r="F901" t="s">
        <v>25</v>
      </c>
      <c r="G901" t="s">
        <v>26</v>
      </c>
      <c r="H901">
        <v>12715</v>
      </c>
      <c r="I901" t="s">
        <v>27</v>
      </c>
      <c r="K901">
        <v>14000</v>
      </c>
      <c r="L901" s="1">
        <v>45339</v>
      </c>
    </row>
    <row r="902" spans="1:12" x14ac:dyDescent="0.3">
      <c r="A902" t="s">
        <v>1141</v>
      </c>
      <c r="B902" t="s">
        <v>113</v>
      </c>
      <c r="C902" t="s">
        <v>61</v>
      </c>
      <c r="D902" t="s">
        <v>62</v>
      </c>
      <c r="E902" t="s">
        <v>46</v>
      </c>
      <c r="F902" t="s">
        <v>25</v>
      </c>
      <c r="G902" t="s">
        <v>36</v>
      </c>
      <c r="H902">
        <v>10205</v>
      </c>
      <c r="I902" t="s">
        <v>19</v>
      </c>
      <c r="J902">
        <v>0.2</v>
      </c>
      <c r="K902">
        <v>9000</v>
      </c>
      <c r="L902" s="1">
        <v>45323</v>
      </c>
    </row>
    <row r="903" spans="1:12" x14ac:dyDescent="0.3">
      <c r="A903" t="s">
        <v>1142</v>
      </c>
      <c r="B903" t="s">
        <v>135</v>
      </c>
      <c r="C903" t="s">
        <v>14</v>
      </c>
      <c r="D903" t="s">
        <v>15</v>
      </c>
      <c r="E903" t="s">
        <v>46</v>
      </c>
      <c r="F903" t="s">
        <v>25</v>
      </c>
      <c r="G903" t="s">
        <v>18</v>
      </c>
      <c r="H903">
        <v>14439</v>
      </c>
      <c r="I903" t="s">
        <v>19</v>
      </c>
      <c r="J903">
        <v>0.2</v>
      </c>
      <c r="K903">
        <v>14000</v>
      </c>
      <c r="L903" s="1">
        <v>45345</v>
      </c>
    </row>
    <row r="904" spans="1:12" x14ac:dyDescent="0.3">
      <c r="A904" t="s">
        <v>1143</v>
      </c>
      <c r="B904" t="s">
        <v>157</v>
      </c>
      <c r="C904" t="s">
        <v>61</v>
      </c>
      <c r="D904" t="s">
        <v>62</v>
      </c>
      <c r="E904" t="s">
        <v>46</v>
      </c>
      <c r="F904" t="s">
        <v>25</v>
      </c>
      <c r="G904" t="s">
        <v>26</v>
      </c>
      <c r="H904">
        <v>8802</v>
      </c>
      <c r="I904" t="s">
        <v>19</v>
      </c>
      <c r="J904">
        <v>0.2</v>
      </c>
      <c r="K904">
        <v>9000</v>
      </c>
      <c r="L904" s="1">
        <v>45305</v>
      </c>
    </row>
    <row r="905" spans="1:12" x14ac:dyDescent="0.3">
      <c r="A905" t="s">
        <v>1144</v>
      </c>
      <c r="B905" t="s">
        <v>233</v>
      </c>
      <c r="C905" t="s">
        <v>30</v>
      </c>
      <c r="D905" t="s">
        <v>31</v>
      </c>
      <c r="E905" t="s">
        <v>32</v>
      </c>
      <c r="F905" t="s">
        <v>39</v>
      </c>
      <c r="G905" t="s">
        <v>36</v>
      </c>
      <c r="H905">
        <v>18094</v>
      </c>
      <c r="I905" t="s">
        <v>22</v>
      </c>
      <c r="J905">
        <v>0.1</v>
      </c>
      <c r="K905">
        <v>17000</v>
      </c>
      <c r="L905" s="1">
        <v>45295</v>
      </c>
    </row>
    <row r="906" spans="1:12" x14ac:dyDescent="0.3">
      <c r="A906" t="s">
        <v>1145</v>
      </c>
      <c r="B906" t="s">
        <v>429</v>
      </c>
      <c r="C906" t="s">
        <v>61</v>
      </c>
      <c r="D906" t="s">
        <v>62</v>
      </c>
      <c r="E906" t="s">
        <v>46</v>
      </c>
      <c r="F906" t="s">
        <v>17</v>
      </c>
      <c r="G906" t="s">
        <v>36</v>
      </c>
      <c r="H906">
        <v>10056</v>
      </c>
      <c r="I906" t="s">
        <v>27</v>
      </c>
      <c r="K906">
        <v>9000</v>
      </c>
      <c r="L906" s="1">
        <v>45306</v>
      </c>
    </row>
    <row r="907" spans="1:12" x14ac:dyDescent="0.3">
      <c r="A907" t="s">
        <v>1146</v>
      </c>
      <c r="B907" t="s">
        <v>274</v>
      </c>
      <c r="C907" t="s">
        <v>61</v>
      </c>
      <c r="D907" t="s">
        <v>62</v>
      </c>
      <c r="E907" t="s">
        <v>46</v>
      </c>
      <c r="F907" t="s">
        <v>17</v>
      </c>
      <c r="G907" t="s">
        <v>18</v>
      </c>
      <c r="H907">
        <v>9172</v>
      </c>
      <c r="K907">
        <v>9000</v>
      </c>
      <c r="L907" s="1">
        <v>45292</v>
      </c>
    </row>
    <row r="908" spans="1:12" x14ac:dyDescent="0.3">
      <c r="A908" t="s">
        <v>1147</v>
      </c>
      <c r="B908" t="s">
        <v>443</v>
      </c>
      <c r="C908" t="s">
        <v>61</v>
      </c>
      <c r="D908" t="s">
        <v>62</v>
      </c>
      <c r="E908" t="s">
        <v>46</v>
      </c>
      <c r="F908" t="s">
        <v>39</v>
      </c>
      <c r="G908" t="s">
        <v>36</v>
      </c>
      <c r="H908">
        <v>10939</v>
      </c>
      <c r="I908" t="s">
        <v>27</v>
      </c>
      <c r="K908">
        <v>9000</v>
      </c>
      <c r="L908" s="1">
        <v>45335</v>
      </c>
    </row>
    <row r="909" spans="1:12" x14ac:dyDescent="0.3">
      <c r="A909" t="s">
        <v>1148</v>
      </c>
      <c r="B909" t="s">
        <v>76</v>
      </c>
      <c r="C909" t="s">
        <v>30</v>
      </c>
      <c r="D909" t="s">
        <v>31</v>
      </c>
      <c r="E909" t="s">
        <v>46</v>
      </c>
      <c r="F909" t="s">
        <v>39</v>
      </c>
      <c r="G909" t="s">
        <v>26</v>
      </c>
      <c r="H909">
        <v>18515</v>
      </c>
      <c r="I909" t="s">
        <v>33</v>
      </c>
      <c r="J909">
        <v>0.3</v>
      </c>
      <c r="K909">
        <v>17000</v>
      </c>
      <c r="L909" s="1">
        <v>45313</v>
      </c>
    </row>
    <row r="910" spans="1:12" x14ac:dyDescent="0.3">
      <c r="A910" t="s">
        <v>1149</v>
      </c>
      <c r="B910" t="s">
        <v>361</v>
      </c>
      <c r="C910" t="s">
        <v>14</v>
      </c>
      <c r="D910" t="s">
        <v>15</v>
      </c>
      <c r="E910" t="s">
        <v>46</v>
      </c>
      <c r="F910" t="s">
        <v>39</v>
      </c>
      <c r="G910" t="s">
        <v>26</v>
      </c>
      <c r="H910">
        <v>13602</v>
      </c>
      <c r="K910">
        <v>14000</v>
      </c>
      <c r="L910" s="1">
        <v>45341</v>
      </c>
    </row>
    <row r="911" spans="1:12" x14ac:dyDescent="0.3">
      <c r="A911" t="s">
        <v>1150</v>
      </c>
      <c r="B911" t="s">
        <v>305</v>
      </c>
      <c r="C911" t="s">
        <v>44</v>
      </c>
      <c r="D911" t="s">
        <v>45</v>
      </c>
      <c r="E911" t="s">
        <v>16</v>
      </c>
      <c r="F911" t="s">
        <v>39</v>
      </c>
      <c r="G911" t="s">
        <v>26</v>
      </c>
      <c r="H911">
        <v>14155</v>
      </c>
      <c r="I911" t="s">
        <v>19</v>
      </c>
      <c r="J911">
        <v>0.2</v>
      </c>
      <c r="K911">
        <v>13000</v>
      </c>
      <c r="L911" s="1">
        <v>45325</v>
      </c>
    </row>
    <row r="912" spans="1:12" x14ac:dyDescent="0.3">
      <c r="A912" t="s">
        <v>1151</v>
      </c>
      <c r="B912" t="s">
        <v>150</v>
      </c>
      <c r="C912" t="s">
        <v>44</v>
      </c>
      <c r="D912" t="s">
        <v>45</v>
      </c>
      <c r="E912" t="s">
        <v>46</v>
      </c>
      <c r="F912" t="s">
        <v>39</v>
      </c>
      <c r="G912" t="s">
        <v>18</v>
      </c>
      <c r="H912">
        <v>13755</v>
      </c>
      <c r="I912" t="s">
        <v>22</v>
      </c>
      <c r="J912">
        <v>0.1</v>
      </c>
      <c r="K912">
        <v>13000</v>
      </c>
      <c r="L912" s="1">
        <v>45345</v>
      </c>
    </row>
    <row r="913" spans="1:12" x14ac:dyDescent="0.3">
      <c r="A913" t="s">
        <v>1152</v>
      </c>
      <c r="B913" t="s">
        <v>43</v>
      </c>
      <c r="C913" t="s">
        <v>61</v>
      </c>
      <c r="D913" t="s">
        <v>62</v>
      </c>
      <c r="E913" t="s">
        <v>32</v>
      </c>
      <c r="F913" t="s">
        <v>39</v>
      </c>
      <c r="G913" t="s">
        <v>18</v>
      </c>
      <c r="H913">
        <v>9807</v>
      </c>
      <c r="K913">
        <v>9000</v>
      </c>
      <c r="L913" s="1">
        <v>45314</v>
      </c>
    </row>
    <row r="914" spans="1:12" x14ac:dyDescent="0.3">
      <c r="A914" t="s">
        <v>1153</v>
      </c>
      <c r="B914" t="s">
        <v>220</v>
      </c>
      <c r="C914" t="s">
        <v>30</v>
      </c>
      <c r="D914" t="s">
        <v>31</v>
      </c>
      <c r="E914" t="s">
        <v>46</v>
      </c>
      <c r="F914" t="s">
        <v>25</v>
      </c>
      <c r="G914" t="s">
        <v>18</v>
      </c>
      <c r="H914">
        <v>15097</v>
      </c>
      <c r="I914" t="s">
        <v>27</v>
      </c>
      <c r="K914">
        <v>17000</v>
      </c>
      <c r="L914" s="1">
        <v>45297</v>
      </c>
    </row>
    <row r="915" spans="1:12" x14ac:dyDescent="0.3">
      <c r="A915" t="s">
        <v>1154</v>
      </c>
      <c r="B915" t="s">
        <v>109</v>
      </c>
      <c r="C915" t="s">
        <v>44</v>
      </c>
      <c r="D915" t="s">
        <v>45</v>
      </c>
      <c r="E915" t="s">
        <v>16</v>
      </c>
      <c r="F915" t="s">
        <v>39</v>
      </c>
      <c r="G915" t="s">
        <v>18</v>
      </c>
      <c r="H915">
        <v>13900</v>
      </c>
      <c r="I915" t="s">
        <v>22</v>
      </c>
      <c r="J915">
        <v>0.1</v>
      </c>
      <c r="K915">
        <v>13000</v>
      </c>
      <c r="L915" s="1">
        <v>45297</v>
      </c>
    </row>
    <row r="916" spans="1:12" x14ac:dyDescent="0.3">
      <c r="A916" t="s">
        <v>1155</v>
      </c>
      <c r="B916" t="s">
        <v>460</v>
      </c>
      <c r="C916" t="s">
        <v>44</v>
      </c>
      <c r="D916" t="s">
        <v>45</v>
      </c>
      <c r="E916" t="s">
        <v>46</v>
      </c>
      <c r="F916" t="s">
        <v>39</v>
      </c>
      <c r="G916" t="s">
        <v>26</v>
      </c>
      <c r="H916">
        <v>13318</v>
      </c>
      <c r="I916" t="s">
        <v>19</v>
      </c>
      <c r="J916">
        <v>0.2</v>
      </c>
      <c r="K916">
        <v>13000</v>
      </c>
      <c r="L916" s="1">
        <v>45349</v>
      </c>
    </row>
    <row r="917" spans="1:12" x14ac:dyDescent="0.3">
      <c r="A917" t="s">
        <v>1156</v>
      </c>
      <c r="B917" t="s">
        <v>173</v>
      </c>
      <c r="C917" t="s">
        <v>44</v>
      </c>
      <c r="D917" t="s">
        <v>45</v>
      </c>
      <c r="E917" t="s">
        <v>46</v>
      </c>
      <c r="F917" t="s">
        <v>17</v>
      </c>
      <c r="G917" t="s">
        <v>36</v>
      </c>
      <c r="H917">
        <v>13705</v>
      </c>
      <c r="I917" t="s">
        <v>22</v>
      </c>
      <c r="J917">
        <v>0.1</v>
      </c>
      <c r="K917">
        <v>13000</v>
      </c>
      <c r="L917" s="1">
        <v>45332</v>
      </c>
    </row>
    <row r="918" spans="1:12" x14ac:dyDescent="0.3">
      <c r="A918" t="s">
        <v>1157</v>
      </c>
      <c r="B918" t="s">
        <v>123</v>
      </c>
      <c r="C918" t="s">
        <v>61</v>
      </c>
      <c r="D918" t="s">
        <v>62</v>
      </c>
      <c r="E918" t="s">
        <v>16</v>
      </c>
      <c r="F918" t="s">
        <v>39</v>
      </c>
      <c r="G918" t="s">
        <v>36</v>
      </c>
      <c r="H918">
        <v>8054</v>
      </c>
      <c r="I918" t="s">
        <v>19</v>
      </c>
      <c r="J918">
        <v>0.2</v>
      </c>
      <c r="K918">
        <v>9000</v>
      </c>
      <c r="L918" s="1">
        <v>45341</v>
      </c>
    </row>
    <row r="919" spans="1:12" x14ac:dyDescent="0.3">
      <c r="A919" t="s">
        <v>1158</v>
      </c>
      <c r="B919" t="s">
        <v>263</v>
      </c>
      <c r="C919" t="s">
        <v>14</v>
      </c>
      <c r="D919" t="s">
        <v>15</v>
      </c>
      <c r="E919" t="s">
        <v>46</v>
      </c>
      <c r="F919" t="s">
        <v>17</v>
      </c>
      <c r="G919" t="s">
        <v>36</v>
      </c>
      <c r="H919">
        <v>12246</v>
      </c>
      <c r="I919" t="s">
        <v>33</v>
      </c>
      <c r="J919">
        <v>0.3</v>
      </c>
      <c r="K919">
        <v>14000</v>
      </c>
      <c r="L919" s="1">
        <v>45344</v>
      </c>
    </row>
    <row r="920" spans="1:12" x14ac:dyDescent="0.3">
      <c r="A920" t="s">
        <v>1159</v>
      </c>
      <c r="B920" t="s">
        <v>58</v>
      </c>
      <c r="C920" t="s">
        <v>61</v>
      </c>
      <c r="D920" t="s">
        <v>62</v>
      </c>
      <c r="E920" t="s">
        <v>32</v>
      </c>
      <c r="F920" t="s">
        <v>17</v>
      </c>
      <c r="G920" t="s">
        <v>18</v>
      </c>
      <c r="H920">
        <v>9499</v>
      </c>
      <c r="K920">
        <v>9000</v>
      </c>
      <c r="L920" s="1">
        <v>45303</v>
      </c>
    </row>
    <row r="921" spans="1:12" x14ac:dyDescent="0.3">
      <c r="A921" t="s">
        <v>1160</v>
      </c>
      <c r="B921" t="s">
        <v>591</v>
      </c>
      <c r="C921" t="s">
        <v>14</v>
      </c>
      <c r="D921" t="s">
        <v>15</v>
      </c>
      <c r="E921" t="s">
        <v>32</v>
      </c>
      <c r="F921" t="s">
        <v>39</v>
      </c>
      <c r="G921" t="s">
        <v>36</v>
      </c>
      <c r="H921">
        <v>12894</v>
      </c>
      <c r="I921" t="s">
        <v>27</v>
      </c>
      <c r="K921">
        <v>14000</v>
      </c>
      <c r="L921" s="1">
        <v>45333</v>
      </c>
    </row>
    <row r="922" spans="1:12" x14ac:dyDescent="0.3">
      <c r="A922" t="s">
        <v>1161</v>
      </c>
      <c r="B922" t="s">
        <v>245</v>
      </c>
      <c r="C922" t="s">
        <v>30</v>
      </c>
      <c r="D922" t="s">
        <v>31</v>
      </c>
      <c r="E922" t="s">
        <v>32</v>
      </c>
      <c r="F922" t="s">
        <v>25</v>
      </c>
      <c r="G922" t="s">
        <v>18</v>
      </c>
      <c r="H922">
        <v>15288</v>
      </c>
      <c r="I922" t="s">
        <v>27</v>
      </c>
      <c r="K922">
        <v>17000</v>
      </c>
      <c r="L922" s="1">
        <v>45338</v>
      </c>
    </row>
    <row r="923" spans="1:12" x14ac:dyDescent="0.3">
      <c r="A923" t="s">
        <v>1162</v>
      </c>
      <c r="B923" t="s">
        <v>443</v>
      </c>
      <c r="C923" t="s">
        <v>61</v>
      </c>
      <c r="D923" t="s">
        <v>62</v>
      </c>
      <c r="E923" t="s">
        <v>32</v>
      </c>
      <c r="F923" t="s">
        <v>17</v>
      </c>
      <c r="G923" t="s">
        <v>18</v>
      </c>
      <c r="H923">
        <v>9674</v>
      </c>
      <c r="I923" t="s">
        <v>22</v>
      </c>
      <c r="J923">
        <v>0.1</v>
      </c>
      <c r="K923">
        <v>9000</v>
      </c>
      <c r="L923" s="1">
        <v>45351</v>
      </c>
    </row>
    <row r="924" spans="1:12" x14ac:dyDescent="0.3">
      <c r="A924" t="s">
        <v>1163</v>
      </c>
      <c r="B924" t="s">
        <v>68</v>
      </c>
      <c r="C924" t="s">
        <v>61</v>
      </c>
      <c r="D924" t="s">
        <v>62</v>
      </c>
      <c r="E924" t="s">
        <v>46</v>
      </c>
      <c r="F924" t="s">
        <v>25</v>
      </c>
      <c r="G924" t="s">
        <v>26</v>
      </c>
      <c r="H924">
        <v>8350</v>
      </c>
      <c r="K924">
        <v>9000</v>
      </c>
      <c r="L924" s="1">
        <v>45328</v>
      </c>
    </row>
    <row r="925" spans="1:12" x14ac:dyDescent="0.3">
      <c r="A925" t="s">
        <v>1164</v>
      </c>
      <c r="B925" t="s">
        <v>166</v>
      </c>
      <c r="C925" t="s">
        <v>61</v>
      </c>
      <c r="D925" t="s">
        <v>62</v>
      </c>
      <c r="E925" t="s">
        <v>46</v>
      </c>
      <c r="F925" t="s">
        <v>17</v>
      </c>
      <c r="G925" t="s">
        <v>36</v>
      </c>
      <c r="H925">
        <v>10457</v>
      </c>
      <c r="I925" t="s">
        <v>22</v>
      </c>
      <c r="J925">
        <v>0.1</v>
      </c>
      <c r="K925">
        <v>9000</v>
      </c>
      <c r="L925" s="1">
        <v>45326</v>
      </c>
    </row>
    <row r="926" spans="1:12" x14ac:dyDescent="0.3">
      <c r="A926" t="s">
        <v>1165</v>
      </c>
      <c r="B926" t="s">
        <v>500</v>
      </c>
      <c r="C926" t="s">
        <v>61</v>
      </c>
      <c r="D926" t="s">
        <v>62</v>
      </c>
      <c r="E926" t="s">
        <v>16</v>
      </c>
      <c r="F926" t="s">
        <v>17</v>
      </c>
      <c r="G926" t="s">
        <v>18</v>
      </c>
      <c r="H926">
        <v>9323</v>
      </c>
      <c r="I926" t="s">
        <v>27</v>
      </c>
      <c r="K926">
        <v>9000</v>
      </c>
      <c r="L926" s="1">
        <v>45351</v>
      </c>
    </row>
    <row r="927" spans="1:12" x14ac:dyDescent="0.3">
      <c r="A927" t="s">
        <v>1166</v>
      </c>
      <c r="B927" t="s">
        <v>282</v>
      </c>
      <c r="C927" t="s">
        <v>30</v>
      </c>
      <c r="D927" t="s">
        <v>31</v>
      </c>
      <c r="E927" t="s">
        <v>46</v>
      </c>
      <c r="F927" t="s">
        <v>25</v>
      </c>
      <c r="G927" t="s">
        <v>26</v>
      </c>
      <c r="H927">
        <v>18927</v>
      </c>
      <c r="I927" t="s">
        <v>22</v>
      </c>
      <c r="J927">
        <v>0.1</v>
      </c>
      <c r="K927">
        <v>17000</v>
      </c>
      <c r="L927" s="1">
        <v>45315</v>
      </c>
    </row>
    <row r="928" spans="1:12" x14ac:dyDescent="0.3">
      <c r="A928" t="s">
        <v>1167</v>
      </c>
      <c r="B928" t="s">
        <v>105</v>
      </c>
      <c r="C928" t="s">
        <v>30</v>
      </c>
      <c r="D928" t="s">
        <v>31</v>
      </c>
      <c r="E928" t="s">
        <v>32</v>
      </c>
      <c r="F928" t="s">
        <v>17</v>
      </c>
      <c r="G928" t="s">
        <v>36</v>
      </c>
      <c r="H928">
        <v>17653</v>
      </c>
      <c r="I928" t="s">
        <v>19</v>
      </c>
      <c r="J928">
        <v>0.2</v>
      </c>
      <c r="K928">
        <v>17000</v>
      </c>
      <c r="L928" s="1">
        <v>45303</v>
      </c>
    </row>
    <row r="929" spans="1:12" x14ac:dyDescent="0.3">
      <c r="A929" t="s">
        <v>1168</v>
      </c>
      <c r="B929" t="s">
        <v>184</v>
      </c>
      <c r="C929" t="s">
        <v>61</v>
      </c>
      <c r="D929" t="s">
        <v>62</v>
      </c>
      <c r="E929" t="s">
        <v>16</v>
      </c>
      <c r="F929" t="s">
        <v>25</v>
      </c>
      <c r="G929" t="s">
        <v>36</v>
      </c>
      <c r="H929">
        <v>9850</v>
      </c>
      <c r="K929">
        <v>9000</v>
      </c>
      <c r="L929" s="1">
        <v>45349</v>
      </c>
    </row>
    <row r="930" spans="1:12" x14ac:dyDescent="0.3">
      <c r="A930" t="s">
        <v>1169</v>
      </c>
      <c r="B930" t="s">
        <v>21</v>
      </c>
      <c r="C930" t="s">
        <v>30</v>
      </c>
      <c r="D930" t="s">
        <v>31</v>
      </c>
      <c r="E930" t="s">
        <v>46</v>
      </c>
      <c r="F930" t="s">
        <v>25</v>
      </c>
      <c r="G930" t="s">
        <v>26</v>
      </c>
      <c r="H930">
        <v>16793</v>
      </c>
      <c r="I930" t="s">
        <v>19</v>
      </c>
      <c r="J930">
        <v>0.2</v>
      </c>
      <c r="K930">
        <v>17000</v>
      </c>
      <c r="L930" s="1">
        <v>45300</v>
      </c>
    </row>
    <row r="931" spans="1:12" x14ac:dyDescent="0.3">
      <c r="A931" t="s">
        <v>1170</v>
      </c>
      <c r="B931" t="s">
        <v>192</v>
      </c>
      <c r="C931" t="s">
        <v>14</v>
      </c>
      <c r="D931" t="s">
        <v>15</v>
      </c>
      <c r="E931" t="s">
        <v>16</v>
      </c>
      <c r="F931" t="s">
        <v>39</v>
      </c>
      <c r="G931" t="s">
        <v>18</v>
      </c>
      <c r="H931">
        <v>14003</v>
      </c>
      <c r="K931">
        <v>14000</v>
      </c>
      <c r="L931" s="1">
        <v>45296</v>
      </c>
    </row>
    <row r="932" spans="1:12" x14ac:dyDescent="0.3">
      <c r="A932" t="s">
        <v>1171</v>
      </c>
      <c r="B932" t="s">
        <v>133</v>
      </c>
      <c r="C932" t="s">
        <v>30</v>
      </c>
      <c r="D932" t="s">
        <v>31</v>
      </c>
      <c r="E932" t="s">
        <v>46</v>
      </c>
      <c r="F932" t="s">
        <v>39</v>
      </c>
      <c r="G932" t="s">
        <v>36</v>
      </c>
      <c r="H932">
        <v>18959</v>
      </c>
      <c r="I932" t="s">
        <v>22</v>
      </c>
      <c r="J932">
        <v>0.1</v>
      </c>
      <c r="K932">
        <v>17000</v>
      </c>
      <c r="L932" s="1">
        <v>45294</v>
      </c>
    </row>
    <row r="933" spans="1:12" x14ac:dyDescent="0.3">
      <c r="A933" t="s">
        <v>1172</v>
      </c>
      <c r="B933" t="s">
        <v>327</v>
      </c>
      <c r="C933" t="s">
        <v>30</v>
      </c>
      <c r="D933" t="s">
        <v>31</v>
      </c>
      <c r="E933" t="s">
        <v>16</v>
      </c>
      <c r="F933" t="s">
        <v>25</v>
      </c>
      <c r="G933" t="s">
        <v>36</v>
      </c>
      <c r="H933">
        <v>15484</v>
      </c>
      <c r="I933" t="s">
        <v>19</v>
      </c>
      <c r="J933">
        <v>0.2</v>
      </c>
      <c r="K933">
        <v>17000</v>
      </c>
      <c r="L933" s="1">
        <v>45343</v>
      </c>
    </row>
    <row r="934" spans="1:12" x14ac:dyDescent="0.3">
      <c r="A934" t="s">
        <v>1173</v>
      </c>
      <c r="B934" t="s">
        <v>92</v>
      </c>
      <c r="C934" t="s">
        <v>61</v>
      </c>
      <c r="D934" t="s">
        <v>62</v>
      </c>
      <c r="E934" t="s">
        <v>16</v>
      </c>
      <c r="F934" t="s">
        <v>39</v>
      </c>
      <c r="G934" t="s">
        <v>18</v>
      </c>
      <c r="H934">
        <v>10035</v>
      </c>
      <c r="I934" t="s">
        <v>27</v>
      </c>
      <c r="K934">
        <v>9000</v>
      </c>
      <c r="L934" s="1">
        <v>45306</v>
      </c>
    </row>
    <row r="935" spans="1:12" x14ac:dyDescent="0.3">
      <c r="A935" t="s">
        <v>1174</v>
      </c>
      <c r="B935" t="s">
        <v>403</v>
      </c>
      <c r="C935" t="s">
        <v>14</v>
      </c>
      <c r="D935" t="s">
        <v>15</v>
      </c>
      <c r="E935" t="s">
        <v>16</v>
      </c>
      <c r="F935" t="s">
        <v>25</v>
      </c>
      <c r="G935" t="s">
        <v>36</v>
      </c>
      <c r="H935">
        <v>14678</v>
      </c>
      <c r="I935" t="s">
        <v>22</v>
      </c>
      <c r="J935">
        <v>0.1</v>
      </c>
      <c r="K935">
        <v>14000</v>
      </c>
      <c r="L935" s="1">
        <v>45322</v>
      </c>
    </row>
    <row r="936" spans="1:12" x14ac:dyDescent="0.3">
      <c r="A936" t="s">
        <v>1175</v>
      </c>
      <c r="B936" t="s">
        <v>60</v>
      </c>
      <c r="C936" t="s">
        <v>14</v>
      </c>
      <c r="D936" t="s">
        <v>15</v>
      </c>
      <c r="E936" t="s">
        <v>32</v>
      </c>
      <c r="F936" t="s">
        <v>39</v>
      </c>
      <c r="G936" t="s">
        <v>26</v>
      </c>
      <c r="H936">
        <v>12534</v>
      </c>
      <c r="I936" t="s">
        <v>22</v>
      </c>
      <c r="J936">
        <v>0.1</v>
      </c>
      <c r="K936">
        <v>14000</v>
      </c>
      <c r="L936" s="1">
        <v>45303</v>
      </c>
    </row>
    <row r="937" spans="1:12" x14ac:dyDescent="0.3">
      <c r="A937" t="s">
        <v>1176</v>
      </c>
      <c r="B937" t="s">
        <v>1032</v>
      </c>
      <c r="C937" t="s">
        <v>30</v>
      </c>
      <c r="D937" t="s">
        <v>31</v>
      </c>
      <c r="E937" t="s">
        <v>32</v>
      </c>
      <c r="F937" t="s">
        <v>17</v>
      </c>
      <c r="G937" t="s">
        <v>26</v>
      </c>
      <c r="H937">
        <v>15699</v>
      </c>
      <c r="I937" t="s">
        <v>27</v>
      </c>
      <c r="K937">
        <v>17000</v>
      </c>
      <c r="L937" s="1">
        <v>45296</v>
      </c>
    </row>
    <row r="938" spans="1:12" x14ac:dyDescent="0.3">
      <c r="A938" t="s">
        <v>1177</v>
      </c>
      <c r="B938" t="s">
        <v>319</v>
      </c>
      <c r="C938" t="s">
        <v>14</v>
      </c>
      <c r="D938" t="s">
        <v>15</v>
      </c>
      <c r="E938" t="s">
        <v>32</v>
      </c>
      <c r="F938" t="s">
        <v>17</v>
      </c>
      <c r="G938" t="s">
        <v>26</v>
      </c>
      <c r="H938">
        <v>15273</v>
      </c>
      <c r="I938" t="s">
        <v>27</v>
      </c>
      <c r="K938">
        <v>14000</v>
      </c>
      <c r="L938" s="1">
        <v>45306</v>
      </c>
    </row>
    <row r="939" spans="1:12" x14ac:dyDescent="0.3">
      <c r="A939" t="s">
        <v>1178</v>
      </c>
      <c r="B939" t="s">
        <v>200</v>
      </c>
      <c r="C939" t="s">
        <v>44</v>
      </c>
      <c r="D939" t="s">
        <v>45</v>
      </c>
      <c r="E939" t="s">
        <v>46</v>
      </c>
      <c r="F939" t="s">
        <v>17</v>
      </c>
      <c r="G939" t="s">
        <v>26</v>
      </c>
      <c r="H939">
        <v>13778</v>
      </c>
      <c r="K939">
        <v>13000</v>
      </c>
      <c r="L939" s="1">
        <v>45312</v>
      </c>
    </row>
    <row r="940" spans="1:12" x14ac:dyDescent="0.3">
      <c r="A940" t="s">
        <v>1179</v>
      </c>
      <c r="B940" t="s">
        <v>21</v>
      </c>
      <c r="C940" t="s">
        <v>44</v>
      </c>
      <c r="D940" t="s">
        <v>45</v>
      </c>
      <c r="E940" t="s">
        <v>46</v>
      </c>
      <c r="F940" t="s">
        <v>25</v>
      </c>
      <c r="G940" t="s">
        <v>18</v>
      </c>
      <c r="H940">
        <v>13429</v>
      </c>
      <c r="I940" t="s">
        <v>19</v>
      </c>
      <c r="J940">
        <v>0.2</v>
      </c>
      <c r="K940">
        <v>13000</v>
      </c>
      <c r="L940" s="1">
        <v>45313</v>
      </c>
    </row>
    <row r="941" spans="1:12" x14ac:dyDescent="0.3">
      <c r="A941" t="s">
        <v>1180</v>
      </c>
      <c r="B941" t="s">
        <v>78</v>
      </c>
      <c r="C941" t="s">
        <v>30</v>
      </c>
      <c r="D941" t="s">
        <v>31</v>
      </c>
      <c r="E941" t="s">
        <v>32</v>
      </c>
      <c r="F941" t="s">
        <v>17</v>
      </c>
      <c r="G941" t="s">
        <v>18</v>
      </c>
      <c r="H941">
        <v>17852</v>
      </c>
      <c r="I941" t="s">
        <v>33</v>
      </c>
      <c r="J941">
        <v>0.3</v>
      </c>
      <c r="K941">
        <v>17000</v>
      </c>
      <c r="L941" s="1">
        <v>45327</v>
      </c>
    </row>
    <row r="942" spans="1:12" x14ac:dyDescent="0.3">
      <c r="A942" t="s">
        <v>1181</v>
      </c>
      <c r="B942" t="s">
        <v>429</v>
      </c>
      <c r="C942" t="s">
        <v>44</v>
      </c>
      <c r="D942" t="s">
        <v>45</v>
      </c>
      <c r="E942" t="s">
        <v>16</v>
      </c>
      <c r="F942" t="s">
        <v>25</v>
      </c>
      <c r="G942" t="s">
        <v>18</v>
      </c>
      <c r="H942">
        <v>11409</v>
      </c>
      <c r="I942" t="s">
        <v>27</v>
      </c>
      <c r="K942">
        <v>13000</v>
      </c>
      <c r="L942" s="1">
        <v>45316</v>
      </c>
    </row>
    <row r="943" spans="1:12" x14ac:dyDescent="0.3">
      <c r="A943" t="s">
        <v>1182</v>
      </c>
      <c r="B943" t="s">
        <v>72</v>
      </c>
      <c r="C943" t="s">
        <v>14</v>
      </c>
      <c r="D943" t="s">
        <v>15</v>
      </c>
      <c r="E943" t="s">
        <v>46</v>
      </c>
      <c r="F943" t="s">
        <v>25</v>
      </c>
      <c r="G943" t="s">
        <v>18</v>
      </c>
      <c r="H943">
        <v>12029</v>
      </c>
      <c r="I943" t="s">
        <v>19</v>
      </c>
      <c r="J943">
        <v>0.2</v>
      </c>
      <c r="K943">
        <v>14000</v>
      </c>
      <c r="L943" s="1">
        <v>45351</v>
      </c>
    </row>
    <row r="944" spans="1:12" x14ac:dyDescent="0.3">
      <c r="A944" t="s">
        <v>1183</v>
      </c>
      <c r="B944" t="s">
        <v>173</v>
      </c>
      <c r="C944" t="s">
        <v>30</v>
      </c>
      <c r="D944" t="s">
        <v>31</v>
      </c>
      <c r="E944" t="s">
        <v>46</v>
      </c>
      <c r="F944" t="s">
        <v>39</v>
      </c>
      <c r="G944" t="s">
        <v>36</v>
      </c>
      <c r="H944">
        <v>17835</v>
      </c>
      <c r="I944" t="s">
        <v>19</v>
      </c>
      <c r="J944">
        <v>0.2</v>
      </c>
      <c r="K944">
        <v>17000</v>
      </c>
      <c r="L944" s="1">
        <v>45305</v>
      </c>
    </row>
    <row r="945" spans="1:12" x14ac:dyDescent="0.3">
      <c r="A945" t="s">
        <v>1184</v>
      </c>
      <c r="B945" t="s">
        <v>113</v>
      </c>
      <c r="C945" t="s">
        <v>30</v>
      </c>
      <c r="D945" t="s">
        <v>31</v>
      </c>
      <c r="E945" t="s">
        <v>16</v>
      </c>
      <c r="F945" t="s">
        <v>17</v>
      </c>
      <c r="G945" t="s">
        <v>36</v>
      </c>
      <c r="H945">
        <v>15979</v>
      </c>
      <c r="I945" t="s">
        <v>19</v>
      </c>
      <c r="J945">
        <v>0.2</v>
      </c>
      <c r="K945">
        <v>17000</v>
      </c>
      <c r="L945" s="1">
        <v>45331</v>
      </c>
    </row>
    <row r="946" spans="1:12" x14ac:dyDescent="0.3">
      <c r="A946" t="s">
        <v>1185</v>
      </c>
      <c r="B946" t="s">
        <v>464</v>
      </c>
      <c r="C946" t="s">
        <v>44</v>
      </c>
      <c r="D946" t="s">
        <v>45</v>
      </c>
      <c r="E946" t="s">
        <v>16</v>
      </c>
      <c r="F946" t="s">
        <v>17</v>
      </c>
      <c r="G946" t="s">
        <v>26</v>
      </c>
      <c r="H946">
        <v>14892</v>
      </c>
      <c r="I946" t="s">
        <v>22</v>
      </c>
      <c r="J946">
        <v>0.1</v>
      </c>
      <c r="K946">
        <v>13000</v>
      </c>
      <c r="L946" s="1">
        <v>45332</v>
      </c>
    </row>
    <row r="947" spans="1:12" x14ac:dyDescent="0.3">
      <c r="A947" t="s">
        <v>1186</v>
      </c>
      <c r="B947" t="s">
        <v>393</v>
      </c>
      <c r="C947" t="s">
        <v>30</v>
      </c>
      <c r="D947" t="s">
        <v>31</v>
      </c>
      <c r="E947" t="s">
        <v>46</v>
      </c>
      <c r="F947" t="s">
        <v>17</v>
      </c>
      <c r="G947" t="s">
        <v>18</v>
      </c>
      <c r="H947">
        <v>17284</v>
      </c>
      <c r="I947" t="s">
        <v>19</v>
      </c>
      <c r="J947">
        <v>0.2</v>
      </c>
      <c r="K947">
        <v>17000</v>
      </c>
      <c r="L947" s="1">
        <v>45304</v>
      </c>
    </row>
    <row r="948" spans="1:12" x14ac:dyDescent="0.3">
      <c r="A948" t="s">
        <v>1187</v>
      </c>
      <c r="B948" t="s">
        <v>241</v>
      </c>
      <c r="C948" t="s">
        <v>14</v>
      </c>
      <c r="D948" t="s">
        <v>15</v>
      </c>
      <c r="E948" t="s">
        <v>16</v>
      </c>
      <c r="F948" t="s">
        <v>17</v>
      </c>
      <c r="G948" t="s">
        <v>26</v>
      </c>
      <c r="H948">
        <v>14078</v>
      </c>
      <c r="I948" t="s">
        <v>19</v>
      </c>
      <c r="J948">
        <v>0.2</v>
      </c>
      <c r="K948">
        <v>14000</v>
      </c>
      <c r="L948" s="1">
        <v>45321</v>
      </c>
    </row>
    <row r="949" spans="1:12" x14ac:dyDescent="0.3">
      <c r="A949" t="s">
        <v>1188</v>
      </c>
      <c r="B949" t="s">
        <v>426</v>
      </c>
      <c r="C949" t="s">
        <v>44</v>
      </c>
      <c r="D949" t="s">
        <v>45</v>
      </c>
      <c r="E949" t="s">
        <v>46</v>
      </c>
      <c r="F949" t="s">
        <v>25</v>
      </c>
      <c r="G949" t="s">
        <v>18</v>
      </c>
      <c r="H949">
        <v>11461</v>
      </c>
      <c r="I949" t="s">
        <v>19</v>
      </c>
      <c r="J949">
        <v>0.2</v>
      </c>
      <c r="K949">
        <v>13000</v>
      </c>
      <c r="L949" s="1">
        <v>45335</v>
      </c>
    </row>
    <row r="950" spans="1:12" x14ac:dyDescent="0.3">
      <c r="A950" t="s">
        <v>1189</v>
      </c>
      <c r="B950" t="s">
        <v>1190</v>
      </c>
      <c r="C950" t="s">
        <v>61</v>
      </c>
      <c r="D950" t="s">
        <v>62</v>
      </c>
      <c r="E950" t="s">
        <v>32</v>
      </c>
      <c r="F950" t="s">
        <v>25</v>
      </c>
      <c r="G950" t="s">
        <v>26</v>
      </c>
      <c r="H950">
        <v>10779</v>
      </c>
      <c r="I950" t="s">
        <v>22</v>
      </c>
      <c r="J950">
        <v>0.1</v>
      </c>
      <c r="K950">
        <v>9000</v>
      </c>
      <c r="L950" s="1">
        <v>45295</v>
      </c>
    </row>
    <row r="951" spans="1:12" x14ac:dyDescent="0.3">
      <c r="A951" t="s">
        <v>1191</v>
      </c>
      <c r="B951" t="s">
        <v>317</v>
      </c>
      <c r="C951" t="s">
        <v>30</v>
      </c>
      <c r="D951" t="s">
        <v>31</v>
      </c>
      <c r="E951" t="s">
        <v>32</v>
      </c>
      <c r="F951" t="s">
        <v>17</v>
      </c>
      <c r="G951" t="s">
        <v>36</v>
      </c>
      <c r="H951">
        <v>16369</v>
      </c>
      <c r="I951" t="s">
        <v>27</v>
      </c>
      <c r="K951">
        <v>17000</v>
      </c>
      <c r="L951" s="1">
        <v>45343</v>
      </c>
    </row>
    <row r="952" spans="1:12" x14ac:dyDescent="0.3">
      <c r="A952" t="s">
        <v>1192</v>
      </c>
      <c r="B952" t="s">
        <v>148</v>
      </c>
      <c r="C952" t="s">
        <v>61</v>
      </c>
      <c r="D952" t="s">
        <v>62</v>
      </c>
      <c r="E952" t="s">
        <v>32</v>
      </c>
      <c r="F952" t="s">
        <v>25</v>
      </c>
      <c r="G952" t="s">
        <v>26</v>
      </c>
      <c r="H952">
        <v>7214</v>
      </c>
      <c r="I952" t="s">
        <v>27</v>
      </c>
      <c r="K952">
        <v>9000</v>
      </c>
      <c r="L952" s="1">
        <v>45303</v>
      </c>
    </row>
    <row r="953" spans="1:12" x14ac:dyDescent="0.3">
      <c r="A953" t="s">
        <v>1193</v>
      </c>
      <c r="B953" t="s">
        <v>135</v>
      </c>
      <c r="C953" t="s">
        <v>14</v>
      </c>
      <c r="D953" t="s">
        <v>15</v>
      </c>
      <c r="E953" t="s">
        <v>46</v>
      </c>
      <c r="F953" t="s">
        <v>39</v>
      </c>
      <c r="G953" t="s">
        <v>18</v>
      </c>
      <c r="H953">
        <v>12290</v>
      </c>
      <c r="I953" t="s">
        <v>19</v>
      </c>
      <c r="J953">
        <v>0.2</v>
      </c>
      <c r="K953">
        <v>14000</v>
      </c>
      <c r="L953" s="1">
        <v>45338</v>
      </c>
    </row>
    <row r="954" spans="1:12" x14ac:dyDescent="0.3">
      <c r="A954" t="s">
        <v>1194</v>
      </c>
      <c r="B954" t="s">
        <v>600</v>
      </c>
      <c r="C954" t="s">
        <v>30</v>
      </c>
      <c r="D954" t="s">
        <v>31</v>
      </c>
      <c r="E954" t="s">
        <v>46</v>
      </c>
      <c r="F954" t="s">
        <v>25</v>
      </c>
      <c r="G954" t="s">
        <v>26</v>
      </c>
      <c r="H954">
        <v>17772</v>
      </c>
      <c r="I954" t="s">
        <v>33</v>
      </c>
      <c r="J954">
        <v>0.3</v>
      </c>
      <c r="K954">
        <v>17000</v>
      </c>
      <c r="L954" s="1">
        <v>45306</v>
      </c>
    </row>
    <row r="955" spans="1:12" x14ac:dyDescent="0.3">
      <c r="A955" t="s">
        <v>1195</v>
      </c>
      <c r="B955" t="s">
        <v>652</v>
      </c>
      <c r="C955" t="s">
        <v>30</v>
      </c>
      <c r="D955" t="s">
        <v>31</v>
      </c>
      <c r="E955" t="s">
        <v>32</v>
      </c>
      <c r="F955" t="s">
        <v>25</v>
      </c>
      <c r="G955" t="s">
        <v>18</v>
      </c>
      <c r="H955">
        <v>18021</v>
      </c>
      <c r="K955">
        <v>17000</v>
      </c>
      <c r="L955" s="1">
        <v>45347</v>
      </c>
    </row>
    <row r="956" spans="1:12" x14ac:dyDescent="0.3">
      <c r="A956" t="s">
        <v>1196</v>
      </c>
      <c r="B956" t="s">
        <v>414</v>
      </c>
      <c r="C956" t="s">
        <v>44</v>
      </c>
      <c r="D956" t="s">
        <v>45</v>
      </c>
      <c r="E956" t="s">
        <v>32</v>
      </c>
      <c r="F956" t="s">
        <v>17</v>
      </c>
      <c r="G956" t="s">
        <v>26</v>
      </c>
      <c r="H956">
        <v>12984</v>
      </c>
      <c r="I956" t="s">
        <v>22</v>
      </c>
      <c r="J956">
        <v>0.1</v>
      </c>
      <c r="K956">
        <v>13000</v>
      </c>
      <c r="L956" s="1">
        <v>45348</v>
      </c>
    </row>
    <row r="957" spans="1:12" x14ac:dyDescent="0.3">
      <c r="A957" t="s">
        <v>1197</v>
      </c>
      <c r="B957" t="s">
        <v>186</v>
      </c>
      <c r="C957" t="s">
        <v>44</v>
      </c>
      <c r="D957" t="s">
        <v>45</v>
      </c>
      <c r="E957" t="s">
        <v>16</v>
      </c>
      <c r="F957" t="s">
        <v>17</v>
      </c>
      <c r="G957" t="s">
        <v>18</v>
      </c>
      <c r="H957">
        <v>12586</v>
      </c>
      <c r="I957" t="s">
        <v>33</v>
      </c>
      <c r="J957">
        <v>0.3</v>
      </c>
      <c r="K957">
        <v>13000</v>
      </c>
      <c r="L957" s="1">
        <v>45300</v>
      </c>
    </row>
    <row r="958" spans="1:12" x14ac:dyDescent="0.3">
      <c r="A958" t="s">
        <v>1198</v>
      </c>
      <c r="B958" t="s">
        <v>483</v>
      </c>
      <c r="C958" t="s">
        <v>44</v>
      </c>
      <c r="D958" t="s">
        <v>45</v>
      </c>
      <c r="E958" t="s">
        <v>16</v>
      </c>
      <c r="F958" t="s">
        <v>17</v>
      </c>
      <c r="G958" t="s">
        <v>36</v>
      </c>
      <c r="H958">
        <v>11828</v>
      </c>
      <c r="I958" t="s">
        <v>33</v>
      </c>
      <c r="J958">
        <v>0.3</v>
      </c>
      <c r="K958">
        <v>13000</v>
      </c>
      <c r="L958" s="1">
        <v>45300</v>
      </c>
    </row>
    <row r="959" spans="1:12" x14ac:dyDescent="0.3">
      <c r="A959" t="s">
        <v>1199</v>
      </c>
      <c r="B959" t="s">
        <v>190</v>
      </c>
      <c r="C959" t="s">
        <v>14</v>
      </c>
      <c r="D959" t="s">
        <v>15</v>
      </c>
      <c r="E959" t="s">
        <v>46</v>
      </c>
      <c r="F959" t="s">
        <v>25</v>
      </c>
      <c r="G959" t="s">
        <v>18</v>
      </c>
      <c r="H959">
        <v>15488</v>
      </c>
      <c r="K959">
        <v>14000</v>
      </c>
      <c r="L959" s="1">
        <v>45321</v>
      </c>
    </row>
    <row r="960" spans="1:12" x14ac:dyDescent="0.3">
      <c r="A960" t="s">
        <v>1200</v>
      </c>
      <c r="B960" t="s">
        <v>186</v>
      </c>
      <c r="C960" t="s">
        <v>30</v>
      </c>
      <c r="D960" t="s">
        <v>31</v>
      </c>
      <c r="E960" t="s">
        <v>32</v>
      </c>
      <c r="F960" t="s">
        <v>17</v>
      </c>
      <c r="G960" t="s">
        <v>26</v>
      </c>
      <c r="H960">
        <v>15642</v>
      </c>
      <c r="I960" t="s">
        <v>27</v>
      </c>
      <c r="K960">
        <v>17000</v>
      </c>
      <c r="L960" s="1">
        <v>45349</v>
      </c>
    </row>
    <row r="961" spans="1:12" x14ac:dyDescent="0.3">
      <c r="A961" t="s">
        <v>1201</v>
      </c>
      <c r="B961" t="s">
        <v>720</v>
      </c>
      <c r="C961" t="s">
        <v>44</v>
      </c>
      <c r="D961" t="s">
        <v>45</v>
      </c>
      <c r="E961" t="s">
        <v>32</v>
      </c>
      <c r="F961" t="s">
        <v>17</v>
      </c>
      <c r="G961" t="s">
        <v>26</v>
      </c>
      <c r="H961">
        <v>13003</v>
      </c>
      <c r="I961" t="s">
        <v>19</v>
      </c>
      <c r="J961">
        <v>0.2</v>
      </c>
      <c r="K961">
        <v>13000</v>
      </c>
      <c r="L961" s="1">
        <v>45329</v>
      </c>
    </row>
    <row r="962" spans="1:12" x14ac:dyDescent="0.3">
      <c r="A962" t="s">
        <v>1202</v>
      </c>
      <c r="B962" t="s">
        <v>752</v>
      </c>
      <c r="C962" t="s">
        <v>61</v>
      </c>
      <c r="D962" t="s">
        <v>62</v>
      </c>
      <c r="E962" t="s">
        <v>46</v>
      </c>
      <c r="F962" t="s">
        <v>25</v>
      </c>
      <c r="G962" t="s">
        <v>26</v>
      </c>
      <c r="H962">
        <v>8753</v>
      </c>
      <c r="I962" t="s">
        <v>19</v>
      </c>
      <c r="J962">
        <v>0.2</v>
      </c>
      <c r="K962">
        <v>9000</v>
      </c>
      <c r="L962" s="1">
        <v>45307</v>
      </c>
    </row>
    <row r="963" spans="1:12" x14ac:dyDescent="0.3">
      <c r="A963" t="s">
        <v>1203</v>
      </c>
      <c r="B963" t="s">
        <v>666</v>
      </c>
      <c r="C963" t="s">
        <v>44</v>
      </c>
      <c r="D963" t="s">
        <v>45</v>
      </c>
      <c r="E963" t="s">
        <v>16</v>
      </c>
      <c r="F963" t="s">
        <v>25</v>
      </c>
      <c r="G963" t="s">
        <v>26</v>
      </c>
      <c r="H963">
        <v>14679</v>
      </c>
      <c r="I963" t="s">
        <v>22</v>
      </c>
      <c r="J963">
        <v>0.1</v>
      </c>
      <c r="K963">
        <v>13000</v>
      </c>
      <c r="L963" s="1">
        <v>45318</v>
      </c>
    </row>
    <row r="964" spans="1:12" x14ac:dyDescent="0.3">
      <c r="A964" t="s">
        <v>1204</v>
      </c>
      <c r="B964" t="s">
        <v>161</v>
      </c>
      <c r="C964" t="s">
        <v>61</v>
      </c>
      <c r="D964" t="s">
        <v>62</v>
      </c>
      <c r="E964" t="s">
        <v>16</v>
      </c>
      <c r="F964" t="s">
        <v>39</v>
      </c>
      <c r="G964" t="s">
        <v>18</v>
      </c>
      <c r="H964">
        <v>8743</v>
      </c>
      <c r="I964" t="s">
        <v>27</v>
      </c>
      <c r="K964">
        <v>9000</v>
      </c>
      <c r="L964" s="1">
        <v>45317</v>
      </c>
    </row>
    <row r="965" spans="1:12" x14ac:dyDescent="0.3">
      <c r="A965" t="s">
        <v>1205</v>
      </c>
      <c r="B965" t="s">
        <v>157</v>
      </c>
      <c r="C965" t="s">
        <v>14</v>
      </c>
      <c r="D965" t="s">
        <v>15</v>
      </c>
      <c r="E965" t="s">
        <v>46</v>
      </c>
      <c r="F965" t="s">
        <v>17</v>
      </c>
      <c r="G965" t="s">
        <v>18</v>
      </c>
      <c r="H965">
        <v>12340</v>
      </c>
      <c r="I965" t="s">
        <v>27</v>
      </c>
      <c r="K965">
        <v>14000</v>
      </c>
      <c r="L965" s="1">
        <v>45340</v>
      </c>
    </row>
    <row r="966" spans="1:12" x14ac:dyDescent="0.3">
      <c r="A966" t="s">
        <v>1206</v>
      </c>
      <c r="B966" t="s">
        <v>190</v>
      </c>
      <c r="C966" t="s">
        <v>61</v>
      </c>
      <c r="D966" t="s">
        <v>62</v>
      </c>
      <c r="E966" t="s">
        <v>32</v>
      </c>
      <c r="F966" t="s">
        <v>25</v>
      </c>
      <c r="G966" t="s">
        <v>36</v>
      </c>
      <c r="H966">
        <v>8211</v>
      </c>
      <c r="I966" t="s">
        <v>19</v>
      </c>
      <c r="J966">
        <v>0.2</v>
      </c>
      <c r="K966">
        <v>9000</v>
      </c>
      <c r="L966" s="1">
        <v>45333</v>
      </c>
    </row>
    <row r="967" spans="1:12" x14ac:dyDescent="0.3">
      <c r="A967" t="s">
        <v>1207</v>
      </c>
      <c r="B967" t="s">
        <v>43</v>
      </c>
      <c r="C967" t="s">
        <v>61</v>
      </c>
      <c r="D967" t="s">
        <v>62</v>
      </c>
      <c r="E967" t="s">
        <v>16</v>
      </c>
      <c r="F967" t="s">
        <v>17</v>
      </c>
      <c r="G967" t="s">
        <v>18</v>
      </c>
      <c r="H967">
        <v>9880</v>
      </c>
      <c r="K967">
        <v>9000</v>
      </c>
      <c r="L967" s="1">
        <v>45346</v>
      </c>
    </row>
    <row r="968" spans="1:12" x14ac:dyDescent="0.3">
      <c r="A968" t="s">
        <v>1208</v>
      </c>
      <c r="B968" t="s">
        <v>233</v>
      </c>
      <c r="C968" t="s">
        <v>14</v>
      </c>
      <c r="D968" t="s">
        <v>15</v>
      </c>
      <c r="E968" t="s">
        <v>46</v>
      </c>
      <c r="F968" t="s">
        <v>17</v>
      </c>
      <c r="G968" t="s">
        <v>18</v>
      </c>
      <c r="H968">
        <v>15580</v>
      </c>
      <c r="K968">
        <v>14000</v>
      </c>
      <c r="L968" s="1">
        <v>45303</v>
      </c>
    </row>
    <row r="969" spans="1:12" x14ac:dyDescent="0.3">
      <c r="A969" t="s">
        <v>1209</v>
      </c>
      <c r="B969" t="s">
        <v>140</v>
      </c>
      <c r="C969" t="s">
        <v>30</v>
      </c>
      <c r="D969" t="s">
        <v>31</v>
      </c>
      <c r="E969" t="s">
        <v>16</v>
      </c>
      <c r="F969" t="s">
        <v>17</v>
      </c>
      <c r="G969" t="s">
        <v>26</v>
      </c>
      <c r="H969">
        <v>17594</v>
      </c>
      <c r="I969" t="s">
        <v>22</v>
      </c>
      <c r="J969">
        <v>0.1</v>
      </c>
      <c r="K969">
        <v>17000</v>
      </c>
      <c r="L969" s="1">
        <v>45347</v>
      </c>
    </row>
    <row r="970" spans="1:12" x14ac:dyDescent="0.3">
      <c r="A970" t="s">
        <v>1210</v>
      </c>
      <c r="B970" t="s">
        <v>13</v>
      </c>
      <c r="C970" t="s">
        <v>61</v>
      </c>
      <c r="D970" t="s">
        <v>62</v>
      </c>
      <c r="E970" t="s">
        <v>16</v>
      </c>
      <c r="F970" t="s">
        <v>17</v>
      </c>
      <c r="G970" t="s">
        <v>26</v>
      </c>
      <c r="H970">
        <v>7133</v>
      </c>
      <c r="I970" t="s">
        <v>33</v>
      </c>
      <c r="J970">
        <v>0.3</v>
      </c>
      <c r="K970">
        <v>9000</v>
      </c>
      <c r="L970" s="1">
        <v>45319</v>
      </c>
    </row>
    <row r="971" spans="1:12" x14ac:dyDescent="0.3">
      <c r="A971" t="s">
        <v>1211</v>
      </c>
      <c r="B971" t="s">
        <v>1073</v>
      </c>
      <c r="C971" t="s">
        <v>44</v>
      </c>
      <c r="D971" t="s">
        <v>45</v>
      </c>
      <c r="E971" t="s">
        <v>16</v>
      </c>
      <c r="F971" t="s">
        <v>25</v>
      </c>
      <c r="G971" t="s">
        <v>26</v>
      </c>
      <c r="H971">
        <v>14607</v>
      </c>
      <c r="I971" t="s">
        <v>33</v>
      </c>
      <c r="J971">
        <v>0.3</v>
      </c>
      <c r="K971">
        <v>13000</v>
      </c>
      <c r="L971" s="1">
        <v>45339</v>
      </c>
    </row>
    <row r="972" spans="1:12" x14ac:dyDescent="0.3">
      <c r="A972" t="s">
        <v>1212</v>
      </c>
      <c r="B972" t="s">
        <v>987</v>
      </c>
      <c r="C972" t="s">
        <v>30</v>
      </c>
      <c r="D972" t="s">
        <v>31</v>
      </c>
      <c r="E972" t="s">
        <v>32</v>
      </c>
      <c r="F972" t="s">
        <v>25</v>
      </c>
      <c r="G972" t="s">
        <v>36</v>
      </c>
      <c r="H972">
        <v>16497</v>
      </c>
      <c r="K972">
        <v>17000</v>
      </c>
      <c r="L972" s="1">
        <v>45331</v>
      </c>
    </row>
    <row r="973" spans="1:12" x14ac:dyDescent="0.3">
      <c r="A973" t="s">
        <v>1213</v>
      </c>
      <c r="B973" t="s">
        <v>125</v>
      </c>
      <c r="C973" t="s">
        <v>30</v>
      </c>
      <c r="D973" t="s">
        <v>31</v>
      </c>
      <c r="E973" t="s">
        <v>32</v>
      </c>
      <c r="F973" t="s">
        <v>39</v>
      </c>
      <c r="G973" t="s">
        <v>26</v>
      </c>
      <c r="H973">
        <v>17887</v>
      </c>
      <c r="I973" t="s">
        <v>22</v>
      </c>
      <c r="J973">
        <v>0.1</v>
      </c>
      <c r="K973">
        <v>17000</v>
      </c>
      <c r="L973" s="1">
        <v>45327</v>
      </c>
    </row>
    <row r="974" spans="1:12" x14ac:dyDescent="0.3">
      <c r="A974" t="s">
        <v>1214</v>
      </c>
      <c r="B974" t="s">
        <v>276</v>
      </c>
      <c r="C974" t="s">
        <v>44</v>
      </c>
      <c r="D974" t="s">
        <v>45</v>
      </c>
      <c r="E974" t="s">
        <v>32</v>
      </c>
      <c r="F974" t="s">
        <v>17</v>
      </c>
      <c r="G974" t="s">
        <v>18</v>
      </c>
      <c r="H974">
        <v>13210</v>
      </c>
      <c r="I974" t="s">
        <v>22</v>
      </c>
      <c r="J974">
        <v>0.1</v>
      </c>
      <c r="K974">
        <v>13000</v>
      </c>
      <c r="L974" s="1">
        <v>45333</v>
      </c>
    </row>
    <row r="975" spans="1:12" x14ac:dyDescent="0.3">
      <c r="A975" t="s">
        <v>1215</v>
      </c>
      <c r="B975" t="s">
        <v>483</v>
      </c>
      <c r="C975" t="s">
        <v>44</v>
      </c>
      <c r="D975" t="s">
        <v>45</v>
      </c>
      <c r="E975" t="s">
        <v>16</v>
      </c>
      <c r="F975" t="s">
        <v>25</v>
      </c>
      <c r="G975" t="s">
        <v>36</v>
      </c>
      <c r="H975">
        <v>12444</v>
      </c>
      <c r="I975" t="s">
        <v>33</v>
      </c>
      <c r="J975">
        <v>0.3</v>
      </c>
      <c r="K975">
        <v>13000</v>
      </c>
      <c r="L975" s="1">
        <v>45324</v>
      </c>
    </row>
    <row r="976" spans="1:12" x14ac:dyDescent="0.3">
      <c r="A976" t="s">
        <v>1216</v>
      </c>
      <c r="B976" t="s">
        <v>90</v>
      </c>
      <c r="C976" t="s">
        <v>30</v>
      </c>
      <c r="D976" t="s">
        <v>31</v>
      </c>
      <c r="E976" t="s">
        <v>32</v>
      </c>
      <c r="F976" t="s">
        <v>25</v>
      </c>
      <c r="G976" t="s">
        <v>36</v>
      </c>
      <c r="H976">
        <v>16414</v>
      </c>
      <c r="K976">
        <v>17000</v>
      </c>
      <c r="L976" s="1">
        <v>45323</v>
      </c>
    </row>
    <row r="977" spans="1:12" x14ac:dyDescent="0.3">
      <c r="A977" t="s">
        <v>1217</v>
      </c>
      <c r="B977" t="s">
        <v>168</v>
      </c>
      <c r="C977" t="s">
        <v>14</v>
      </c>
      <c r="D977" t="s">
        <v>15</v>
      </c>
      <c r="E977" t="s">
        <v>46</v>
      </c>
      <c r="F977" t="s">
        <v>39</v>
      </c>
      <c r="G977" t="s">
        <v>26</v>
      </c>
      <c r="H977">
        <v>14778</v>
      </c>
      <c r="I977" t="s">
        <v>27</v>
      </c>
      <c r="K977">
        <v>14000</v>
      </c>
      <c r="L977" s="1">
        <v>45349</v>
      </c>
    </row>
    <row r="978" spans="1:12" x14ac:dyDescent="0.3">
      <c r="A978" t="s">
        <v>1218</v>
      </c>
      <c r="B978" t="s">
        <v>48</v>
      </c>
      <c r="C978" t="s">
        <v>30</v>
      </c>
      <c r="D978" t="s">
        <v>31</v>
      </c>
      <c r="E978" t="s">
        <v>16</v>
      </c>
      <c r="F978" t="s">
        <v>39</v>
      </c>
      <c r="G978" t="s">
        <v>18</v>
      </c>
      <c r="H978">
        <v>15771</v>
      </c>
      <c r="K978">
        <v>17000</v>
      </c>
      <c r="L978" s="1">
        <v>45297</v>
      </c>
    </row>
    <row r="979" spans="1:12" x14ac:dyDescent="0.3">
      <c r="A979" t="s">
        <v>1219</v>
      </c>
      <c r="B979" t="s">
        <v>66</v>
      </c>
      <c r="C979" t="s">
        <v>44</v>
      </c>
      <c r="D979" t="s">
        <v>45</v>
      </c>
      <c r="E979" t="s">
        <v>46</v>
      </c>
      <c r="F979" t="s">
        <v>25</v>
      </c>
      <c r="G979" t="s">
        <v>18</v>
      </c>
      <c r="H979">
        <v>11674</v>
      </c>
      <c r="I979" t="s">
        <v>33</v>
      </c>
      <c r="J979">
        <v>0.3</v>
      </c>
      <c r="K979">
        <v>13000</v>
      </c>
      <c r="L979" s="1">
        <v>45299</v>
      </c>
    </row>
    <row r="980" spans="1:12" x14ac:dyDescent="0.3">
      <c r="A980" t="s">
        <v>1220</v>
      </c>
      <c r="B980" t="s">
        <v>153</v>
      </c>
      <c r="C980" t="s">
        <v>61</v>
      </c>
      <c r="D980" t="s">
        <v>62</v>
      </c>
      <c r="E980" t="s">
        <v>32</v>
      </c>
      <c r="F980" t="s">
        <v>25</v>
      </c>
      <c r="G980" t="s">
        <v>26</v>
      </c>
      <c r="H980">
        <v>10899</v>
      </c>
      <c r="I980" t="s">
        <v>22</v>
      </c>
      <c r="J980">
        <v>0.1</v>
      </c>
      <c r="K980">
        <v>9000</v>
      </c>
      <c r="L980" s="1">
        <v>45310</v>
      </c>
    </row>
    <row r="981" spans="1:12" x14ac:dyDescent="0.3">
      <c r="A981" t="s">
        <v>1221</v>
      </c>
      <c r="B981" t="s">
        <v>274</v>
      </c>
      <c r="C981" t="s">
        <v>44</v>
      </c>
      <c r="D981" t="s">
        <v>45</v>
      </c>
      <c r="E981" t="s">
        <v>46</v>
      </c>
      <c r="F981" t="s">
        <v>17</v>
      </c>
      <c r="G981" t="s">
        <v>36</v>
      </c>
      <c r="H981">
        <v>12818</v>
      </c>
      <c r="I981" t="s">
        <v>22</v>
      </c>
      <c r="J981">
        <v>0.1</v>
      </c>
      <c r="K981">
        <v>13000</v>
      </c>
      <c r="L981" s="1">
        <v>45310</v>
      </c>
    </row>
    <row r="982" spans="1:12" x14ac:dyDescent="0.3">
      <c r="A982" t="s">
        <v>1222</v>
      </c>
      <c r="B982" t="s">
        <v>229</v>
      </c>
      <c r="C982" t="s">
        <v>14</v>
      </c>
      <c r="D982" t="s">
        <v>15</v>
      </c>
      <c r="E982" t="s">
        <v>32</v>
      </c>
      <c r="F982" t="s">
        <v>39</v>
      </c>
      <c r="G982" t="s">
        <v>26</v>
      </c>
      <c r="H982">
        <v>13375</v>
      </c>
      <c r="K982">
        <v>14000</v>
      </c>
      <c r="L982" s="1">
        <v>45329</v>
      </c>
    </row>
    <row r="983" spans="1:12" x14ac:dyDescent="0.3">
      <c r="A983" t="s">
        <v>1223</v>
      </c>
      <c r="B983" t="s">
        <v>150</v>
      </c>
      <c r="C983" t="s">
        <v>30</v>
      </c>
      <c r="D983" t="s">
        <v>31</v>
      </c>
      <c r="E983" t="s">
        <v>46</v>
      </c>
      <c r="F983" t="s">
        <v>39</v>
      </c>
      <c r="G983" t="s">
        <v>26</v>
      </c>
      <c r="H983">
        <v>17854</v>
      </c>
      <c r="I983" t="s">
        <v>27</v>
      </c>
      <c r="K983">
        <v>17000</v>
      </c>
      <c r="L983" s="1">
        <v>45345</v>
      </c>
    </row>
    <row r="984" spans="1:12" x14ac:dyDescent="0.3">
      <c r="A984" t="s">
        <v>1224</v>
      </c>
      <c r="B984" t="s">
        <v>544</v>
      </c>
      <c r="C984" t="s">
        <v>61</v>
      </c>
      <c r="D984" t="s">
        <v>62</v>
      </c>
      <c r="E984" t="s">
        <v>46</v>
      </c>
      <c r="F984" t="s">
        <v>39</v>
      </c>
      <c r="G984" t="s">
        <v>18</v>
      </c>
      <c r="H984">
        <v>10679</v>
      </c>
      <c r="I984" t="s">
        <v>33</v>
      </c>
      <c r="J984">
        <v>0.3</v>
      </c>
      <c r="K984">
        <v>9000</v>
      </c>
      <c r="L984" s="1">
        <v>45302</v>
      </c>
    </row>
    <row r="985" spans="1:12" x14ac:dyDescent="0.3">
      <c r="A985" t="s">
        <v>1225</v>
      </c>
      <c r="B985" t="s">
        <v>1073</v>
      </c>
      <c r="C985" t="s">
        <v>44</v>
      </c>
      <c r="D985" t="s">
        <v>45</v>
      </c>
      <c r="E985" t="s">
        <v>46</v>
      </c>
      <c r="F985" t="s">
        <v>17</v>
      </c>
      <c r="G985" t="s">
        <v>36</v>
      </c>
      <c r="H985">
        <v>14152</v>
      </c>
      <c r="I985" t="s">
        <v>22</v>
      </c>
      <c r="J985">
        <v>0.1</v>
      </c>
      <c r="K985">
        <v>13000</v>
      </c>
      <c r="L985" s="1">
        <v>45301</v>
      </c>
    </row>
    <row r="986" spans="1:12" x14ac:dyDescent="0.3">
      <c r="A986" t="s">
        <v>1226</v>
      </c>
      <c r="B986" t="s">
        <v>1105</v>
      </c>
      <c r="C986" t="s">
        <v>61</v>
      </c>
      <c r="D986" t="s">
        <v>62</v>
      </c>
      <c r="E986" t="s">
        <v>32</v>
      </c>
      <c r="F986" t="s">
        <v>39</v>
      </c>
      <c r="G986" t="s">
        <v>18</v>
      </c>
      <c r="H986">
        <v>9915</v>
      </c>
      <c r="I986" t="s">
        <v>27</v>
      </c>
      <c r="K986">
        <v>9000</v>
      </c>
      <c r="L986" s="1">
        <v>45310</v>
      </c>
    </row>
    <row r="987" spans="1:12" x14ac:dyDescent="0.3">
      <c r="A987" t="s">
        <v>1227</v>
      </c>
      <c r="B987" t="s">
        <v>175</v>
      </c>
      <c r="C987" t="s">
        <v>44</v>
      </c>
      <c r="D987" t="s">
        <v>45</v>
      </c>
      <c r="E987" t="s">
        <v>32</v>
      </c>
      <c r="F987" t="s">
        <v>25</v>
      </c>
      <c r="G987" t="s">
        <v>18</v>
      </c>
      <c r="H987">
        <v>11168</v>
      </c>
      <c r="I987" t="s">
        <v>33</v>
      </c>
      <c r="J987">
        <v>0.3</v>
      </c>
      <c r="K987">
        <v>13000</v>
      </c>
      <c r="L987" s="1">
        <v>45328</v>
      </c>
    </row>
    <row r="988" spans="1:12" x14ac:dyDescent="0.3">
      <c r="A988" t="s">
        <v>1228</v>
      </c>
      <c r="B988" t="s">
        <v>429</v>
      </c>
      <c r="C988" t="s">
        <v>30</v>
      </c>
      <c r="D988" t="s">
        <v>31</v>
      </c>
      <c r="E988" t="s">
        <v>46</v>
      </c>
      <c r="F988" t="s">
        <v>25</v>
      </c>
      <c r="G988" t="s">
        <v>18</v>
      </c>
      <c r="H988">
        <v>17303</v>
      </c>
      <c r="I988" t="s">
        <v>22</v>
      </c>
      <c r="J988">
        <v>0.1</v>
      </c>
      <c r="K988">
        <v>17000</v>
      </c>
      <c r="L988" s="1">
        <v>45334</v>
      </c>
    </row>
    <row r="989" spans="1:12" x14ac:dyDescent="0.3">
      <c r="A989" t="s">
        <v>1229</v>
      </c>
      <c r="B989" t="s">
        <v>282</v>
      </c>
      <c r="C989" t="s">
        <v>44</v>
      </c>
      <c r="D989" t="s">
        <v>45</v>
      </c>
      <c r="E989" t="s">
        <v>46</v>
      </c>
      <c r="F989" t="s">
        <v>17</v>
      </c>
      <c r="G989" t="s">
        <v>26</v>
      </c>
      <c r="H989">
        <v>14995</v>
      </c>
      <c r="I989" t="s">
        <v>19</v>
      </c>
      <c r="J989">
        <v>0.2</v>
      </c>
      <c r="K989">
        <v>13000</v>
      </c>
      <c r="L989" s="1">
        <v>45326</v>
      </c>
    </row>
    <row r="990" spans="1:12" x14ac:dyDescent="0.3">
      <c r="A990" t="s">
        <v>1230</v>
      </c>
      <c r="B990" t="s">
        <v>222</v>
      </c>
      <c r="C990" t="s">
        <v>14</v>
      </c>
      <c r="D990" t="s">
        <v>15</v>
      </c>
      <c r="E990" t="s">
        <v>46</v>
      </c>
      <c r="F990" t="s">
        <v>17</v>
      </c>
      <c r="G990" t="s">
        <v>18</v>
      </c>
      <c r="H990">
        <v>15882</v>
      </c>
      <c r="K990">
        <v>14000</v>
      </c>
      <c r="L990" s="1">
        <v>45351</v>
      </c>
    </row>
    <row r="991" spans="1:12" x14ac:dyDescent="0.3">
      <c r="A991" t="s">
        <v>1231</v>
      </c>
      <c r="B991" t="s">
        <v>728</v>
      </c>
      <c r="C991" t="s">
        <v>14</v>
      </c>
      <c r="D991" t="s">
        <v>15</v>
      </c>
      <c r="E991" t="s">
        <v>16</v>
      </c>
      <c r="F991" t="s">
        <v>39</v>
      </c>
      <c r="G991" t="s">
        <v>26</v>
      </c>
      <c r="H991">
        <v>13356</v>
      </c>
      <c r="I991" t="s">
        <v>33</v>
      </c>
      <c r="J991">
        <v>0.3</v>
      </c>
      <c r="K991">
        <v>14000</v>
      </c>
      <c r="L991" s="1">
        <v>45322</v>
      </c>
    </row>
    <row r="992" spans="1:12" x14ac:dyDescent="0.3">
      <c r="A992" t="s">
        <v>1232</v>
      </c>
      <c r="B992" t="s">
        <v>111</v>
      </c>
      <c r="C992" t="s">
        <v>44</v>
      </c>
      <c r="D992" t="s">
        <v>45</v>
      </c>
      <c r="E992" t="s">
        <v>16</v>
      </c>
      <c r="F992" t="s">
        <v>39</v>
      </c>
      <c r="G992" t="s">
        <v>36</v>
      </c>
      <c r="H992">
        <v>12387</v>
      </c>
      <c r="I992" t="s">
        <v>22</v>
      </c>
      <c r="J992">
        <v>0.1</v>
      </c>
      <c r="K992">
        <v>13000</v>
      </c>
      <c r="L992" s="1">
        <v>45338</v>
      </c>
    </row>
    <row r="993" spans="1:12" x14ac:dyDescent="0.3">
      <c r="A993" t="s">
        <v>1233</v>
      </c>
      <c r="B993" t="s">
        <v>711</v>
      </c>
      <c r="C993" t="s">
        <v>44</v>
      </c>
      <c r="D993" t="s">
        <v>45</v>
      </c>
      <c r="E993" t="s">
        <v>16</v>
      </c>
      <c r="F993" t="s">
        <v>39</v>
      </c>
      <c r="G993" t="s">
        <v>18</v>
      </c>
      <c r="H993">
        <v>12261</v>
      </c>
      <c r="I993" t="s">
        <v>22</v>
      </c>
      <c r="J993">
        <v>0.1</v>
      </c>
      <c r="K993">
        <v>13000</v>
      </c>
      <c r="L993" s="1">
        <v>45317</v>
      </c>
    </row>
    <row r="994" spans="1:12" x14ac:dyDescent="0.3">
      <c r="A994" t="s">
        <v>1234</v>
      </c>
      <c r="B994" t="s">
        <v>837</v>
      </c>
      <c r="C994" t="s">
        <v>44</v>
      </c>
      <c r="D994" t="s">
        <v>45</v>
      </c>
      <c r="E994" t="s">
        <v>46</v>
      </c>
      <c r="F994" t="s">
        <v>17</v>
      </c>
      <c r="G994" t="s">
        <v>18</v>
      </c>
      <c r="H994">
        <v>12336</v>
      </c>
      <c r="I994" t="s">
        <v>22</v>
      </c>
      <c r="J994">
        <v>0.1</v>
      </c>
      <c r="K994">
        <v>13000</v>
      </c>
      <c r="L994" s="1">
        <v>45330</v>
      </c>
    </row>
    <row r="995" spans="1:12" x14ac:dyDescent="0.3">
      <c r="A995" t="s">
        <v>1235</v>
      </c>
      <c r="B995" t="s">
        <v>239</v>
      </c>
      <c r="C995" t="s">
        <v>44</v>
      </c>
      <c r="D995" t="s">
        <v>45</v>
      </c>
      <c r="E995" t="s">
        <v>46</v>
      </c>
      <c r="F995" t="s">
        <v>25</v>
      </c>
      <c r="G995" t="s">
        <v>18</v>
      </c>
      <c r="H995">
        <v>11342</v>
      </c>
      <c r="I995" t="s">
        <v>27</v>
      </c>
      <c r="K995">
        <v>13000</v>
      </c>
      <c r="L995" s="1">
        <v>45346</v>
      </c>
    </row>
    <row r="996" spans="1:12" x14ac:dyDescent="0.3">
      <c r="A996" t="s">
        <v>1236</v>
      </c>
      <c r="B996" t="s">
        <v>332</v>
      </c>
      <c r="C996" t="s">
        <v>14</v>
      </c>
      <c r="D996" t="s">
        <v>15</v>
      </c>
      <c r="E996" t="s">
        <v>16</v>
      </c>
      <c r="F996" t="s">
        <v>17</v>
      </c>
      <c r="G996" t="s">
        <v>18</v>
      </c>
      <c r="H996">
        <v>14008</v>
      </c>
      <c r="I996" t="s">
        <v>33</v>
      </c>
      <c r="J996">
        <v>0.3</v>
      </c>
      <c r="K996">
        <v>14000</v>
      </c>
      <c r="L996" s="1">
        <v>45330</v>
      </c>
    </row>
    <row r="997" spans="1:12" x14ac:dyDescent="0.3">
      <c r="A997" t="s">
        <v>1237</v>
      </c>
      <c r="B997" t="s">
        <v>86</v>
      </c>
      <c r="C997" t="s">
        <v>14</v>
      </c>
      <c r="D997" t="s">
        <v>15</v>
      </c>
      <c r="E997" t="s">
        <v>16</v>
      </c>
      <c r="F997" t="s">
        <v>17</v>
      </c>
      <c r="G997" t="s">
        <v>36</v>
      </c>
      <c r="H997">
        <v>12605</v>
      </c>
      <c r="K997">
        <v>14000</v>
      </c>
      <c r="L997" s="1">
        <v>45315</v>
      </c>
    </row>
    <row r="998" spans="1:12" x14ac:dyDescent="0.3">
      <c r="A998" t="s">
        <v>1238</v>
      </c>
      <c r="B998" t="s">
        <v>474</v>
      </c>
      <c r="C998" t="s">
        <v>14</v>
      </c>
      <c r="D998" t="s">
        <v>15</v>
      </c>
      <c r="E998" t="s">
        <v>46</v>
      </c>
      <c r="F998" t="s">
        <v>17</v>
      </c>
      <c r="G998" t="s">
        <v>36</v>
      </c>
      <c r="H998">
        <v>13261</v>
      </c>
      <c r="K998">
        <v>14000</v>
      </c>
      <c r="L998" s="1">
        <v>45347</v>
      </c>
    </row>
    <row r="999" spans="1:12" x14ac:dyDescent="0.3">
      <c r="A999" t="s">
        <v>1239</v>
      </c>
      <c r="B999" t="s">
        <v>905</v>
      </c>
      <c r="C999" t="s">
        <v>44</v>
      </c>
      <c r="D999" t="s">
        <v>45</v>
      </c>
      <c r="E999" t="s">
        <v>16</v>
      </c>
      <c r="F999" t="s">
        <v>17</v>
      </c>
      <c r="G999" t="s">
        <v>26</v>
      </c>
      <c r="H999">
        <v>12702</v>
      </c>
      <c r="K999">
        <v>13000</v>
      </c>
      <c r="L999" s="1">
        <v>45310</v>
      </c>
    </row>
    <row r="1000" spans="1:12" x14ac:dyDescent="0.3">
      <c r="A1000" t="s">
        <v>1240</v>
      </c>
      <c r="B1000" t="s">
        <v>135</v>
      </c>
      <c r="C1000" t="s">
        <v>61</v>
      </c>
      <c r="D1000" t="s">
        <v>62</v>
      </c>
      <c r="E1000" t="s">
        <v>16</v>
      </c>
      <c r="F1000" t="s">
        <v>17</v>
      </c>
      <c r="G1000" t="s">
        <v>18</v>
      </c>
      <c r="H1000">
        <v>10422</v>
      </c>
      <c r="I1000" t="s">
        <v>27</v>
      </c>
      <c r="K1000">
        <v>9000</v>
      </c>
      <c r="L1000" s="1">
        <v>45330</v>
      </c>
    </row>
    <row r="1001" spans="1:12" x14ac:dyDescent="0.3">
      <c r="A1001" t="s">
        <v>1241</v>
      </c>
      <c r="B1001" t="s">
        <v>843</v>
      </c>
      <c r="C1001" t="s">
        <v>44</v>
      </c>
      <c r="D1001" t="s">
        <v>45</v>
      </c>
      <c r="E1001" t="s">
        <v>46</v>
      </c>
      <c r="F1001" t="s">
        <v>17</v>
      </c>
      <c r="G1001" t="s">
        <v>26</v>
      </c>
      <c r="H1001">
        <v>12373</v>
      </c>
      <c r="I1001" t="s">
        <v>22</v>
      </c>
      <c r="J1001">
        <v>0.1</v>
      </c>
      <c r="K1001">
        <v>13000</v>
      </c>
      <c r="L1001" s="1">
        <v>45351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workbookViewId="0">
      <selection activeCell="J14" sqref="J14"/>
    </sheetView>
  </sheetViews>
  <sheetFormatPr defaultRowHeight="14.4" x14ac:dyDescent="0.3"/>
  <cols>
    <col min="1" max="1" width="25.5546875" bestFit="1" customWidth="1"/>
    <col min="2" max="2" width="17.44140625" bestFit="1" customWidth="1"/>
    <col min="5" max="5" width="23.33203125" bestFit="1" customWidth="1"/>
    <col min="6" max="6" width="31.21875" bestFit="1" customWidth="1"/>
    <col min="9" max="9" width="23.33203125" bestFit="1" customWidth="1"/>
    <col min="10" max="10" width="39.77734375" bestFit="1" customWidth="1"/>
  </cols>
  <sheetData>
    <row r="1" spans="1:10" x14ac:dyDescent="0.3">
      <c r="A1" s="24" t="s">
        <v>1260</v>
      </c>
      <c r="E1" s="24" t="s">
        <v>1261</v>
      </c>
      <c r="I1" s="24" t="s">
        <v>1262</v>
      </c>
    </row>
    <row r="2" spans="1:10" ht="25.8" x14ac:dyDescent="0.3">
      <c r="A2" s="2" t="s">
        <v>1242</v>
      </c>
      <c r="B2" t="s">
        <v>1244</v>
      </c>
      <c r="E2" s="5" t="s">
        <v>1242</v>
      </c>
      <c r="F2" s="3" t="s">
        <v>1244</v>
      </c>
      <c r="I2" s="5" t="s">
        <v>1242</v>
      </c>
      <c r="J2" s="3" t="s">
        <v>1245</v>
      </c>
    </row>
    <row r="3" spans="1:10" ht="25.8" x14ac:dyDescent="0.3">
      <c r="A3" s="3" t="s">
        <v>14</v>
      </c>
      <c r="B3" s="4">
        <v>250</v>
      </c>
      <c r="E3" s="6" t="s">
        <v>36</v>
      </c>
      <c r="F3" s="7">
        <v>321</v>
      </c>
      <c r="I3" s="6" t="s">
        <v>15</v>
      </c>
      <c r="J3" s="7">
        <v>3507731</v>
      </c>
    </row>
    <row r="4" spans="1:10" ht="25.8" x14ac:dyDescent="0.3">
      <c r="A4" s="3" t="s">
        <v>15</v>
      </c>
      <c r="B4" s="4">
        <v>250</v>
      </c>
      <c r="E4" s="3" t="s">
        <v>26</v>
      </c>
      <c r="F4" s="4">
        <v>364</v>
      </c>
      <c r="I4" s="3" t="s">
        <v>45</v>
      </c>
      <c r="J4" s="4">
        <v>3155748</v>
      </c>
    </row>
    <row r="5" spans="1:10" ht="25.8" x14ac:dyDescent="0.3">
      <c r="A5" s="3" t="s">
        <v>44</v>
      </c>
      <c r="B5" s="4">
        <v>242</v>
      </c>
      <c r="E5" s="3" t="s">
        <v>18</v>
      </c>
      <c r="F5" s="4">
        <v>315</v>
      </c>
      <c r="I5" s="3" t="s">
        <v>31</v>
      </c>
      <c r="J5" s="4">
        <v>4540207</v>
      </c>
    </row>
    <row r="6" spans="1:10" ht="25.8" x14ac:dyDescent="0.3">
      <c r="A6" s="3" t="s">
        <v>45</v>
      </c>
      <c r="B6" s="4">
        <v>242</v>
      </c>
      <c r="E6" s="3" t="s">
        <v>1243</v>
      </c>
      <c r="F6" s="4">
        <v>1000</v>
      </c>
      <c r="I6" s="3" t="s">
        <v>62</v>
      </c>
      <c r="J6" s="4">
        <v>2191607</v>
      </c>
    </row>
    <row r="7" spans="1:10" ht="25.8" x14ac:dyDescent="0.3">
      <c r="A7" s="6" t="s">
        <v>30</v>
      </c>
      <c r="B7" s="7">
        <v>266</v>
      </c>
      <c r="I7" s="3" t="s">
        <v>1243</v>
      </c>
      <c r="J7" s="4">
        <v>13395293</v>
      </c>
    </row>
    <row r="8" spans="1:10" ht="25.8" x14ac:dyDescent="0.3">
      <c r="A8" s="6" t="s">
        <v>31</v>
      </c>
      <c r="B8" s="7">
        <v>266</v>
      </c>
    </row>
    <row r="9" spans="1:10" ht="25.8" x14ac:dyDescent="0.3">
      <c r="A9" s="3" t="s">
        <v>61</v>
      </c>
      <c r="B9" s="4">
        <v>242</v>
      </c>
    </row>
    <row r="10" spans="1:10" ht="25.8" x14ac:dyDescent="0.3">
      <c r="A10" s="3" t="s">
        <v>62</v>
      </c>
      <c r="B10" s="4">
        <v>242</v>
      </c>
    </row>
    <row r="11" spans="1:10" ht="25.8" x14ac:dyDescent="0.3">
      <c r="A11" s="3" t="s">
        <v>1243</v>
      </c>
      <c r="B11" s="4">
        <v>1000</v>
      </c>
    </row>
    <row r="12" spans="1:10" x14ac:dyDescent="0.3">
      <c r="E12" s="24" t="s">
        <v>1263</v>
      </c>
      <c r="I12" s="24" t="s">
        <v>1264</v>
      </c>
    </row>
    <row r="13" spans="1:10" ht="25.8" x14ac:dyDescent="0.3">
      <c r="E13" s="6" t="s">
        <v>1246</v>
      </c>
      <c r="F13" s="6" t="s">
        <v>5</v>
      </c>
      <c r="I13" s="13" t="s">
        <v>1246</v>
      </c>
      <c r="J13" s="13" t="s">
        <v>1250</v>
      </c>
    </row>
    <row r="14" spans="1:10" ht="25.8" x14ac:dyDescent="0.3">
      <c r="E14" s="29" t="s">
        <v>37</v>
      </c>
      <c r="F14" s="6" t="str">
        <f>VLOOKUP(E14,edtech_dataset!A1:L1001,6,FALSE)</f>
        <v>Amit</v>
      </c>
      <c r="I14" s="29" t="s">
        <v>37</v>
      </c>
      <c r="J14" s="13" t="str">
        <f>INDEX(edtech_dataset!G:G,MATCH(Q1_Q2_Q3_Q4_Q7!I14,edtech_dataset!A:A,0))</f>
        <v>Mobile</v>
      </c>
    </row>
  </sheetData>
  <pageMargins left="0.7" right="0.7" top="0.75" bottom="0.75" header="0.3" footer="0.3"/>
  <pageSetup paperSize="9"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EA263-FCC1-43C3-835A-9AEDCE91B823}">
  <dimension ref="A1:Q1001"/>
  <sheetViews>
    <sheetView zoomScale="88" zoomScaleNormal="88" workbookViewId="0">
      <selection activeCell="O2" sqref="O2"/>
    </sheetView>
  </sheetViews>
  <sheetFormatPr defaultRowHeight="14.4" x14ac:dyDescent="0.3"/>
  <cols>
    <col min="1" max="1" width="9" bestFit="1" customWidth="1"/>
    <col min="2" max="2" width="13.88671875" bestFit="1" customWidth="1"/>
    <col min="3" max="3" width="8.44140625" bestFit="1" customWidth="1"/>
    <col min="4" max="4" width="12.5546875" bestFit="1" customWidth="1"/>
    <col min="5" max="5" width="7.44140625" bestFit="1" customWidth="1"/>
    <col min="6" max="6" width="12" bestFit="1" customWidth="1"/>
    <col min="7" max="7" width="8.109375" bestFit="1" customWidth="1"/>
    <col min="8" max="8" width="14.6640625" bestFit="1" customWidth="1"/>
    <col min="9" max="9" width="12.33203125" bestFit="1" customWidth="1"/>
    <col min="10" max="10" width="14.44140625" style="27" bestFit="1" customWidth="1"/>
    <col min="11" max="11" width="13.33203125" bestFit="1" customWidth="1"/>
    <col min="12" max="12" width="12" bestFit="1" customWidth="1"/>
    <col min="13" max="13" width="17.21875" style="9" bestFit="1" customWidth="1"/>
    <col min="14" max="14" width="19.33203125" style="21" bestFit="1" customWidth="1"/>
    <col min="15" max="15" width="16.21875" style="23" customWidth="1"/>
    <col min="16" max="16" width="30.21875" bestFit="1" customWidth="1"/>
    <col min="17" max="17" width="12.109375" bestFit="1" customWidth="1"/>
  </cols>
  <sheetData>
    <row r="1" spans="1:17" x14ac:dyDescent="0.3">
      <c r="A1" s="12" t="s">
        <v>0</v>
      </c>
      <c r="B1" s="12" t="s">
        <v>1</v>
      </c>
      <c r="C1" s="12" t="s">
        <v>2</v>
      </c>
      <c r="D1" s="12" t="s">
        <v>3</v>
      </c>
      <c r="E1" s="12" t="s">
        <v>4</v>
      </c>
      <c r="F1" s="12" t="s">
        <v>5</v>
      </c>
      <c r="G1" s="12" t="s">
        <v>6</v>
      </c>
      <c r="H1" s="12" t="s">
        <v>7</v>
      </c>
      <c r="I1" s="12" t="s">
        <v>8</v>
      </c>
      <c r="J1" s="26" t="s">
        <v>9</v>
      </c>
      <c r="K1" s="12" t="s">
        <v>10</v>
      </c>
      <c r="L1" s="12" t="s">
        <v>11</v>
      </c>
      <c r="M1" s="8" t="s">
        <v>1247</v>
      </c>
      <c r="N1" s="20" t="s">
        <v>1249</v>
      </c>
      <c r="O1" s="22" t="s">
        <v>1251</v>
      </c>
    </row>
    <row r="2" spans="1:17" x14ac:dyDescent="0.3">
      <c r="A2" s="12" t="s">
        <v>12</v>
      </c>
      <c r="B2" s="12" t="s">
        <v>13</v>
      </c>
      <c r="C2" s="12" t="s">
        <v>14</v>
      </c>
      <c r="D2" s="12" t="s">
        <v>15</v>
      </c>
      <c r="E2" s="12" t="s">
        <v>16</v>
      </c>
      <c r="F2" s="12" t="s">
        <v>17</v>
      </c>
      <c r="G2" s="12" t="s">
        <v>18</v>
      </c>
      <c r="H2" s="12">
        <v>12914</v>
      </c>
      <c r="I2" s="12" t="s">
        <v>19</v>
      </c>
      <c r="J2" s="26">
        <v>0.2</v>
      </c>
      <c r="K2" s="12">
        <v>14000</v>
      </c>
      <c r="L2" s="14">
        <v>45339</v>
      </c>
      <c r="M2" s="8" t="str">
        <f t="shared" ref="M2:M65" si="0">IF(J2&gt;=N2,"Target Achieved","Below Target")</f>
        <v>Below Target</v>
      </c>
      <c r="N2" s="20">
        <f>IFERROR(VALUE(RIGHT(I2,2)),0)</f>
        <v>20</v>
      </c>
      <c r="O2" s="22">
        <f>H2-H2*N2/100</f>
        <v>10331.200000000001</v>
      </c>
    </row>
    <row r="3" spans="1:17" x14ac:dyDescent="0.3">
      <c r="A3" s="12" t="s">
        <v>20</v>
      </c>
      <c r="B3" s="12" t="s">
        <v>21</v>
      </c>
      <c r="C3" s="12" t="s">
        <v>14</v>
      </c>
      <c r="D3" s="12" t="s">
        <v>15</v>
      </c>
      <c r="E3" s="12" t="s">
        <v>16</v>
      </c>
      <c r="F3" s="12" t="s">
        <v>17</v>
      </c>
      <c r="G3" s="12" t="s">
        <v>18</v>
      </c>
      <c r="H3" s="12">
        <v>12122</v>
      </c>
      <c r="I3" s="12" t="s">
        <v>22</v>
      </c>
      <c r="J3" s="26">
        <v>0.1</v>
      </c>
      <c r="K3" s="12">
        <v>14000</v>
      </c>
      <c r="L3" s="14">
        <v>45305</v>
      </c>
      <c r="M3" s="8" t="str">
        <f t="shared" si="0"/>
        <v>Below Target</v>
      </c>
      <c r="N3" s="20">
        <f t="shared" ref="N3:N66" si="1">IFERROR(VALUE(RIGHT(I3,2)),0)</f>
        <v>10</v>
      </c>
      <c r="O3" s="22">
        <f t="shared" ref="O3:O66" si="2">H3-H3*N3/100</f>
        <v>10909.8</v>
      </c>
    </row>
    <row r="4" spans="1:17" ht="15.6" x14ac:dyDescent="0.3">
      <c r="A4" s="12" t="s">
        <v>23</v>
      </c>
      <c r="B4" s="12" t="s">
        <v>24</v>
      </c>
      <c r="C4" s="12" t="s">
        <v>14</v>
      </c>
      <c r="D4" s="12" t="s">
        <v>15</v>
      </c>
      <c r="E4" s="12" t="s">
        <v>16</v>
      </c>
      <c r="F4" s="12" t="s">
        <v>25</v>
      </c>
      <c r="G4" s="12" t="s">
        <v>26</v>
      </c>
      <c r="H4" s="12">
        <v>14661</v>
      </c>
      <c r="I4" s="12" t="s">
        <v>27</v>
      </c>
      <c r="J4" s="26"/>
      <c r="K4" s="12">
        <v>14000</v>
      </c>
      <c r="L4" s="14">
        <v>45318</v>
      </c>
      <c r="M4" s="8" t="str">
        <f t="shared" si="0"/>
        <v>Below Target</v>
      </c>
      <c r="N4" s="20">
        <f t="shared" si="1"/>
        <v>15</v>
      </c>
      <c r="O4" s="22">
        <f t="shared" si="2"/>
        <v>12461.85</v>
      </c>
      <c r="P4" s="10" t="s">
        <v>1248</v>
      </c>
      <c r="Q4" s="11">
        <f>COUNTIF(M:M,"Target Achieved")/COUNTA(N:N)*100</f>
        <v>20.27972027972028</v>
      </c>
    </row>
    <row r="5" spans="1:17" ht="15.6" x14ac:dyDescent="0.3">
      <c r="A5" s="12" t="s">
        <v>28</v>
      </c>
      <c r="B5" s="12" t="s">
        <v>29</v>
      </c>
      <c r="C5" s="12" t="s">
        <v>30</v>
      </c>
      <c r="D5" s="12" t="s">
        <v>31</v>
      </c>
      <c r="E5" s="12" t="s">
        <v>32</v>
      </c>
      <c r="F5" s="12" t="s">
        <v>25</v>
      </c>
      <c r="G5" s="12" t="s">
        <v>26</v>
      </c>
      <c r="H5" s="12">
        <v>16731</v>
      </c>
      <c r="I5" s="12" t="s">
        <v>33</v>
      </c>
      <c r="J5" s="26">
        <v>0.3</v>
      </c>
      <c r="K5" s="12">
        <v>17000</v>
      </c>
      <c r="L5" s="14">
        <v>45309</v>
      </c>
      <c r="M5" s="8" t="str">
        <f t="shared" si="0"/>
        <v>Below Target</v>
      </c>
      <c r="N5" s="20">
        <f t="shared" si="1"/>
        <v>30</v>
      </c>
      <c r="O5" s="22">
        <f t="shared" si="2"/>
        <v>11711.7</v>
      </c>
      <c r="P5" s="28" t="s">
        <v>1266</v>
      </c>
      <c r="Q5" s="28">
        <f>SUM(H:H)</f>
        <v>13395293</v>
      </c>
    </row>
    <row r="6" spans="1:17" ht="15.6" x14ac:dyDescent="0.3">
      <c r="A6" s="12" t="s">
        <v>34</v>
      </c>
      <c r="B6" s="12" t="s">
        <v>35</v>
      </c>
      <c r="C6" s="12" t="s">
        <v>30</v>
      </c>
      <c r="D6" s="12" t="s">
        <v>31</v>
      </c>
      <c r="E6" s="12" t="s">
        <v>32</v>
      </c>
      <c r="F6" s="12" t="s">
        <v>25</v>
      </c>
      <c r="G6" s="12" t="s">
        <v>36</v>
      </c>
      <c r="H6" s="12">
        <v>15396</v>
      </c>
      <c r="I6" s="12" t="s">
        <v>33</v>
      </c>
      <c r="J6" s="26">
        <v>0.3</v>
      </c>
      <c r="K6" s="12">
        <v>17000</v>
      </c>
      <c r="L6" s="14">
        <v>45346</v>
      </c>
      <c r="M6" s="8" t="str">
        <f t="shared" si="0"/>
        <v>Below Target</v>
      </c>
      <c r="N6" s="20">
        <f t="shared" si="1"/>
        <v>30</v>
      </c>
      <c r="O6" s="22">
        <f t="shared" si="2"/>
        <v>10777.2</v>
      </c>
      <c r="P6" s="28" t="s">
        <v>1267</v>
      </c>
      <c r="Q6" s="28">
        <f>SUM(O:O)</f>
        <v>11354117.500000006</v>
      </c>
    </row>
    <row r="7" spans="1:17" x14ac:dyDescent="0.3">
      <c r="A7" s="12" t="s">
        <v>37</v>
      </c>
      <c r="B7" s="12" t="s">
        <v>38</v>
      </c>
      <c r="C7" s="12" t="s">
        <v>30</v>
      </c>
      <c r="D7" s="12" t="s">
        <v>31</v>
      </c>
      <c r="E7" s="12" t="s">
        <v>32</v>
      </c>
      <c r="F7" s="12" t="s">
        <v>39</v>
      </c>
      <c r="G7" s="12" t="s">
        <v>36</v>
      </c>
      <c r="H7" s="12">
        <v>17196</v>
      </c>
      <c r="I7" s="12" t="s">
        <v>22</v>
      </c>
      <c r="J7" s="26">
        <v>0.1</v>
      </c>
      <c r="K7" s="12">
        <v>17000</v>
      </c>
      <c r="L7" s="14">
        <v>45351</v>
      </c>
      <c r="M7" s="8" t="str">
        <f t="shared" si="0"/>
        <v>Below Target</v>
      </c>
      <c r="N7" s="20">
        <f t="shared" si="1"/>
        <v>10</v>
      </c>
      <c r="O7" s="22">
        <f t="shared" si="2"/>
        <v>15476.4</v>
      </c>
    </row>
    <row r="8" spans="1:17" x14ac:dyDescent="0.3">
      <c r="A8" s="12" t="s">
        <v>40</v>
      </c>
      <c r="B8" s="12" t="s">
        <v>41</v>
      </c>
      <c r="C8" s="12" t="s">
        <v>30</v>
      </c>
      <c r="D8" s="12" t="s">
        <v>31</v>
      </c>
      <c r="E8" s="12" t="s">
        <v>16</v>
      </c>
      <c r="F8" s="12" t="s">
        <v>39</v>
      </c>
      <c r="G8" s="12" t="s">
        <v>36</v>
      </c>
      <c r="H8" s="12">
        <v>17364</v>
      </c>
      <c r="I8" s="12" t="s">
        <v>19</v>
      </c>
      <c r="J8" s="26">
        <v>0.2</v>
      </c>
      <c r="K8" s="12">
        <v>17000</v>
      </c>
      <c r="L8" s="14">
        <v>45337</v>
      </c>
      <c r="M8" s="8" t="str">
        <f t="shared" si="0"/>
        <v>Below Target</v>
      </c>
      <c r="N8" s="20">
        <f t="shared" si="1"/>
        <v>20</v>
      </c>
      <c r="O8" s="22">
        <f t="shared" si="2"/>
        <v>13891.2</v>
      </c>
    </row>
    <row r="9" spans="1:17" x14ac:dyDescent="0.3">
      <c r="A9" s="12" t="s">
        <v>42</v>
      </c>
      <c r="B9" s="12" t="s">
        <v>43</v>
      </c>
      <c r="C9" s="12" t="s">
        <v>44</v>
      </c>
      <c r="D9" s="12" t="s">
        <v>45</v>
      </c>
      <c r="E9" s="12" t="s">
        <v>46</v>
      </c>
      <c r="F9" s="12" t="s">
        <v>25</v>
      </c>
      <c r="G9" s="12" t="s">
        <v>18</v>
      </c>
      <c r="H9" s="12">
        <v>14549</v>
      </c>
      <c r="I9" s="12" t="s">
        <v>22</v>
      </c>
      <c r="J9" s="26">
        <v>0.1</v>
      </c>
      <c r="K9" s="12">
        <v>13000</v>
      </c>
      <c r="L9" s="14">
        <v>45316</v>
      </c>
      <c r="M9" s="8" t="str">
        <f t="shared" si="0"/>
        <v>Below Target</v>
      </c>
      <c r="N9" s="20">
        <f t="shared" si="1"/>
        <v>10</v>
      </c>
      <c r="O9" s="22">
        <f t="shared" si="2"/>
        <v>13094.1</v>
      </c>
    </row>
    <row r="10" spans="1:17" x14ac:dyDescent="0.3">
      <c r="A10" s="12" t="s">
        <v>47</v>
      </c>
      <c r="B10" s="12" t="s">
        <v>48</v>
      </c>
      <c r="C10" s="12" t="s">
        <v>30</v>
      </c>
      <c r="D10" s="12" t="s">
        <v>31</v>
      </c>
      <c r="E10" s="12" t="s">
        <v>32</v>
      </c>
      <c r="F10" s="12" t="s">
        <v>17</v>
      </c>
      <c r="G10" s="12" t="s">
        <v>36</v>
      </c>
      <c r="H10" s="12">
        <v>15858</v>
      </c>
      <c r="I10" s="12" t="s">
        <v>33</v>
      </c>
      <c r="J10" s="26">
        <v>0.3</v>
      </c>
      <c r="K10" s="12">
        <v>17000</v>
      </c>
      <c r="L10" s="14">
        <v>45336</v>
      </c>
      <c r="M10" s="8" t="str">
        <f t="shared" si="0"/>
        <v>Below Target</v>
      </c>
      <c r="N10" s="20">
        <f t="shared" si="1"/>
        <v>30</v>
      </c>
      <c r="O10" s="22">
        <f t="shared" si="2"/>
        <v>11100.6</v>
      </c>
    </row>
    <row r="11" spans="1:17" x14ac:dyDescent="0.3">
      <c r="A11" s="12" t="s">
        <v>49</v>
      </c>
      <c r="B11" s="12" t="s">
        <v>50</v>
      </c>
      <c r="C11" s="12" t="s">
        <v>14</v>
      </c>
      <c r="D11" s="12" t="s">
        <v>15</v>
      </c>
      <c r="E11" s="12" t="s">
        <v>16</v>
      </c>
      <c r="F11" s="12" t="s">
        <v>39</v>
      </c>
      <c r="G11" s="12" t="s">
        <v>18</v>
      </c>
      <c r="H11" s="12">
        <v>14187</v>
      </c>
      <c r="I11" s="12" t="s">
        <v>19</v>
      </c>
      <c r="J11" s="26">
        <v>0.2</v>
      </c>
      <c r="K11" s="12">
        <v>14000</v>
      </c>
      <c r="L11" s="14">
        <v>45302</v>
      </c>
      <c r="M11" s="8" t="str">
        <f t="shared" si="0"/>
        <v>Below Target</v>
      </c>
      <c r="N11" s="20">
        <f t="shared" si="1"/>
        <v>20</v>
      </c>
      <c r="O11" s="22">
        <f t="shared" si="2"/>
        <v>11349.6</v>
      </c>
    </row>
    <row r="12" spans="1:17" x14ac:dyDescent="0.3">
      <c r="A12" s="12" t="s">
        <v>51</v>
      </c>
      <c r="B12" s="12" t="s">
        <v>52</v>
      </c>
      <c r="C12" s="12" t="s">
        <v>30</v>
      </c>
      <c r="D12" s="12" t="s">
        <v>31</v>
      </c>
      <c r="E12" s="12" t="s">
        <v>16</v>
      </c>
      <c r="F12" s="12" t="s">
        <v>39</v>
      </c>
      <c r="G12" s="12" t="s">
        <v>26</v>
      </c>
      <c r="H12" s="12">
        <v>15899</v>
      </c>
      <c r="I12" s="12" t="s">
        <v>33</v>
      </c>
      <c r="J12" s="26">
        <v>0.3</v>
      </c>
      <c r="K12" s="12">
        <v>17000</v>
      </c>
      <c r="L12" s="14">
        <v>45345</v>
      </c>
      <c r="M12" s="8" t="str">
        <f t="shared" si="0"/>
        <v>Below Target</v>
      </c>
      <c r="N12" s="20">
        <f t="shared" si="1"/>
        <v>30</v>
      </c>
      <c r="O12" s="22">
        <f t="shared" si="2"/>
        <v>11129.3</v>
      </c>
    </row>
    <row r="13" spans="1:17" x14ac:dyDescent="0.3">
      <c r="A13" s="12" t="s">
        <v>53</v>
      </c>
      <c r="B13" s="12" t="s">
        <v>54</v>
      </c>
      <c r="C13" s="12" t="s">
        <v>14</v>
      </c>
      <c r="D13" s="12" t="s">
        <v>15</v>
      </c>
      <c r="E13" s="12" t="s">
        <v>32</v>
      </c>
      <c r="F13" s="12" t="s">
        <v>25</v>
      </c>
      <c r="G13" s="12" t="s">
        <v>36</v>
      </c>
      <c r="H13" s="12">
        <v>13643</v>
      </c>
      <c r="I13" s="12" t="s">
        <v>33</v>
      </c>
      <c r="J13" s="26">
        <v>0.3</v>
      </c>
      <c r="K13" s="12">
        <v>14000</v>
      </c>
      <c r="L13" s="14">
        <v>45296</v>
      </c>
      <c r="M13" s="8" t="str">
        <f t="shared" si="0"/>
        <v>Below Target</v>
      </c>
      <c r="N13" s="20">
        <f t="shared" si="1"/>
        <v>30</v>
      </c>
      <c r="O13" s="22">
        <f t="shared" si="2"/>
        <v>9550.1</v>
      </c>
    </row>
    <row r="14" spans="1:17" x14ac:dyDescent="0.3">
      <c r="A14" s="12" t="s">
        <v>55</v>
      </c>
      <c r="B14" s="12" t="s">
        <v>56</v>
      </c>
      <c r="C14" s="12" t="s">
        <v>30</v>
      </c>
      <c r="D14" s="12" t="s">
        <v>31</v>
      </c>
      <c r="E14" s="12" t="s">
        <v>32</v>
      </c>
      <c r="F14" s="12" t="s">
        <v>39</v>
      </c>
      <c r="G14" s="12" t="s">
        <v>36</v>
      </c>
      <c r="H14" s="12">
        <v>16620</v>
      </c>
      <c r="I14" s="12"/>
      <c r="J14" s="26"/>
      <c r="K14" s="12">
        <v>17000</v>
      </c>
      <c r="L14" s="14">
        <v>45301</v>
      </c>
      <c r="M14" s="8" t="str">
        <f t="shared" si="0"/>
        <v>Target Achieved</v>
      </c>
      <c r="N14" s="20">
        <f t="shared" si="1"/>
        <v>0</v>
      </c>
      <c r="O14" s="22">
        <f t="shared" si="2"/>
        <v>16620</v>
      </c>
    </row>
    <row r="15" spans="1:17" x14ac:dyDescent="0.3">
      <c r="A15" s="12" t="s">
        <v>57</v>
      </c>
      <c r="B15" s="12" t="s">
        <v>58</v>
      </c>
      <c r="C15" s="12" t="s">
        <v>44</v>
      </c>
      <c r="D15" s="12" t="s">
        <v>45</v>
      </c>
      <c r="E15" s="12" t="s">
        <v>16</v>
      </c>
      <c r="F15" s="12" t="s">
        <v>39</v>
      </c>
      <c r="G15" s="12" t="s">
        <v>26</v>
      </c>
      <c r="H15" s="12">
        <v>12076</v>
      </c>
      <c r="I15" s="12" t="s">
        <v>27</v>
      </c>
      <c r="J15" s="26"/>
      <c r="K15" s="12">
        <v>13000</v>
      </c>
      <c r="L15" s="14">
        <v>45319</v>
      </c>
      <c r="M15" s="8" t="str">
        <f t="shared" si="0"/>
        <v>Below Target</v>
      </c>
      <c r="N15" s="20">
        <f t="shared" si="1"/>
        <v>15</v>
      </c>
      <c r="O15" s="22">
        <f t="shared" si="2"/>
        <v>10264.6</v>
      </c>
    </row>
    <row r="16" spans="1:17" x14ac:dyDescent="0.3">
      <c r="A16" s="12" t="s">
        <v>59</v>
      </c>
      <c r="B16" s="12" t="s">
        <v>60</v>
      </c>
      <c r="C16" s="12" t="s">
        <v>61</v>
      </c>
      <c r="D16" s="12" t="s">
        <v>62</v>
      </c>
      <c r="E16" s="12" t="s">
        <v>46</v>
      </c>
      <c r="F16" s="12" t="s">
        <v>25</v>
      </c>
      <c r="G16" s="12" t="s">
        <v>18</v>
      </c>
      <c r="H16" s="12">
        <v>9087</v>
      </c>
      <c r="I16" s="12"/>
      <c r="J16" s="26"/>
      <c r="K16" s="12">
        <v>9000</v>
      </c>
      <c r="L16" s="14">
        <v>45297</v>
      </c>
      <c r="M16" s="8" t="str">
        <f t="shared" si="0"/>
        <v>Target Achieved</v>
      </c>
      <c r="N16" s="20">
        <f t="shared" si="1"/>
        <v>0</v>
      </c>
      <c r="O16" s="22">
        <f t="shared" si="2"/>
        <v>9087</v>
      </c>
    </row>
    <row r="17" spans="1:15" x14ac:dyDescent="0.3">
      <c r="A17" s="12" t="s">
        <v>63</v>
      </c>
      <c r="B17" s="12" t="s">
        <v>64</v>
      </c>
      <c r="C17" s="12" t="s">
        <v>14</v>
      </c>
      <c r="D17" s="12" t="s">
        <v>15</v>
      </c>
      <c r="E17" s="12" t="s">
        <v>32</v>
      </c>
      <c r="F17" s="12" t="s">
        <v>39</v>
      </c>
      <c r="G17" s="12" t="s">
        <v>18</v>
      </c>
      <c r="H17" s="12">
        <v>15244</v>
      </c>
      <c r="I17" s="12"/>
      <c r="J17" s="26"/>
      <c r="K17" s="12">
        <v>14000</v>
      </c>
      <c r="L17" s="14">
        <v>45330</v>
      </c>
      <c r="M17" s="8" t="str">
        <f t="shared" si="0"/>
        <v>Target Achieved</v>
      </c>
      <c r="N17" s="20">
        <f t="shared" si="1"/>
        <v>0</v>
      </c>
      <c r="O17" s="22">
        <f t="shared" si="2"/>
        <v>15244</v>
      </c>
    </row>
    <row r="18" spans="1:15" x14ac:dyDescent="0.3">
      <c r="A18" s="12" t="s">
        <v>65</v>
      </c>
      <c r="B18" s="12" t="s">
        <v>66</v>
      </c>
      <c r="C18" s="12" t="s">
        <v>61</v>
      </c>
      <c r="D18" s="12" t="s">
        <v>62</v>
      </c>
      <c r="E18" s="12" t="s">
        <v>16</v>
      </c>
      <c r="F18" s="12" t="s">
        <v>17</v>
      </c>
      <c r="G18" s="12" t="s">
        <v>26</v>
      </c>
      <c r="H18" s="12">
        <v>8029</v>
      </c>
      <c r="I18" s="12" t="s">
        <v>27</v>
      </c>
      <c r="J18" s="26"/>
      <c r="K18" s="12">
        <v>9000</v>
      </c>
      <c r="L18" s="14">
        <v>45347</v>
      </c>
      <c r="M18" s="8" t="str">
        <f t="shared" si="0"/>
        <v>Below Target</v>
      </c>
      <c r="N18" s="20">
        <f t="shared" si="1"/>
        <v>15</v>
      </c>
      <c r="O18" s="22">
        <f t="shared" si="2"/>
        <v>6824.65</v>
      </c>
    </row>
    <row r="19" spans="1:15" x14ac:dyDescent="0.3">
      <c r="A19" s="12" t="s">
        <v>67</v>
      </c>
      <c r="B19" s="12" t="s">
        <v>68</v>
      </c>
      <c r="C19" s="12" t="s">
        <v>14</v>
      </c>
      <c r="D19" s="12" t="s">
        <v>15</v>
      </c>
      <c r="E19" s="12" t="s">
        <v>16</v>
      </c>
      <c r="F19" s="12" t="s">
        <v>39</v>
      </c>
      <c r="G19" s="12" t="s">
        <v>36</v>
      </c>
      <c r="H19" s="12">
        <v>15148</v>
      </c>
      <c r="I19" s="12" t="s">
        <v>33</v>
      </c>
      <c r="J19" s="26">
        <v>0.3</v>
      </c>
      <c r="K19" s="12">
        <v>14000</v>
      </c>
      <c r="L19" s="14">
        <v>45299</v>
      </c>
      <c r="M19" s="8" t="str">
        <f t="shared" si="0"/>
        <v>Below Target</v>
      </c>
      <c r="N19" s="20">
        <f t="shared" si="1"/>
        <v>30</v>
      </c>
      <c r="O19" s="22">
        <f t="shared" si="2"/>
        <v>10603.6</v>
      </c>
    </row>
    <row r="20" spans="1:15" x14ac:dyDescent="0.3">
      <c r="A20" s="12" t="s">
        <v>69</v>
      </c>
      <c r="B20" s="12" t="s">
        <v>70</v>
      </c>
      <c r="C20" s="12" t="s">
        <v>44</v>
      </c>
      <c r="D20" s="12" t="s">
        <v>45</v>
      </c>
      <c r="E20" s="12" t="s">
        <v>46</v>
      </c>
      <c r="F20" s="12" t="s">
        <v>25</v>
      </c>
      <c r="G20" s="12" t="s">
        <v>26</v>
      </c>
      <c r="H20" s="12">
        <v>14587</v>
      </c>
      <c r="I20" s="12" t="s">
        <v>33</v>
      </c>
      <c r="J20" s="26">
        <v>0.3</v>
      </c>
      <c r="K20" s="12">
        <v>13000</v>
      </c>
      <c r="L20" s="14">
        <v>45324</v>
      </c>
      <c r="M20" s="8" t="str">
        <f t="shared" si="0"/>
        <v>Below Target</v>
      </c>
      <c r="N20" s="20">
        <f t="shared" si="1"/>
        <v>30</v>
      </c>
      <c r="O20" s="22">
        <f t="shared" si="2"/>
        <v>10210.9</v>
      </c>
    </row>
    <row r="21" spans="1:15" x14ac:dyDescent="0.3">
      <c r="A21" s="12" t="s">
        <v>71</v>
      </c>
      <c r="B21" s="12" t="s">
        <v>72</v>
      </c>
      <c r="C21" s="12" t="s">
        <v>14</v>
      </c>
      <c r="D21" s="12" t="s">
        <v>15</v>
      </c>
      <c r="E21" s="12" t="s">
        <v>16</v>
      </c>
      <c r="F21" s="12" t="s">
        <v>17</v>
      </c>
      <c r="G21" s="12" t="s">
        <v>26</v>
      </c>
      <c r="H21" s="12">
        <v>14079</v>
      </c>
      <c r="I21" s="12" t="s">
        <v>27</v>
      </c>
      <c r="J21" s="26"/>
      <c r="K21" s="12">
        <v>14000</v>
      </c>
      <c r="L21" s="14">
        <v>45304</v>
      </c>
      <c r="M21" s="8" t="str">
        <f t="shared" si="0"/>
        <v>Below Target</v>
      </c>
      <c r="N21" s="20">
        <f t="shared" si="1"/>
        <v>15</v>
      </c>
      <c r="O21" s="22">
        <f t="shared" si="2"/>
        <v>11967.15</v>
      </c>
    </row>
    <row r="22" spans="1:15" x14ac:dyDescent="0.3">
      <c r="A22" s="12" t="s">
        <v>73</v>
      </c>
      <c r="B22" s="12" t="s">
        <v>74</v>
      </c>
      <c r="C22" s="12" t="s">
        <v>44</v>
      </c>
      <c r="D22" s="12" t="s">
        <v>45</v>
      </c>
      <c r="E22" s="12" t="s">
        <v>16</v>
      </c>
      <c r="F22" s="12" t="s">
        <v>39</v>
      </c>
      <c r="G22" s="12" t="s">
        <v>18</v>
      </c>
      <c r="H22" s="12">
        <v>13453</v>
      </c>
      <c r="I22" s="12" t="s">
        <v>33</v>
      </c>
      <c r="J22" s="26">
        <v>0.3</v>
      </c>
      <c r="K22" s="12">
        <v>13000</v>
      </c>
      <c r="L22" s="14">
        <v>45323</v>
      </c>
      <c r="M22" s="8" t="str">
        <f t="shared" si="0"/>
        <v>Below Target</v>
      </c>
      <c r="N22" s="20">
        <f t="shared" si="1"/>
        <v>30</v>
      </c>
      <c r="O22" s="22">
        <f t="shared" si="2"/>
        <v>9417.1</v>
      </c>
    </row>
    <row r="23" spans="1:15" x14ac:dyDescent="0.3">
      <c r="A23" s="12" t="s">
        <v>75</v>
      </c>
      <c r="B23" s="12" t="s">
        <v>76</v>
      </c>
      <c r="C23" s="12" t="s">
        <v>30</v>
      </c>
      <c r="D23" s="12" t="s">
        <v>31</v>
      </c>
      <c r="E23" s="12" t="s">
        <v>46</v>
      </c>
      <c r="F23" s="12" t="s">
        <v>25</v>
      </c>
      <c r="G23" s="12" t="s">
        <v>18</v>
      </c>
      <c r="H23" s="12">
        <v>15986</v>
      </c>
      <c r="I23" s="12" t="s">
        <v>27</v>
      </c>
      <c r="J23" s="26"/>
      <c r="K23" s="12">
        <v>17000</v>
      </c>
      <c r="L23" s="14">
        <v>45352</v>
      </c>
      <c r="M23" s="8" t="str">
        <f t="shared" si="0"/>
        <v>Below Target</v>
      </c>
      <c r="N23" s="20">
        <f t="shared" si="1"/>
        <v>15</v>
      </c>
      <c r="O23" s="22">
        <f t="shared" si="2"/>
        <v>13588.1</v>
      </c>
    </row>
    <row r="24" spans="1:15" x14ac:dyDescent="0.3">
      <c r="A24" s="12" t="s">
        <v>77</v>
      </c>
      <c r="B24" s="12" t="s">
        <v>78</v>
      </c>
      <c r="C24" s="12" t="s">
        <v>61</v>
      </c>
      <c r="D24" s="12" t="s">
        <v>62</v>
      </c>
      <c r="E24" s="12" t="s">
        <v>32</v>
      </c>
      <c r="F24" s="12" t="s">
        <v>39</v>
      </c>
      <c r="G24" s="12" t="s">
        <v>18</v>
      </c>
      <c r="H24" s="12">
        <v>7525</v>
      </c>
      <c r="I24" s="12"/>
      <c r="J24" s="26"/>
      <c r="K24" s="12">
        <v>9000</v>
      </c>
      <c r="L24" s="14">
        <v>45352</v>
      </c>
      <c r="M24" s="8" t="str">
        <f t="shared" si="0"/>
        <v>Target Achieved</v>
      </c>
      <c r="N24" s="20">
        <f t="shared" si="1"/>
        <v>0</v>
      </c>
      <c r="O24" s="22">
        <f t="shared" si="2"/>
        <v>7525</v>
      </c>
    </row>
    <row r="25" spans="1:15" x14ac:dyDescent="0.3">
      <c r="A25" s="12" t="s">
        <v>79</v>
      </c>
      <c r="B25" s="12" t="s">
        <v>80</v>
      </c>
      <c r="C25" s="12" t="s">
        <v>30</v>
      </c>
      <c r="D25" s="12" t="s">
        <v>31</v>
      </c>
      <c r="E25" s="12" t="s">
        <v>16</v>
      </c>
      <c r="F25" s="12" t="s">
        <v>39</v>
      </c>
      <c r="G25" s="12" t="s">
        <v>36</v>
      </c>
      <c r="H25" s="12">
        <v>18950</v>
      </c>
      <c r="I25" s="12" t="s">
        <v>19</v>
      </c>
      <c r="J25" s="26">
        <v>0.2</v>
      </c>
      <c r="K25" s="12">
        <v>17000</v>
      </c>
      <c r="L25" s="14">
        <v>45351</v>
      </c>
      <c r="M25" s="8" t="str">
        <f t="shared" si="0"/>
        <v>Below Target</v>
      </c>
      <c r="N25" s="20">
        <f t="shared" si="1"/>
        <v>20</v>
      </c>
      <c r="O25" s="22">
        <f t="shared" si="2"/>
        <v>15160</v>
      </c>
    </row>
    <row r="26" spans="1:15" x14ac:dyDescent="0.3">
      <c r="A26" s="12" t="s">
        <v>81</v>
      </c>
      <c r="B26" s="12" t="s">
        <v>82</v>
      </c>
      <c r="C26" s="12" t="s">
        <v>44</v>
      </c>
      <c r="D26" s="12" t="s">
        <v>45</v>
      </c>
      <c r="E26" s="12" t="s">
        <v>16</v>
      </c>
      <c r="F26" s="12" t="s">
        <v>17</v>
      </c>
      <c r="G26" s="12" t="s">
        <v>36</v>
      </c>
      <c r="H26" s="12">
        <v>13751</v>
      </c>
      <c r="I26" s="12" t="s">
        <v>33</v>
      </c>
      <c r="J26" s="26">
        <v>0.3</v>
      </c>
      <c r="K26" s="12">
        <v>13000</v>
      </c>
      <c r="L26" s="14">
        <v>45320</v>
      </c>
      <c r="M26" s="8" t="str">
        <f t="shared" si="0"/>
        <v>Below Target</v>
      </c>
      <c r="N26" s="20">
        <f t="shared" si="1"/>
        <v>30</v>
      </c>
      <c r="O26" s="22">
        <f t="shared" si="2"/>
        <v>9625.7000000000007</v>
      </c>
    </row>
    <row r="27" spans="1:15" x14ac:dyDescent="0.3">
      <c r="A27" s="12" t="s">
        <v>83</v>
      </c>
      <c r="B27" s="12" t="s">
        <v>84</v>
      </c>
      <c r="C27" s="12" t="s">
        <v>61</v>
      </c>
      <c r="D27" s="12" t="s">
        <v>62</v>
      </c>
      <c r="E27" s="12" t="s">
        <v>32</v>
      </c>
      <c r="F27" s="12" t="s">
        <v>25</v>
      </c>
      <c r="G27" s="12" t="s">
        <v>18</v>
      </c>
      <c r="H27" s="12">
        <v>7262</v>
      </c>
      <c r="I27" s="12" t="s">
        <v>33</v>
      </c>
      <c r="J27" s="26">
        <v>0.3</v>
      </c>
      <c r="K27" s="12">
        <v>9000</v>
      </c>
      <c r="L27" s="14">
        <v>45293</v>
      </c>
      <c r="M27" s="8" t="str">
        <f t="shared" si="0"/>
        <v>Below Target</v>
      </c>
      <c r="N27" s="20">
        <f t="shared" si="1"/>
        <v>30</v>
      </c>
      <c r="O27" s="22">
        <f t="shared" si="2"/>
        <v>5083.3999999999996</v>
      </c>
    </row>
    <row r="28" spans="1:15" x14ac:dyDescent="0.3">
      <c r="A28" s="12" t="s">
        <v>85</v>
      </c>
      <c r="B28" s="12" t="s">
        <v>86</v>
      </c>
      <c r="C28" s="12" t="s">
        <v>44</v>
      </c>
      <c r="D28" s="12" t="s">
        <v>45</v>
      </c>
      <c r="E28" s="12" t="s">
        <v>16</v>
      </c>
      <c r="F28" s="12" t="s">
        <v>25</v>
      </c>
      <c r="G28" s="12" t="s">
        <v>18</v>
      </c>
      <c r="H28" s="12">
        <v>11290</v>
      </c>
      <c r="I28" s="12" t="s">
        <v>22</v>
      </c>
      <c r="J28" s="26">
        <v>0.1</v>
      </c>
      <c r="K28" s="12">
        <v>13000</v>
      </c>
      <c r="L28" s="14">
        <v>45306</v>
      </c>
      <c r="M28" s="8" t="str">
        <f t="shared" si="0"/>
        <v>Below Target</v>
      </c>
      <c r="N28" s="20">
        <f t="shared" si="1"/>
        <v>10</v>
      </c>
      <c r="O28" s="22">
        <f t="shared" si="2"/>
        <v>10161</v>
      </c>
    </row>
    <row r="29" spans="1:15" x14ac:dyDescent="0.3">
      <c r="A29" s="12" t="s">
        <v>87</v>
      </c>
      <c r="B29" s="12" t="s">
        <v>43</v>
      </c>
      <c r="C29" s="12" t="s">
        <v>30</v>
      </c>
      <c r="D29" s="12" t="s">
        <v>31</v>
      </c>
      <c r="E29" s="12" t="s">
        <v>32</v>
      </c>
      <c r="F29" s="12" t="s">
        <v>39</v>
      </c>
      <c r="G29" s="12" t="s">
        <v>18</v>
      </c>
      <c r="H29" s="12">
        <v>16140</v>
      </c>
      <c r="I29" s="12"/>
      <c r="J29" s="26"/>
      <c r="K29" s="12">
        <v>17000</v>
      </c>
      <c r="L29" s="14">
        <v>45305</v>
      </c>
      <c r="M29" s="8" t="str">
        <f t="shared" si="0"/>
        <v>Target Achieved</v>
      </c>
      <c r="N29" s="20">
        <f t="shared" si="1"/>
        <v>0</v>
      </c>
      <c r="O29" s="22">
        <f t="shared" si="2"/>
        <v>16140</v>
      </c>
    </row>
    <row r="30" spans="1:15" x14ac:dyDescent="0.3">
      <c r="A30" s="12" t="s">
        <v>88</v>
      </c>
      <c r="B30" s="12" t="s">
        <v>80</v>
      </c>
      <c r="C30" s="12" t="s">
        <v>61</v>
      </c>
      <c r="D30" s="12" t="s">
        <v>62</v>
      </c>
      <c r="E30" s="12" t="s">
        <v>32</v>
      </c>
      <c r="F30" s="12" t="s">
        <v>17</v>
      </c>
      <c r="G30" s="12" t="s">
        <v>36</v>
      </c>
      <c r="H30" s="12">
        <v>7779</v>
      </c>
      <c r="I30" s="12" t="s">
        <v>22</v>
      </c>
      <c r="J30" s="26">
        <v>0.1</v>
      </c>
      <c r="K30" s="12">
        <v>9000</v>
      </c>
      <c r="L30" s="14">
        <v>45298</v>
      </c>
      <c r="M30" s="8" t="str">
        <f t="shared" si="0"/>
        <v>Below Target</v>
      </c>
      <c r="N30" s="20">
        <f t="shared" si="1"/>
        <v>10</v>
      </c>
      <c r="O30" s="22">
        <f t="shared" si="2"/>
        <v>7001.1</v>
      </c>
    </row>
    <row r="31" spans="1:15" x14ac:dyDescent="0.3">
      <c r="A31" s="12" t="s">
        <v>89</v>
      </c>
      <c r="B31" s="12" t="s">
        <v>90</v>
      </c>
      <c r="C31" s="12" t="s">
        <v>30</v>
      </c>
      <c r="D31" s="12" t="s">
        <v>31</v>
      </c>
      <c r="E31" s="12" t="s">
        <v>46</v>
      </c>
      <c r="F31" s="12" t="s">
        <v>17</v>
      </c>
      <c r="G31" s="12" t="s">
        <v>36</v>
      </c>
      <c r="H31" s="12">
        <v>18538</v>
      </c>
      <c r="I31" s="12" t="s">
        <v>22</v>
      </c>
      <c r="J31" s="26">
        <v>0.1</v>
      </c>
      <c r="K31" s="12">
        <v>17000</v>
      </c>
      <c r="L31" s="14">
        <v>45335</v>
      </c>
      <c r="M31" s="8" t="str">
        <f t="shared" si="0"/>
        <v>Below Target</v>
      </c>
      <c r="N31" s="20">
        <f t="shared" si="1"/>
        <v>10</v>
      </c>
      <c r="O31" s="22">
        <f t="shared" si="2"/>
        <v>16684.2</v>
      </c>
    </row>
    <row r="32" spans="1:15" x14ac:dyDescent="0.3">
      <c r="A32" s="12" t="s">
        <v>91</v>
      </c>
      <c r="B32" s="12" t="s">
        <v>92</v>
      </c>
      <c r="C32" s="12" t="s">
        <v>14</v>
      </c>
      <c r="D32" s="12" t="s">
        <v>15</v>
      </c>
      <c r="E32" s="12" t="s">
        <v>32</v>
      </c>
      <c r="F32" s="12" t="s">
        <v>17</v>
      </c>
      <c r="G32" s="12" t="s">
        <v>26</v>
      </c>
      <c r="H32" s="12">
        <v>13389</v>
      </c>
      <c r="I32" s="12" t="s">
        <v>22</v>
      </c>
      <c r="J32" s="26">
        <v>0.1</v>
      </c>
      <c r="K32" s="12">
        <v>14000</v>
      </c>
      <c r="L32" s="14">
        <v>45307</v>
      </c>
      <c r="M32" s="8" t="str">
        <f t="shared" si="0"/>
        <v>Below Target</v>
      </c>
      <c r="N32" s="20">
        <f t="shared" si="1"/>
        <v>10</v>
      </c>
      <c r="O32" s="22">
        <f t="shared" si="2"/>
        <v>12050.1</v>
      </c>
    </row>
    <row r="33" spans="1:15" x14ac:dyDescent="0.3">
      <c r="A33" s="12" t="s">
        <v>93</v>
      </c>
      <c r="B33" s="12" t="s">
        <v>94</v>
      </c>
      <c r="C33" s="12" t="s">
        <v>61</v>
      </c>
      <c r="D33" s="12" t="s">
        <v>62</v>
      </c>
      <c r="E33" s="12" t="s">
        <v>32</v>
      </c>
      <c r="F33" s="12" t="s">
        <v>17</v>
      </c>
      <c r="G33" s="12" t="s">
        <v>18</v>
      </c>
      <c r="H33" s="12">
        <v>8140</v>
      </c>
      <c r="I33" s="12"/>
      <c r="J33" s="26"/>
      <c r="K33" s="12">
        <v>9000</v>
      </c>
      <c r="L33" s="14">
        <v>45307</v>
      </c>
      <c r="M33" s="8" t="str">
        <f t="shared" si="0"/>
        <v>Target Achieved</v>
      </c>
      <c r="N33" s="20">
        <f t="shared" si="1"/>
        <v>0</v>
      </c>
      <c r="O33" s="22">
        <f t="shared" si="2"/>
        <v>8140</v>
      </c>
    </row>
    <row r="34" spans="1:15" x14ac:dyDescent="0.3">
      <c r="A34" s="12" t="s">
        <v>95</v>
      </c>
      <c r="B34" s="12" t="s">
        <v>96</v>
      </c>
      <c r="C34" s="12" t="s">
        <v>61</v>
      </c>
      <c r="D34" s="12" t="s">
        <v>62</v>
      </c>
      <c r="E34" s="12" t="s">
        <v>16</v>
      </c>
      <c r="F34" s="12" t="s">
        <v>25</v>
      </c>
      <c r="G34" s="12" t="s">
        <v>18</v>
      </c>
      <c r="H34" s="12">
        <v>9671</v>
      </c>
      <c r="I34" s="12" t="s">
        <v>27</v>
      </c>
      <c r="J34" s="26"/>
      <c r="K34" s="12">
        <v>9000</v>
      </c>
      <c r="L34" s="14">
        <v>45345</v>
      </c>
      <c r="M34" s="8" t="str">
        <f t="shared" si="0"/>
        <v>Below Target</v>
      </c>
      <c r="N34" s="20">
        <f t="shared" si="1"/>
        <v>15</v>
      </c>
      <c r="O34" s="22">
        <f t="shared" si="2"/>
        <v>8220.35</v>
      </c>
    </row>
    <row r="35" spans="1:15" x14ac:dyDescent="0.3">
      <c r="A35" s="12" t="s">
        <v>97</v>
      </c>
      <c r="B35" s="12" t="s">
        <v>76</v>
      </c>
      <c r="C35" s="12" t="s">
        <v>44</v>
      </c>
      <c r="D35" s="12" t="s">
        <v>45</v>
      </c>
      <c r="E35" s="12" t="s">
        <v>32</v>
      </c>
      <c r="F35" s="12" t="s">
        <v>17</v>
      </c>
      <c r="G35" s="12" t="s">
        <v>36</v>
      </c>
      <c r="H35" s="12">
        <v>12971</v>
      </c>
      <c r="I35" s="12" t="s">
        <v>19</v>
      </c>
      <c r="J35" s="26">
        <v>0.2</v>
      </c>
      <c r="K35" s="12">
        <v>13000</v>
      </c>
      <c r="L35" s="14">
        <v>45347</v>
      </c>
      <c r="M35" s="8" t="str">
        <f t="shared" si="0"/>
        <v>Below Target</v>
      </c>
      <c r="N35" s="20">
        <f t="shared" si="1"/>
        <v>20</v>
      </c>
      <c r="O35" s="22">
        <f t="shared" si="2"/>
        <v>10376.799999999999</v>
      </c>
    </row>
    <row r="36" spans="1:15" x14ac:dyDescent="0.3">
      <c r="A36" s="12" t="s">
        <v>98</v>
      </c>
      <c r="B36" s="12" t="s">
        <v>99</v>
      </c>
      <c r="C36" s="12" t="s">
        <v>44</v>
      </c>
      <c r="D36" s="12" t="s">
        <v>45</v>
      </c>
      <c r="E36" s="12" t="s">
        <v>46</v>
      </c>
      <c r="F36" s="12" t="s">
        <v>25</v>
      </c>
      <c r="G36" s="12" t="s">
        <v>36</v>
      </c>
      <c r="H36" s="12">
        <v>12086</v>
      </c>
      <c r="I36" s="12"/>
      <c r="J36" s="26"/>
      <c r="K36" s="12">
        <v>13000</v>
      </c>
      <c r="L36" s="14">
        <v>45310</v>
      </c>
      <c r="M36" s="8" t="str">
        <f t="shared" si="0"/>
        <v>Target Achieved</v>
      </c>
      <c r="N36" s="20">
        <f t="shared" si="1"/>
        <v>0</v>
      </c>
      <c r="O36" s="22">
        <f t="shared" si="2"/>
        <v>12086</v>
      </c>
    </row>
    <row r="37" spans="1:15" x14ac:dyDescent="0.3">
      <c r="A37" s="12" t="s">
        <v>100</v>
      </c>
      <c r="B37" s="12" t="s">
        <v>101</v>
      </c>
      <c r="C37" s="12" t="s">
        <v>61</v>
      </c>
      <c r="D37" s="12" t="s">
        <v>62</v>
      </c>
      <c r="E37" s="12" t="s">
        <v>32</v>
      </c>
      <c r="F37" s="12" t="s">
        <v>25</v>
      </c>
      <c r="G37" s="12" t="s">
        <v>36</v>
      </c>
      <c r="H37" s="12">
        <v>7891</v>
      </c>
      <c r="I37" s="12" t="s">
        <v>22</v>
      </c>
      <c r="J37" s="26">
        <v>0.1</v>
      </c>
      <c r="K37" s="12">
        <v>9000</v>
      </c>
      <c r="L37" s="14">
        <v>45329</v>
      </c>
      <c r="M37" s="8" t="str">
        <f t="shared" si="0"/>
        <v>Below Target</v>
      </c>
      <c r="N37" s="20">
        <f t="shared" si="1"/>
        <v>10</v>
      </c>
      <c r="O37" s="22">
        <f t="shared" si="2"/>
        <v>7101.9</v>
      </c>
    </row>
    <row r="38" spans="1:15" x14ac:dyDescent="0.3">
      <c r="A38" s="12" t="s">
        <v>102</v>
      </c>
      <c r="B38" s="12" t="s">
        <v>103</v>
      </c>
      <c r="C38" s="12" t="s">
        <v>14</v>
      </c>
      <c r="D38" s="12" t="s">
        <v>15</v>
      </c>
      <c r="E38" s="12" t="s">
        <v>16</v>
      </c>
      <c r="F38" s="12" t="s">
        <v>17</v>
      </c>
      <c r="G38" s="12" t="s">
        <v>18</v>
      </c>
      <c r="H38" s="12">
        <v>12205</v>
      </c>
      <c r="I38" s="12" t="s">
        <v>27</v>
      </c>
      <c r="J38" s="26"/>
      <c r="K38" s="12">
        <v>14000</v>
      </c>
      <c r="L38" s="14">
        <v>45322</v>
      </c>
      <c r="M38" s="8" t="str">
        <f t="shared" si="0"/>
        <v>Below Target</v>
      </c>
      <c r="N38" s="20">
        <f t="shared" si="1"/>
        <v>15</v>
      </c>
      <c r="O38" s="22">
        <f t="shared" si="2"/>
        <v>10374.25</v>
      </c>
    </row>
    <row r="39" spans="1:15" x14ac:dyDescent="0.3">
      <c r="A39" s="12" t="s">
        <v>104</v>
      </c>
      <c r="B39" s="12" t="s">
        <v>105</v>
      </c>
      <c r="C39" s="12" t="s">
        <v>44</v>
      </c>
      <c r="D39" s="12" t="s">
        <v>45</v>
      </c>
      <c r="E39" s="12" t="s">
        <v>32</v>
      </c>
      <c r="F39" s="12" t="s">
        <v>39</v>
      </c>
      <c r="G39" s="12" t="s">
        <v>18</v>
      </c>
      <c r="H39" s="12">
        <v>14487</v>
      </c>
      <c r="I39" s="12" t="s">
        <v>19</v>
      </c>
      <c r="J39" s="26">
        <v>0.2</v>
      </c>
      <c r="K39" s="12">
        <v>13000</v>
      </c>
      <c r="L39" s="14">
        <v>45296</v>
      </c>
      <c r="M39" s="8" t="str">
        <f t="shared" si="0"/>
        <v>Below Target</v>
      </c>
      <c r="N39" s="20">
        <f t="shared" si="1"/>
        <v>20</v>
      </c>
      <c r="O39" s="22">
        <f t="shared" si="2"/>
        <v>11589.6</v>
      </c>
    </row>
    <row r="40" spans="1:15" x14ac:dyDescent="0.3">
      <c r="A40" s="12" t="s">
        <v>106</v>
      </c>
      <c r="B40" s="12" t="s">
        <v>107</v>
      </c>
      <c r="C40" s="12" t="s">
        <v>44</v>
      </c>
      <c r="D40" s="12" t="s">
        <v>45</v>
      </c>
      <c r="E40" s="12" t="s">
        <v>46</v>
      </c>
      <c r="F40" s="12" t="s">
        <v>25</v>
      </c>
      <c r="G40" s="12" t="s">
        <v>26</v>
      </c>
      <c r="H40" s="12">
        <v>12008</v>
      </c>
      <c r="I40" s="12" t="s">
        <v>27</v>
      </c>
      <c r="J40" s="26"/>
      <c r="K40" s="12">
        <v>13000</v>
      </c>
      <c r="L40" s="14">
        <v>45330</v>
      </c>
      <c r="M40" s="8" t="str">
        <f t="shared" si="0"/>
        <v>Below Target</v>
      </c>
      <c r="N40" s="20">
        <f t="shared" si="1"/>
        <v>15</v>
      </c>
      <c r="O40" s="22">
        <f t="shared" si="2"/>
        <v>10206.799999999999</v>
      </c>
    </row>
    <row r="41" spans="1:15" x14ac:dyDescent="0.3">
      <c r="A41" s="12" t="s">
        <v>108</v>
      </c>
      <c r="B41" s="12" t="s">
        <v>109</v>
      </c>
      <c r="C41" s="12" t="s">
        <v>14</v>
      </c>
      <c r="D41" s="12" t="s">
        <v>15</v>
      </c>
      <c r="E41" s="12" t="s">
        <v>46</v>
      </c>
      <c r="F41" s="12" t="s">
        <v>39</v>
      </c>
      <c r="G41" s="12" t="s">
        <v>26</v>
      </c>
      <c r="H41" s="12">
        <v>14315</v>
      </c>
      <c r="I41" s="12" t="s">
        <v>27</v>
      </c>
      <c r="J41" s="26"/>
      <c r="K41" s="12">
        <v>14000</v>
      </c>
      <c r="L41" s="14">
        <v>45312</v>
      </c>
      <c r="M41" s="8" t="str">
        <f t="shared" si="0"/>
        <v>Below Target</v>
      </c>
      <c r="N41" s="20">
        <f t="shared" si="1"/>
        <v>15</v>
      </c>
      <c r="O41" s="22">
        <f t="shared" si="2"/>
        <v>12167.75</v>
      </c>
    </row>
    <row r="42" spans="1:15" x14ac:dyDescent="0.3">
      <c r="A42" s="12" t="s">
        <v>110</v>
      </c>
      <c r="B42" s="12" t="s">
        <v>111</v>
      </c>
      <c r="C42" s="12" t="s">
        <v>44</v>
      </c>
      <c r="D42" s="12" t="s">
        <v>45</v>
      </c>
      <c r="E42" s="12" t="s">
        <v>16</v>
      </c>
      <c r="F42" s="12" t="s">
        <v>39</v>
      </c>
      <c r="G42" s="12" t="s">
        <v>36</v>
      </c>
      <c r="H42" s="12">
        <v>11977</v>
      </c>
      <c r="I42" s="12" t="s">
        <v>33</v>
      </c>
      <c r="J42" s="26">
        <v>0.3</v>
      </c>
      <c r="K42" s="12">
        <v>13000</v>
      </c>
      <c r="L42" s="14">
        <v>45317</v>
      </c>
      <c r="M42" s="8" t="str">
        <f t="shared" si="0"/>
        <v>Below Target</v>
      </c>
      <c r="N42" s="20">
        <f t="shared" si="1"/>
        <v>30</v>
      </c>
      <c r="O42" s="22">
        <f t="shared" si="2"/>
        <v>8383.9</v>
      </c>
    </row>
    <row r="43" spans="1:15" x14ac:dyDescent="0.3">
      <c r="A43" s="12" t="s">
        <v>112</v>
      </c>
      <c r="B43" s="12" t="s">
        <v>113</v>
      </c>
      <c r="C43" s="12" t="s">
        <v>30</v>
      </c>
      <c r="D43" s="12" t="s">
        <v>31</v>
      </c>
      <c r="E43" s="12" t="s">
        <v>46</v>
      </c>
      <c r="F43" s="12" t="s">
        <v>17</v>
      </c>
      <c r="G43" s="12" t="s">
        <v>18</v>
      </c>
      <c r="H43" s="12">
        <v>15038</v>
      </c>
      <c r="I43" s="12"/>
      <c r="J43" s="26"/>
      <c r="K43" s="12">
        <v>17000</v>
      </c>
      <c r="L43" s="14">
        <v>45331</v>
      </c>
      <c r="M43" s="8" t="str">
        <f t="shared" si="0"/>
        <v>Target Achieved</v>
      </c>
      <c r="N43" s="20">
        <f t="shared" si="1"/>
        <v>0</v>
      </c>
      <c r="O43" s="22">
        <f t="shared" si="2"/>
        <v>15038</v>
      </c>
    </row>
    <row r="44" spans="1:15" x14ac:dyDescent="0.3">
      <c r="A44" s="12" t="s">
        <v>114</v>
      </c>
      <c r="B44" s="12" t="s">
        <v>107</v>
      </c>
      <c r="C44" s="12" t="s">
        <v>14</v>
      </c>
      <c r="D44" s="12" t="s">
        <v>15</v>
      </c>
      <c r="E44" s="12" t="s">
        <v>16</v>
      </c>
      <c r="F44" s="12" t="s">
        <v>25</v>
      </c>
      <c r="G44" s="12" t="s">
        <v>26</v>
      </c>
      <c r="H44" s="12">
        <v>13086</v>
      </c>
      <c r="I44" s="12" t="s">
        <v>19</v>
      </c>
      <c r="J44" s="26">
        <v>0.2</v>
      </c>
      <c r="K44" s="12">
        <v>14000</v>
      </c>
      <c r="L44" s="14">
        <v>45351</v>
      </c>
      <c r="M44" s="8" t="str">
        <f t="shared" si="0"/>
        <v>Below Target</v>
      </c>
      <c r="N44" s="20">
        <f t="shared" si="1"/>
        <v>20</v>
      </c>
      <c r="O44" s="22">
        <f t="shared" si="2"/>
        <v>10468.799999999999</v>
      </c>
    </row>
    <row r="45" spans="1:15" x14ac:dyDescent="0.3">
      <c r="A45" s="12" t="s">
        <v>115</v>
      </c>
      <c r="B45" s="12" t="s">
        <v>116</v>
      </c>
      <c r="C45" s="12" t="s">
        <v>44</v>
      </c>
      <c r="D45" s="12" t="s">
        <v>45</v>
      </c>
      <c r="E45" s="12" t="s">
        <v>46</v>
      </c>
      <c r="F45" s="12" t="s">
        <v>17</v>
      </c>
      <c r="G45" s="12" t="s">
        <v>18</v>
      </c>
      <c r="H45" s="12">
        <v>12794</v>
      </c>
      <c r="I45" s="12" t="s">
        <v>27</v>
      </c>
      <c r="J45" s="26"/>
      <c r="K45" s="12">
        <v>13000</v>
      </c>
      <c r="L45" s="14">
        <v>45337</v>
      </c>
      <c r="M45" s="8" t="str">
        <f t="shared" si="0"/>
        <v>Below Target</v>
      </c>
      <c r="N45" s="20">
        <f t="shared" si="1"/>
        <v>15</v>
      </c>
      <c r="O45" s="22">
        <f t="shared" si="2"/>
        <v>10874.9</v>
      </c>
    </row>
    <row r="46" spans="1:15" x14ac:dyDescent="0.3">
      <c r="A46" s="12" t="s">
        <v>117</v>
      </c>
      <c r="B46" s="12" t="s">
        <v>118</v>
      </c>
      <c r="C46" s="12" t="s">
        <v>14</v>
      </c>
      <c r="D46" s="12" t="s">
        <v>15</v>
      </c>
      <c r="E46" s="12" t="s">
        <v>16</v>
      </c>
      <c r="F46" s="12" t="s">
        <v>39</v>
      </c>
      <c r="G46" s="12" t="s">
        <v>36</v>
      </c>
      <c r="H46" s="12">
        <v>15816</v>
      </c>
      <c r="I46" s="12" t="s">
        <v>22</v>
      </c>
      <c r="J46" s="26">
        <v>0.1</v>
      </c>
      <c r="K46" s="12">
        <v>14000</v>
      </c>
      <c r="L46" s="14">
        <v>45352</v>
      </c>
      <c r="M46" s="8" t="str">
        <f t="shared" si="0"/>
        <v>Below Target</v>
      </c>
      <c r="N46" s="20">
        <f t="shared" si="1"/>
        <v>10</v>
      </c>
      <c r="O46" s="22">
        <f t="shared" si="2"/>
        <v>14234.4</v>
      </c>
    </row>
    <row r="47" spans="1:15" x14ac:dyDescent="0.3">
      <c r="A47" s="12" t="s">
        <v>119</v>
      </c>
      <c r="B47" s="12" t="s">
        <v>120</v>
      </c>
      <c r="C47" s="12" t="s">
        <v>30</v>
      </c>
      <c r="D47" s="12" t="s">
        <v>31</v>
      </c>
      <c r="E47" s="12" t="s">
        <v>32</v>
      </c>
      <c r="F47" s="12" t="s">
        <v>25</v>
      </c>
      <c r="G47" s="12" t="s">
        <v>26</v>
      </c>
      <c r="H47" s="12">
        <v>17266</v>
      </c>
      <c r="I47" s="12" t="s">
        <v>19</v>
      </c>
      <c r="J47" s="26">
        <v>0.2</v>
      </c>
      <c r="K47" s="12">
        <v>17000</v>
      </c>
      <c r="L47" s="14">
        <v>45309</v>
      </c>
      <c r="M47" s="8" t="str">
        <f t="shared" si="0"/>
        <v>Below Target</v>
      </c>
      <c r="N47" s="20">
        <f t="shared" si="1"/>
        <v>20</v>
      </c>
      <c r="O47" s="22">
        <f t="shared" si="2"/>
        <v>13812.8</v>
      </c>
    </row>
    <row r="48" spans="1:15" x14ac:dyDescent="0.3">
      <c r="A48" s="12" t="s">
        <v>121</v>
      </c>
      <c r="B48" s="12" t="s">
        <v>118</v>
      </c>
      <c r="C48" s="12" t="s">
        <v>44</v>
      </c>
      <c r="D48" s="12" t="s">
        <v>45</v>
      </c>
      <c r="E48" s="12" t="s">
        <v>16</v>
      </c>
      <c r="F48" s="12" t="s">
        <v>17</v>
      </c>
      <c r="G48" s="12" t="s">
        <v>18</v>
      </c>
      <c r="H48" s="12">
        <v>13815</v>
      </c>
      <c r="I48" s="12" t="s">
        <v>33</v>
      </c>
      <c r="J48" s="26">
        <v>0.3</v>
      </c>
      <c r="K48" s="12">
        <v>13000</v>
      </c>
      <c r="L48" s="14">
        <v>45324</v>
      </c>
      <c r="M48" s="8" t="str">
        <f t="shared" si="0"/>
        <v>Below Target</v>
      </c>
      <c r="N48" s="20">
        <f t="shared" si="1"/>
        <v>30</v>
      </c>
      <c r="O48" s="22">
        <f t="shared" si="2"/>
        <v>9670.5</v>
      </c>
    </row>
    <row r="49" spans="1:15" x14ac:dyDescent="0.3">
      <c r="A49" s="12" t="s">
        <v>122</v>
      </c>
      <c r="B49" s="12" t="s">
        <v>123</v>
      </c>
      <c r="C49" s="12" t="s">
        <v>14</v>
      </c>
      <c r="D49" s="12" t="s">
        <v>15</v>
      </c>
      <c r="E49" s="12" t="s">
        <v>32</v>
      </c>
      <c r="F49" s="12" t="s">
        <v>39</v>
      </c>
      <c r="G49" s="12" t="s">
        <v>36</v>
      </c>
      <c r="H49" s="12">
        <v>15397</v>
      </c>
      <c r="I49" s="12" t="s">
        <v>33</v>
      </c>
      <c r="J49" s="26">
        <v>0.3</v>
      </c>
      <c r="K49" s="12">
        <v>14000</v>
      </c>
      <c r="L49" s="14">
        <v>45294</v>
      </c>
      <c r="M49" s="8" t="str">
        <f t="shared" si="0"/>
        <v>Below Target</v>
      </c>
      <c r="N49" s="20">
        <f t="shared" si="1"/>
        <v>30</v>
      </c>
      <c r="O49" s="22">
        <f t="shared" si="2"/>
        <v>10777.9</v>
      </c>
    </row>
    <row r="50" spans="1:15" x14ac:dyDescent="0.3">
      <c r="A50" s="12" t="s">
        <v>124</v>
      </c>
      <c r="B50" s="12" t="s">
        <v>125</v>
      </c>
      <c r="C50" s="12" t="s">
        <v>44</v>
      </c>
      <c r="D50" s="12" t="s">
        <v>45</v>
      </c>
      <c r="E50" s="12" t="s">
        <v>16</v>
      </c>
      <c r="F50" s="12" t="s">
        <v>17</v>
      </c>
      <c r="G50" s="12" t="s">
        <v>18</v>
      </c>
      <c r="H50" s="12">
        <v>14036</v>
      </c>
      <c r="I50" s="12"/>
      <c r="J50" s="26"/>
      <c r="K50" s="12">
        <v>13000</v>
      </c>
      <c r="L50" s="14">
        <v>45327</v>
      </c>
      <c r="M50" s="8" t="str">
        <f t="shared" si="0"/>
        <v>Target Achieved</v>
      </c>
      <c r="N50" s="20">
        <f t="shared" si="1"/>
        <v>0</v>
      </c>
      <c r="O50" s="22">
        <f t="shared" si="2"/>
        <v>14036</v>
      </c>
    </row>
    <row r="51" spans="1:15" x14ac:dyDescent="0.3">
      <c r="A51" s="12" t="s">
        <v>126</v>
      </c>
      <c r="B51" s="12" t="s">
        <v>127</v>
      </c>
      <c r="C51" s="12" t="s">
        <v>14</v>
      </c>
      <c r="D51" s="12" t="s">
        <v>15</v>
      </c>
      <c r="E51" s="12" t="s">
        <v>32</v>
      </c>
      <c r="F51" s="12" t="s">
        <v>25</v>
      </c>
      <c r="G51" s="12" t="s">
        <v>26</v>
      </c>
      <c r="H51" s="12">
        <v>15702</v>
      </c>
      <c r="I51" s="12" t="s">
        <v>19</v>
      </c>
      <c r="J51" s="26">
        <v>0.2</v>
      </c>
      <c r="K51" s="12">
        <v>14000</v>
      </c>
      <c r="L51" s="14">
        <v>45326</v>
      </c>
      <c r="M51" s="8" t="str">
        <f t="shared" si="0"/>
        <v>Below Target</v>
      </c>
      <c r="N51" s="20">
        <f t="shared" si="1"/>
        <v>20</v>
      </c>
      <c r="O51" s="22">
        <f t="shared" si="2"/>
        <v>12561.6</v>
      </c>
    </row>
    <row r="52" spans="1:15" x14ac:dyDescent="0.3">
      <c r="A52" s="12" t="s">
        <v>128</v>
      </c>
      <c r="B52" s="12" t="s">
        <v>129</v>
      </c>
      <c r="C52" s="12" t="s">
        <v>30</v>
      </c>
      <c r="D52" s="12" t="s">
        <v>31</v>
      </c>
      <c r="E52" s="12" t="s">
        <v>16</v>
      </c>
      <c r="F52" s="12" t="s">
        <v>39</v>
      </c>
      <c r="G52" s="12" t="s">
        <v>18</v>
      </c>
      <c r="H52" s="12">
        <v>16760</v>
      </c>
      <c r="I52" s="12" t="s">
        <v>19</v>
      </c>
      <c r="J52" s="26">
        <v>0.2</v>
      </c>
      <c r="K52" s="12">
        <v>17000</v>
      </c>
      <c r="L52" s="14">
        <v>45294</v>
      </c>
      <c r="M52" s="8" t="str">
        <f t="shared" si="0"/>
        <v>Below Target</v>
      </c>
      <c r="N52" s="20">
        <f t="shared" si="1"/>
        <v>20</v>
      </c>
      <c r="O52" s="22">
        <f t="shared" si="2"/>
        <v>13408</v>
      </c>
    </row>
    <row r="53" spans="1:15" x14ac:dyDescent="0.3">
      <c r="A53" s="12" t="s">
        <v>130</v>
      </c>
      <c r="B53" s="12" t="s">
        <v>131</v>
      </c>
      <c r="C53" s="12" t="s">
        <v>14</v>
      </c>
      <c r="D53" s="12" t="s">
        <v>15</v>
      </c>
      <c r="E53" s="12" t="s">
        <v>46</v>
      </c>
      <c r="F53" s="12" t="s">
        <v>25</v>
      </c>
      <c r="G53" s="12" t="s">
        <v>26</v>
      </c>
      <c r="H53" s="12">
        <v>13022</v>
      </c>
      <c r="I53" s="12" t="s">
        <v>22</v>
      </c>
      <c r="J53" s="26">
        <v>0.1</v>
      </c>
      <c r="K53" s="12">
        <v>14000</v>
      </c>
      <c r="L53" s="14">
        <v>45314</v>
      </c>
      <c r="M53" s="8" t="str">
        <f t="shared" si="0"/>
        <v>Below Target</v>
      </c>
      <c r="N53" s="20">
        <f t="shared" si="1"/>
        <v>10</v>
      </c>
      <c r="O53" s="22">
        <f t="shared" si="2"/>
        <v>11719.8</v>
      </c>
    </row>
    <row r="54" spans="1:15" x14ac:dyDescent="0.3">
      <c r="A54" s="12" t="s">
        <v>132</v>
      </c>
      <c r="B54" s="12" t="s">
        <v>133</v>
      </c>
      <c r="C54" s="12" t="s">
        <v>61</v>
      </c>
      <c r="D54" s="12" t="s">
        <v>62</v>
      </c>
      <c r="E54" s="12" t="s">
        <v>16</v>
      </c>
      <c r="F54" s="12" t="s">
        <v>39</v>
      </c>
      <c r="G54" s="12" t="s">
        <v>18</v>
      </c>
      <c r="H54" s="12">
        <v>10791</v>
      </c>
      <c r="I54" s="12" t="s">
        <v>19</v>
      </c>
      <c r="J54" s="26">
        <v>0.2</v>
      </c>
      <c r="K54" s="12">
        <v>9000</v>
      </c>
      <c r="L54" s="14">
        <v>45347</v>
      </c>
      <c r="M54" s="8" t="str">
        <f t="shared" si="0"/>
        <v>Below Target</v>
      </c>
      <c r="N54" s="20">
        <f t="shared" si="1"/>
        <v>20</v>
      </c>
      <c r="O54" s="22">
        <f t="shared" si="2"/>
        <v>8632.7999999999993</v>
      </c>
    </row>
    <row r="55" spans="1:15" x14ac:dyDescent="0.3">
      <c r="A55" s="12" t="s">
        <v>134</v>
      </c>
      <c r="B55" s="12" t="s">
        <v>135</v>
      </c>
      <c r="C55" s="12" t="s">
        <v>44</v>
      </c>
      <c r="D55" s="12" t="s">
        <v>45</v>
      </c>
      <c r="E55" s="12" t="s">
        <v>46</v>
      </c>
      <c r="F55" s="12" t="s">
        <v>25</v>
      </c>
      <c r="G55" s="12" t="s">
        <v>18</v>
      </c>
      <c r="H55" s="12">
        <v>14016</v>
      </c>
      <c r="I55" s="12" t="s">
        <v>33</v>
      </c>
      <c r="J55" s="26">
        <v>0.3</v>
      </c>
      <c r="K55" s="12">
        <v>13000</v>
      </c>
      <c r="L55" s="14">
        <v>45342</v>
      </c>
      <c r="M55" s="8" t="str">
        <f t="shared" si="0"/>
        <v>Below Target</v>
      </c>
      <c r="N55" s="20">
        <f t="shared" si="1"/>
        <v>30</v>
      </c>
      <c r="O55" s="22">
        <f t="shared" si="2"/>
        <v>9811.2000000000007</v>
      </c>
    </row>
    <row r="56" spans="1:15" x14ac:dyDescent="0.3">
      <c r="A56" s="12" t="s">
        <v>136</v>
      </c>
      <c r="B56" s="12" t="s">
        <v>137</v>
      </c>
      <c r="C56" s="12" t="s">
        <v>44</v>
      </c>
      <c r="D56" s="12" t="s">
        <v>45</v>
      </c>
      <c r="E56" s="12" t="s">
        <v>46</v>
      </c>
      <c r="F56" s="12" t="s">
        <v>25</v>
      </c>
      <c r="G56" s="12" t="s">
        <v>26</v>
      </c>
      <c r="H56" s="12">
        <v>11442</v>
      </c>
      <c r="I56" s="12"/>
      <c r="J56" s="26"/>
      <c r="K56" s="12">
        <v>13000</v>
      </c>
      <c r="L56" s="14">
        <v>45347</v>
      </c>
      <c r="M56" s="8" t="str">
        <f t="shared" si="0"/>
        <v>Target Achieved</v>
      </c>
      <c r="N56" s="20">
        <f t="shared" si="1"/>
        <v>0</v>
      </c>
      <c r="O56" s="22">
        <f t="shared" si="2"/>
        <v>11442</v>
      </c>
    </row>
    <row r="57" spans="1:15" x14ac:dyDescent="0.3">
      <c r="A57" s="12" t="s">
        <v>138</v>
      </c>
      <c r="B57" s="12" t="s">
        <v>129</v>
      </c>
      <c r="C57" s="12" t="s">
        <v>61</v>
      </c>
      <c r="D57" s="12" t="s">
        <v>62</v>
      </c>
      <c r="E57" s="12" t="s">
        <v>32</v>
      </c>
      <c r="F57" s="12" t="s">
        <v>25</v>
      </c>
      <c r="G57" s="12" t="s">
        <v>36</v>
      </c>
      <c r="H57" s="12">
        <v>8432</v>
      </c>
      <c r="I57" s="12" t="s">
        <v>33</v>
      </c>
      <c r="J57" s="26">
        <v>0.3</v>
      </c>
      <c r="K57" s="12">
        <v>9000</v>
      </c>
      <c r="L57" s="14">
        <v>45344</v>
      </c>
      <c r="M57" s="8" t="str">
        <f t="shared" si="0"/>
        <v>Below Target</v>
      </c>
      <c r="N57" s="20">
        <f t="shared" si="1"/>
        <v>30</v>
      </c>
      <c r="O57" s="22">
        <f t="shared" si="2"/>
        <v>5902.4</v>
      </c>
    </row>
    <row r="58" spans="1:15" x14ac:dyDescent="0.3">
      <c r="A58" s="12" t="s">
        <v>139</v>
      </c>
      <c r="B58" s="12" t="s">
        <v>140</v>
      </c>
      <c r="C58" s="12" t="s">
        <v>44</v>
      </c>
      <c r="D58" s="12" t="s">
        <v>45</v>
      </c>
      <c r="E58" s="12" t="s">
        <v>32</v>
      </c>
      <c r="F58" s="12" t="s">
        <v>25</v>
      </c>
      <c r="G58" s="12" t="s">
        <v>26</v>
      </c>
      <c r="H58" s="12">
        <v>11791</v>
      </c>
      <c r="I58" s="12"/>
      <c r="J58" s="26"/>
      <c r="K58" s="12">
        <v>13000</v>
      </c>
      <c r="L58" s="14">
        <v>45313</v>
      </c>
      <c r="M58" s="8" t="str">
        <f t="shared" si="0"/>
        <v>Target Achieved</v>
      </c>
      <c r="N58" s="20">
        <f t="shared" si="1"/>
        <v>0</v>
      </c>
      <c r="O58" s="22">
        <f t="shared" si="2"/>
        <v>11791</v>
      </c>
    </row>
    <row r="59" spans="1:15" x14ac:dyDescent="0.3">
      <c r="A59" s="12" t="s">
        <v>141</v>
      </c>
      <c r="B59" s="12" t="s">
        <v>142</v>
      </c>
      <c r="C59" s="12" t="s">
        <v>14</v>
      </c>
      <c r="D59" s="12" t="s">
        <v>15</v>
      </c>
      <c r="E59" s="12" t="s">
        <v>46</v>
      </c>
      <c r="F59" s="12" t="s">
        <v>17</v>
      </c>
      <c r="G59" s="12" t="s">
        <v>26</v>
      </c>
      <c r="H59" s="12">
        <v>14086</v>
      </c>
      <c r="I59" s="12"/>
      <c r="J59" s="26"/>
      <c r="K59" s="12">
        <v>14000</v>
      </c>
      <c r="L59" s="14">
        <v>45335</v>
      </c>
      <c r="M59" s="8" t="str">
        <f t="shared" si="0"/>
        <v>Target Achieved</v>
      </c>
      <c r="N59" s="20">
        <f t="shared" si="1"/>
        <v>0</v>
      </c>
      <c r="O59" s="22">
        <f t="shared" si="2"/>
        <v>14086</v>
      </c>
    </row>
    <row r="60" spans="1:15" x14ac:dyDescent="0.3">
      <c r="A60" s="12" t="s">
        <v>143</v>
      </c>
      <c r="B60" s="12" t="s">
        <v>144</v>
      </c>
      <c r="C60" s="12" t="s">
        <v>30</v>
      </c>
      <c r="D60" s="12" t="s">
        <v>31</v>
      </c>
      <c r="E60" s="12" t="s">
        <v>32</v>
      </c>
      <c r="F60" s="12" t="s">
        <v>25</v>
      </c>
      <c r="G60" s="12" t="s">
        <v>36</v>
      </c>
      <c r="H60" s="12">
        <v>15731</v>
      </c>
      <c r="I60" s="12" t="s">
        <v>27</v>
      </c>
      <c r="J60" s="26"/>
      <c r="K60" s="12">
        <v>17000</v>
      </c>
      <c r="L60" s="14">
        <v>45308</v>
      </c>
      <c r="M60" s="8" t="str">
        <f t="shared" si="0"/>
        <v>Below Target</v>
      </c>
      <c r="N60" s="20">
        <f t="shared" si="1"/>
        <v>15</v>
      </c>
      <c r="O60" s="22">
        <f t="shared" si="2"/>
        <v>13371.35</v>
      </c>
    </row>
    <row r="61" spans="1:15" x14ac:dyDescent="0.3">
      <c r="A61" s="12" t="s">
        <v>145</v>
      </c>
      <c r="B61" s="12" t="s">
        <v>76</v>
      </c>
      <c r="C61" s="12" t="s">
        <v>61</v>
      </c>
      <c r="D61" s="12" t="s">
        <v>62</v>
      </c>
      <c r="E61" s="12" t="s">
        <v>46</v>
      </c>
      <c r="F61" s="12" t="s">
        <v>39</v>
      </c>
      <c r="G61" s="12" t="s">
        <v>36</v>
      </c>
      <c r="H61" s="12">
        <v>8787</v>
      </c>
      <c r="I61" s="12" t="s">
        <v>27</v>
      </c>
      <c r="J61" s="26"/>
      <c r="K61" s="12">
        <v>9000</v>
      </c>
      <c r="L61" s="14">
        <v>45324</v>
      </c>
      <c r="M61" s="8" t="str">
        <f t="shared" si="0"/>
        <v>Below Target</v>
      </c>
      <c r="N61" s="20">
        <f t="shared" si="1"/>
        <v>15</v>
      </c>
      <c r="O61" s="22">
        <f t="shared" si="2"/>
        <v>7468.95</v>
      </c>
    </row>
    <row r="62" spans="1:15" x14ac:dyDescent="0.3">
      <c r="A62" s="12" t="s">
        <v>146</v>
      </c>
      <c r="B62" s="12" t="s">
        <v>66</v>
      </c>
      <c r="C62" s="12" t="s">
        <v>44</v>
      </c>
      <c r="D62" s="12" t="s">
        <v>45</v>
      </c>
      <c r="E62" s="12" t="s">
        <v>46</v>
      </c>
      <c r="F62" s="12" t="s">
        <v>25</v>
      </c>
      <c r="G62" s="12" t="s">
        <v>26</v>
      </c>
      <c r="H62" s="12">
        <v>12786</v>
      </c>
      <c r="I62" s="12" t="s">
        <v>22</v>
      </c>
      <c r="J62" s="26">
        <v>0.1</v>
      </c>
      <c r="K62" s="12">
        <v>13000</v>
      </c>
      <c r="L62" s="14">
        <v>45325</v>
      </c>
      <c r="M62" s="8" t="str">
        <f t="shared" si="0"/>
        <v>Below Target</v>
      </c>
      <c r="N62" s="20">
        <f t="shared" si="1"/>
        <v>10</v>
      </c>
      <c r="O62" s="22">
        <f t="shared" si="2"/>
        <v>11507.4</v>
      </c>
    </row>
    <row r="63" spans="1:15" x14ac:dyDescent="0.3">
      <c r="A63" s="12" t="s">
        <v>147</v>
      </c>
      <c r="B63" s="12" t="s">
        <v>148</v>
      </c>
      <c r="C63" s="12" t="s">
        <v>44</v>
      </c>
      <c r="D63" s="12" t="s">
        <v>45</v>
      </c>
      <c r="E63" s="12" t="s">
        <v>46</v>
      </c>
      <c r="F63" s="12" t="s">
        <v>17</v>
      </c>
      <c r="G63" s="12" t="s">
        <v>18</v>
      </c>
      <c r="H63" s="12">
        <v>14886</v>
      </c>
      <c r="I63" s="12" t="s">
        <v>33</v>
      </c>
      <c r="J63" s="26">
        <v>0.3</v>
      </c>
      <c r="K63" s="12">
        <v>13000</v>
      </c>
      <c r="L63" s="14">
        <v>45331</v>
      </c>
      <c r="M63" s="8" t="str">
        <f t="shared" si="0"/>
        <v>Below Target</v>
      </c>
      <c r="N63" s="20">
        <f t="shared" si="1"/>
        <v>30</v>
      </c>
      <c r="O63" s="22">
        <f t="shared" si="2"/>
        <v>10420.200000000001</v>
      </c>
    </row>
    <row r="64" spans="1:15" x14ac:dyDescent="0.3">
      <c r="A64" s="12" t="s">
        <v>149</v>
      </c>
      <c r="B64" s="12" t="s">
        <v>150</v>
      </c>
      <c r="C64" s="12" t="s">
        <v>14</v>
      </c>
      <c r="D64" s="12" t="s">
        <v>15</v>
      </c>
      <c r="E64" s="12" t="s">
        <v>16</v>
      </c>
      <c r="F64" s="12" t="s">
        <v>17</v>
      </c>
      <c r="G64" s="12" t="s">
        <v>26</v>
      </c>
      <c r="H64" s="12">
        <v>13266</v>
      </c>
      <c r="I64" s="12"/>
      <c r="J64" s="26"/>
      <c r="K64" s="12">
        <v>14000</v>
      </c>
      <c r="L64" s="14">
        <v>45312</v>
      </c>
      <c r="M64" s="8" t="str">
        <f t="shared" si="0"/>
        <v>Target Achieved</v>
      </c>
      <c r="N64" s="20">
        <f t="shared" si="1"/>
        <v>0</v>
      </c>
      <c r="O64" s="22">
        <f t="shared" si="2"/>
        <v>13266</v>
      </c>
    </row>
    <row r="65" spans="1:15" x14ac:dyDescent="0.3">
      <c r="A65" s="12" t="s">
        <v>151</v>
      </c>
      <c r="B65" s="12" t="s">
        <v>101</v>
      </c>
      <c r="C65" s="12" t="s">
        <v>30</v>
      </c>
      <c r="D65" s="12" t="s">
        <v>31</v>
      </c>
      <c r="E65" s="12" t="s">
        <v>16</v>
      </c>
      <c r="F65" s="12" t="s">
        <v>25</v>
      </c>
      <c r="G65" s="12" t="s">
        <v>18</v>
      </c>
      <c r="H65" s="12">
        <v>16722</v>
      </c>
      <c r="I65" s="12"/>
      <c r="J65" s="26"/>
      <c r="K65" s="12">
        <v>17000</v>
      </c>
      <c r="L65" s="14">
        <v>45335</v>
      </c>
      <c r="M65" s="8" t="str">
        <f t="shared" si="0"/>
        <v>Target Achieved</v>
      </c>
      <c r="N65" s="20">
        <f t="shared" si="1"/>
        <v>0</v>
      </c>
      <c r="O65" s="22">
        <f t="shared" si="2"/>
        <v>16722</v>
      </c>
    </row>
    <row r="66" spans="1:15" x14ac:dyDescent="0.3">
      <c r="A66" s="12" t="s">
        <v>152</v>
      </c>
      <c r="B66" s="12" t="s">
        <v>153</v>
      </c>
      <c r="C66" s="12" t="s">
        <v>30</v>
      </c>
      <c r="D66" s="12" t="s">
        <v>31</v>
      </c>
      <c r="E66" s="12" t="s">
        <v>46</v>
      </c>
      <c r="F66" s="12" t="s">
        <v>39</v>
      </c>
      <c r="G66" s="12" t="s">
        <v>18</v>
      </c>
      <c r="H66" s="12">
        <v>16244</v>
      </c>
      <c r="I66" s="12" t="s">
        <v>33</v>
      </c>
      <c r="J66" s="26">
        <v>0.3</v>
      </c>
      <c r="K66" s="12">
        <v>17000</v>
      </c>
      <c r="L66" s="14">
        <v>45305</v>
      </c>
      <c r="M66" s="8" t="str">
        <f t="shared" ref="M66:M129" si="3">IF(J66&gt;=N66,"Target Achieved","Below Target")</f>
        <v>Below Target</v>
      </c>
      <c r="N66" s="20">
        <f t="shared" si="1"/>
        <v>30</v>
      </c>
      <c r="O66" s="22">
        <f t="shared" si="2"/>
        <v>11370.8</v>
      </c>
    </row>
    <row r="67" spans="1:15" x14ac:dyDescent="0.3">
      <c r="A67" s="12" t="s">
        <v>154</v>
      </c>
      <c r="B67" s="12" t="s">
        <v>155</v>
      </c>
      <c r="C67" s="12" t="s">
        <v>30</v>
      </c>
      <c r="D67" s="12" t="s">
        <v>31</v>
      </c>
      <c r="E67" s="12" t="s">
        <v>46</v>
      </c>
      <c r="F67" s="12" t="s">
        <v>17</v>
      </c>
      <c r="G67" s="12" t="s">
        <v>36</v>
      </c>
      <c r="H67" s="12">
        <v>17767</v>
      </c>
      <c r="I67" s="12" t="s">
        <v>19</v>
      </c>
      <c r="J67" s="26">
        <v>0.2</v>
      </c>
      <c r="K67" s="12">
        <v>17000</v>
      </c>
      <c r="L67" s="14">
        <v>45324</v>
      </c>
      <c r="M67" s="8" t="str">
        <f t="shared" si="3"/>
        <v>Below Target</v>
      </c>
      <c r="N67" s="20">
        <f t="shared" ref="N67:N130" si="4">IFERROR(VALUE(RIGHT(I67,2)),0)</f>
        <v>20</v>
      </c>
      <c r="O67" s="22">
        <f t="shared" ref="O67:O130" si="5">H67-H67*N67/100</f>
        <v>14213.6</v>
      </c>
    </row>
    <row r="68" spans="1:15" x14ac:dyDescent="0.3">
      <c r="A68" s="12" t="s">
        <v>156</v>
      </c>
      <c r="B68" s="12" t="s">
        <v>157</v>
      </c>
      <c r="C68" s="12" t="s">
        <v>44</v>
      </c>
      <c r="D68" s="12" t="s">
        <v>45</v>
      </c>
      <c r="E68" s="12" t="s">
        <v>16</v>
      </c>
      <c r="F68" s="12" t="s">
        <v>25</v>
      </c>
      <c r="G68" s="12" t="s">
        <v>36</v>
      </c>
      <c r="H68" s="12">
        <v>13111</v>
      </c>
      <c r="I68" s="12" t="s">
        <v>27</v>
      </c>
      <c r="J68" s="26"/>
      <c r="K68" s="12">
        <v>13000</v>
      </c>
      <c r="L68" s="14">
        <v>45313</v>
      </c>
      <c r="M68" s="8" t="str">
        <f t="shared" si="3"/>
        <v>Below Target</v>
      </c>
      <c r="N68" s="20">
        <f t="shared" si="4"/>
        <v>15</v>
      </c>
      <c r="O68" s="22">
        <f t="shared" si="5"/>
        <v>11144.35</v>
      </c>
    </row>
    <row r="69" spans="1:15" x14ac:dyDescent="0.3">
      <c r="A69" s="12" t="s">
        <v>158</v>
      </c>
      <c r="B69" s="12" t="s">
        <v>159</v>
      </c>
      <c r="C69" s="12" t="s">
        <v>44</v>
      </c>
      <c r="D69" s="12" t="s">
        <v>45</v>
      </c>
      <c r="E69" s="12" t="s">
        <v>16</v>
      </c>
      <c r="F69" s="12" t="s">
        <v>17</v>
      </c>
      <c r="G69" s="12" t="s">
        <v>18</v>
      </c>
      <c r="H69" s="12">
        <v>14303</v>
      </c>
      <c r="I69" s="12" t="s">
        <v>19</v>
      </c>
      <c r="J69" s="26">
        <v>0.2</v>
      </c>
      <c r="K69" s="12">
        <v>13000</v>
      </c>
      <c r="L69" s="14">
        <v>45301</v>
      </c>
      <c r="M69" s="8" t="str">
        <f t="shared" si="3"/>
        <v>Below Target</v>
      </c>
      <c r="N69" s="20">
        <f t="shared" si="4"/>
        <v>20</v>
      </c>
      <c r="O69" s="22">
        <f t="shared" si="5"/>
        <v>11442.4</v>
      </c>
    </row>
    <row r="70" spans="1:15" x14ac:dyDescent="0.3">
      <c r="A70" s="12" t="s">
        <v>160</v>
      </c>
      <c r="B70" s="12" t="s">
        <v>161</v>
      </c>
      <c r="C70" s="12" t="s">
        <v>44</v>
      </c>
      <c r="D70" s="12" t="s">
        <v>45</v>
      </c>
      <c r="E70" s="12" t="s">
        <v>46</v>
      </c>
      <c r="F70" s="12" t="s">
        <v>39</v>
      </c>
      <c r="G70" s="12" t="s">
        <v>18</v>
      </c>
      <c r="H70" s="12">
        <v>12865</v>
      </c>
      <c r="I70" s="12"/>
      <c r="J70" s="26"/>
      <c r="K70" s="12">
        <v>13000</v>
      </c>
      <c r="L70" s="14">
        <v>45348</v>
      </c>
      <c r="M70" s="8" t="str">
        <f t="shared" si="3"/>
        <v>Target Achieved</v>
      </c>
      <c r="N70" s="20">
        <f t="shared" si="4"/>
        <v>0</v>
      </c>
      <c r="O70" s="22">
        <f t="shared" si="5"/>
        <v>12865</v>
      </c>
    </row>
    <row r="71" spans="1:15" x14ac:dyDescent="0.3">
      <c r="A71" s="12" t="s">
        <v>162</v>
      </c>
      <c r="B71" s="12" t="s">
        <v>163</v>
      </c>
      <c r="C71" s="12" t="s">
        <v>44</v>
      </c>
      <c r="D71" s="12" t="s">
        <v>45</v>
      </c>
      <c r="E71" s="12" t="s">
        <v>16</v>
      </c>
      <c r="F71" s="12" t="s">
        <v>39</v>
      </c>
      <c r="G71" s="12" t="s">
        <v>36</v>
      </c>
      <c r="H71" s="12">
        <v>13024</v>
      </c>
      <c r="I71" s="12"/>
      <c r="J71" s="26"/>
      <c r="K71" s="12">
        <v>13000</v>
      </c>
      <c r="L71" s="14">
        <v>45307</v>
      </c>
      <c r="M71" s="8" t="str">
        <f t="shared" si="3"/>
        <v>Target Achieved</v>
      </c>
      <c r="N71" s="20">
        <f t="shared" si="4"/>
        <v>0</v>
      </c>
      <c r="O71" s="22">
        <f t="shared" si="5"/>
        <v>13024</v>
      </c>
    </row>
    <row r="72" spans="1:15" x14ac:dyDescent="0.3">
      <c r="A72" s="12" t="s">
        <v>164</v>
      </c>
      <c r="B72" s="12" t="s">
        <v>113</v>
      </c>
      <c r="C72" s="12" t="s">
        <v>14</v>
      </c>
      <c r="D72" s="12" t="s">
        <v>15</v>
      </c>
      <c r="E72" s="12" t="s">
        <v>32</v>
      </c>
      <c r="F72" s="12" t="s">
        <v>17</v>
      </c>
      <c r="G72" s="12" t="s">
        <v>18</v>
      </c>
      <c r="H72" s="12">
        <v>12720</v>
      </c>
      <c r="I72" s="12" t="s">
        <v>27</v>
      </c>
      <c r="J72" s="26"/>
      <c r="K72" s="12">
        <v>14000</v>
      </c>
      <c r="L72" s="14">
        <v>45321</v>
      </c>
      <c r="M72" s="8" t="str">
        <f t="shared" si="3"/>
        <v>Below Target</v>
      </c>
      <c r="N72" s="20">
        <f t="shared" si="4"/>
        <v>15</v>
      </c>
      <c r="O72" s="22">
        <f t="shared" si="5"/>
        <v>10812</v>
      </c>
    </row>
    <row r="73" spans="1:15" x14ac:dyDescent="0.3">
      <c r="A73" s="12" t="s">
        <v>165</v>
      </c>
      <c r="B73" s="12" t="s">
        <v>166</v>
      </c>
      <c r="C73" s="12" t="s">
        <v>44</v>
      </c>
      <c r="D73" s="12" t="s">
        <v>45</v>
      </c>
      <c r="E73" s="12" t="s">
        <v>32</v>
      </c>
      <c r="F73" s="12" t="s">
        <v>17</v>
      </c>
      <c r="G73" s="12" t="s">
        <v>18</v>
      </c>
      <c r="H73" s="12">
        <v>14282</v>
      </c>
      <c r="I73" s="12"/>
      <c r="J73" s="26"/>
      <c r="K73" s="12">
        <v>13000</v>
      </c>
      <c r="L73" s="14">
        <v>45334</v>
      </c>
      <c r="M73" s="8" t="str">
        <f t="shared" si="3"/>
        <v>Target Achieved</v>
      </c>
      <c r="N73" s="20">
        <f t="shared" si="4"/>
        <v>0</v>
      </c>
      <c r="O73" s="22">
        <f t="shared" si="5"/>
        <v>14282</v>
      </c>
    </row>
    <row r="74" spans="1:15" x14ac:dyDescent="0.3">
      <c r="A74" s="12" t="s">
        <v>167</v>
      </c>
      <c r="B74" s="12" t="s">
        <v>168</v>
      </c>
      <c r="C74" s="12" t="s">
        <v>30</v>
      </c>
      <c r="D74" s="12" t="s">
        <v>31</v>
      </c>
      <c r="E74" s="12" t="s">
        <v>46</v>
      </c>
      <c r="F74" s="12" t="s">
        <v>39</v>
      </c>
      <c r="G74" s="12" t="s">
        <v>26</v>
      </c>
      <c r="H74" s="12">
        <v>18653</v>
      </c>
      <c r="I74" s="12" t="s">
        <v>27</v>
      </c>
      <c r="J74" s="26"/>
      <c r="K74" s="12">
        <v>17000</v>
      </c>
      <c r="L74" s="14">
        <v>45319</v>
      </c>
      <c r="M74" s="8" t="str">
        <f t="shared" si="3"/>
        <v>Below Target</v>
      </c>
      <c r="N74" s="20">
        <f t="shared" si="4"/>
        <v>15</v>
      </c>
      <c r="O74" s="22">
        <f t="shared" si="5"/>
        <v>15855.05</v>
      </c>
    </row>
    <row r="75" spans="1:15" x14ac:dyDescent="0.3">
      <c r="A75" s="12" t="s">
        <v>169</v>
      </c>
      <c r="B75" s="12" t="s">
        <v>144</v>
      </c>
      <c r="C75" s="12" t="s">
        <v>61</v>
      </c>
      <c r="D75" s="12" t="s">
        <v>62</v>
      </c>
      <c r="E75" s="12" t="s">
        <v>32</v>
      </c>
      <c r="F75" s="12" t="s">
        <v>39</v>
      </c>
      <c r="G75" s="12" t="s">
        <v>36</v>
      </c>
      <c r="H75" s="12">
        <v>8843</v>
      </c>
      <c r="I75" s="12" t="s">
        <v>33</v>
      </c>
      <c r="J75" s="26">
        <v>0.3</v>
      </c>
      <c r="K75" s="12">
        <v>9000</v>
      </c>
      <c r="L75" s="14">
        <v>45340</v>
      </c>
      <c r="M75" s="8" t="str">
        <f t="shared" si="3"/>
        <v>Below Target</v>
      </c>
      <c r="N75" s="20">
        <f t="shared" si="4"/>
        <v>30</v>
      </c>
      <c r="O75" s="22">
        <f t="shared" si="5"/>
        <v>6190.1</v>
      </c>
    </row>
    <row r="76" spans="1:15" x14ac:dyDescent="0.3">
      <c r="A76" s="12" t="s">
        <v>170</v>
      </c>
      <c r="B76" s="12" t="s">
        <v>171</v>
      </c>
      <c r="C76" s="12" t="s">
        <v>30</v>
      </c>
      <c r="D76" s="12" t="s">
        <v>31</v>
      </c>
      <c r="E76" s="12" t="s">
        <v>16</v>
      </c>
      <c r="F76" s="12" t="s">
        <v>17</v>
      </c>
      <c r="G76" s="12" t="s">
        <v>26</v>
      </c>
      <c r="H76" s="12">
        <v>15979</v>
      </c>
      <c r="I76" s="12" t="s">
        <v>33</v>
      </c>
      <c r="J76" s="26">
        <v>0.3</v>
      </c>
      <c r="K76" s="12">
        <v>17000</v>
      </c>
      <c r="L76" s="14">
        <v>45320</v>
      </c>
      <c r="M76" s="8" t="str">
        <f t="shared" si="3"/>
        <v>Below Target</v>
      </c>
      <c r="N76" s="20">
        <f t="shared" si="4"/>
        <v>30</v>
      </c>
      <c r="O76" s="22">
        <f t="shared" si="5"/>
        <v>11185.3</v>
      </c>
    </row>
    <row r="77" spans="1:15" x14ac:dyDescent="0.3">
      <c r="A77" s="12" t="s">
        <v>172</v>
      </c>
      <c r="B77" s="12" t="s">
        <v>173</v>
      </c>
      <c r="C77" s="12" t="s">
        <v>30</v>
      </c>
      <c r="D77" s="12" t="s">
        <v>31</v>
      </c>
      <c r="E77" s="12" t="s">
        <v>32</v>
      </c>
      <c r="F77" s="12" t="s">
        <v>17</v>
      </c>
      <c r="G77" s="12" t="s">
        <v>36</v>
      </c>
      <c r="H77" s="12">
        <v>16309</v>
      </c>
      <c r="I77" s="12" t="s">
        <v>27</v>
      </c>
      <c r="J77" s="26"/>
      <c r="K77" s="12">
        <v>17000</v>
      </c>
      <c r="L77" s="14">
        <v>45297</v>
      </c>
      <c r="M77" s="8" t="str">
        <f t="shared" si="3"/>
        <v>Below Target</v>
      </c>
      <c r="N77" s="20">
        <f t="shared" si="4"/>
        <v>15</v>
      </c>
      <c r="O77" s="22">
        <f t="shared" si="5"/>
        <v>13862.65</v>
      </c>
    </row>
    <row r="78" spans="1:15" x14ac:dyDescent="0.3">
      <c r="A78" s="12" t="s">
        <v>174</v>
      </c>
      <c r="B78" s="12" t="s">
        <v>175</v>
      </c>
      <c r="C78" s="12" t="s">
        <v>44</v>
      </c>
      <c r="D78" s="12" t="s">
        <v>45</v>
      </c>
      <c r="E78" s="12" t="s">
        <v>46</v>
      </c>
      <c r="F78" s="12" t="s">
        <v>39</v>
      </c>
      <c r="G78" s="12" t="s">
        <v>18</v>
      </c>
      <c r="H78" s="12">
        <v>13893</v>
      </c>
      <c r="I78" s="12" t="s">
        <v>19</v>
      </c>
      <c r="J78" s="26">
        <v>0.2</v>
      </c>
      <c r="K78" s="12">
        <v>13000</v>
      </c>
      <c r="L78" s="14">
        <v>45296</v>
      </c>
      <c r="M78" s="8" t="str">
        <f t="shared" si="3"/>
        <v>Below Target</v>
      </c>
      <c r="N78" s="20">
        <f t="shared" si="4"/>
        <v>20</v>
      </c>
      <c r="O78" s="22">
        <f t="shared" si="5"/>
        <v>11114.4</v>
      </c>
    </row>
    <row r="79" spans="1:15" x14ac:dyDescent="0.3">
      <c r="A79" s="12" t="s">
        <v>176</v>
      </c>
      <c r="B79" s="12" t="s">
        <v>177</v>
      </c>
      <c r="C79" s="12" t="s">
        <v>30</v>
      </c>
      <c r="D79" s="12" t="s">
        <v>31</v>
      </c>
      <c r="E79" s="12" t="s">
        <v>16</v>
      </c>
      <c r="F79" s="12" t="s">
        <v>17</v>
      </c>
      <c r="G79" s="12" t="s">
        <v>36</v>
      </c>
      <c r="H79" s="12">
        <v>15255</v>
      </c>
      <c r="I79" s="12" t="s">
        <v>19</v>
      </c>
      <c r="J79" s="26">
        <v>0.2</v>
      </c>
      <c r="K79" s="12">
        <v>17000</v>
      </c>
      <c r="L79" s="14">
        <v>45345</v>
      </c>
      <c r="M79" s="8" t="str">
        <f t="shared" si="3"/>
        <v>Below Target</v>
      </c>
      <c r="N79" s="20">
        <f t="shared" si="4"/>
        <v>20</v>
      </c>
      <c r="O79" s="22">
        <f t="shared" si="5"/>
        <v>12204</v>
      </c>
    </row>
    <row r="80" spans="1:15" x14ac:dyDescent="0.3">
      <c r="A80" s="12" t="s">
        <v>178</v>
      </c>
      <c r="B80" s="12" t="s">
        <v>177</v>
      </c>
      <c r="C80" s="12" t="s">
        <v>14</v>
      </c>
      <c r="D80" s="12" t="s">
        <v>15</v>
      </c>
      <c r="E80" s="12" t="s">
        <v>16</v>
      </c>
      <c r="F80" s="12" t="s">
        <v>17</v>
      </c>
      <c r="G80" s="12" t="s">
        <v>36</v>
      </c>
      <c r="H80" s="12">
        <v>12024</v>
      </c>
      <c r="I80" s="12" t="s">
        <v>33</v>
      </c>
      <c r="J80" s="26">
        <v>0.3</v>
      </c>
      <c r="K80" s="12">
        <v>14000</v>
      </c>
      <c r="L80" s="14">
        <v>45311</v>
      </c>
      <c r="M80" s="8" t="str">
        <f t="shared" si="3"/>
        <v>Below Target</v>
      </c>
      <c r="N80" s="20">
        <f t="shared" si="4"/>
        <v>30</v>
      </c>
      <c r="O80" s="22">
        <f t="shared" si="5"/>
        <v>8416.7999999999993</v>
      </c>
    </row>
    <row r="81" spans="1:15" x14ac:dyDescent="0.3">
      <c r="A81" s="12" t="s">
        <v>179</v>
      </c>
      <c r="B81" s="12" t="s">
        <v>180</v>
      </c>
      <c r="C81" s="12" t="s">
        <v>61</v>
      </c>
      <c r="D81" s="12" t="s">
        <v>62</v>
      </c>
      <c r="E81" s="12" t="s">
        <v>16</v>
      </c>
      <c r="F81" s="12" t="s">
        <v>39</v>
      </c>
      <c r="G81" s="12" t="s">
        <v>26</v>
      </c>
      <c r="H81" s="12">
        <v>9236</v>
      </c>
      <c r="I81" s="12" t="s">
        <v>27</v>
      </c>
      <c r="J81" s="26"/>
      <c r="K81" s="12">
        <v>9000</v>
      </c>
      <c r="L81" s="14">
        <v>45349</v>
      </c>
      <c r="M81" s="8" t="str">
        <f t="shared" si="3"/>
        <v>Below Target</v>
      </c>
      <c r="N81" s="20">
        <f t="shared" si="4"/>
        <v>15</v>
      </c>
      <c r="O81" s="22">
        <f t="shared" si="5"/>
        <v>7850.6</v>
      </c>
    </row>
    <row r="82" spans="1:15" x14ac:dyDescent="0.3">
      <c r="A82" s="12" t="s">
        <v>181</v>
      </c>
      <c r="B82" s="12" t="s">
        <v>29</v>
      </c>
      <c r="C82" s="12" t="s">
        <v>44</v>
      </c>
      <c r="D82" s="12" t="s">
        <v>45</v>
      </c>
      <c r="E82" s="12" t="s">
        <v>46</v>
      </c>
      <c r="F82" s="12" t="s">
        <v>17</v>
      </c>
      <c r="G82" s="12" t="s">
        <v>36</v>
      </c>
      <c r="H82" s="12">
        <v>11118</v>
      </c>
      <c r="I82" s="12"/>
      <c r="J82" s="26"/>
      <c r="K82" s="12">
        <v>13000</v>
      </c>
      <c r="L82" s="14">
        <v>45313</v>
      </c>
      <c r="M82" s="8" t="str">
        <f t="shared" si="3"/>
        <v>Target Achieved</v>
      </c>
      <c r="N82" s="20">
        <f t="shared" si="4"/>
        <v>0</v>
      </c>
      <c r="O82" s="22">
        <f t="shared" si="5"/>
        <v>11118</v>
      </c>
    </row>
    <row r="83" spans="1:15" x14ac:dyDescent="0.3">
      <c r="A83" s="12" t="s">
        <v>182</v>
      </c>
      <c r="B83" s="12" t="s">
        <v>92</v>
      </c>
      <c r="C83" s="12" t="s">
        <v>61</v>
      </c>
      <c r="D83" s="12" t="s">
        <v>62</v>
      </c>
      <c r="E83" s="12" t="s">
        <v>16</v>
      </c>
      <c r="F83" s="12" t="s">
        <v>25</v>
      </c>
      <c r="G83" s="12" t="s">
        <v>36</v>
      </c>
      <c r="H83" s="12">
        <v>10766</v>
      </c>
      <c r="I83" s="12" t="s">
        <v>19</v>
      </c>
      <c r="J83" s="26">
        <v>0.2</v>
      </c>
      <c r="K83" s="12">
        <v>9000</v>
      </c>
      <c r="L83" s="14">
        <v>45331</v>
      </c>
      <c r="M83" s="8" t="str">
        <f t="shared" si="3"/>
        <v>Below Target</v>
      </c>
      <c r="N83" s="20">
        <f t="shared" si="4"/>
        <v>20</v>
      </c>
      <c r="O83" s="22">
        <f t="shared" si="5"/>
        <v>8612.7999999999993</v>
      </c>
    </row>
    <row r="84" spans="1:15" x14ac:dyDescent="0.3">
      <c r="A84" s="12" t="s">
        <v>183</v>
      </c>
      <c r="B84" s="12" t="s">
        <v>184</v>
      </c>
      <c r="C84" s="12" t="s">
        <v>61</v>
      </c>
      <c r="D84" s="12" t="s">
        <v>62</v>
      </c>
      <c r="E84" s="12" t="s">
        <v>16</v>
      </c>
      <c r="F84" s="12" t="s">
        <v>39</v>
      </c>
      <c r="G84" s="12" t="s">
        <v>26</v>
      </c>
      <c r="H84" s="12">
        <v>7111</v>
      </c>
      <c r="I84" s="12" t="s">
        <v>22</v>
      </c>
      <c r="J84" s="26">
        <v>0.1</v>
      </c>
      <c r="K84" s="12">
        <v>9000</v>
      </c>
      <c r="L84" s="14">
        <v>45333</v>
      </c>
      <c r="M84" s="8" t="str">
        <f t="shared" si="3"/>
        <v>Below Target</v>
      </c>
      <c r="N84" s="20">
        <f t="shared" si="4"/>
        <v>10</v>
      </c>
      <c r="O84" s="22">
        <f t="shared" si="5"/>
        <v>6399.9</v>
      </c>
    </row>
    <row r="85" spans="1:15" x14ac:dyDescent="0.3">
      <c r="A85" s="12" t="s">
        <v>185</v>
      </c>
      <c r="B85" s="12" t="s">
        <v>186</v>
      </c>
      <c r="C85" s="12" t="s">
        <v>61</v>
      </c>
      <c r="D85" s="12" t="s">
        <v>62</v>
      </c>
      <c r="E85" s="12" t="s">
        <v>32</v>
      </c>
      <c r="F85" s="12" t="s">
        <v>25</v>
      </c>
      <c r="G85" s="12" t="s">
        <v>36</v>
      </c>
      <c r="H85" s="12">
        <v>8552</v>
      </c>
      <c r="I85" s="12" t="s">
        <v>33</v>
      </c>
      <c r="J85" s="26">
        <v>0.3</v>
      </c>
      <c r="K85" s="12">
        <v>9000</v>
      </c>
      <c r="L85" s="14">
        <v>45305</v>
      </c>
      <c r="M85" s="8" t="str">
        <f t="shared" si="3"/>
        <v>Below Target</v>
      </c>
      <c r="N85" s="20">
        <f t="shared" si="4"/>
        <v>30</v>
      </c>
      <c r="O85" s="22">
        <f t="shared" si="5"/>
        <v>5986.4</v>
      </c>
    </row>
    <row r="86" spans="1:15" x14ac:dyDescent="0.3">
      <c r="A86" s="12" t="s">
        <v>187</v>
      </c>
      <c r="B86" s="12" t="s">
        <v>188</v>
      </c>
      <c r="C86" s="12" t="s">
        <v>30</v>
      </c>
      <c r="D86" s="12" t="s">
        <v>31</v>
      </c>
      <c r="E86" s="12" t="s">
        <v>46</v>
      </c>
      <c r="F86" s="12" t="s">
        <v>17</v>
      </c>
      <c r="G86" s="12" t="s">
        <v>36</v>
      </c>
      <c r="H86" s="12">
        <v>16033</v>
      </c>
      <c r="I86" s="12" t="s">
        <v>22</v>
      </c>
      <c r="J86" s="26">
        <v>0.1</v>
      </c>
      <c r="K86" s="12">
        <v>17000</v>
      </c>
      <c r="L86" s="14">
        <v>45322</v>
      </c>
      <c r="M86" s="8" t="str">
        <f t="shared" si="3"/>
        <v>Below Target</v>
      </c>
      <c r="N86" s="20">
        <f t="shared" si="4"/>
        <v>10</v>
      </c>
      <c r="O86" s="22">
        <f t="shared" si="5"/>
        <v>14429.7</v>
      </c>
    </row>
    <row r="87" spans="1:15" x14ac:dyDescent="0.3">
      <c r="A87" s="12" t="s">
        <v>189</v>
      </c>
      <c r="B87" s="12" t="s">
        <v>190</v>
      </c>
      <c r="C87" s="12" t="s">
        <v>14</v>
      </c>
      <c r="D87" s="12" t="s">
        <v>15</v>
      </c>
      <c r="E87" s="12" t="s">
        <v>46</v>
      </c>
      <c r="F87" s="12" t="s">
        <v>25</v>
      </c>
      <c r="G87" s="12" t="s">
        <v>26</v>
      </c>
      <c r="H87" s="12">
        <v>12281</v>
      </c>
      <c r="I87" s="12" t="s">
        <v>22</v>
      </c>
      <c r="J87" s="26">
        <v>0.1</v>
      </c>
      <c r="K87" s="12">
        <v>14000</v>
      </c>
      <c r="L87" s="14">
        <v>45340</v>
      </c>
      <c r="M87" s="8" t="str">
        <f t="shared" si="3"/>
        <v>Below Target</v>
      </c>
      <c r="N87" s="20">
        <f t="shared" si="4"/>
        <v>10</v>
      </c>
      <c r="O87" s="22">
        <f t="shared" si="5"/>
        <v>11052.9</v>
      </c>
    </row>
    <row r="88" spans="1:15" x14ac:dyDescent="0.3">
      <c r="A88" s="12" t="s">
        <v>191</v>
      </c>
      <c r="B88" s="12" t="s">
        <v>192</v>
      </c>
      <c r="C88" s="12" t="s">
        <v>44</v>
      </c>
      <c r="D88" s="12" t="s">
        <v>45</v>
      </c>
      <c r="E88" s="12" t="s">
        <v>32</v>
      </c>
      <c r="F88" s="12" t="s">
        <v>39</v>
      </c>
      <c r="G88" s="12" t="s">
        <v>18</v>
      </c>
      <c r="H88" s="12">
        <v>11977</v>
      </c>
      <c r="I88" s="12" t="s">
        <v>19</v>
      </c>
      <c r="J88" s="26">
        <v>0.2</v>
      </c>
      <c r="K88" s="12">
        <v>13000</v>
      </c>
      <c r="L88" s="14">
        <v>45322</v>
      </c>
      <c r="M88" s="8" t="str">
        <f t="shared" si="3"/>
        <v>Below Target</v>
      </c>
      <c r="N88" s="20">
        <f t="shared" si="4"/>
        <v>20</v>
      </c>
      <c r="O88" s="22">
        <f t="shared" si="5"/>
        <v>9581.6</v>
      </c>
    </row>
    <row r="89" spans="1:15" x14ac:dyDescent="0.3">
      <c r="A89" s="12" t="s">
        <v>193</v>
      </c>
      <c r="B89" s="12" t="s">
        <v>13</v>
      </c>
      <c r="C89" s="12" t="s">
        <v>44</v>
      </c>
      <c r="D89" s="12" t="s">
        <v>45</v>
      </c>
      <c r="E89" s="12" t="s">
        <v>46</v>
      </c>
      <c r="F89" s="12" t="s">
        <v>39</v>
      </c>
      <c r="G89" s="12" t="s">
        <v>36</v>
      </c>
      <c r="H89" s="12">
        <v>14141</v>
      </c>
      <c r="I89" s="12" t="s">
        <v>33</v>
      </c>
      <c r="J89" s="26">
        <v>0.3</v>
      </c>
      <c r="K89" s="12">
        <v>13000</v>
      </c>
      <c r="L89" s="14">
        <v>45302</v>
      </c>
      <c r="M89" s="8" t="str">
        <f t="shared" si="3"/>
        <v>Below Target</v>
      </c>
      <c r="N89" s="20">
        <f t="shared" si="4"/>
        <v>30</v>
      </c>
      <c r="O89" s="22">
        <f t="shared" si="5"/>
        <v>9898.7000000000007</v>
      </c>
    </row>
    <row r="90" spans="1:15" x14ac:dyDescent="0.3">
      <c r="A90" s="12" t="s">
        <v>194</v>
      </c>
      <c r="B90" s="12" t="s">
        <v>195</v>
      </c>
      <c r="C90" s="12" t="s">
        <v>14</v>
      </c>
      <c r="D90" s="12" t="s">
        <v>15</v>
      </c>
      <c r="E90" s="12" t="s">
        <v>32</v>
      </c>
      <c r="F90" s="12" t="s">
        <v>17</v>
      </c>
      <c r="G90" s="12" t="s">
        <v>18</v>
      </c>
      <c r="H90" s="12">
        <v>14370</v>
      </c>
      <c r="I90" s="12" t="s">
        <v>22</v>
      </c>
      <c r="J90" s="26">
        <v>0.1</v>
      </c>
      <c r="K90" s="12">
        <v>14000</v>
      </c>
      <c r="L90" s="14">
        <v>45351</v>
      </c>
      <c r="M90" s="8" t="str">
        <f t="shared" si="3"/>
        <v>Below Target</v>
      </c>
      <c r="N90" s="20">
        <f t="shared" si="4"/>
        <v>10</v>
      </c>
      <c r="O90" s="22">
        <f t="shared" si="5"/>
        <v>12933</v>
      </c>
    </row>
    <row r="91" spans="1:15" x14ac:dyDescent="0.3">
      <c r="A91" s="12" t="s">
        <v>196</v>
      </c>
      <c r="B91" s="12" t="s">
        <v>118</v>
      </c>
      <c r="C91" s="12" t="s">
        <v>61</v>
      </c>
      <c r="D91" s="12" t="s">
        <v>62</v>
      </c>
      <c r="E91" s="12" t="s">
        <v>46</v>
      </c>
      <c r="F91" s="12" t="s">
        <v>39</v>
      </c>
      <c r="G91" s="12" t="s">
        <v>18</v>
      </c>
      <c r="H91" s="12">
        <v>7311</v>
      </c>
      <c r="I91" s="12" t="s">
        <v>27</v>
      </c>
      <c r="J91" s="26"/>
      <c r="K91" s="12">
        <v>9000</v>
      </c>
      <c r="L91" s="14">
        <v>45336</v>
      </c>
      <c r="M91" s="8" t="str">
        <f t="shared" si="3"/>
        <v>Below Target</v>
      </c>
      <c r="N91" s="20">
        <f t="shared" si="4"/>
        <v>15</v>
      </c>
      <c r="O91" s="22">
        <f t="shared" si="5"/>
        <v>6214.35</v>
      </c>
    </row>
    <row r="92" spans="1:15" x14ac:dyDescent="0.3">
      <c r="A92" s="12" t="s">
        <v>197</v>
      </c>
      <c r="B92" s="12" t="s">
        <v>198</v>
      </c>
      <c r="C92" s="12" t="s">
        <v>44</v>
      </c>
      <c r="D92" s="12" t="s">
        <v>45</v>
      </c>
      <c r="E92" s="12" t="s">
        <v>32</v>
      </c>
      <c r="F92" s="12" t="s">
        <v>39</v>
      </c>
      <c r="G92" s="12" t="s">
        <v>36</v>
      </c>
      <c r="H92" s="12">
        <v>14482</v>
      </c>
      <c r="I92" s="12" t="s">
        <v>27</v>
      </c>
      <c r="J92" s="26"/>
      <c r="K92" s="12">
        <v>13000</v>
      </c>
      <c r="L92" s="14">
        <v>45343</v>
      </c>
      <c r="M92" s="8" t="str">
        <f t="shared" si="3"/>
        <v>Below Target</v>
      </c>
      <c r="N92" s="20">
        <f t="shared" si="4"/>
        <v>15</v>
      </c>
      <c r="O92" s="22">
        <f t="shared" si="5"/>
        <v>12309.7</v>
      </c>
    </row>
    <row r="93" spans="1:15" x14ac:dyDescent="0.3">
      <c r="A93" s="12" t="s">
        <v>199</v>
      </c>
      <c r="B93" s="12" t="s">
        <v>200</v>
      </c>
      <c r="C93" s="12" t="s">
        <v>14</v>
      </c>
      <c r="D93" s="12" t="s">
        <v>15</v>
      </c>
      <c r="E93" s="12" t="s">
        <v>46</v>
      </c>
      <c r="F93" s="12" t="s">
        <v>39</v>
      </c>
      <c r="G93" s="12" t="s">
        <v>36</v>
      </c>
      <c r="H93" s="12">
        <v>14709</v>
      </c>
      <c r="I93" s="12" t="s">
        <v>33</v>
      </c>
      <c r="J93" s="26">
        <v>0.3</v>
      </c>
      <c r="K93" s="12">
        <v>14000</v>
      </c>
      <c r="L93" s="14">
        <v>45296</v>
      </c>
      <c r="M93" s="8" t="str">
        <f t="shared" si="3"/>
        <v>Below Target</v>
      </c>
      <c r="N93" s="20">
        <f t="shared" si="4"/>
        <v>30</v>
      </c>
      <c r="O93" s="22">
        <f t="shared" si="5"/>
        <v>10296.299999999999</v>
      </c>
    </row>
    <row r="94" spans="1:15" x14ac:dyDescent="0.3">
      <c r="A94" s="12" t="s">
        <v>201</v>
      </c>
      <c r="B94" s="12" t="s">
        <v>202</v>
      </c>
      <c r="C94" s="12" t="s">
        <v>30</v>
      </c>
      <c r="D94" s="12" t="s">
        <v>31</v>
      </c>
      <c r="E94" s="12" t="s">
        <v>32</v>
      </c>
      <c r="F94" s="12" t="s">
        <v>17</v>
      </c>
      <c r="G94" s="12" t="s">
        <v>36</v>
      </c>
      <c r="H94" s="12">
        <v>15432</v>
      </c>
      <c r="I94" s="12"/>
      <c r="J94" s="26"/>
      <c r="K94" s="12">
        <v>17000</v>
      </c>
      <c r="L94" s="14">
        <v>45315</v>
      </c>
      <c r="M94" s="8" t="str">
        <f t="shared" si="3"/>
        <v>Target Achieved</v>
      </c>
      <c r="N94" s="20">
        <f t="shared" si="4"/>
        <v>0</v>
      </c>
      <c r="O94" s="22">
        <f t="shared" si="5"/>
        <v>15432</v>
      </c>
    </row>
    <row r="95" spans="1:15" x14ac:dyDescent="0.3">
      <c r="A95" s="12" t="s">
        <v>203</v>
      </c>
      <c r="B95" s="12" t="s">
        <v>204</v>
      </c>
      <c r="C95" s="12" t="s">
        <v>61</v>
      </c>
      <c r="D95" s="12" t="s">
        <v>62</v>
      </c>
      <c r="E95" s="12" t="s">
        <v>16</v>
      </c>
      <c r="F95" s="12" t="s">
        <v>25</v>
      </c>
      <c r="G95" s="12" t="s">
        <v>36</v>
      </c>
      <c r="H95" s="12">
        <v>7721</v>
      </c>
      <c r="I95" s="12" t="s">
        <v>27</v>
      </c>
      <c r="J95" s="26"/>
      <c r="K95" s="12">
        <v>9000</v>
      </c>
      <c r="L95" s="14">
        <v>45333</v>
      </c>
      <c r="M95" s="8" t="str">
        <f t="shared" si="3"/>
        <v>Below Target</v>
      </c>
      <c r="N95" s="20">
        <f t="shared" si="4"/>
        <v>15</v>
      </c>
      <c r="O95" s="22">
        <f t="shared" si="5"/>
        <v>6562.85</v>
      </c>
    </row>
    <row r="96" spans="1:15" x14ac:dyDescent="0.3">
      <c r="A96" s="12" t="s">
        <v>205</v>
      </c>
      <c r="B96" s="12" t="s">
        <v>118</v>
      </c>
      <c r="C96" s="12" t="s">
        <v>61</v>
      </c>
      <c r="D96" s="12" t="s">
        <v>62</v>
      </c>
      <c r="E96" s="12" t="s">
        <v>46</v>
      </c>
      <c r="F96" s="12" t="s">
        <v>17</v>
      </c>
      <c r="G96" s="12" t="s">
        <v>26</v>
      </c>
      <c r="H96" s="12">
        <v>9426</v>
      </c>
      <c r="I96" s="12" t="s">
        <v>33</v>
      </c>
      <c r="J96" s="26">
        <v>0.3</v>
      </c>
      <c r="K96" s="12">
        <v>9000</v>
      </c>
      <c r="L96" s="14">
        <v>45312</v>
      </c>
      <c r="M96" s="8" t="str">
        <f t="shared" si="3"/>
        <v>Below Target</v>
      </c>
      <c r="N96" s="20">
        <f t="shared" si="4"/>
        <v>30</v>
      </c>
      <c r="O96" s="22">
        <f t="shared" si="5"/>
        <v>6598.2</v>
      </c>
    </row>
    <row r="97" spans="1:15" x14ac:dyDescent="0.3">
      <c r="A97" s="12" t="s">
        <v>206</v>
      </c>
      <c r="B97" s="12" t="s">
        <v>207</v>
      </c>
      <c r="C97" s="12" t="s">
        <v>14</v>
      </c>
      <c r="D97" s="12" t="s">
        <v>15</v>
      </c>
      <c r="E97" s="12" t="s">
        <v>46</v>
      </c>
      <c r="F97" s="12" t="s">
        <v>17</v>
      </c>
      <c r="G97" s="12" t="s">
        <v>18</v>
      </c>
      <c r="H97" s="12">
        <v>15073</v>
      </c>
      <c r="I97" s="12"/>
      <c r="J97" s="26"/>
      <c r="K97" s="12">
        <v>14000</v>
      </c>
      <c r="L97" s="14">
        <v>45328</v>
      </c>
      <c r="M97" s="8" t="str">
        <f t="shared" si="3"/>
        <v>Target Achieved</v>
      </c>
      <c r="N97" s="20">
        <f t="shared" si="4"/>
        <v>0</v>
      </c>
      <c r="O97" s="22">
        <f t="shared" si="5"/>
        <v>15073</v>
      </c>
    </row>
    <row r="98" spans="1:15" x14ac:dyDescent="0.3">
      <c r="A98" s="12" t="s">
        <v>208</v>
      </c>
      <c r="B98" s="12" t="s">
        <v>209</v>
      </c>
      <c r="C98" s="12" t="s">
        <v>61</v>
      </c>
      <c r="D98" s="12" t="s">
        <v>62</v>
      </c>
      <c r="E98" s="12" t="s">
        <v>46</v>
      </c>
      <c r="F98" s="12" t="s">
        <v>25</v>
      </c>
      <c r="G98" s="12" t="s">
        <v>36</v>
      </c>
      <c r="H98" s="12">
        <v>10485</v>
      </c>
      <c r="I98" s="12" t="s">
        <v>33</v>
      </c>
      <c r="J98" s="26">
        <v>0.3</v>
      </c>
      <c r="K98" s="12">
        <v>9000</v>
      </c>
      <c r="L98" s="14">
        <v>45303</v>
      </c>
      <c r="M98" s="8" t="str">
        <f t="shared" si="3"/>
        <v>Below Target</v>
      </c>
      <c r="N98" s="20">
        <f t="shared" si="4"/>
        <v>30</v>
      </c>
      <c r="O98" s="22">
        <f t="shared" si="5"/>
        <v>7339.5</v>
      </c>
    </row>
    <row r="99" spans="1:15" x14ac:dyDescent="0.3">
      <c r="A99" s="12" t="s">
        <v>210</v>
      </c>
      <c r="B99" s="12" t="s">
        <v>211</v>
      </c>
      <c r="C99" s="12" t="s">
        <v>30</v>
      </c>
      <c r="D99" s="12" t="s">
        <v>31</v>
      </c>
      <c r="E99" s="12" t="s">
        <v>46</v>
      </c>
      <c r="F99" s="12" t="s">
        <v>17</v>
      </c>
      <c r="G99" s="12" t="s">
        <v>36</v>
      </c>
      <c r="H99" s="12">
        <v>18605</v>
      </c>
      <c r="I99" s="12" t="s">
        <v>27</v>
      </c>
      <c r="J99" s="26"/>
      <c r="K99" s="12">
        <v>17000</v>
      </c>
      <c r="L99" s="14">
        <v>45336</v>
      </c>
      <c r="M99" s="8" t="str">
        <f t="shared" si="3"/>
        <v>Below Target</v>
      </c>
      <c r="N99" s="20">
        <f t="shared" si="4"/>
        <v>15</v>
      </c>
      <c r="O99" s="22">
        <f t="shared" si="5"/>
        <v>15814.25</v>
      </c>
    </row>
    <row r="100" spans="1:15" x14ac:dyDescent="0.3">
      <c r="A100" s="12" t="s">
        <v>212</v>
      </c>
      <c r="B100" s="12" t="s">
        <v>111</v>
      </c>
      <c r="C100" s="12" t="s">
        <v>14</v>
      </c>
      <c r="D100" s="12" t="s">
        <v>15</v>
      </c>
      <c r="E100" s="12" t="s">
        <v>16</v>
      </c>
      <c r="F100" s="12" t="s">
        <v>25</v>
      </c>
      <c r="G100" s="12" t="s">
        <v>18</v>
      </c>
      <c r="H100" s="12">
        <v>12988</v>
      </c>
      <c r="I100" s="12"/>
      <c r="J100" s="26"/>
      <c r="K100" s="12">
        <v>14000</v>
      </c>
      <c r="L100" s="14">
        <v>45323</v>
      </c>
      <c r="M100" s="8" t="str">
        <f t="shared" si="3"/>
        <v>Target Achieved</v>
      </c>
      <c r="N100" s="20">
        <f t="shared" si="4"/>
        <v>0</v>
      </c>
      <c r="O100" s="22">
        <f t="shared" si="5"/>
        <v>12988</v>
      </c>
    </row>
    <row r="101" spans="1:15" x14ac:dyDescent="0.3">
      <c r="A101" s="12" t="s">
        <v>213</v>
      </c>
      <c r="B101" s="12" t="s">
        <v>82</v>
      </c>
      <c r="C101" s="12" t="s">
        <v>44</v>
      </c>
      <c r="D101" s="12" t="s">
        <v>45</v>
      </c>
      <c r="E101" s="12" t="s">
        <v>16</v>
      </c>
      <c r="F101" s="12" t="s">
        <v>17</v>
      </c>
      <c r="G101" s="12" t="s">
        <v>26</v>
      </c>
      <c r="H101" s="12">
        <v>13915</v>
      </c>
      <c r="I101" s="12"/>
      <c r="J101" s="26"/>
      <c r="K101" s="12">
        <v>13000</v>
      </c>
      <c r="L101" s="14">
        <v>45320</v>
      </c>
      <c r="M101" s="8" t="str">
        <f t="shared" si="3"/>
        <v>Target Achieved</v>
      </c>
      <c r="N101" s="20">
        <f t="shared" si="4"/>
        <v>0</v>
      </c>
      <c r="O101" s="22">
        <f t="shared" si="5"/>
        <v>13915</v>
      </c>
    </row>
    <row r="102" spans="1:15" x14ac:dyDescent="0.3">
      <c r="A102" s="12" t="s">
        <v>214</v>
      </c>
      <c r="B102" s="12" t="s">
        <v>64</v>
      </c>
      <c r="C102" s="12" t="s">
        <v>14</v>
      </c>
      <c r="D102" s="12" t="s">
        <v>15</v>
      </c>
      <c r="E102" s="12" t="s">
        <v>46</v>
      </c>
      <c r="F102" s="12" t="s">
        <v>25</v>
      </c>
      <c r="G102" s="12" t="s">
        <v>36</v>
      </c>
      <c r="H102" s="12">
        <v>14833</v>
      </c>
      <c r="I102" s="12" t="s">
        <v>19</v>
      </c>
      <c r="J102" s="26">
        <v>0.2</v>
      </c>
      <c r="K102" s="12">
        <v>14000</v>
      </c>
      <c r="L102" s="14">
        <v>45311</v>
      </c>
      <c r="M102" s="8" t="str">
        <f t="shared" si="3"/>
        <v>Below Target</v>
      </c>
      <c r="N102" s="20">
        <f t="shared" si="4"/>
        <v>20</v>
      </c>
      <c r="O102" s="22">
        <f t="shared" si="5"/>
        <v>11866.4</v>
      </c>
    </row>
    <row r="103" spans="1:15" x14ac:dyDescent="0.3">
      <c r="A103" s="12" t="s">
        <v>215</v>
      </c>
      <c r="B103" s="12" t="s">
        <v>163</v>
      </c>
      <c r="C103" s="12" t="s">
        <v>30</v>
      </c>
      <c r="D103" s="12" t="s">
        <v>31</v>
      </c>
      <c r="E103" s="12" t="s">
        <v>46</v>
      </c>
      <c r="F103" s="12" t="s">
        <v>39</v>
      </c>
      <c r="G103" s="12" t="s">
        <v>26</v>
      </c>
      <c r="H103" s="12">
        <v>16408</v>
      </c>
      <c r="I103" s="12"/>
      <c r="J103" s="26"/>
      <c r="K103" s="12">
        <v>17000</v>
      </c>
      <c r="L103" s="14">
        <v>45339</v>
      </c>
      <c r="M103" s="8" t="str">
        <f t="shared" si="3"/>
        <v>Target Achieved</v>
      </c>
      <c r="N103" s="20">
        <f t="shared" si="4"/>
        <v>0</v>
      </c>
      <c r="O103" s="22">
        <f t="shared" si="5"/>
        <v>16408</v>
      </c>
    </row>
    <row r="104" spans="1:15" x14ac:dyDescent="0.3">
      <c r="A104" s="12" t="s">
        <v>216</v>
      </c>
      <c r="B104" s="12" t="s">
        <v>217</v>
      </c>
      <c r="C104" s="12" t="s">
        <v>30</v>
      </c>
      <c r="D104" s="12" t="s">
        <v>31</v>
      </c>
      <c r="E104" s="12" t="s">
        <v>16</v>
      </c>
      <c r="F104" s="12" t="s">
        <v>17</v>
      </c>
      <c r="G104" s="12" t="s">
        <v>36</v>
      </c>
      <c r="H104" s="12">
        <v>16255</v>
      </c>
      <c r="I104" s="12" t="s">
        <v>33</v>
      </c>
      <c r="J104" s="26">
        <v>0.3</v>
      </c>
      <c r="K104" s="12">
        <v>17000</v>
      </c>
      <c r="L104" s="14">
        <v>45306</v>
      </c>
      <c r="M104" s="8" t="str">
        <f t="shared" si="3"/>
        <v>Below Target</v>
      </c>
      <c r="N104" s="20">
        <f t="shared" si="4"/>
        <v>30</v>
      </c>
      <c r="O104" s="22">
        <f t="shared" si="5"/>
        <v>11378.5</v>
      </c>
    </row>
    <row r="105" spans="1:15" x14ac:dyDescent="0.3">
      <c r="A105" s="12" t="s">
        <v>218</v>
      </c>
      <c r="B105" s="12" t="s">
        <v>173</v>
      </c>
      <c r="C105" s="12" t="s">
        <v>44</v>
      </c>
      <c r="D105" s="12" t="s">
        <v>45</v>
      </c>
      <c r="E105" s="12" t="s">
        <v>46</v>
      </c>
      <c r="F105" s="12" t="s">
        <v>25</v>
      </c>
      <c r="G105" s="12" t="s">
        <v>26</v>
      </c>
      <c r="H105" s="12">
        <v>13194</v>
      </c>
      <c r="I105" s="12" t="s">
        <v>19</v>
      </c>
      <c r="J105" s="26">
        <v>0.2</v>
      </c>
      <c r="K105" s="12">
        <v>13000</v>
      </c>
      <c r="L105" s="14">
        <v>45304</v>
      </c>
      <c r="M105" s="8" t="str">
        <f t="shared" si="3"/>
        <v>Below Target</v>
      </c>
      <c r="N105" s="20">
        <f t="shared" si="4"/>
        <v>20</v>
      </c>
      <c r="O105" s="22">
        <f t="shared" si="5"/>
        <v>10555.2</v>
      </c>
    </row>
    <row r="106" spans="1:15" x14ac:dyDescent="0.3">
      <c r="A106" s="12" t="s">
        <v>219</v>
      </c>
      <c r="B106" s="12" t="s">
        <v>220</v>
      </c>
      <c r="C106" s="12" t="s">
        <v>61</v>
      </c>
      <c r="D106" s="12" t="s">
        <v>62</v>
      </c>
      <c r="E106" s="12" t="s">
        <v>46</v>
      </c>
      <c r="F106" s="12" t="s">
        <v>39</v>
      </c>
      <c r="G106" s="12" t="s">
        <v>26</v>
      </c>
      <c r="H106" s="12">
        <v>11000</v>
      </c>
      <c r="I106" s="12" t="s">
        <v>27</v>
      </c>
      <c r="J106" s="26"/>
      <c r="K106" s="12">
        <v>9000</v>
      </c>
      <c r="L106" s="14">
        <v>45330</v>
      </c>
      <c r="M106" s="8" t="str">
        <f t="shared" si="3"/>
        <v>Below Target</v>
      </c>
      <c r="N106" s="20">
        <f t="shared" si="4"/>
        <v>15</v>
      </c>
      <c r="O106" s="22">
        <f t="shared" si="5"/>
        <v>9350</v>
      </c>
    </row>
    <row r="107" spans="1:15" x14ac:dyDescent="0.3">
      <c r="A107" s="12" t="s">
        <v>221</v>
      </c>
      <c r="B107" s="12" t="s">
        <v>222</v>
      </c>
      <c r="C107" s="12" t="s">
        <v>44</v>
      </c>
      <c r="D107" s="12" t="s">
        <v>45</v>
      </c>
      <c r="E107" s="12" t="s">
        <v>46</v>
      </c>
      <c r="F107" s="12" t="s">
        <v>25</v>
      </c>
      <c r="G107" s="12" t="s">
        <v>36</v>
      </c>
      <c r="H107" s="12">
        <v>11734</v>
      </c>
      <c r="I107" s="12" t="s">
        <v>33</v>
      </c>
      <c r="J107" s="26">
        <v>0.3</v>
      </c>
      <c r="K107" s="12">
        <v>13000</v>
      </c>
      <c r="L107" s="14">
        <v>45292</v>
      </c>
      <c r="M107" s="8" t="str">
        <f t="shared" si="3"/>
        <v>Below Target</v>
      </c>
      <c r="N107" s="20">
        <f t="shared" si="4"/>
        <v>30</v>
      </c>
      <c r="O107" s="22">
        <f t="shared" si="5"/>
        <v>8213.7999999999993</v>
      </c>
    </row>
    <row r="108" spans="1:15" x14ac:dyDescent="0.3">
      <c r="A108" s="12" t="s">
        <v>223</v>
      </c>
      <c r="B108" s="12" t="s">
        <v>103</v>
      </c>
      <c r="C108" s="12" t="s">
        <v>44</v>
      </c>
      <c r="D108" s="12" t="s">
        <v>45</v>
      </c>
      <c r="E108" s="12" t="s">
        <v>46</v>
      </c>
      <c r="F108" s="12" t="s">
        <v>25</v>
      </c>
      <c r="G108" s="12" t="s">
        <v>18</v>
      </c>
      <c r="H108" s="12">
        <v>13266</v>
      </c>
      <c r="I108" s="12" t="s">
        <v>33</v>
      </c>
      <c r="J108" s="26">
        <v>0.3</v>
      </c>
      <c r="K108" s="12">
        <v>13000</v>
      </c>
      <c r="L108" s="14">
        <v>45336</v>
      </c>
      <c r="M108" s="8" t="str">
        <f t="shared" si="3"/>
        <v>Below Target</v>
      </c>
      <c r="N108" s="20">
        <f t="shared" si="4"/>
        <v>30</v>
      </c>
      <c r="O108" s="22">
        <f t="shared" si="5"/>
        <v>9286.2000000000007</v>
      </c>
    </row>
    <row r="109" spans="1:15" x14ac:dyDescent="0.3">
      <c r="A109" s="12" t="s">
        <v>224</v>
      </c>
      <c r="B109" s="12" t="s">
        <v>113</v>
      </c>
      <c r="C109" s="12" t="s">
        <v>61</v>
      </c>
      <c r="D109" s="12" t="s">
        <v>62</v>
      </c>
      <c r="E109" s="12" t="s">
        <v>32</v>
      </c>
      <c r="F109" s="12" t="s">
        <v>25</v>
      </c>
      <c r="G109" s="12" t="s">
        <v>26</v>
      </c>
      <c r="H109" s="12">
        <v>8164</v>
      </c>
      <c r="I109" s="12"/>
      <c r="J109" s="26"/>
      <c r="K109" s="12">
        <v>9000</v>
      </c>
      <c r="L109" s="14">
        <v>45322</v>
      </c>
      <c r="M109" s="8" t="str">
        <f t="shared" si="3"/>
        <v>Target Achieved</v>
      </c>
      <c r="N109" s="20">
        <f t="shared" si="4"/>
        <v>0</v>
      </c>
      <c r="O109" s="22">
        <f t="shared" si="5"/>
        <v>8164</v>
      </c>
    </row>
    <row r="110" spans="1:15" x14ac:dyDescent="0.3">
      <c r="A110" s="12" t="s">
        <v>225</v>
      </c>
      <c r="B110" s="12" t="s">
        <v>188</v>
      </c>
      <c r="C110" s="12" t="s">
        <v>44</v>
      </c>
      <c r="D110" s="12" t="s">
        <v>45</v>
      </c>
      <c r="E110" s="12" t="s">
        <v>32</v>
      </c>
      <c r="F110" s="12" t="s">
        <v>17</v>
      </c>
      <c r="G110" s="12" t="s">
        <v>36</v>
      </c>
      <c r="H110" s="12">
        <v>11467</v>
      </c>
      <c r="I110" s="12" t="s">
        <v>22</v>
      </c>
      <c r="J110" s="26">
        <v>0.1</v>
      </c>
      <c r="K110" s="12">
        <v>13000</v>
      </c>
      <c r="L110" s="14">
        <v>45317</v>
      </c>
      <c r="M110" s="8" t="str">
        <f t="shared" si="3"/>
        <v>Below Target</v>
      </c>
      <c r="N110" s="20">
        <f t="shared" si="4"/>
        <v>10</v>
      </c>
      <c r="O110" s="22">
        <f t="shared" si="5"/>
        <v>10320.299999999999</v>
      </c>
    </row>
    <row r="111" spans="1:15" x14ac:dyDescent="0.3">
      <c r="A111" s="12" t="s">
        <v>226</v>
      </c>
      <c r="B111" s="12" t="s">
        <v>227</v>
      </c>
      <c r="C111" s="12" t="s">
        <v>14</v>
      </c>
      <c r="D111" s="12" t="s">
        <v>15</v>
      </c>
      <c r="E111" s="12" t="s">
        <v>32</v>
      </c>
      <c r="F111" s="12" t="s">
        <v>25</v>
      </c>
      <c r="G111" s="12" t="s">
        <v>26</v>
      </c>
      <c r="H111" s="12">
        <v>15887</v>
      </c>
      <c r="I111" s="12" t="s">
        <v>33</v>
      </c>
      <c r="J111" s="26">
        <v>0.3</v>
      </c>
      <c r="K111" s="12">
        <v>14000</v>
      </c>
      <c r="L111" s="14">
        <v>45297</v>
      </c>
      <c r="M111" s="8" t="str">
        <f t="shared" si="3"/>
        <v>Below Target</v>
      </c>
      <c r="N111" s="20">
        <f t="shared" si="4"/>
        <v>30</v>
      </c>
      <c r="O111" s="22">
        <f t="shared" si="5"/>
        <v>11120.9</v>
      </c>
    </row>
    <row r="112" spans="1:15" x14ac:dyDescent="0.3">
      <c r="A112" s="12" t="s">
        <v>228</v>
      </c>
      <c r="B112" s="12" t="s">
        <v>229</v>
      </c>
      <c r="C112" s="12" t="s">
        <v>61</v>
      </c>
      <c r="D112" s="12" t="s">
        <v>62</v>
      </c>
      <c r="E112" s="12" t="s">
        <v>16</v>
      </c>
      <c r="F112" s="12" t="s">
        <v>39</v>
      </c>
      <c r="G112" s="12" t="s">
        <v>26</v>
      </c>
      <c r="H112" s="12">
        <v>7924</v>
      </c>
      <c r="I112" s="12" t="s">
        <v>27</v>
      </c>
      <c r="J112" s="26"/>
      <c r="K112" s="12">
        <v>9000</v>
      </c>
      <c r="L112" s="14">
        <v>45316</v>
      </c>
      <c r="M112" s="8" t="str">
        <f t="shared" si="3"/>
        <v>Below Target</v>
      </c>
      <c r="N112" s="20">
        <f t="shared" si="4"/>
        <v>15</v>
      </c>
      <c r="O112" s="22">
        <f t="shared" si="5"/>
        <v>6735.4</v>
      </c>
    </row>
    <row r="113" spans="1:15" x14ac:dyDescent="0.3">
      <c r="A113" s="12" t="s">
        <v>230</v>
      </c>
      <c r="B113" s="12" t="s">
        <v>231</v>
      </c>
      <c r="C113" s="12" t="s">
        <v>30</v>
      </c>
      <c r="D113" s="12" t="s">
        <v>31</v>
      </c>
      <c r="E113" s="12" t="s">
        <v>16</v>
      </c>
      <c r="F113" s="12" t="s">
        <v>17</v>
      </c>
      <c r="G113" s="12" t="s">
        <v>36</v>
      </c>
      <c r="H113" s="12">
        <v>17329</v>
      </c>
      <c r="I113" s="12" t="s">
        <v>27</v>
      </c>
      <c r="J113" s="26"/>
      <c r="K113" s="12">
        <v>17000</v>
      </c>
      <c r="L113" s="14">
        <v>45295</v>
      </c>
      <c r="M113" s="8" t="str">
        <f t="shared" si="3"/>
        <v>Below Target</v>
      </c>
      <c r="N113" s="20">
        <f t="shared" si="4"/>
        <v>15</v>
      </c>
      <c r="O113" s="22">
        <f t="shared" si="5"/>
        <v>14729.65</v>
      </c>
    </row>
    <row r="114" spans="1:15" x14ac:dyDescent="0.3">
      <c r="A114" s="12" t="s">
        <v>232</v>
      </c>
      <c r="B114" s="12" t="s">
        <v>233</v>
      </c>
      <c r="C114" s="12" t="s">
        <v>14</v>
      </c>
      <c r="D114" s="12" t="s">
        <v>15</v>
      </c>
      <c r="E114" s="12" t="s">
        <v>32</v>
      </c>
      <c r="F114" s="12" t="s">
        <v>39</v>
      </c>
      <c r="G114" s="12" t="s">
        <v>18</v>
      </c>
      <c r="H114" s="12">
        <v>13083</v>
      </c>
      <c r="I114" s="12" t="s">
        <v>22</v>
      </c>
      <c r="J114" s="26">
        <v>0.1</v>
      </c>
      <c r="K114" s="12">
        <v>14000</v>
      </c>
      <c r="L114" s="14">
        <v>45302</v>
      </c>
      <c r="M114" s="8" t="str">
        <f t="shared" si="3"/>
        <v>Below Target</v>
      </c>
      <c r="N114" s="20">
        <f t="shared" si="4"/>
        <v>10</v>
      </c>
      <c r="O114" s="22">
        <f t="shared" si="5"/>
        <v>11774.7</v>
      </c>
    </row>
    <row r="115" spans="1:15" x14ac:dyDescent="0.3">
      <c r="A115" s="12" t="s">
        <v>234</v>
      </c>
      <c r="B115" s="12" t="s">
        <v>235</v>
      </c>
      <c r="C115" s="12" t="s">
        <v>14</v>
      </c>
      <c r="D115" s="12" t="s">
        <v>15</v>
      </c>
      <c r="E115" s="12" t="s">
        <v>32</v>
      </c>
      <c r="F115" s="12" t="s">
        <v>25</v>
      </c>
      <c r="G115" s="12" t="s">
        <v>36</v>
      </c>
      <c r="H115" s="12">
        <v>13845</v>
      </c>
      <c r="I115" s="12" t="s">
        <v>27</v>
      </c>
      <c r="J115" s="26"/>
      <c r="K115" s="12">
        <v>14000</v>
      </c>
      <c r="L115" s="14">
        <v>45322</v>
      </c>
      <c r="M115" s="8" t="str">
        <f t="shared" si="3"/>
        <v>Below Target</v>
      </c>
      <c r="N115" s="20">
        <f t="shared" si="4"/>
        <v>15</v>
      </c>
      <c r="O115" s="22">
        <f t="shared" si="5"/>
        <v>11768.25</v>
      </c>
    </row>
    <row r="116" spans="1:15" x14ac:dyDescent="0.3">
      <c r="A116" s="12" t="s">
        <v>236</v>
      </c>
      <c r="B116" s="12" t="s">
        <v>237</v>
      </c>
      <c r="C116" s="12" t="s">
        <v>44</v>
      </c>
      <c r="D116" s="12" t="s">
        <v>45</v>
      </c>
      <c r="E116" s="12" t="s">
        <v>46</v>
      </c>
      <c r="F116" s="12" t="s">
        <v>39</v>
      </c>
      <c r="G116" s="12" t="s">
        <v>36</v>
      </c>
      <c r="H116" s="12">
        <v>13879</v>
      </c>
      <c r="I116" s="12"/>
      <c r="J116" s="26"/>
      <c r="K116" s="12">
        <v>13000</v>
      </c>
      <c r="L116" s="14">
        <v>45296</v>
      </c>
      <c r="M116" s="8" t="str">
        <f t="shared" si="3"/>
        <v>Target Achieved</v>
      </c>
      <c r="N116" s="20">
        <f t="shared" si="4"/>
        <v>0</v>
      </c>
      <c r="O116" s="22">
        <f t="shared" si="5"/>
        <v>13879</v>
      </c>
    </row>
    <row r="117" spans="1:15" x14ac:dyDescent="0.3">
      <c r="A117" s="12" t="s">
        <v>238</v>
      </c>
      <c r="B117" s="12" t="s">
        <v>239</v>
      </c>
      <c r="C117" s="12" t="s">
        <v>30</v>
      </c>
      <c r="D117" s="12" t="s">
        <v>31</v>
      </c>
      <c r="E117" s="12" t="s">
        <v>16</v>
      </c>
      <c r="F117" s="12" t="s">
        <v>39</v>
      </c>
      <c r="G117" s="12" t="s">
        <v>26</v>
      </c>
      <c r="H117" s="12">
        <v>18292</v>
      </c>
      <c r="I117" s="12" t="s">
        <v>19</v>
      </c>
      <c r="J117" s="26">
        <v>0.2</v>
      </c>
      <c r="K117" s="12">
        <v>17000</v>
      </c>
      <c r="L117" s="14">
        <v>45319</v>
      </c>
      <c r="M117" s="8" t="str">
        <f t="shared" si="3"/>
        <v>Below Target</v>
      </c>
      <c r="N117" s="20">
        <f t="shared" si="4"/>
        <v>20</v>
      </c>
      <c r="O117" s="22">
        <f t="shared" si="5"/>
        <v>14633.6</v>
      </c>
    </row>
    <row r="118" spans="1:15" x14ac:dyDescent="0.3">
      <c r="A118" s="12" t="s">
        <v>240</v>
      </c>
      <c r="B118" s="12" t="s">
        <v>241</v>
      </c>
      <c r="C118" s="12" t="s">
        <v>44</v>
      </c>
      <c r="D118" s="12" t="s">
        <v>45</v>
      </c>
      <c r="E118" s="12" t="s">
        <v>16</v>
      </c>
      <c r="F118" s="12" t="s">
        <v>25</v>
      </c>
      <c r="G118" s="12" t="s">
        <v>36</v>
      </c>
      <c r="H118" s="12">
        <v>14385</v>
      </c>
      <c r="I118" s="12" t="s">
        <v>19</v>
      </c>
      <c r="J118" s="26">
        <v>0.2</v>
      </c>
      <c r="K118" s="12">
        <v>13000</v>
      </c>
      <c r="L118" s="14">
        <v>45296</v>
      </c>
      <c r="M118" s="8" t="str">
        <f t="shared" si="3"/>
        <v>Below Target</v>
      </c>
      <c r="N118" s="20">
        <f t="shared" si="4"/>
        <v>20</v>
      </c>
      <c r="O118" s="22">
        <f t="shared" si="5"/>
        <v>11508</v>
      </c>
    </row>
    <row r="119" spans="1:15" x14ac:dyDescent="0.3">
      <c r="A119" s="12" t="s">
        <v>242</v>
      </c>
      <c r="B119" s="12" t="s">
        <v>243</v>
      </c>
      <c r="C119" s="12" t="s">
        <v>30</v>
      </c>
      <c r="D119" s="12" t="s">
        <v>31</v>
      </c>
      <c r="E119" s="12" t="s">
        <v>16</v>
      </c>
      <c r="F119" s="12" t="s">
        <v>39</v>
      </c>
      <c r="G119" s="12" t="s">
        <v>26</v>
      </c>
      <c r="H119" s="12">
        <v>18773</v>
      </c>
      <c r="I119" s="12" t="s">
        <v>33</v>
      </c>
      <c r="J119" s="26">
        <v>0.3</v>
      </c>
      <c r="K119" s="12">
        <v>17000</v>
      </c>
      <c r="L119" s="14">
        <v>45320</v>
      </c>
      <c r="M119" s="8" t="str">
        <f t="shared" si="3"/>
        <v>Below Target</v>
      </c>
      <c r="N119" s="20">
        <f t="shared" si="4"/>
        <v>30</v>
      </c>
      <c r="O119" s="22">
        <f t="shared" si="5"/>
        <v>13141.1</v>
      </c>
    </row>
    <row r="120" spans="1:15" x14ac:dyDescent="0.3">
      <c r="A120" s="12" t="s">
        <v>244</v>
      </c>
      <c r="B120" s="12" t="s">
        <v>245</v>
      </c>
      <c r="C120" s="12" t="s">
        <v>30</v>
      </c>
      <c r="D120" s="12" t="s">
        <v>31</v>
      </c>
      <c r="E120" s="12" t="s">
        <v>16</v>
      </c>
      <c r="F120" s="12" t="s">
        <v>17</v>
      </c>
      <c r="G120" s="12" t="s">
        <v>36</v>
      </c>
      <c r="H120" s="12">
        <v>17049</v>
      </c>
      <c r="I120" s="12" t="s">
        <v>27</v>
      </c>
      <c r="J120" s="26"/>
      <c r="K120" s="12">
        <v>17000</v>
      </c>
      <c r="L120" s="14">
        <v>45323</v>
      </c>
      <c r="M120" s="8" t="str">
        <f t="shared" si="3"/>
        <v>Below Target</v>
      </c>
      <c r="N120" s="20">
        <f t="shared" si="4"/>
        <v>15</v>
      </c>
      <c r="O120" s="22">
        <f t="shared" si="5"/>
        <v>14491.65</v>
      </c>
    </row>
    <row r="121" spans="1:15" x14ac:dyDescent="0.3">
      <c r="A121" s="12" t="s">
        <v>246</v>
      </c>
      <c r="B121" s="12" t="s">
        <v>227</v>
      </c>
      <c r="C121" s="12" t="s">
        <v>14</v>
      </c>
      <c r="D121" s="12" t="s">
        <v>15</v>
      </c>
      <c r="E121" s="12" t="s">
        <v>46</v>
      </c>
      <c r="F121" s="12" t="s">
        <v>39</v>
      </c>
      <c r="G121" s="12" t="s">
        <v>36</v>
      </c>
      <c r="H121" s="12">
        <v>14472</v>
      </c>
      <c r="I121" s="12" t="s">
        <v>33</v>
      </c>
      <c r="J121" s="26">
        <v>0.3</v>
      </c>
      <c r="K121" s="12">
        <v>14000</v>
      </c>
      <c r="L121" s="14">
        <v>45293</v>
      </c>
      <c r="M121" s="8" t="str">
        <f t="shared" si="3"/>
        <v>Below Target</v>
      </c>
      <c r="N121" s="20">
        <f t="shared" si="4"/>
        <v>30</v>
      </c>
      <c r="O121" s="22">
        <f t="shared" si="5"/>
        <v>10130.4</v>
      </c>
    </row>
    <row r="122" spans="1:15" x14ac:dyDescent="0.3">
      <c r="A122" s="12" t="s">
        <v>247</v>
      </c>
      <c r="B122" s="12" t="s">
        <v>248</v>
      </c>
      <c r="C122" s="12" t="s">
        <v>14</v>
      </c>
      <c r="D122" s="12" t="s">
        <v>15</v>
      </c>
      <c r="E122" s="12" t="s">
        <v>16</v>
      </c>
      <c r="F122" s="12" t="s">
        <v>17</v>
      </c>
      <c r="G122" s="12" t="s">
        <v>26</v>
      </c>
      <c r="H122" s="12">
        <v>12164</v>
      </c>
      <c r="I122" s="12" t="s">
        <v>19</v>
      </c>
      <c r="J122" s="26">
        <v>0.2</v>
      </c>
      <c r="K122" s="12">
        <v>14000</v>
      </c>
      <c r="L122" s="14">
        <v>45322</v>
      </c>
      <c r="M122" s="8" t="str">
        <f t="shared" si="3"/>
        <v>Below Target</v>
      </c>
      <c r="N122" s="20">
        <f t="shared" si="4"/>
        <v>20</v>
      </c>
      <c r="O122" s="22">
        <f t="shared" si="5"/>
        <v>9731.2000000000007</v>
      </c>
    </row>
    <row r="123" spans="1:15" x14ac:dyDescent="0.3">
      <c r="A123" s="12" t="s">
        <v>249</v>
      </c>
      <c r="B123" s="12" t="s">
        <v>202</v>
      </c>
      <c r="C123" s="12" t="s">
        <v>61</v>
      </c>
      <c r="D123" s="12" t="s">
        <v>62</v>
      </c>
      <c r="E123" s="12" t="s">
        <v>46</v>
      </c>
      <c r="F123" s="12" t="s">
        <v>25</v>
      </c>
      <c r="G123" s="12" t="s">
        <v>26</v>
      </c>
      <c r="H123" s="12">
        <v>8785</v>
      </c>
      <c r="I123" s="12"/>
      <c r="J123" s="26"/>
      <c r="K123" s="12">
        <v>9000</v>
      </c>
      <c r="L123" s="14">
        <v>45297</v>
      </c>
      <c r="M123" s="8" t="str">
        <f t="shared" si="3"/>
        <v>Target Achieved</v>
      </c>
      <c r="N123" s="20">
        <f t="shared" si="4"/>
        <v>0</v>
      </c>
      <c r="O123" s="22">
        <f t="shared" si="5"/>
        <v>8785</v>
      </c>
    </row>
    <row r="124" spans="1:15" x14ac:dyDescent="0.3">
      <c r="A124" s="12" t="s">
        <v>250</v>
      </c>
      <c r="B124" s="12" t="s">
        <v>188</v>
      </c>
      <c r="C124" s="12" t="s">
        <v>61</v>
      </c>
      <c r="D124" s="12" t="s">
        <v>62</v>
      </c>
      <c r="E124" s="12" t="s">
        <v>46</v>
      </c>
      <c r="F124" s="12" t="s">
        <v>17</v>
      </c>
      <c r="G124" s="12" t="s">
        <v>26</v>
      </c>
      <c r="H124" s="12">
        <v>7428</v>
      </c>
      <c r="I124" s="12" t="s">
        <v>19</v>
      </c>
      <c r="J124" s="26">
        <v>0.2</v>
      </c>
      <c r="K124" s="12">
        <v>9000</v>
      </c>
      <c r="L124" s="14">
        <v>45313</v>
      </c>
      <c r="M124" s="8" t="str">
        <f t="shared" si="3"/>
        <v>Below Target</v>
      </c>
      <c r="N124" s="20">
        <f t="shared" si="4"/>
        <v>20</v>
      </c>
      <c r="O124" s="22">
        <f t="shared" si="5"/>
        <v>5942.4</v>
      </c>
    </row>
    <row r="125" spans="1:15" x14ac:dyDescent="0.3">
      <c r="A125" s="12" t="s">
        <v>251</v>
      </c>
      <c r="B125" s="12" t="s">
        <v>101</v>
      </c>
      <c r="C125" s="12" t="s">
        <v>61</v>
      </c>
      <c r="D125" s="12" t="s">
        <v>62</v>
      </c>
      <c r="E125" s="12" t="s">
        <v>46</v>
      </c>
      <c r="F125" s="12" t="s">
        <v>39</v>
      </c>
      <c r="G125" s="12" t="s">
        <v>36</v>
      </c>
      <c r="H125" s="12">
        <v>10332</v>
      </c>
      <c r="I125" s="12" t="s">
        <v>27</v>
      </c>
      <c r="J125" s="26"/>
      <c r="K125" s="12">
        <v>9000</v>
      </c>
      <c r="L125" s="14">
        <v>45294</v>
      </c>
      <c r="M125" s="8" t="str">
        <f t="shared" si="3"/>
        <v>Below Target</v>
      </c>
      <c r="N125" s="20">
        <f t="shared" si="4"/>
        <v>15</v>
      </c>
      <c r="O125" s="22">
        <f t="shared" si="5"/>
        <v>8782.2000000000007</v>
      </c>
    </row>
    <row r="126" spans="1:15" x14ac:dyDescent="0.3">
      <c r="A126" s="12" t="s">
        <v>252</v>
      </c>
      <c r="B126" s="12" t="s">
        <v>227</v>
      </c>
      <c r="C126" s="12" t="s">
        <v>30</v>
      </c>
      <c r="D126" s="12" t="s">
        <v>31</v>
      </c>
      <c r="E126" s="12" t="s">
        <v>46</v>
      </c>
      <c r="F126" s="12" t="s">
        <v>17</v>
      </c>
      <c r="G126" s="12" t="s">
        <v>18</v>
      </c>
      <c r="H126" s="12">
        <v>18973</v>
      </c>
      <c r="I126" s="12"/>
      <c r="J126" s="26"/>
      <c r="K126" s="12">
        <v>17000</v>
      </c>
      <c r="L126" s="14">
        <v>45347</v>
      </c>
      <c r="M126" s="8" t="str">
        <f t="shared" si="3"/>
        <v>Target Achieved</v>
      </c>
      <c r="N126" s="20">
        <f t="shared" si="4"/>
        <v>0</v>
      </c>
      <c r="O126" s="22">
        <f t="shared" si="5"/>
        <v>18973</v>
      </c>
    </row>
    <row r="127" spans="1:15" x14ac:dyDescent="0.3">
      <c r="A127" s="12" t="s">
        <v>253</v>
      </c>
      <c r="B127" s="12" t="s">
        <v>105</v>
      </c>
      <c r="C127" s="12" t="s">
        <v>14</v>
      </c>
      <c r="D127" s="12" t="s">
        <v>15</v>
      </c>
      <c r="E127" s="12" t="s">
        <v>16</v>
      </c>
      <c r="F127" s="12" t="s">
        <v>39</v>
      </c>
      <c r="G127" s="12" t="s">
        <v>36</v>
      </c>
      <c r="H127" s="12">
        <v>13692</v>
      </c>
      <c r="I127" s="12" t="s">
        <v>22</v>
      </c>
      <c r="J127" s="26">
        <v>0.1</v>
      </c>
      <c r="K127" s="12">
        <v>14000</v>
      </c>
      <c r="L127" s="14">
        <v>45304</v>
      </c>
      <c r="M127" s="8" t="str">
        <f t="shared" si="3"/>
        <v>Below Target</v>
      </c>
      <c r="N127" s="20">
        <f t="shared" si="4"/>
        <v>10</v>
      </c>
      <c r="O127" s="22">
        <f t="shared" si="5"/>
        <v>12322.8</v>
      </c>
    </row>
    <row r="128" spans="1:15" x14ac:dyDescent="0.3">
      <c r="A128" s="12" t="s">
        <v>254</v>
      </c>
      <c r="B128" s="12" t="s">
        <v>217</v>
      </c>
      <c r="C128" s="12" t="s">
        <v>61</v>
      </c>
      <c r="D128" s="12" t="s">
        <v>62</v>
      </c>
      <c r="E128" s="12" t="s">
        <v>16</v>
      </c>
      <c r="F128" s="12" t="s">
        <v>17</v>
      </c>
      <c r="G128" s="12" t="s">
        <v>18</v>
      </c>
      <c r="H128" s="12">
        <v>7833</v>
      </c>
      <c r="I128" s="12" t="s">
        <v>33</v>
      </c>
      <c r="J128" s="26">
        <v>0.3</v>
      </c>
      <c r="K128" s="12">
        <v>9000</v>
      </c>
      <c r="L128" s="14">
        <v>45327</v>
      </c>
      <c r="M128" s="8" t="str">
        <f t="shared" si="3"/>
        <v>Below Target</v>
      </c>
      <c r="N128" s="20">
        <f t="shared" si="4"/>
        <v>30</v>
      </c>
      <c r="O128" s="22">
        <f t="shared" si="5"/>
        <v>5483.1</v>
      </c>
    </row>
    <row r="129" spans="1:15" x14ac:dyDescent="0.3">
      <c r="A129" s="12" t="s">
        <v>255</v>
      </c>
      <c r="B129" s="12" t="s">
        <v>256</v>
      </c>
      <c r="C129" s="12" t="s">
        <v>61</v>
      </c>
      <c r="D129" s="12" t="s">
        <v>62</v>
      </c>
      <c r="E129" s="12" t="s">
        <v>16</v>
      </c>
      <c r="F129" s="12" t="s">
        <v>17</v>
      </c>
      <c r="G129" s="12" t="s">
        <v>18</v>
      </c>
      <c r="H129" s="12">
        <v>7118</v>
      </c>
      <c r="I129" s="12" t="s">
        <v>27</v>
      </c>
      <c r="J129" s="26"/>
      <c r="K129" s="12">
        <v>9000</v>
      </c>
      <c r="L129" s="14">
        <v>45343</v>
      </c>
      <c r="M129" s="8" t="str">
        <f t="shared" si="3"/>
        <v>Below Target</v>
      </c>
      <c r="N129" s="20">
        <f t="shared" si="4"/>
        <v>15</v>
      </c>
      <c r="O129" s="22">
        <f t="shared" si="5"/>
        <v>6050.3</v>
      </c>
    </row>
    <row r="130" spans="1:15" x14ac:dyDescent="0.3">
      <c r="A130" s="12" t="s">
        <v>257</v>
      </c>
      <c r="B130" s="12" t="s">
        <v>220</v>
      </c>
      <c r="C130" s="12" t="s">
        <v>44</v>
      </c>
      <c r="D130" s="12" t="s">
        <v>45</v>
      </c>
      <c r="E130" s="12" t="s">
        <v>46</v>
      </c>
      <c r="F130" s="12" t="s">
        <v>39</v>
      </c>
      <c r="G130" s="12" t="s">
        <v>18</v>
      </c>
      <c r="H130" s="12">
        <v>13262</v>
      </c>
      <c r="I130" s="12"/>
      <c r="J130" s="26"/>
      <c r="K130" s="12">
        <v>13000</v>
      </c>
      <c r="L130" s="14">
        <v>45297</v>
      </c>
      <c r="M130" s="8" t="str">
        <f t="shared" ref="M130:M193" si="6">IF(J130&gt;=N130,"Target Achieved","Below Target")</f>
        <v>Target Achieved</v>
      </c>
      <c r="N130" s="20">
        <f t="shared" si="4"/>
        <v>0</v>
      </c>
      <c r="O130" s="22">
        <f t="shared" si="5"/>
        <v>13262</v>
      </c>
    </row>
    <row r="131" spans="1:15" x14ac:dyDescent="0.3">
      <c r="A131" s="12" t="s">
        <v>258</v>
      </c>
      <c r="B131" s="12" t="s">
        <v>171</v>
      </c>
      <c r="C131" s="12" t="s">
        <v>14</v>
      </c>
      <c r="D131" s="12" t="s">
        <v>15</v>
      </c>
      <c r="E131" s="12" t="s">
        <v>46</v>
      </c>
      <c r="F131" s="12" t="s">
        <v>25</v>
      </c>
      <c r="G131" s="12" t="s">
        <v>26</v>
      </c>
      <c r="H131" s="12">
        <v>15408</v>
      </c>
      <c r="I131" s="12" t="s">
        <v>19</v>
      </c>
      <c r="J131" s="26">
        <v>0.2</v>
      </c>
      <c r="K131" s="12">
        <v>14000</v>
      </c>
      <c r="L131" s="14">
        <v>45323</v>
      </c>
      <c r="M131" s="8" t="str">
        <f t="shared" si="6"/>
        <v>Below Target</v>
      </c>
      <c r="N131" s="20">
        <f t="shared" ref="N131:N194" si="7">IFERROR(VALUE(RIGHT(I131,2)),0)</f>
        <v>20</v>
      </c>
      <c r="O131" s="22">
        <f t="shared" ref="O131:O194" si="8">H131-H131*N131/100</f>
        <v>12326.4</v>
      </c>
    </row>
    <row r="132" spans="1:15" x14ac:dyDescent="0.3">
      <c r="A132" s="12" t="s">
        <v>259</v>
      </c>
      <c r="B132" s="12" t="s">
        <v>260</v>
      </c>
      <c r="C132" s="12" t="s">
        <v>30</v>
      </c>
      <c r="D132" s="12" t="s">
        <v>31</v>
      </c>
      <c r="E132" s="12" t="s">
        <v>16</v>
      </c>
      <c r="F132" s="12" t="s">
        <v>39</v>
      </c>
      <c r="G132" s="12" t="s">
        <v>36</v>
      </c>
      <c r="H132" s="12">
        <v>16701</v>
      </c>
      <c r="I132" s="12"/>
      <c r="J132" s="26"/>
      <c r="K132" s="12">
        <v>17000</v>
      </c>
      <c r="L132" s="14">
        <v>45322</v>
      </c>
      <c r="M132" s="8" t="str">
        <f t="shared" si="6"/>
        <v>Target Achieved</v>
      </c>
      <c r="N132" s="20">
        <f t="shared" si="7"/>
        <v>0</v>
      </c>
      <c r="O132" s="22">
        <f t="shared" si="8"/>
        <v>16701</v>
      </c>
    </row>
    <row r="133" spans="1:15" x14ac:dyDescent="0.3">
      <c r="A133" s="12" t="s">
        <v>261</v>
      </c>
      <c r="B133" s="12" t="s">
        <v>29</v>
      </c>
      <c r="C133" s="12" t="s">
        <v>44</v>
      </c>
      <c r="D133" s="12" t="s">
        <v>45</v>
      </c>
      <c r="E133" s="12" t="s">
        <v>46</v>
      </c>
      <c r="F133" s="12" t="s">
        <v>25</v>
      </c>
      <c r="G133" s="12" t="s">
        <v>26</v>
      </c>
      <c r="H133" s="12">
        <v>13081</v>
      </c>
      <c r="I133" s="12" t="s">
        <v>19</v>
      </c>
      <c r="J133" s="26">
        <v>0.2</v>
      </c>
      <c r="K133" s="12">
        <v>13000</v>
      </c>
      <c r="L133" s="14">
        <v>45347</v>
      </c>
      <c r="M133" s="8" t="str">
        <f t="shared" si="6"/>
        <v>Below Target</v>
      </c>
      <c r="N133" s="20">
        <f t="shared" si="7"/>
        <v>20</v>
      </c>
      <c r="O133" s="22">
        <f t="shared" si="8"/>
        <v>10464.799999999999</v>
      </c>
    </row>
    <row r="134" spans="1:15" x14ac:dyDescent="0.3">
      <c r="A134" s="12" t="s">
        <v>262</v>
      </c>
      <c r="B134" s="12" t="s">
        <v>263</v>
      </c>
      <c r="C134" s="12" t="s">
        <v>61</v>
      </c>
      <c r="D134" s="12" t="s">
        <v>62</v>
      </c>
      <c r="E134" s="12" t="s">
        <v>46</v>
      </c>
      <c r="F134" s="12" t="s">
        <v>39</v>
      </c>
      <c r="G134" s="12" t="s">
        <v>36</v>
      </c>
      <c r="H134" s="12">
        <v>10360</v>
      </c>
      <c r="I134" s="12" t="s">
        <v>22</v>
      </c>
      <c r="J134" s="26">
        <v>0.1</v>
      </c>
      <c r="K134" s="12">
        <v>9000</v>
      </c>
      <c r="L134" s="14">
        <v>45310</v>
      </c>
      <c r="M134" s="8" t="str">
        <f t="shared" si="6"/>
        <v>Below Target</v>
      </c>
      <c r="N134" s="20">
        <f t="shared" si="7"/>
        <v>10</v>
      </c>
      <c r="O134" s="22">
        <f t="shared" si="8"/>
        <v>9324</v>
      </c>
    </row>
    <row r="135" spans="1:15" x14ac:dyDescent="0.3">
      <c r="A135" s="12" t="s">
        <v>264</v>
      </c>
      <c r="B135" s="12" t="s">
        <v>265</v>
      </c>
      <c r="C135" s="12" t="s">
        <v>61</v>
      </c>
      <c r="D135" s="12" t="s">
        <v>62</v>
      </c>
      <c r="E135" s="12" t="s">
        <v>32</v>
      </c>
      <c r="F135" s="12" t="s">
        <v>17</v>
      </c>
      <c r="G135" s="12" t="s">
        <v>26</v>
      </c>
      <c r="H135" s="12">
        <v>8983</v>
      </c>
      <c r="I135" s="12" t="s">
        <v>33</v>
      </c>
      <c r="J135" s="26">
        <v>0.3</v>
      </c>
      <c r="K135" s="12">
        <v>9000</v>
      </c>
      <c r="L135" s="14">
        <v>45313</v>
      </c>
      <c r="M135" s="8" t="str">
        <f t="shared" si="6"/>
        <v>Below Target</v>
      </c>
      <c r="N135" s="20">
        <f t="shared" si="7"/>
        <v>30</v>
      </c>
      <c r="O135" s="22">
        <f t="shared" si="8"/>
        <v>6288.1</v>
      </c>
    </row>
    <row r="136" spans="1:15" x14ac:dyDescent="0.3">
      <c r="A136" s="12" t="s">
        <v>266</v>
      </c>
      <c r="B136" s="12" t="s">
        <v>82</v>
      </c>
      <c r="C136" s="12" t="s">
        <v>61</v>
      </c>
      <c r="D136" s="12" t="s">
        <v>62</v>
      </c>
      <c r="E136" s="12" t="s">
        <v>46</v>
      </c>
      <c r="F136" s="12" t="s">
        <v>17</v>
      </c>
      <c r="G136" s="12" t="s">
        <v>18</v>
      </c>
      <c r="H136" s="12">
        <v>9856</v>
      </c>
      <c r="I136" s="12" t="s">
        <v>19</v>
      </c>
      <c r="J136" s="26">
        <v>0.2</v>
      </c>
      <c r="K136" s="12">
        <v>9000</v>
      </c>
      <c r="L136" s="14">
        <v>45328</v>
      </c>
      <c r="M136" s="8" t="str">
        <f t="shared" si="6"/>
        <v>Below Target</v>
      </c>
      <c r="N136" s="20">
        <f t="shared" si="7"/>
        <v>20</v>
      </c>
      <c r="O136" s="22">
        <f t="shared" si="8"/>
        <v>7884.8</v>
      </c>
    </row>
    <row r="137" spans="1:15" x14ac:dyDescent="0.3">
      <c r="A137" s="12" t="s">
        <v>267</v>
      </c>
      <c r="B137" s="12" t="s">
        <v>268</v>
      </c>
      <c r="C137" s="12" t="s">
        <v>61</v>
      </c>
      <c r="D137" s="12" t="s">
        <v>62</v>
      </c>
      <c r="E137" s="12" t="s">
        <v>32</v>
      </c>
      <c r="F137" s="12" t="s">
        <v>17</v>
      </c>
      <c r="G137" s="12" t="s">
        <v>26</v>
      </c>
      <c r="H137" s="12">
        <v>8937</v>
      </c>
      <c r="I137" s="12"/>
      <c r="J137" s="26"/>
      <c r="K137" s="12">
        <v>9000</v>
      </c>
      <c r="L137" s="14">
        <v>45316</v>
      </c>
      <c r="M137" s="8" t="str">
        <f t="shared" si="6"/>
        <v>Target Achieved</v>
      </c>
      <c r="N137" s="20">
        <f t="shared" si="7"/>
        <v>0</v>
      </c>
      <c r="O137" s="22">
        <f t="shared" si="8"/>
        <v>8937</v>
      </c>
    </row>
    <row r="138" spans="1:15" x14ac:dyDescent="0.3">
      <c r="A138" s="12" t="s">
        <v>269</v>
      </c>
      <c r="B138" s="12" t="s">
        <v>270</v>
      </c>
      <c r="C138" s="12" t="s">
        <v>44</v>
      </c>
      <c r="D138" s="12" t="s">
        <v>45</v>
      </c>
      <c r="E138" s="12" t="s">
        <v>46</v>
      </c>
      <c r="F138" s="12" t="s">
        <v>25</v>
      </c>
      <c r="G138" s="12" t="s">
        <v>18</v>
      </c>
      <c r="H138" s="12">
        <v>13057</v>
      </c>
      <c r="I138" s="12" t="s">
        <v>27</v>
      </c>
      <c r="J138" s="26"/>
      <c r="K138" s="12">
        <v>13000</v>
      </c>
      <c r="L138" s="14">
        <v>45313</v>
      </c>
      <c r="M138" s="8" t="str">
        <f t="shared" si="6"/>
        <v>Below Target</v>
      </c>
      <c r="N138" s="20">
        <f t="shared" si="7"/>
        <v>15</v>
      </c>
      <c r="O138" s="22">
        <f t="shared" si="8"/>
        <v>11098.45</v>
      </c>
    </row>
    <row r="139" spans="1:15" x14ac:dyDescent="0.3">
      <c r="A139" s="12" t="s">
        <v>271</v>
      </c>
      <c r="B139" s="12" t="s">
        <v>96</v>
      </c>
      <c r="C139" s="12" t="s">
        <v>61</v>
      </c>
      <c r="D139" s="12" t="s">
        <v>62</v>
      </c>
      <c r="E139" s="12" t="s">
        <v>32</v>
      </c>
      <c r="F139" s="12" t="s">
        <v>39</v>
      </c>
      <c r="G139" s="12" t="s">
        <v>36</v>
      </c>
      <c r="H139" s="12">
        <v>7062</v>
      </c>
      <c r="I139" s="12" t="s">
        <v>19</v>
      </c>
      <c r="J139" s="26">
        <v>0.2</v>
      </c>
      <c r="K139" s="12">
        <v>9000</v>
      </c>
      <c r="L139" s="14">
        <v>45318</v>
      </c>
      <c r="M139" s="8" t="str">
        <f t="shared" si="6"/>
        <v>Below Target</v>
      </c>
      <c r="N139" s="20">
        <f t="shared" si="7"/>
        <v>20</v>
      </c>
      <c r="O139" s="22">
        <f t="shared" si="8"/>
        <v>5649.6</v>
      </c>
    </row>
    <row r="140" spans="1:15" x14ac:dyDescent="0.3">
      <c r="A140" s="12" t="s">
        <v>272</v>
      </c>
      <c r="B140" s="12" t="s">
        <v>198</v>
      </c>
      <c r="C140" s="12" t="s">
        <v>44</v>
      </c>
      <c r="D140" s="12" t="s">
        <v>45</v>
      </c>
      <c r="E140" s="12" t="s">
        <v>32</v>
      </c>
      <c r="F140" s="12" t="s">
        <v>17</v>
      </c>
      <c r="G140" s="12" t="s">
        <v>36</v>
      </c>
      <c r="H140" s="12">
        <v>12386</v>
      </c>
      <c r="I140" s="12" t="s">
        <v>27</v>
      </c>
      <c r="J140" s="26"/>
      <c r="K140" s="12">
        <v>13000</v>
      </c>
      <c r="L140" s="14">
        <v>45336</v>
      </c>
      <c r="M140" s="8" t="str">
        <f t="shared" si="6"/>
        <v>Below Target</v>
      </c>
      <c r="N140" s="20">
        <f t="shared" si="7"/>
        <v>15</v>
      </c>
      <c r="O140" s="22">
        <f t="shared" si="8"/>
        <v>10528.1</v>
      </c>
    </row>
    <row r="141" spans="1:15" x14ac:dyDescent="0.3">
      <c r="A141" s="12" t="s">
        <v>273</v>
      </c>
      <c r="B141" s="12" t="s">
        <v>274</v>
      </c>
      <c r="C141" s="12" t="s">
        <v>14</v>
      </c>
      <c r="D141" s="12" t="s">
        <v>15</v>
      </c>
      <c r="E141" s="12" t="s">
        <v>46</v>
      </c>
      <c r="F141" s="12" t="s">
        <v>39</v>
      </c>
      <c r="G141" s="12" t="s">
        <v>26</v>
      </c>
      <c r="H141" s="12">
        <v>13556</v>
      </c>
      <c r="I141" s="12" t="s">
        <v>33</v>
      </c>
      <c r="J141" s="26">
        <v>0.3</v>
      </c>
      <c r="K141" s="12">
        <v>14000</v>
      </c>
      <c r="L141" s="14">
        <v>45332</v>
      </c>
      <c r="M141" s="8" t="str">
        <f t="shared" si="6"/>
        <v>Below Target</v>
      </c>
      <c r="N141" s="20">
        <f t="shared" si="7"/>
        <v>30</v>
      </c>
      <c r="O141" s="22">
        <f t="shared" si="8"/>
        <v>9489.2000000000007</v>
      </c>
    </row>
    <row r="142" spans="1:15" x14ac:dyDescent="0.3">
      <c r="A142" s="12" t="s">
        <v>275</v>
      </c>
      <c r="B142" s="12" t="s">
        <v>276</v>
      </c>
      <c r="C142" s="12" t="s">
        <v>61</v>
      </c>
      <c r="D142" s="12" t="s">
        <v>62</v>
      </c>
      <c r="E142" s="12" t="s">
        <v>16</v>
      </c>
      <c r="F142" s="12" t="s">
        <v>25</v>
      </c>
      <c r="G142" s="12" t="s">
        <v>26</v>
      </c>
      <c r="H142" s="12">
        <v>7280</v>
      </c>
      <c r="I142" s="12" t="s">
        <v>19</v>
      </c>
      <c r="J142" s="26">
        <v>0.2</v>
      </c>
      <c r="K142" s="12">
        <v>9000</v>
      </c>
      <c r="L142" s="14">
        <v>45332</v>
      </c>
      <c r="M142" s="8" t="str">
        <f t="shared" si="6"/>
        <v>Below Target</v>
      </c>
      <c r="N142" s="20">
        <f t="shared" si="7"/>
        <v>20</v>
      </c>
      <c r="O142" s="22">
        <f t="shared" si="8"/>
        <v>5824</v>
      </c>
    </row>
    <row r="143" spans="1:15" x14ac:dyDescent="0.3">
      <c r="A143" s="12" t="s">
        <v>277</v>
      </c>
      <c r="B143" s="12" t="s">
        <v>278</v>
      </c>
      <c r="C143" s="12" t="s">
        <v>44</v>
      </c>
      <c r="D143" s="12" t="s">
        <v>45</v>
      </c>
      <c r="E143" s="12" t="s">
        <v>16</v>
      </c>
      <c r="F143" s="12" t="s">
        <v>25</v>
      </c>
      <c r="G143" s="12" t="s">
        <v>36</v>
      </c>
      <c r="H143" s="12">
        <v>11403</v>
      </c>
      <c r="I143" s="12" t="s">
        <v>22</v>
      </c>
      <c r="J143" s="26">
        <v>0.1</v>
      </c>
      <c r="K143" s="12">
        <v>13000</v>
      </c>
      <c r="L143" s="14">
        <v>45320</v>
      </c>
      <c r="M143" s="8" t="str">
        <f t="shared" si="6"/>
        <v>Below Target</v>
      </c>
      <c r="N143" s="20">
        <f t="shared" si="7"/>
        <v>10</v>
      </c>
      <c r="O143" s="22">
        <f t="shared" si="8"/>
        <v>10262.700000000001</v>
      </c>
    </row>
    <row r="144" spans="1:15" x14ac:dyDescent="0.3">
      <c r="A144" s="12" t="s">
        <v>279</v>
      </c>
      <c r="B144" s="12" t="s">
        <v>280</v>
      </c>
      <c r="C144" s="12" t="s">
        <v>30</v>
      </c>
      <c r="D144" s="12" t="s">
        <v>31</v>
      </c>
      <c r="E144" s="12" t="s">
        <v>32</v>
      </c>
      <c r="F144" s="12" t="s">
        <v>25</v>
      </c>
      <c r="G144" s="12" t="s">
        <v>36</v>
      </c>
      <c r="H144" s="12">
        <v>18261</v>
      </c>
      <c r="I144" s="12" t="s">
        <v>22</v>
      </c>
      <c r="J144" s="26">
        <v>0.1</v>
      </c>
      <c r="K144" s="12">
        <v>17000</v>
      </c>
      <c r="L144" s="14">
        <v>45310</v>
      </c>
      <c r="M144" s="8" t="str">
        <f t="shared" si="6"/>
        <v>Below Target</v>
      </c>
      <c r="N144" s="20">
        <f t="shared" si="7"/>
        <v>10</v>
      </c>
      <c r="O144" s="22">
        <f t="shared" si="8"/>
        <v>16434.900000000001</v>
      </c>
    </row>
    <row r="145" spans="1:15" x14ac:dyDescent="0.3">
      <c r="A145" s="12" t="s">
        <v>281</v>
      </c>
      <c r="B145" s="12" t="s">
        <v>282</v>
      </c>
      <c r="C145" s="12" t="s">
        <v>61</v>
      </c>
      <c r="D145" s="12" t="s">
        <v>62</v>
      </c>
      <c r="E145" s="12" t="s">
        <v>32</v>
      </c>
      <c r="F145" s="12" t="s">
        <v>25</v>
      </c>
      <c r="G145" s="12" t="s">
        <v>26</v>
      </c>
      <c r="H145" s="12">
        <v>8687</v>
      </c>
      <c r="I145" s="12" t="s">
        <v>27</v>
      </c>
      <c r="J145" s="26"/>
      <c r="K145" s="12">
        <v>9000</v>
      </c>
      <c r="L145" s="14">
        <v>45335</v>
      </c>
      <c r="M145" s="8" t="str">
        <f t="shared" si="6"/>
        <v>Below Target</v>
      </c>
      <c r="N145" s="20">
        <f t="shared" si="7"/>
        <v>15</v>
      </c>
      <c r="O145" s="22">
        <f t="shared" si="8"/>
        <v>7383.95</v>
      </c>
    </row>
    <row r="146" spans="1:15" x14ac:dyDescent="0.3">
      <c r="A146" s="12" t="s">
        <v>283</v>
      </c>
      <c r="B146" s="12" t="s">
        <v>72</v>
      </c>
      <c r="C146" s="12" t="s">
        <v>44</v>
      </c>
      <c r="D146" s="12" t="s">
        <v>45</v>
      </c>
      <c r="E146" s="12" t="s">
        <v>32</v>
      </c>
      <c r="F146" s="12" t="s">
        <v>25</v>
      </c>
      <c r="G146" s="12" t="s">
        <v>26</v>
      </c>
      <c r="H146" s="12">
        <v>14566</v>
      </c>
      <c r="I146" s="12"/>
      <c r="J146" s="26"/>
      <c r="K146" s="12">
        <v>13000</v>
      </c>
      <c r="L146" s="14">
        <v>45331</v>
      </c>
      <c r="M146" s="8" t="str">
        <f t="shared" si="6"/>
        <v>Target Achieved</v>
      </c>
      <c r="N146" s="20">
        <f t="shared" si="7"/>
        <v>0</v>
      </c>
      <c r="O146" s="22">
        <f t="shared" si="8"/>
        <v>14566</v>
      </c>
    </row>
    <row r="147" spans="1:15" x14ac:dyDescent="0.3">
      <c r="A147" s="12" t="s">
        <v>284</v>
      </c>
      <c r="B147" s="12" t="s">
        <v>239</v>
      </c>
      <c r="C147" s="12" t="s">
        <v>61</v>
      </c>
      <c r="D147" s="12" t="s">
        <v>62</v>
      </c>
      <c r="E147" s="12" t="s">
        <v>16</v>
      </c>
      <c r="F147" s="12" t="s">
        <v>25</v>
      </c>
      <c r="G147" s="12" t="s">
        <v>18</v>
      </c>
      <c r="H147" s="12">
        <v>8888</v>
      </c>
      <c r="I147" s="12" t="s">
        <v>33</v>
      </c>
      <c r="J147" s="26">
        <v>0.3</v>
      </c>
      <c r="K147" s="12">
        <v>9000</v>
      </c>
      <c r="L147" s="14">
        <v>45321</v>
      </c>
      <c r="M147" s="8" t="str">
        <f t="shared" si="6"/>
        <v>Below Target</v>
      </c>
      <c r="N147" s="20">
        <f t="shared" si="7"/>
        <v>30</v>
      </c>
      <c r="O147" s="22">
        <f t="shared" si="8"/>
        <v>6221.6</v>
      </c>
    </row>
    <row r="148" spans="1:15" x14ac:dyDescent="0.3">
      <c r="A148" s="12" t="s">
        <v>285</v>
      </c>
      <c r="B148" s="12" t="s">
        <v>286</v>
      </c>
      <c r="C148" s="12" t="s">
        <v>14</v>
      </c>
      <c r="D148" s="12" t="s">
        <v>15</v>
      </c>
      <c r="E148" s="12" t="s">
        <v>46</v>
      </c>
      <c r="F148" s="12" t="s">
        <v>17</v>
      </c>
      <c r="G148" s="12" t="s">
        <v>26</v>
      </c>
      <c r="H148" s="12">
        <v>14238</v>
      </c>
      <c r="I148" s="12" t="s">
        <v>19</v>
      </c>
      <c r="J148" s="26">
        <v>0.2</v>
      </c>
      <c r="K148" s="12">
        <v>14000</v>
      </c>
      <c r="L148" s="14">
        <v>45296</v>
      </c>
      <c r="M148" s="8" t="str">
        <f t="shared" si="6"/>
        <v>Below Target</v>
      </c>
      <c r="N148" s="20">
        <f t="shared" si="7"/>
        <v>20</v>
      </c>
      <c r="O148" s="22">
        <f t="shared" si="8"/>
        <v>11390.4</v>
      </c>
    </row>
    <row r="149" spans="1:15" x14ac:dyDescent="0.3">
      <c r="A149" s="12" t="s">
        <v>287</v>
      </c>
      <c r="B149" s="12" t="s">
        <v>188</v>
      </c>
      <c r="C149" s="12" t="s">
        <v>30</v>
      </c>
      <c r="D149" s="12" t="s">
        <v>31</v>
      </c>
      <c r="E149" s="12" t="s">
        <v>16</v>
      </c>
      <c r="F149" s="12" t="s">
        <v>17</v>
      </c>
      <c r="G149" s="12" t="s">
        <v>26</v>
      </c>
      <c r="H149" s="12">
        <v>16024</v>
      </c>
      <c r="I149" s="12"/>
      <c r="J149" s="26"/>
      <c r="K149" s="12">
        <v>17000</v>
      </c>
      <c r="L149" s="14">
        <v>45346</v>
      </c>
      <c r="M149" s="8" t="str">
        <f t="shared" si="6"/>
        <v>Target Achieved</v>
      </c>
      <c r="N149" s="20">
        <f t="shared" si="7"/>
        <v>0</v>
      </c>
      <c r="O149" s="22">
        <f t="shared" si="8"/>
        <v>16024</v>
      </c>
    </row>
    <row r="150" spans="1:15" x14ac:dyDescent="0.3">
      <c r="A150" s="12" t="s">
        <v>288</v>
      </c>
      <c r="B150" s="12" t="s">
        <v>289</v>
      </c>
      <c r="C150" s="12" t="s">
        <v>61</v>
      </c>
      <c r="D150" s="12" t="s">
        <v>62</v>
      </c>
      <c r="E150" s="12" t="s">
        <v>46</v>
      </c>
      <c r="F150" s="12" t="s">
        <v>25</v>
      </c>
      <c r="G150" s="12" t="s">
        <v>18</v>
      </c>
      <c r="H150" s="12">
        <v>8562</v>
      </c>
      <c r="I150" s="12" t="s">
        <v>27</v>
      </c>
      <c r="J150" s="26"/>
      <c r="K150" s="12">
        <v>9000</v>
      </c>
      <c r="L150" s="14">
        <v>45314</v>
      </c>
      <c r="M150" s="8" t="str">
        <f t="shared" si="6"/>
        <v>Below Target</v>
      </c>
      <c r="N150" s="20">
        <f t="shared" si="7"/>
        <v>15</v>
      </c>
      <c r="O150" s="22">
        <f t="shared" si="8"/>
        <v>7277.7</v>
      </c>
    </row>
    <row r="151" spans="1:15" x14ac:dyDescent="0.3">
      <c r="A151" s="12" t="s">
        <v>290</v>
      </c>
      <c r="B151" s="12" t="s">
        <v>291</v>
      </c>
      <c r="C151" s="12" t="s">
        <v>30</v>
      </c>
      <c r="D151" s="12" t="s">
        <v>31</v>
      </c>
      <c r="E151" s="12" t="s">
        <v>32</v>
      </c>
      <c r="F151" s="12" t="s">
        <v>39</v>
      </c>
      <c r="G151" s="12" t="s">
        <v>36</v>
      </c>
      <c r="H151" s="12">
        <v>16124</v>
      </c>
      <c r="I151" s="12" t="s">
        <v>22</v>
      </c>
      <c r="J151" s="26">
        <v>0.1</v>
      </c>
      <c r="K151" s="12">
        <v>17000</v>
      </c>
      <c r="L151" s="14">
        <v>45328</v>
      </c>
      <c r="M151" s="8" t="str">
        <f t="shared" si="6"/>
        <v>Below Target</v>
      </c>
      <c r="N151" s="20">
        <f t="shared" si="7"/>
        <v>10</v>
      </c>
      <c r="O151" s="22">
        <f t="shared" si="8"/>
        <v>14511.6</v>
      </c>
    </row>
    <row r="152" spans="1:15" x14ac:dyDescent="0.3">
      <c r="A152" s="12" t="s">
        <v>292</v>
      </c>
      <c r="B152" s="12" t="s">
        <v>198</v>
      </c>
      <c r="C152" s="12" t="s">
        <v>14</v>
      </c>
      <c r="D152" s="12" t="s">
        <v>15</v>
      </c>
      <c r="E152" s="12" t="s">
        <v>16</v>
      </c>
      <c r="F152" s="12" t="s">
        <v>39</v>
      </c>
      <c r="G152" s="12" t="s">
        <v>36</v>
      </c>
      <c r="H152" s="12">
        <v>15411</v>
      </c>
      <c r="I152" s="12" t="s">
        <v>33</v>
      </c>
      <c r="J152" s="26">
        <v>0.3</v>
      </c>
      <c r="K152" s="12">
        <v>14000</v>
      </c>
      <c r="L152" s="14">
        <v>45341</v>
      </c>
      <c r="M152" s="8" t="str">
        <f t="shared" si="6"/>
        <v>Below Target</v>
      </c>
      <c r="N152" s="20">
        <f t="shared" si="7"/>
        <v>30</v>
      </c>
      <c r="O152" s="22">
        <f t="shared" si="8"/>
        <v>10787.7</v>
      </c>
    </row>
    <row r="153" spans="1:15" x14ac:dyDescent="0.3">
      <c r="A153" s="12" t="s">
        <v>293</v>
      </c>
      <c r="B153" s="12" t="s">
        <v>294</v>
      </c>
      <c r="C153" s="12" t="s">
        <v>30</v>
      </c>
      <c r="D153" s="12" t="s">
        <v>31</v>
      </c>
      <c r="E153" s="12" t="s">
        <v>32</v>
      </c>
      <c r="F153" s="12" t="s">
        <v>39</v>
      </c>
      <c r="G153" s="12" t="s">
        <v>18</v>
      </c>
      <c r="H153" s="12">
        <v>17543</v>
      </c>
      <c r="I153" s="12" t="s">
        <v>33</v>
      </c>
      <c r="J153" s="26">
        <v>0.3</v>
      </c>
      <c r="K153" s="12">
        <v>17000</v>
      </c>
      <c r="L153" s="14">
        <v>45335</v>
      </c>
      <c r="M153" s="8" t="str">
        <f t="shared" si="6"/>
        <v>Below Target</v>
      </c>
      <c r="N153" s="20">
        <f t="shared" si="7"/>
        <v>30</v>
      </c>
      <c r="O153" s="22">
        <f t="shared" si="8"/>
        <v>12280.1</v>
      </c>
    </row>
    <row r="154" spans="1:15" x14ac:dyDescent="0.3">
      <c r="A154" s="12" t="s">
        <v>295</v>
      </c>
      <c r="B154" s="12" t="s">
        <v>296</v>
      </c>
      <c r="C154" s="12" t="s">
        <v>44</v>
      </c>
      <c r="D154" s="12" t="s">
        <v>45</v>
      </c>
      <c r="E154" s="12" t="s">
        <v>16</v>
      </c>
      <c r="F154" s="12" t="s">
        <v>25</v>
      </c>
      <c r="G154" s="12" t="s">
        <v>26</v>
      </c>
      <c r="H154" s="12">
        <v>13647</v>
      </c>
      <c r="I154" s="12" t="s">
        <v>22</v>
      </c>
      <c r="J154" s="26">
        <v>0.1</v>
      </c>
      <c r="K154" s="12">
        <v>13000</v>
      </c>
      <c r="L154" s="14">
        <v>45311</v>
      </c>
      <c r="M154" s="8" t="str">
        <f t="shared" si="6"/>
        <v>Below Target</v>
      </c>
      <c r="N154" s="20">
        <f t="shared" si="7"/>
        <v>10</v>
      </c>
      <c r="O154" s="22">
        <f t="shared" si="8"/>
        <v>12282.3</v>
      </c>
    </row>
    <row r="155" spans="1:15" x14ac:dyDescent="0.3">
      <c r="A155" s="12" t="s">
        <v>297</v>
      </c>
      <c r="B155" s="12" t="s">
        <v>298</v>
      </c>
      <c r="C155" s="12" t="s">
        <v>14</v>
      </c>
      <c r="D155" s="12" t="s">
        <v>15</v>
      </c>
      <c r="E155" s="12" t="s">
        <v>16</v>
      </c>
      <c r="F155" s="12" t="s">
        <v>17</v>
      </c>
      <c r="G155" s="12" t="s">
        <v>26</v>
      </c>
      <c r="H155" s="12">
        <v>12538</v>
      </c>
      <c r="I155" s="12" t="s">
        <v>22</v>
      </c>
      <c r="J155" s="26">
        <v>0.1</v>
      </c>
      <c r="K155" s="12">
        <v>14000</v>
      </c>
      <c r="L155" s="14">
        <v>45350</v>
      </c>
      <c r="M155" s="8" t="str">
        <f t="shared" si="6"/>
        <v>Below Target</v>
      </c>
      <c r="N155" s="20">
        <f t="shared" si="7"/>
        <v>10</v>
      </c>
      <c r="O155" s="22">
        <f t="shared" si="8"/>
        <v>11284.2</v>
      </c>
    </row>
    <row r="156" spans="1:15" x14ac:dyDescent="0.3">
      <c r="A156" s="12" t="s">
        <v>299</v>
      </c>
      <c r="B156" s="12" t="s">
        <v>131</v>
      </c>
      <c r="C156" s="12" t="s">
        <v>61</v>
      </c>
      <c r="D156" s="12" t="s">
        <v>62</v>
      </c>
      <c r="E156" s="12" t="s">
        <v>32</v>
      </c>
      <c r="F156" s="12" t="s">
        <v>25</v>
      </c>
      <c r="G156" s="12" t="s">
        <v>18</v>
      </c>
      <c r="H156" s="12">
        <v>10221</v>
      </c>
      <c r="I156" s="12" t="s">
        <v>27</v>
      </c>
      <c r="J156" s="26"/>
      <c r="K156" s="12">
        <v>9000</v>
      </c>
      <c r="L156" s="14">
        <v>45348</v>
      </c>
      <c r="M156" s="8" t="str">
        <f t="shared" si="6"/>
        <v>Below Target</v>
      </c>
      <c r="N156" s="20">
        <f t="shared" si="7"/>
        <v>15</v>
      </c>
      <c r="O156" s="22">
        <f t="shared" si="8"/>
        <v>8687.85</v>
      </c>
    </row>
    <row r="157" spans="1:15" x14ac:dyDescent="0.3">
      <c r="A157" s="12" t="s">
        <v>300</v>
      </c>
      <c r="B157" s="12" t="s">
        <v>301</v>
      </c>
      <c r="C157" s="12" t="s">
        <v>30</v>
      </c>
      <c r="D157" s="12" t="s">
        <v>31</v>
      </c>
      <c r="E157" s="12" t="s">
        <v>32</v>
      </c>
      <c r="F157" s="12" t="s">
        <v>17</v>
      </c>
      <c r="G157" s="12" t="s">
        <v>36</v>
      </c>
      <c r="H157" s="12">
        <v>18962</v>
      </c>
      <c r="I157" s="12" t="s">
        <v>33</v>
      </c>
      <c r="J157" s="26">
        <v>0.3</v>
      </c>
      <c r="K157" s="12">
        <v>17000</v>
      </c>
      <c r="L157" s="14">
        <v>45339</v>
      </c>
      <c r="M157" s="8" t="str">
        <f t="shared" si="6"/>
        <v>Below Target</v>
      </c>
      <c r="N157" s="20">
        <f t="shared" si="7"/>
        <v>30</v>
      </c>
      <c r="O157" s="22">
        <f t="shared" si="8"/>
        <v>13273.4</v>
      </c>
    </row>
    <row r="158" spans="1:15" x14ac:dyDescent="0.3">
      <c r="A158" s="12" t="s">
        <v>302</v>
      </c>
      <c r="B158" s="12" t="s">
        <v>303</v>
      </c>
      <c r="C158" s="12" t="s">
        <v>14</v>
      </c>
      <c r="D158" s="12" t="s">
        <v>15</v>
      </c>
      <c r="E158" s="12" t="s">
        <v>46</v>
      </c>
      <c r="F158" s="12" t="s">
        <v>25</v>
      </c>
      <c r="G158" s="12" t="s">
        <v>18</v>
      </c>
      <c r="H158" s="12">
        <v>15089</v>
      </c>
      <c r="I158" s="12" t="s">
        <v>19</v>
      </c>
      <c r="J158" s="26">
        <v>0.2</v>
      </c>
      <c r="K158" s="12">
        <v>14000</v>
      </c>
      <c r="L158" s="14">
        <v>45347</v>
      </c>
      <c r="M158" s="8" t="str">
        <f t="shared" si="6"/>
        <v>Below Target</v>
      </c>
      <c r="N158" s="20">
        <f t="shared" si="7"/>
        <v>20</v>
      </c>
      <c r="O158" s="22">
        <f t="shared" si="8"/>
        <v>12071.2</v>
      </c>
    </row>
    <row r="159" spans="1:15" x14ac:dyDescent="0.3">
      <c r="A159" s="12" t="s">
        <v>304</v>
      </c>
      <c r="B159" s="12" t="s">
        <v>305</v>
      </c>
      <c r="C159" s="12" t="s">
        <v>61</v>
      </c>
      <c r="D159" s="12" t="s">
        <v>62</v>
      </c>
      <c r="E159" s="12" t="s">
        <v>16</v>
      </c>
      <c r="F159" s="12" t="s">
        <v>17</v>
      </c>
      <c r="G159" s="12" t="s">
        <v>18</v>
      </c>
      <c r="H159" s="12">
        <v>10238</v>
      </c>
      <c r="I159" s="12"/>
      <c r="J159" s="26"/>
      <c r="K159" s="12">
        <v>9000</v>
      </c>
      <c r="L159" s="14">
        <v>45292</v>
      </c>
      <c r="M159" s="8" t="str">
        <f t="shared" si="6"/>
        <v>Target Achieved</v>
      </c>
      <c r="N159" s="20">
        <f t="shared" si="7"/>
        <v>0</v>
      </c>
      <c r="O159" s="22">
        <f t="shared" si="8"/>
        <v>10238</v>
      </c>
    </row>
    <row r="160" spans="1:15" x14ac:dyDescent="0.3">
      <c r="A160" s="12" t="s">
        <v>306</v>
      </c>
      <c r="B160" s="12" t="s">
        <v>307</v>
      </c>
      <c r="C160" s="12" t="s">
        <v>14</v>
      </c>
      <c r="D160" s="12" t="s">
        <v>15</v>
      </c>
      <c r="E160" s="12" t="s">
        <v>46</v>
      </c>
      <c r="F160" s="12" t="s">
        <v>17</v>
      </c>
      <c r="G160" s="12" t="s">
        <v>26</v>
      </c>
      <c r="H160" s="12">
        <v>15067</v>
      </c>
      <c r="I160" s="12" t="s">
        <v>33</v>
      </c>
      <c r="J160" s="26">
        <v>0.3</v>
      </c>
      <c r="K160" s="12">
        <v>14000</v>
      </c>
      <c r="L160" s="14">
        <v>45329</v>
      </c>
      <c r="M160" s="8" t="str">
        <f t="shared" si="6"/>
        <v>Below Target</v>
      </c>
      <c r="N160" s="20">
        <f t="shared" si="7"/>
        <v>30</v>
      </c>
      <c r="O160" s="22">
        <f t="shared" si="8"/>
        <v>10546.9</v>
      </c>
    </row>
    <row r="161" spans="1:15" x14ac:dyDescent="0.3">
      <c r="A161" s="12" t="s">
        <v>308</v>
      </c>
      <c r="B161" s="12" t="s">
        <v>309</v>
      </c>
      <c r="C161" s="12" t="s">
        <v>30</v>
      </c>
      <c r="D161" s="12" t="s">
        <v>31</v>
      </c>
      <c r="E161" s="12" t="s">
        <v>32</v>
      </c>
      <c r="F161" s="12" t="s">
        <v>39</v>
      </c>
      <c r="G161" s="12" t="s">
        <v>18</v>
      </c>
      <c r="H161" s="12">
        <v>16931</v>
      </c>
      <c r="I161" s="12" t="s">
        <v>22</v>
      </c>
      <c r="J161" s="26">
        <v>0.1</v>
      </c>
      <c r="K161" s="12">
        <v>17000</v>
      </c>
      <c r="L161" s="14">
        <v>45331</v>
      </c>
      <c r="M161" s="8" t="str">
        <f t="shared" si="6"/>
        <v>Below Target</v>
      </c>
      <c r="N161" s="20">
        <f t="shared" si="7"/>
        <v>10</v>
      </c>
      <c r="O161" s="22">
        <f t="shared" si="8"/>
        <v>15237.9</v>
      </c>
    </row>
    <row r="162" spans="1:15" x14ac:dyDescent="0.3">
      <c r="A162" s="12" t="s">
        <v>310</v>
      </c>
      <c r="B162" s="12" t="s">
        <v>84</v>
      </c>
      <c r="C162" s="12" t="s">
        <v>30</v>
      </c>
      <c r="D162" s="12" t="s">
        <v>31</v>
      </c>
      <c r="E162" s="12" t="s">
        <v>16</v>
      </c>
      <c r="F162" s="12" t="s">
        <v>25</v>
      </c>
      <c r="G162" s="12" t="s">
        <v>26</v>
      </c>
      <c r="H162" s="12">
        <v>15258</v>
      </c>
      <c r="I162" s="12"/>
      <c r="J162" s="26"/>
      <c r="K162" s="12">
        <v>17000</v>
      </c>
      <c r="L162" s="14">
        <v>45350</v>
      </c>
      <c r="M162" s="8" t="str">
        <f t="shared" si="6"/>
        <v>Target Achieved</v>
      </c>
      <c r="N162" s="20">
        <f t="shared" si="7"/>
        <v>0</v>
      </c>
      <c r="O162" s="22">
        <f t="shared" si="8"/>
        <v>15258</v>
      </c>
    </row>
    <row r="163" spans="1:15" x14ac:dyDescent="0.3">
      <c r="A163" s="12" t="s">
        <v>311</v>
      </c>
      <c r="B163" s="12" t="s">
        <v>265</v>
      </c>
      <c r="C163" s="12" t="s">
        <v>61</v>
      </c>
      <c r="D163" s="12" t="s">
        <v>62</v>
      </c>
      <c r="E163" s="12" t="s">
        <v>32</v>
      </c>
      <c r="F163" s="12" t="s">
        <v>25</v>
      </c>
      <c r="G163" s="12" t="s">
        <v>18</v>
      </c>
      <c r="H163" s="12">
        <v>10875</v>
      </c>
      <c r="I163" s="12" t="s">
        <v>22</v>
      </c>
      <c r="J163" s="26">
        <v>0.1</v>
      </c>
      <c r="K163" s="12">
        <v>9000</v>
      </c>
      <c r="L163" s="14">
        <v>45311</v>
      </c>
      <c r="M163" s="8" t="str">
        <f t="shared" si="6"/>
        <v>Below Target</v>
      </c>
      <c r="N163" s="20">
        <f t="shared" si="7"/>
        <v>10</v>
      </c>
      <c r="O163" s="22">
        <f t="shared" si="8"/>
        <v>9787.5</v>
      </c>
    </row>
    <row r="164" spans="1:15" x14ac:dyDescent="0.3">
      <c r="A164" s="12" t="s">
        <v>312</v>
      </c>
      <c r="B164" s="12" t="s">
        <v>227</v>
      </c>
      <c r="C164" s="12" t="s">
        <v>14</v>
      </c>
      <c r="D164" s="12" t="s">
        <v>15</v>
      </c>
      <c r="E164" s="12" t="s">
        <v>32</v>
      </c>
      <c r="F164" s="12" t="s">
        <v>39</v>
      </c>
      <c r="G164" s="12" t="s">
        <v>18</v>
      </c>
      <c r="H164" s="12">
        <v>13591</v>
      </c>
      <c r="I164" s="12"/>
      <c r="J164" s="26"/>
      <c r="K164" s="12">
        <v>14000</v>
      </c>
      <c r="L164" s="14">
        <v>45315</v>
      </c>
      <c r="M164" s="8" t="str">
        <f t="shared" si="6"/>
        <v>Target Achieved</v>
      </c>
      <c r="N164" s="20">
        <f t="shared" si="7"/>
        <v>0</v>
      </c>
      <c r="O164" s="22">
        <f t="shared" si="8"/>
        <v>13591</v>
      </c>
    </row>
    <row r="165" spans="1:15" x14ac:dyDescent="0.3">
      <c r="A165" s="12" t="s">
        <v>313</v>
      </c>
      <c r="B165" s="12" t="s">
        <v>305</v>
      </c>
      <c r="C165" s="12" t="s">
        <v>61</v>
      </c>
      <c r="D165" s="12" t="s">
        <v>62</v>
      </c>
      <c r="E165" s="12" t="s">
        <v>16</v>
      </c>
      <c r="F165" s="12" t="s">
        <v>39</v>
      </c>
      <c r="G165" s="12" t="s">
        <v>26</v>
      </c>
      <c r="H165" s="12">
        <v>7632</v>
      </c>
      <c r="I165" s="12"/>
      <c r="J165" s="26"/>
      <c r="K165" s="12">
        <v>9000</v>
      </c>
      <c r="L165" s="14">
        <v>45333</v>
      </c>
      <c r="M165" s="8" t="str">
        <f t="shared" si="6"/>
        <v>Target Achieved</v>
      </c>
      <c r="N165" s="20">
        <f t="shared" si="7"/>
        <v>0</v>
      </c>
      <c r="O165" s="22">
        <f t="shared" si="8"/>
        <v>7632</v>
      </c>
    </row>
    <row r="166" spans="1:15" x14ac:dyDescent="0.3">
      <c r="A166" s="12" t="s">
        <v>314</v>
      </c>
      <c r="B166" s="12" t="s">
        <v>159</v>
      </c>
      <c r="C166" s="12" t="s">
        <v>61</v>
      </c>
      <c r="D166" s="12" t="s">
        <v>62</v>
      </c>
      <c r="E166" s="12" t="s">
        <v>16</v>
      </c>
      <c r="F166" s="12" t="s">
        <v>17</v>
      </c>
      <c r="G166" s="12" t="s">
        <v>36</v>
      </c>
      <c r="H166" s="12">
        <v>7134</v>
      </c>
      <c r="I166" s="12" t="s">
        <v>33</v>
      </c>
      <c r="J166" s="26">
        <v>0.3</v>
      </c>
      <c r="K166" s="12">
        <v>9000</v>
      </c>
      <c r="L166" s="14">
        <v>45305</v>
      </c>
      <c r="M166" s="8" t="str">
        <f t="shared" si="6"/>
        <v>Below Target</v>
      </c>
      <c r="N166" s="20">
        <f t="shared" si="7"/>
        <v>30</v>
      </c>
      <c r="O166" s="22">
        <f t="shared" si="8"/>
        <v>4993.8</v>
      </c>
    </row>
    <row r="167" spans="1:15" x14ac:dyDescent="0.3">
      <c r="A167" s="12" t="s">
        <v>315</v>
      </c>
      <c r="B167" s="12" t="s">
        <v>231</v>
      </c>
      <c r="C167" s="12" t="s">
        <v>44</v>
      </c>
      <c r="D167" s="12" t="s">
        <v>45</v>
      </c>
      <c r="E167" s="12" t="s">
        <v>46</v>
      </c>
      <c r="F167" s="12" t="s">
        <v>25</v>
      </c>
      <c r="G167" s="12" t="s">
        <v>26</v>
      </c>
      <c r="H167" s="12">
        <v>12504</v>
      </c>
      <c r="I167" s="12" t="s">
        <v>27</v>
      </c>
      <c r="J167" s="26"/>
      <c r="K167" s="12">
        <v>13000</v>
      </c>
      <c r="L167" s="14">
        <v>45349</v>
      </c>
      <c r="M167" s="8" t="str">
        <f t="shared" si="6"/>
        <v>Below Target</v>
      </c>
      <c r="N167" s="20">
        <f t="shared" si="7"/>
        <v>15</v>
      </c>
      <c r="O167" s="22">
        <f t="shared" si="8"/>
        <v>10628.4</v>
      </c>
    </row>
    <row r="168" spans="1:15" x14ac:dyDescent="0.3">
      <c r="A168" s="12" t="s">
        <v>316</v>
      </c>
      <c r="B168" s="12" t="s">
        <v>317</v>
      </c>
      <c r="C168" s="12" t="s">
        <v>14</v>
      </c>
      <c r="D168" s="12" t="s">
        <v>15</v>
      </c>
      <c r="E168" s="12" t="s">
        <v>46</v>
      </c>
      <c r="F168" s="12" t="s">
        <v>17</v>
      </c>
      <c r="G168" s="12" t="s">
        <v>18</v>
      </c>
      <c r="H168" s="12">
        <v>15965</v>
      </c>
      <c r="I168" s="12" t="s">
        <v>22</v>
      </c>
      <c r="J168" s="26">
        <v>0.1</v>
      </c>
      <c r="K168" s="12">
        <v>14000</v>
      </c>
      <c r="L168" s="14">
        <v>45352</v>
      </c>
      <c r="M168" s="8" t="str">
        <f t="shared" si="6"/>
        <v>Below Target</v>
      </c>
      <c r="N168" s="20">
        <f t="shared" si="7"/>
        <v>10</v>
      </c>
      <c r="O168" s="22">
        <f t="shared" si="8"/>
        <v>14368.5</v>
      </c>
    </row>
    <row r="169" spans="1:15" x14ac:dyDescent="0.3">
      <c r="A169" s="12" t="s">
        <v>318</v>
      </c>
      <c r="B169" s="12" t="s">
        <v>319</v>
      </c>
      <c r="C169" s="12" t="s">
        <v>61</v>
      </c>
      <c r="D169" s="12" t="s">
        <v>62</v>
      </c>
      <c r="E169" s="12" t="s">
        <v>32</v>
      </c>
      <c r="F169" s="12" t="s">
        <v>39</v>
      </c>
      <c r="G169" s="12" t="s">
        <v>18</v>
      </c>
      <c r="H169" s="12">
        <v>9628</v>
      </c>
      <c r="I169" s="12" t="s">
        <v>27</v>
      </c>
      <c r="J169" s="26"/>
      <c r="K169" s="12">
        <v>9000</v>
      </c>
      <c r="L169" s="14">
        <v>45293</v>
      </c>
      <c r="M169" s="8" t="str">
        <f t="shared" si="6"/>
        <v>Below Target</v>
      </c>
      <c r="N169" s="20">
        <f t="shared" si="7"/>
        <v>15</v>
      </c>
      <c r="O169" s="22">
        <f t="shared" si="8"/>
        <v>8183.8</v>
      </c>
    </row>
    <row r="170" spans="1:15" x14ac:dyDescent="0.3">
      <c r="A170" s="12" t="s">
        <v>320</v>
      </c>
      <c r="B170" s="12" t="s">
        <v>321</v>
      </c>
      <c r="C170" s="12" t="s">
        <v>30</v>
      </c>
      <c r="D170" s="12" t="s">
        <v>31</v>
      </c>
      <c r="E170" s="12" t="s">
        <v>32</v>
      </c>
      <c r="F170" s="12" t="s">
        <v>25</v>
      </c>
      <c r="G170" s="12" t="s">
        <v>26</v>
      </c>
      <c r="H170" s="12">
        <v>15840</v>
      </c>
      <c r="I170" s="12" t="s">
        <v>22</v>
      </c>
      <c r="J170" s="26">
        <v>0.1</v>
      </c>
      <c r="K170" s="12">
        <v>17000</v>
      </c>
      <c r="L170" s="14">
        <v>45345</v>
      </c>
      <c r="M170" s="8" t="str">
        <f t="shared" si="6"/>
        <v>Below Target</v>
      </c>
      <c r="N170" s="20">
        <f t="shared" si="7"/>
        <v>10</v>
      </c>
      <c r="O170" s="22">
        <f t="shared" si="8"/>
        <v>14256</v>
      </c>
    </row>
    <row r="171" spans="1:15" x14ac:dyDescent="0.3">
      <c r="A171" s="12" t="s">
        <v>322</v>
      </c>
      <c r="B171" s="12" t="s">
        <v>133</v>
      </c>
      <c r="C171" s="12" t="s">
        <v>44</v>
      </c>
      <c r="D171" s="12" t="s">
        <v>45</v>
      </c>
      <c r="E171" s="12" t="s">
        <v>16</v>
      </c>
      <c r="F171" s="12" t="s">
        <v>25</v>
      </c>
      <c r="G171" s="12" t="s">
        <v>18</v>
      </c>
      <c r="H171" s="12">
        <v>12345</v>
      </c>
      <c r="I171" s="12" t="s">
        <v>19</v>
      </c>
      <c r="J171" s="26">
        <v>0.2</v>
      </c>
      <c r="K171" s="12">
        <v>13000</v>
      </c>
      <c r="L171" s="14">
        <v>45342</v>
      </c>
      <c r="M171" s="8" t="str">
        <f t="shared" si="6"/>
        <v>Below Target</v>
      </c>
      <c r="N171" s="20">
        <f t="shared" si="7"/>
        <v>20</v>
      </c>
      <c r="O171" s="22">
        <f t="shared" si="8"/>
        <v>9876</v>
      </c>
    </row>
    <row r="172" spans="1:15" x14ac:dyDescent="0.3">
      <c r="A172" s="12" t="s">
        <v>323</v>
      </c>
      <c r="B172" s="12" t="s">
        <v>60</v>
      </c>
      <c r="C172" s="12" t="s">
        <v>14</v>
      </c>
      <c r="D172" s="12" t="s">
        <v>15</v>
      </c>
      <c r="E172" s="12" t="s">
        <v>46</v>
      </c>
      <c r="F172" s="12" t="s">
        <v>25</v>
      </c>
      <c r="G172" s="12" t="s">
        <v>18</v>
      </c>
      <c r="H172" s="12">
        <v>14212</v>
      </c>
      <c r="I172" s="12" t="s">
        <v>33</v>
      </c>
      <c r="J172" s="26">
        <v>0.3</v>
      </c>
      <c r="K172" s="12">
        <v>14000</v>
      </c>
      <c r="L172" s="14">
        <v>45343</v>
      </c>
      <c r="M172" s="8" t="str">
        <f t="shared" si="6"/>
        <v>Below Target</v>
      </c>
      <c r="N172" s="20">
        <f t="shared" si="7"/>
        <v>30</v>
      </c>
      <c r="O172" s="22">
        <f t="shared" si="8"/>
        <v>9948.4</v>
      </c>
    </row>
    <row r="173" spans="1:15" x14ac:dyDescent="0.3">
      <c r="A173" s="12" t="s">
        <v>324</v>
      </c>
      <c r="B173" s="12" t="s">
        <v>325</v>
      </c>
      <c r="C173" s="12" t="s">
        <v>14</v>
      </c>
      <c r="D173" s="12" t="s">
        <v>15</v>
      </c>
      <c r="E173" s="12" t="s">
        <v>32</v>
      </c>
      <c r="F173" s="12" t="s">
        <v>25</v>
      </c>
      <c r="G173" s="12" t="s">
        <v>36</v>
      </c>
      <c r="H173" s="12">
        <v>15235</v>
      </c>
      <c r="I173" s="12" t="s">
        <v>19</v>
      </c>
      <c r="J173" s="26">
        <v>0.2</v>
      </c>
      <c r="K173" s="12">
        <v>14000</v>
      </c>
      <c r="L173" s="14">
        <v>45329</v>
      </c>
      <c r="M173" s="8" t="str">
        <f t="shared" si="6"/>
        <v>Below Target</v>
      </c>
      <c r="N173" s="20">
        <f t="shared" si="7"/>
        <v>20</v>
      </c>
      <c r="O173" s="22">
        <f t="shared" si="8"/>
        <v>12188</v>
      </c>
    </row>
    <row r="174" spans="1:15" x14ac:dyDescent="0.3">
      <c r="A174" s="12" t="s">
        <v>326</v>
      </c>
      <c r="B174" s="12" t="s">
        <v>327</v>
      </c>
      <c r="C174" s="12" t="s">
        <v>44</v>
      </c>
      <c r="D174" s="12" t="s">
        <v>45</v>
      </c>
      <c r="E174" s="12" t="s">
        <v>46</v>
      </c>
      <c r="F174" s="12" t="s">
        <v>25</v>
      </c>
      <c r="G174" s="12" t="s">
        <v>18</v>
      </c>
      <c r="H174" s="12">
        <v>14038</v>
      </c>
      <c r="I174" s="12"/>
      <c r="J174" s="26"/>
      <c r="K174" s="12">
        <v>13000</v>
      </c>
      <c r="L174" s="14">
        <v>45325</v>
      </c>
      <c r="M174" s="8" t="str">
        <f t="shared" si="6"/>
        <v>Target Achieved</v>
      </c>
      <c r="N174" s="20">
        <f t="shared" si="7"/>
        <v>0</v>
      </c>
      <c r="O174" s="22">
        <f t="shared" si="8"/>
        <v>14038</v>
      </c>
    </row>
    <row r="175" spans="1:15" x14ac:dyDescent="0.3">
      <c r="A175" s="12" t="s">
        <v>328</v>
      </c>
      <c r="B175" s="12" t="s">
        <v>173</v>
      </c>
      <c r="C175" s="12" t="s">
        <v>14</v>
      </c>
      <c r="D175" s="12" t="s">
        <v>15</v>
      </c>
      <c r="E175" s="12" t="s">
        <v>46</v>
      </c>
      <c r="F175" s="12" t="s">
        <v>17</v>
      </c>
      <c r="G175" s="12" t="s">
        <v>36</v>
      </c>
      <c r="H175" s="12">
        <v>14102</v>
      </c>
      <c r="I175" s="12" t="s">
        <v>27</v>
      </c>
      <c r="J175" s="26"/>
      <c r="K175" s="12">
        <v>14000</v>
      </c>
      <c r="L175" s="14">
        <v>45298</v>
      </c>
      <c r="M175" s="8" t="str">
        <f t="shared" si="6"/>
        <v>Below Target</v>
      </c>
      <c r="N175" s="20">
        <f t="shared" si="7"/>
        <v>15</v>
      </c>
      <c r="O175" s="22">
        <f t="shared" si="8"/>
        <v>11986.7</v>
      </c>
    </row>
    <row r="176" spans="1:15" x14ac:dyDescent="0.3">
      <c r="A176" s="12" t="s">
        <v>329</v>
      </c>
      <c r="B176" s="12" t="s">
        <v>330</v>
      </c>
      <c r="C176" s="12" t="s">
        <v>44</v>
      </c>
      <c r="D176" s="12" t="s">
        <v>45</v>
      </c>
      <c r="E176" s="12" t="s">
        <v>16</v>
      </c>
      <c r="F176" s="12" t="s">
        <v>25</v>
      </c>
      <c r="G176" s="12" t="s">
        <v>26</v>
      </c>
      <c r="H176" s="12">
        <v>14208</v>
      </c>
      <c r="I176" s="12" t="s">
        <v>27</v>
      </c>
      <c r="J176" s="26"/>
      <c r="K176" s="12">
        <v>13000</v>
      </c>
      <c r="L176" s="14">
        <v>45311</v>
      </c>
      <c r="M176" s="8" t="str">
        <f t="shared" si="6"/>
        <v>Below Target</v>
      </c>
      <c r="N176" s="20">
        <f t="shared" si="7"/>
        <v>15</v>
      </c>
      <c r="O176" s="22">
        <f t="shared" si="8"/>
        <v>12076.8</v>
      </c>
    </row>
    <row r="177" spans="1:15" x14ac:dyDescent="0.3">
      <c r="A177" s="12" t="s">
        <v>331</v>
      </c>
      <c r="B177" s="12" t="s">
        <v>332</v>
      </c>
      <c r="C177" s="12" t="s">
        <v>14</v>
      </c>
      <c r="D177" s="12" t="s">
        <v>15</v>
      </c>
      <c r="E177" s="12" t="s">
        <v>32</v>
      </c>
      <c r="F177" s="12" t="s">
        <v>17</v>
      </c>
      <c r="G177" s="12" t="s">
        <v>36</v>
      </c>
      <c r="H177" s="12">
        <v>13746</v>
      </c>
      <c r="I177" s="12" t="s">
        <v>22</v>
      </c>
      <c r="J177" s="26">
        <v>0.1</v>
      </c>
      <c r="K177" s="12">
        <v>14000</v>
      </c>
      <c r="L177" s="14">
        <v>45323</v>
      </c>
      <c r="M177" s="8" t="str">
        <f t="shared" si="6"/>
        <v>Below Target</v>
      </c>
      <c r="N177" s="20">
        <f t="shared" si="7"/>
        <v>10</v>
      </c>
      <c r="O177" s="22">
        <f t="shared" si="8"/>
        <v>12371.4</v>
      </c>
    </row>
    <row r="178" spans="1:15" x14ac:dyDescent="0.3">
      <c r="A178" s="12" t="s">
        <v>333</v>
      </c>
      <c r="B178" s="12" t="s">
        <v>334</v>
      </c>
      <c r="C178" s="12" t="s">
        <v>14</v>
      </c>
      <c r="D178" s="12" t="s">
        <v>15</v>
      </c>
      <c r="E178" s="12" t="s">
        <v>32</v>
      </c>
      <c r="F178" s="12" t="s">
        <v>17</v>
      </c>
      <c r="G178" s="12" t="s">
        <v>26</v>
      </c>
      <c r="H178" s="12">
        <v>12607</v>
      </c>
      <c r="I178" s="12" t="s">
        <v>22</v>
      </c>
      <c r="J178" s="26">
        <v>0.1</v>
      </c>
      <c r="K178" s="12">
        <v>14000</v>
      </c>
      <c r="L178" s="14">
        <v>45300</v>
      </c>
      <c r="M178" s="8" t="str">
        <f t="shared" si="6"/>
        <v>Below Target</v>
      </c>
      <c r="N178" s="20">
        <f t="shared" si="7"/>
        <v>10</v>
      </c>
      <c r="O178" s="22">
        <f t="shared" si="8"/>
        <v>11346.3</v>
      </c>
    </row>
    <row r="179" spans="1:15" x14ac:dyDescent="0.3">
      <c r="A179" s="12" t="s">
        <v>335</v>
      </c>
      <c r="B179" s="12" t="s">
        <v>118</v>
      </c>
      <c r="C179" s="12" t="s">
        <v>30</v>
      </c>
      <c r="D179" s="12" t="s">
        <v>31</v>
      </c>
      <c r="E179" s="12" t="s">
        <v>46</v>
      </c>
      <c r="F179" s="12" t="s">
        <v>39</v>
      </c>
      <c r="G179" s="12" t="s">
        <v>26</v>
      </c>
      <c r="H179" s="12">
        <v>16207</v>
      </c>
      <c r="I179" s="12"/>
      <c r="J179" s="26"/>
      <c r="K179" s="12">
        <v>17000</v>
      </c>
      <c r="L179" s="14">
        <v>45324</v>
      </c>
      <c r="M179" s="8" t="str">
        <f t="shared" si="6"/>
        <v>Target Achieved</v>
      </c>
      <c r="N179" s="20">
        <f t="shared" si="7"/>
        <v>0</v>
      </c>
      <c r="O179" s="22">
        <f t="shared" si="8"/>
        <v>16207</v>
      </c>
    </row>
    <row r="180" spans="1:15" x14ac:dyDescent="0.3">
      <c r="A180" s="12" t="s">
        <v>336</v>
      </c>
      <c r="B180" s="12" t="s">
        <v>337</v>
      </c>
      <c r="C180" s="12" t="s">
        <v>14</v>
      </c>
      <c r="D180" s="12" t="s">
        <v>15</v>
      </c>
      <c r="E180" s="12" t="s">
        <v>16</v>
      </c>
      <c r="F180" s="12" t="s">
        <v>25</v>
      </c>
      <c r="G180" s="12" t="s">
        <v>26</v>
      </c>
      <c r="H180" s="12">
        <v>14666</v>
      </c>
      <c r="I180" s="12" t="s">
        <v>27</v>
      </c>
      <c r="J180" s="26"/>
      <c r="K180" s="12">
        <v>14000</v>
      </c>
      <c r="L180" s="14">
        <v>45338</v>
      </c>
      <c r="M180" s="8" t="str">
        <f t="shared" si="6"/>
        <v>Below Target</v>
      </c>
      <c r="N180" s="20">
        <f t="shared" si="7"/>
        <v>15</v>
      </c>
      <c r="O180" s="22">
        <f t="shared" si="8"/>
        <v>12466.1</v>
      </c>
    </row>
    <row r="181" spans="1:15" x14ac:dyDescent="0.3">
      <c r="A181" s="12" t="s">
        <v>338</v>
      </c>
      <c r="B181" s="12" t="s">
        <v>207</v>
      </c>
      <c r="C181" s="12" t="s">
        <v>61</v>
      </c>
      <c r="D181" s="12" t="s">
        <v>62</v>
      </c>
      <c r="E181" s="12" t="s">
        <v>46</v>
      </c>
      <c r="F181" s="12" t="s">
        <v>25</v>
      </c>
      <c r="G181" s="12" t="s">
        <v>36</v>
      </c>
      <c r="H181" s="12">
        <v>8388</v>
      </c>
      <c r="I181" s="12"/>
      <c r="J181" s="26"/>
      <c r="K181" s="12">
        <v>9000</v>
      </c>
      <c r="L181" s="14">
        <v>45317</v>
      </c>
      <c r="M181" s="8" t="str">
        <f t="shared" si="6"/>
        <v>Target Achieved</v>
      </c>
      <c r="N181" s="20">
        <f t="shared" si="7"/>
        <v>0</v>
      </c>
      <c r="O181" s="22">
        <f t="shared" si="8"/>
        <v>8388</v>
      </c>
    </row>
    <row r="182" spans="1:15" x14ac:dyDescent="0.3">
      <c r="A182" s="12" t="s">
        <v>339</v>
      </c>
      <c r="B182" s="12" t="s">
        <v>101</v>
      </c>
      <c r="C182" s="12" t="s">
        <v>14</v>
      </c>
      <c r="D182" s="12" t="s">
        <v>15</v>
      </c>
      <c r="E182" s="12" t="s">
        <v>46</v>
      </c>
      <c r="F182" s="12" t="s">
        <v>17</v>
      </c>
      <c r="G182" s="12" t="s">
        <v>36</v>
      </c>
      <c r="H182" s="12">
        <v>14724</v>
      </c>
      <c r="I182" s="12" t="s">
        <v>33</v>
      </c>
      <c r="J182" s="26">
        <v>0.3</v>
      </c>
      <c r="K182" s="12">
        <v>14000</v>
      </c>
      <c r="L182" s="14">
        <v>45315</v>
      </c>
      <c r="M182" s="8" t="str">
        <f t="shared" si="6"/>
        <v>Below Target</v>
      </c>
      <c r="N182" s="20">
        <f t="shared" si="7"/>
        <v>30</v>
      </c>
      <c r="O182" s="22">
        <f t="shared" si="8"/>
        <v>10306.799999999999</v>
      </c>
    </row>
    <row r="183" spans="1:15" x14ac:dyDescent="0.3">
      <c r="A183" s="12" t="s">
        <v>340</v>
      </c>
      <c r="B183" s="12" t="s">
        <v>113</v>
      </c>
      <c r="C183" s="12" t="s">
        <v>61</v>
      </c>
      <c r="D183" s="12" t="s">
        <v>62</v>
      </c>
      <c r="E183" s="12" t="s">
        <v>32</v>
      </c>
      <c r="F183" s="12" t="s">
        <v>25</v>
      </c>
      <c r="G183" s="12" t="s">
        <v>18</v>
      </c>
      <c r="H183" s="12">
        <v>7381</v>
      </c>
      <c r="I183" s="12"/>
      <c r="J183" s="26"/>
      <c r="K183" s="12">
        <v>9000</v>
      </c>
      <c r="L183" s="14">
        <v>45298</v>
      </c>
      <c r="M183" s="8" t="str">
        <f t="shared" si="6"/>
        <v>Target Achieved</v>
      </c>
      <c r="N183" s="20">
        <f t="shared" si="7"/>
        <v>0</v>
      </c>
      <c r="O183" s="22">
        <f t="shared" si="8"/>
        <v>7381</v>
      </c>
    </row>
    <row r="184" spans="1:15" x14ac:dyDescent="0.3">
      <c r="A184" s="12" t="s">
        <v>341</v>
      </c>
      <c r="B184" s="12" t="s">
        <v>342</v>
      </c>
      <c r="C184" s="12" t="s">
        <v>30</v>
      </c>
      <c r="D184" s="12" t="s">
        <v>31</v>
      </c>
      <c r="E184" s="12" t="s">
        <v>32</v>
      </c>
      <c r="F184" s="12" t="s">
        <v>39</v>
      </c>
      <c r="G184" s="12" t="s">
        <v>18</v>
      </c>
      <c r="H184" s="12">
        <v>17402</v>
      </c>
      <c r="I184" s="12" t="s">
        <v>27</v>
      </c>
      <c r="J184" s="26"/>
      <c r="K184" s="12">
        <v>17000</v>
      </c>
      <c r="L184" s="14">
        <v>45327</v>
      </c>
      <c r="M184" s="8" t="str">
        <f t="shared" si="6"/>
        <v>Below Target</v>
      </c>
      <c r="N184" s="20">
        <f t="shared" si="7"/>
        <v>15</v>
      </c>
      <c r="O184" s="22">
        <f t="shared" si="8"/>
        <v>14791.7</v>
      </c>
    </row>
    <row r="185" spans="1:15" x14ac:dyDescent="0.3">
      <c r="A185" s="12" t="s">
        <v>343</v>
      </c>
      <c r="B185" s="12" t="s">
        <v>150</v>
      </c>
      <c r="C185" s="12" t="s">
        <v>14</v>
      </c>
      <c r="D185" s="12" t="s">
        <v>15</v>
      </c>
      <c r="E185" s="12" t="s">
        <v>46</v>
      </c>
      <c r="F185" s="12" t="s">
        <v>17</v>
      </c>
      <c r="G185" s="12" t="s">
        <v>26</v>
      </c>
      <c r="H185" s="12">
        <v>15854</v>
      </c>
      <c r="I185" s="12"/>
      <c r="J185" s="26"/>
      <c r="K185" s="12">
        <v>14000</v>
      </c>
      <c r="L185" s="14">
        <v>45347</v>
      </c>
      <c r="M185" s="8" t="str">
        <f t="shared" si="6"/>
        <v>Target Achieved</v>
      </c>
      <c r="N185" s="20">
        <f t="shared" si="7"/>
        <v>0</v>
      </c>
      <c r="O185" s="22">
        <f t="shared" si="8"/>
        <v>15854</v>
      </c>
    </row>
    <row r="186" spans="1:15" x14ac:dyDescent="0.3">
      <c r="A186" s="12" t="s">
        <v>344</v>
      </c>
      <c r="B186" s="12" t="s">
        <v>260</v>
      </c>
      <c r="C186" s="12" t="s">
        <v>14</v>
      </c>
      <c r="D186" s="12" t="s">
        <v>15</v>
      </c>
      <c r="E186" s="12" t="s">
        <v>46</v>
      </c>
      <c r="F186" s="12" t="s">
        <v>39</v>
      </c>
      <c r="G186" s="12" t="s">
        <v>36</v>
      </c>
      <c r="H186" s="12">
        <v>13440</v>
      </c>
      <c r="I186" s="12" t="s">
        <v>22</v>
      </c>
      <c r="J186" s="26">
        <v>0.1</v>
      </c>
      <c r="K186" s="12">
        <v>14000</v>
      </c>
      <c r="L186" s="14">
        <v>45328</v>
      </c>
      <c r="M186" s="8" t="str">
        <f t="shared" si="6"/>
        <v>Below Target</v>
      </c>
      <c r="N186" s="20">
        <f t="shared" si="7"/>
        <v>10</v>
      </c>
      <c r="O186" s="22">
        <f t="shared" si="8"/>
        <v>12096</v>
      </c>
    </row>
    <row r="187" spans="1:15" x14ac:dyDescent="0.3">
      <c r="A187" s="12" t="s">
        <v>345</v>
      </c>
      <c r="B187" s="12" t="s">
        <v>346</v>
      </c>
      <c r="C187" s="12" t="s">
        <v>44</v>
      </c>
      <c r="D187" s="12" t="s">
        <v>45</v>
      </c>
      <c r="E187" s="12" t="s">
        <v>16</v>
      </c>
      <c r="F187" s="12" t="s">
        <v>17</v>
      </c>
      <c r="G187" s="12" t="s">
        <v>18</v>
      </c>
      <c r="H187" s="12">
        <v>14470</v>
      </c>
      <c r="I187" s="12" t="s">
        <v>22</v>
      </c>
      <c r="J187" s="26">
        <v>0.1</v>
      </c>
      <c r="K187" s="12">
        <v>13000</v>
      </c>
      <c r="L187" s="14">
        <v>45314</v>
      </c>
      <c r="M187" s="8" t="str">
        <f t="shared" si="6"/>
        <v>Below Target</v>
      </c>
      <c r="N187" s="20">
        <f t="shared" si="7"/>
        <v>10</v>
      </c>
      <c r="O187" s="22">
        <f t="shared" si="8"/>
        <v>13023</v>
      </c>
    </row>
    <row r="188" spans="1:15" x14ac:dyDescent="0.3">
      <c r="A188" s="12" t="s">
        <v>347</v>
      </c>
      <c r="B188" s="12" t="s">
        <v>144</v>
      </c>
      <c r="C188" s="12" t="s">
        <v>30</v>
      </c>
      <c r="D188" s="12" t="s">
        <v>31</v>
      </c>
      <c r="E188" s="12" t="s">
        <v>32</v>
      </c>
      <c r="F188" s="12" t="s">
        <v>17</v>
      </c>
      <c r="G188" s="12" t="s">
        <v>26</v>
      </c>
      <c r="H188" s="12">
        <v>15926</v>
      </c>
      <c r="I188" s="12"/>
      <c r="J188" s="26"/>
      <c r="K188" s="12">
        <v>17000</v>
      </c>
      <c r="L188" s="14">
        <v>45346</v>
      </c>
      <c r="M188" s="8" t="str">
        <f t="shared" si="6"/>
        <v>Target Achieved</v>
      </c>
      <c r="N188" s="20">
        <f t="shared" si="7"/>
        <v>0</v>
      </c>
      <c r="O188" s="22">
        <f t="shared" si="8"/>
        <v>15926</v>
      </c>
    </row>
    <row r="189" spans="1:15" x14ac:dyDescent="0.3">
      <c r="A189" s="12" t="s">
        <v>348</v>
      </c>
      <c r="B189" s="12" t="s">
        <v>82</v>
      </c>
      <c r="C189" s="12" t="s">
        <v>14</v>
      </c>
      <c r="D189" s="12" t="s">
        <v>15</v>
      </c>
      <c r="E189" s="12" t="s">
        <v>16</v>
      </c>
      <c r="F189" s="12" t="s">
        <v>39</v>
      </c>
      <c r="G189" s="12" t="s">
        <v>26</v>
      </c>
      <c r="H189" s="12">
        <v>13095</v>
      </c>
      <c r="I189" s="12" t="s">
        <v>22</v>
      </c>
      <c r="J189" s="26">
        <v>0.1</v>
      </c>
      <c r="K189" s="12">
        <v>14000</v>
      </c>
      <c r="L189" s="14">
        <v>45303</v>
      </c>
      <c r="M189" s="8" t="str">
        <f t="shared" si="6"/>
        <v>Below Target</v>
      </c>
      <c r="N189" s="20">
        <f t="shared" si="7"/>
        <v>10</v>
      </c>
      <c r="O189" s="22">
        <f t="shared" si="8"/>
        <v>11785.5</v>
      </c>
    </row>
    <row r="190" spans="1:15" x14ac:dyDescent="0.3">
      <c r="A190" s="12" t="s">
        <v>349</v>
      </c>
      <c r="B190" s="12" t="s">
        <v>350</v>
      </c>
      <c r="C190" s="12" t="s">
        <v>30</v>
      </c>
      <c r="D190" s="12" t="s">
        <v>31</v>
      </c>
      <c r="E190" s="12" t="s">
        <v>46</v>
      </c>
      <c r="F190" s="12" t="s">
        <v>17</v>
      </c>
      <c r="G190" s="12" t="s">
        <v>18</v>
      </c>
      <c r="H190" s="12">
        <v>15743</v>
      </c>
      <c r="I190" s="12" t="s">
        <v>19</v>
      </c>
      <c r="J190" s="26">
        <v>0.2</v>
      </c>
      <c r="K190" s="12">
        <v>17000</v>
      </c>
      <c r="L190" s="14">
        <v>45328</v>
      </c>
      <c r="M190" s="8" t="str">
        <f t="shared" si="6"/>
        <v>Below Target</v>
      </c>
      <c r="N190" s="20">
        <f t="shared" si="7"/>
        <v>20</v>
      </c>
      <c r="O190" s="22">
        <f t="shared" si="8"/>
        <v>12594.4</v>
      </c>
    </row>
    <row r="191" spans="1:15" x14ac:dyDescent="0.3">
      <c r="A191" s="12" t="s">
        <v>351</v>
      </c>
      <c r="B191" s="12" t="s">
        <v>90</v>
      </c>
      <c r="C191" s="12" t="s">
        <v>14</v>
      </c>
      <c r="D191" s="12" t="s">
        <v>15</v>
      </c>
      <c r="E191" s="12" t="s">
        <v>32</v>
      </c>
      <c r="F191" s="12" t="s">
        <v>39</v>
      </c>
      <c r="G191" s="12" t="s">
        <v>26</v>
      </c>
      <c r="H191" s="12">
        <v>15980</v>
      </c>
      <c r="I191" s="12" t="s">
        <v>22</v>
      </c>
      <c r="J191" s="26">
        <v>0.1</v>
      </c>
      <c r="K191" s="12">
        <v>14000</v>
      </c>
      <c r="L191" s="14">
        <v>45297</v>
      </c>
      <c r="M191" s="8" t="str">
        <f t="shared" si="6"/>
        <v>Below Target</v>
      </c>
      <c r="N191" s="20">
        <f t="shared" si="7"/>
        <v>10</v>
      </c>
      <c r="O191" s="22">
        <f t="shared" si="8"/>
        <v>14382</v>
      </c>
    </row>
    <row r="192" spans="1:15" x14ac:dyDescent="0.3">
      <c r="A192" s="12" t="s">
        <v>352</v>
      </c>
      <c r="B192" s="12" t="s">
        <v>103</v>
      </c>
      <c r="C192" s="12" t="s">
        <v>44</v>
      </c>
      <c r="D192" s="12" t="s">
        <v>45</v>
      </c>
      <c r="E192" s="12" t="s">
        <v>46</v>
      </c>
      <c r="F192" s="12" t="s">
        <v>17</v>
      </c>
      <c r="G192" s="12" t="s">
        <v>36</v>
      </c>
      <c r="H192" s="12">
        <v>12396</v>
      </c>
      <c r="I192" s="12" t="s">
        <v>19</v>
      </c>
      <c r="J192" s="26">
        <v>0.2</v>
      </c>
      <c r="K192" s="12">
        <v>13000</v>
      </c>
      <c r="L192" s="14">
        <v>45315</v>
      </c>
      <c r="M192" s="8" t="str">
        <f t="shared" si="6"/>
        <v>Below Target</v>
      </c>
      <c r="N192" s="20">
        <f t="shared" si="7"/>
        <v>20</v>
      </c>
      <c r="O192" s="22">
        <f t="shared" si="8"/>
        <v>9916.7999999999993</v>
      </c>
    </row>
    <row r="193" spans="1:15" x14ac:dyDescent="0.3">
      <c r="A193" s="12" t="s">
        <v>353</v>
      </c>
      <c r="B193" s="12" t="s">
        <v>350</v>
      </c>
      <c r="C193" s="12" t="s">
        <v>30</v>
      </c>
      <c r="D193" s="12" t="s">
        <v>31</v>
      </c>
      <c r="E193" s="12" t="s">
        <v>16</v>
      </c>
      <c r="F193" s="12" t="s">
        <v>39</v>
      </c>
      <c r="G193" s="12" t="s">
        <v>18</v>
      </c>
      <c r="H193" s="12">
        <v>18618</v>
      </c>
      <c r="I193" s="12" t="s">
        <v>22</v>
      </c>
      <c r="J193" s="26">
        <v>0.1</v>
      </c>
      <c r="K193" s="12">
        <v>17000</v>
      </c>
      <c r="L193" s="14">
        <v>45301</v>
      </c>
      <c r="M193" s="8" t="str">
        <f t="shared" si="6"/>
        <v>Below Target</v>
      </c>
      <c r="N193" s="20">
        <f t="shared" si="7"/>
        <v>10</v>
      </c>
      <c r="O193" s="22">
        <f t="shared" si="8"/>
        <v>16756.2</v>
      </c>
    </row>
    <row r="194" spans="1:15" x14ac:dyDescent="0.3">
      <c r="A194" s="12" t="s">
        <v>354</v>
      </c>
      <c r="B194" s="12" t="s">
        <v>135</v>
      </c>
      <c r="C194" s="12" t="s">
        <v>14</v>
      </c>
      <c r="D194" s="12" t="s">
        <v>15</v>
      </c>
      <c r="E194" s="12" t="s">
        <v>16</v>
      </c>
      <c r="F194" s="12" t="s">
        <v>25</v>
      </c>
      <c r="G194" s="12" t="s">
        <v>36</v>
      </c>
      <c r="H194" s="12">
        <v>13814</v>
      </c>
      <c r="I194" s="12"/>
      <c r="J194" s="26"/>
      <c r="K194" s="12">
        <v>14000</v>
      </c>
      <c r="L194" s="14">
        <v>45323</v>
      </c>
      <c r="M194" s="8" t="str">
        <f t="shared" ref="M194:M257" si="9">IF(J194&gt;=N194,"Target Achieved","Below Target")</f>
        <v>Target Achieved</v>
      </c>
      <c r="N194" s="20">
        <f t="shared" si="7"/>
        <v>0</v>
      </c>
      <c r="O194" s="22">
        <f t="shared" si="8"/>
        <v>13814</v>
      </c>
    </row>
    <row r="195" spans="1:15" x14ac:dyDescent="0.3">
      <c r="A195" s="12" t="s">
        <v>355</v>
      </c>
      <c r="B195" s="12" t="s">
        <v>356</v>
      </c>
      <c r="C195" s="12" t="s">
        <v>61</v>
      </c>
      <c r="D195" s="12" t="s">
        <v>62</v>
      </c>
      <c r="E195" s="12" t="s">
        <v>46</v>
      </c>
      <c r="F195" s="12" t="s">
        <v>25</v>
      </c>
      <c r="G195" s="12" t="s">
        <v>26</v>
      </c>
      <c r="H195" s="12">
        <v>7466</v>
      </c>
      <c r="I195" s="12" t="s">
        <v>33</v>
      </c>
      <c r="J195" s="26">
        <v>0.3</v>
      </c>
      <c r="K195" s="12">
        <v>9000</v>
      </c>
      <c r="L195" s="14">
        <v>45319</v>
      </c>
      <c r="M195" s="8" t="str">
        <f t="shared" si="9"/>
        <v>Below Target</v>
      </c>
      <c r="N195" s="20">
        <f t="shared" ref="N195:N258" si="10">IFERROR(VALUE(RIGHT(I195,2)),0)</f>
        <v>30</v>
      </c>
      <c r="O195" s="22">
        <f t="shared" ref="O195:O258" si="11">H195-H195*N195/100</f>
        <v>5226.2</v>
      </c>
    </row>
    <row r="196" spans="1:15" x14ac:dyDescent="0.3">
      <c r="A196" s="12" t="s">
        <v>357</v>
      </c>
      <c r="B196" s="12" t="s">
        <v>263</v>
      </c>
      <c r="C196" s="12" t="s">
        <v>61</v>
      </c>
      <c r="D196" s="12" t="s">
        <v>62</v>
      </c>
      <c r="E196" s="12" t="s">
        <v>16</v>
      </c>
      <c r="F196" s="12" t="s">
        <v>39</v>
      </c>
      <c r="G196" s="12" t="s">
        <v>36</v>
      </c>
      <c r="H196" s="12">
        <v>7186</v>
      </c>
      <c r="I196" s="12" t="s">
        <v>19</v>
      </c>
      <c r="J196" s="26">
        <v>0.2</v>
      </c>
      <c r="K196" s="12">
        <v>9000</v>
      </c>
      <c r="L196" s="14">
        <v>45317</v>
      </c>
      <c r="M196" s="8" t="str">
        <f t="shared" si="9"/>
        <v>Below Target</v>
      </c>
      <c r="N196" s="20">
        <f t="shared" si="10"/>
        <v>20</v>
      </c>
      <c r="O196" s="22">
        <f t="shared" si="11"/>
        <v>5748.8</v>
      </c>
    </row>
    <row r="197" spans="1:15" x14ac:dyDescent="0.3">
      <c r="A197" s="12" t="s">
        <v>358</v>
      </c>
      <c r="B197" s="12" t="s">
        <v>359</v>
      </c>
      <c r="C197" s="12" t="s">
        <v>14</v>
      </c>
      <c r="D197" s="12" t="s">
        <v>15</v>
      </c>
      <c r="E197" s="12" t="s">
        <v>32</v>
      </c>
      <c r="F197" s="12" t="s">
        <v>17</v>
      </c>
      <c r="G197" s="12" t="s">
        <v>18</v>
      </c>
      <c r="H197" s="12">
        <v>15143</v>
      </c>
      <c r="I197" s="12" t="s">
        <v>19</v>
      </c>
      <c r="J197" s="26">
        <v>0.2</v>
      </c>
      <c r="K197" s="12">
        <v>14000</v>
      </c>
      <c r="L197" s="14">
        <v>45340</v>
      </c>
      <c r="M197" s="8" t="str">
        <f t="shared" si="9"/>
        <v>Below Target</v>
      </c>
      <c r="N197" s="20">
        <f t="shared" si="10"/>
        <v>20</v>
      </c>
      <c r="O197" s="22">
        <f t="shared" si="11"/>
        <v>12114.4</v>
      </c>
    </row>
    <row r="198" spans="1:15" x14ac:dyDescent="0.3">
      <c r="A198" s="12" t="s">
        <v>360</v>
      </c>
      <c r="B198" s="12" t="s">
        <v>361</v>
      </c>
      <c r="C198" s="12" t="s">
        <v>30</v>
      </c>
      <c r="D198" s="12" t="s">
        <v>31</v>
      </c>
      <c r="E198" s="12" t="s">
        <v>32</v>
      </c>
      <c r="F198" s="12" t="s">
        <v>25</v>
      </c>
      <c r="G198" s="12" t="s">
        <v>36</v>
      </c>
      <c r="H198" s="12">
        <v>18059</v>
      </c>
      <c r="I198" s="12"/>
      <c r="J198" s="26"/>
      <c r="K198" s="12">
        <v>17000</v>
      </c>
      <c r="L198" s="14">
        <v>45303</v>
      </c>
      <c r="M198" s="8" t="str">
        <f t="shared" si="9"/>
        <v>Target Achieved</v>
      </c>
      <c r="N198" s="20">
        <f t="shared" si="10"/>
        <v>0</v>
      </c>
      <c r="O198" s="22">
        <f t="shared" si="11"/>
        <v>18059</v>
      </c>
    </row>
    <row r="199" spans="1:15" x14ac:dyDescent="0.3">
      <c r="A199" s="12" t="s">
        <v>362</v>
      </c>
      <c r="B199" s="12" t="s">
        <v>363</v>
      </c>
      <c r="C199" s="12" t="s">
        <v>44</v>
      </c>
      <c r="D199" s="12" t="s">
        <v>45</v>
      </c>
      <c r="E199" s="12" t="s">
        <v>16</v>
      </c>
      <c r="F199" s="12" t="s">
        <v>39</v>
      </c>
      <c r="G199" s="12" t="s">
        <v>26</v>
      </c>
      <c r="H199" s="12">
        <v>14302</v>
      </c>
      <c r="I199" s="12" t="s">
        <v>33</v>
      </c>
      <c r="J199" s="26">
        <v>0.3</v>
      </c>
      <c r="K199" s="12">
        <v>13000</v>
      </c>
      <c r="L199" s="14">
        <v>45296</v>
      </c>
      <c r="M199" s="8" t="str">
        <f t="shared" si="9"/>
        <v>Below Target</v>
      </c>
      <c r="N199" s="20">
        <f t="shared" si="10"/>
        <v>30</v>
      </c>
      <c r="O199" s="22">
        <f t="shared" si="11"/>
        <v>10011.4</v>
      </c>
    </row>
    <row r="200" spans="1:15" x14ac:dyDescent="0.3">
      <c r="A200" s="12" t="s">
        <v>364</v>
      </c>
      <c r="B200" s="12" t="s">
        <v>309</v>
      </c>
      <c r="C200" s="12" t="s">
        <v>14</v>
      </c>
      <c r="D200" s="12" t="s">
        <v>15</v>
      </c>
      <c r="E200" s="12" t="s">
        <v>46</v>
      </c>
      <c r="F200" s="12" t="s">
        <v>25</v>
      </c>
      <c r="G200" s="12" t="s">
        <v>36</v>
      </c>
      <c r="H200" s="12">
        <v>15773</v>
      </c>
      <c r="I200" s="12" t="s">
        <v>22</v>
      </c>
      <c r="J200" s="26">
        <v>0.1</v>
      </c>
      <c r="K200" s="12">
        <v>14000</v>
      </c>
      <c r="L200" s="14">
        <v>45347</v>
      </c>
      <c r="M200" s="8" t="str">
        <f t="shared" si="9"/>
        <v>Below Target</v>
      </c>
      <c r="N200" s="20">
        <f t="shared" si="10"/>
        <v>10</v>
      </c>
      <c r="O200" s="22">
        <f t="shared" si="11"/>
        <v>14195.7</v>
      </c>
    </row>
    <row r="201" spans="1:15" x14ac:dyDescent="0.3">
      <c r="A201" s="12" t="s">
        <v>365</v>
      </c>
      <c r="B201" s="12" t="s">
        <v>38</v>
      </c>
      <c r="C201" s="12" t="s">
        <v>61</v>
      </c>
      <c r="D201" s="12" t="s">
        <v>62</v>
      </c>
      <c r="E201" s="12" t="s">
        <v>16</v>
      </c>
      <c r="F201" s="12" t="s">
        <v>17</v>
      </c>
      <c r="G201" s="12" t="s">
        <v>26</v>
      </c>
      <c r="H201" s="12">
        <v>9622</v>
      </c>
      <c r="I201" s="12"/>
      <c r="J201" s="26"/>
      <c r="K201" s="12">
        <v>9000</v>
      </c>
      <c r="L201" s="14">
        <v>45310</v>
      </c>
      <c r="M201" s="8" t="str">
        <f t="shared" si="9"/>
        <v>Target Achieved</v>
      </c>
      <c r="N201" s="20">
        <f t="shared" si="10"/>
        <v>0</v>
      </c>
      <c r="O201" s="22">
        <f t="shared" si="11"/>
        <v>9622</v>
      </c>
    </row>
    <row r="202" spans="1:15" x14ac:dyDescent="0.3">
      <c r="A202" s="12" t="s">
        <v>366</v>
      </c>
      <c r="B202" s="12" t="s">
        <v>66</v>
      </c>
      <c r="C202" s="12" t="s">
        <v>14</v>
      </c>
      <c r="D202" s="12" t="s">
        <v>15</v>
      </c>
      <c r="E202" s="12" t="s">
        <v>46</v>
      </c>
      <c r="F202" s="12" t="s">
        <v>25</v>
      </c>
      <c r="G202" s="12" t="s">
        <v>26</v>
      </c>
      <c r="H202" s="12">
        <v>13884</v>
      </c>
      <c r="I202" s="12" t="s">
        <v>33</v>
      </c>
      <c r="J202" s="26">
        <v>0.3</v>
      </c>
      <c r="K202" s="12">
        <v>14000</v>
      </c>
      <c r="L202" s="14">
        <v>45297</v>
      </c>
      <c r="M202" s="8" t="str">
        <f t="shared" si="9"/>
        <v>Below Target</v>
      </c>
      <c r="N202" s="20">
        <f t="shared" si="10"/>
        <v>30</v>
      </c>
      <c r="O202" s="22">
        <f t="shared" si="11"/>
        <v>9718.7999999999993</v>
      </c>
    </row>
    <row r="203" spans="1:15" x14ac:dyDescent="0.3">
      <c r="A203" s="12" t="s">
        <v>367</v>
      </c>
      <c r="B203" s="12" t="s">
        <v>309</v>
      </c>
      <c r="C203" s="12" t="s">
        <v>14</v>
      </c>
      <c r="D203" s="12" t="s">
        <v>15</v>
      </c>
      <c r="E203" s="12" t="s">
        <v>32</v>
      </c>
      <c r="F203" s="12" t="s">
        <v>17</v>
      </c>
      <c r="G203" s="12" t="s">
        <v>26</v>
      </c>
      <c r="H203" s="12">
        <v>13640</v>
      </c>
      <c r="I203" s="12" t="s">
        <v>27</v>
      </c>
      <c r="J203" s="26"/>
      <c r="K203" s="12">
        <v>14000</v>
      </c>
      <c r="L203" s="14">
        <v>45297</v>
      </c>
      <c r="M203" s="8" t="str">
        <f t="shared" si="9"/>
        <v>Below Target</v>
      </c>
      <c r="N203" s="20">
        <f t="shared" si="10"/>
        <v>15</v>
      </c>
      <c r="O203" s="22">
        <f t="shared" si="11"/>
        <v>11594</v>
      </c>
    </row>
    <row r="204" spans="1:15" x14ac:dyDescent="0.3">
      <c r="A204" s="12" t="s">
        <v>368</v>
      </c>
      <c r="B204" s="12" t="s">
        <v>309</v>
      </c>
      <c r="C204" s="12" t="s">
        <v>30</v>
      </c>
      <c r="D204" s="12" t="s">
        <v>31</v>
      </c>
      <c r="E204" s="12" t="s">
        <v>16</v>
      </c>
      <c r="F204" s="12" t="s">
        <v>17</v>
      </c>
      <c r="G204" s="12" t="s">
        <v>18</v>
      </c>
      <c r="H204" s="12">
        <v>16364</v>
      </c>
      <c r="I204" s="12" t="s">
        <v>19</v>
      </c>
      <c r="J204" s="26">
        <v>0.2</v>
      </c>
      <c r="K204" s="12">
        <v>17000</v>
      </c>
      <c r="L204" s="14">
        <v>45296</v>
      </c>
      <c r="M204" s="8" t="str">
        <f t="shared" si="9"/>
        <v>Below Target</v>
      </c>
      <c r="N204" s="20">
        <f t="shared" si="10"/>
        <v>20</v>
      </c>
      <c r="O204" s="22">
        <f t="shared" si="11"/>
        <v>13091.2</v>
      </c>
    </row>
    <row r="205" spans="1:15" x14ac:dyDescent="0.3">
      <c r="A205" s="12" t="s">
        <v>369</v>
      </c>
      <c r="B205" s="12" t="s">
        <v>202</v>
      </c>
      <c r="C205" s="12" t="s">
        <v>14</v>
      </c>
      <c r="D205" s="12" t="s">
        <v>15</v>
      </c>
      <c r="E205" s="12" t="s">
        <v>16</v>
      </c>
      <c r="F205" s="12" t="s">
        <v>39</v>
      </c>
      <c r="G205" s="12" t="s">
        <v>18</v>
      </c>
      <c r="H205" s="12">
        <v>15710</v>
      </c>
      <c r="I205" s="12" t="s">
        <v>33</v>
      </c>
      <c r="J205" s="26">
        <v>0.3</v>
      </c>
      <c r="K205" s="12">
        <v>14000</v>
      </c>
      <c r="L205" s="14">
        <v>45314</v>
      </c>
      <c r="M205" s="8" t="str">
        <f t="shared" si="9"/>
        <v>Below Target</v>
      </c>
      <c r="N205" s="20">
        <f t="shared" si="10"/>
        <v>30</v>
      </c>
      <c r="O205" s="22">
        <f t="shared" si="11"/>
        <v>10997</v>
      </c>
    </row>
    <row r="206" spans="1:15" x14ac:dyDescent="0.3">
      <c r="A206" s="12" t="s">
        <v>370</v>
      </c>
      <c r="B206" s="12" t="s">
        <v>371</v>
      </c>
      <c r="C206" s="12" t="s">
        <v>44</v>
      </c>
      <c r="D206" s="12" t="s">
        <v>45</v>
      </c>
      <c r="E206" s="12" t="s">
        <v>32</v>
      </c>
      <c r="F206" s="12" t="s">
        <v>25</v>
      </c>
      <c r="G206" s="12" t="s">
        <v>18</v>
      </c>
      <c r="H206" s="12">
        <v>12048</v>
      </c>
      <c r="I206" s="12" t="s">
        <v>19</v>
      </c>
      <c r="J206" s="26">
        <v>0.2</v>
      </c>
      <c r="K206" s="12">
        <v>13000</v>
      </c>
      <c r="L206" s="14">
        <v>45303</v>
      </c>
      <c r="M206" s="8" t="str">
        <f t="shared" si="9"/>
        <v>Below Target</v>
      </c>
      <c r="N206" s="20">
        <f t="shared" si="10"/>
        <v>20</v>
      </c>
      <c r="O206" s="22">
        <f t="shared" si="11"/>
        <v>9638.4</v>
      </c>
    </row>
    <row r="207" spans="1:15" x14ac:dyDescent="0.3">
      <c r="A207" s="12" t="s">
        <v>372</v>
      </c>
      <c r="B207" s="12" t="s">
        <v>373</v>
      </c>
      <c r="C207" s="12" t="s">
        <v>14</v>
      </c>
      <c r="D207" s="12" t="s">
        <v>15</v>
      </c>
      <c r="E207" s="12" t="s">
        <v>32</v>
      </c>
      <c r="F207" s="12" t="s">
        <v>39</v>
      </c>
      <c r="G207" s="12" t="s">
        <v>36</v>
      </c>
      <c r="H207" s="12">
        <v>13900</v>
      </c>
      <c r="I207" s="12" t="s">
        <v>27</v>
      </c>
      <c r="J207" s="26"/>
      <c r="K207" s="12">
        <v>14000</v>
      </c>
      <c r="L207" s="14">
        <v>45340</v>
      </c>
      <c r="M207" s="8" t="str">
        <f t="shared" si="9"/>
        <v>Below Target</v>
      </c>
      <c r="N207" s="20">
        <f t="shared" si="10"/>
        <v>15</v>
      </c>
      <c r="O207" s="22">
        <f t="shared" si="11"/>
        <v>11815</v>
      </c>
    </row>
    <row r="208" spans="1:15" x14ac:dyDescent="0.3">
      <c r="A208" s="12" t="s">
        <v>374</v>
      </c>
      <c r="B208" s="12" t="s">
        <v>356</v>
      </c>
      <c r="C208" s="12" t="s">
        <v>30</v>
      </c>
      <c r="D208" s="12" t="s">
        <v>31</v>
      </c>
      <c r="E208" s="12" t="s">
        <v>16</v>
      </c>
      <c r="F208" s="12" t="s">
        <v>17</v>
      </c>
      <c r="G208" s="12" t="s">
        <v>18</v>
      </c>
      <c r="H208" s="12">
        <v>16801</v>
      </c>
      <c r="I208" s="12" t="s">
        <v>22</v>
      </c>
      <c r="J208" s="26">
        <v>0.1</v>
      </c>
      <c r="K208" s="12">
        <v>17000</v>
      </c>
      <c r="L208" s="14">
        <v>45322</v>
      </c>
      <c r="M208" s="8" t="str">
        <f t="shared" si="9"/>
        <v>Below Target</v>
      </c>
      <c r="N208" s="20">
        <f t="shared" si="10"/>
        <v>10</v>
      </c>
      <c r="O208" s="22">
        <f t="shared" si="11"/>
        <v>15120.9</v>
      </c>
    </row>
    <row r="209" spans="1:15" x14ac:dyDescent="0.3">
      <c r="A209" s="12" t="s">
        <v>375</v>
      </c>
      <c r="B209" s="12" t="s">
        <v>332</v>
      </c>
      <c r="C209" s="12" t="s">
        <v>30</v>
      </c>
      <c r="D209" s="12" t="s">
        <v>31</v>
      </c>
      <c r="E209" s="12" t="s">
        <v>46</v>
      </c>
      <c r="F209" s="12" t="s">
        <v>39</v>
      </c>
      <c r="G209" s="12" t="s">
        <v>18</v>
      </c>
      <c r="H209" s="12">
        <v>16441</v>
      </c>
      <c r="I209" s="12" t="s">
        <v>27</v>
      </c>
      <c r="J209" s="26"/>
      <c r="K209" s="12">
        <v>17000</v>
      </c>
      <c r="L209" s="14">
        <v>45296</v>
      </c>
      <c r="M209" s="8" t="str">
        <f t="shared" si="9"/>
        <v>Below Target</v>
      </c>
      <c r="N209" s="20">
        <f t="shared" si="10"/>
        <v>15</v>
      </c>
      <c r="O209" s="22">
        <f t="shared" si="11"/>
        <v>13974.85</v>
      </c>
    </row>
    <row r="210" spans="1:15" x14ac:dyDescent="0.3">
      <c r="A210" s="12" t="s">
        <v>376</v>
      </c>
      <c r="B210" s="12" t="s">
        <v>48</v>
      </c>
      <c r="C210" s="12" t="s">
        <v>61</v>
      </c>
      <c r="D210" s="12" t="s">
        <v>62</v>
      </c>
      <c r="E210" s="12" t="s">
        <v>32</v>
      </c>
      <c r="F210" s="12" t="s">
        <v>25</v>
      </c>
      <c r="G210" s="12" t="s">
        <v>36</v>
      </c>
      <c r="H210" s="12">
        <v>10406</v>
      </c>
      <c r="I210" s="12" t="s">
        <v>33</v>
      </c>
      <c r="J210" s="26">
        <v>0.3</v>
      </c>
      <c r="K210" s="12">
        <v>9000</v>
      </c>
      <c r="L210" s="14">
        <v>45296</v>
      </c>
      <c r="M210" s="8" t="str">
        <f t="shared" si="9"/>
        <v>Below Target</v>
      </c>
      <c r="N210" s="20">
        <f t="shared" si="10"/>
        <v>30</v>
      </c>
      <c r="O210" s="22">
        <f t="shared" si="11"/>
        <v>7284.2</v>
      </c>
    </row>
    <row r="211" spans="1:15" x14ac:dyDescent="0.3">
      <c r="A211" s="12" t="s">
        <v>377</v>
      </c>
      <c r="B211" s="12" t="s">
        <v>204</v>
      </c>
      <c r="C211" s="12" t="s">
        <v>14</v>
      </c>
      <c r="D211" s="12" t="s">
        <v>15</v>
      </c>
      <c r="E211" s="12" t="s">
        <v>16</v>
      </c>
      <c r="F211" s="12" t="s">
        <v>39</v>
      </c>
      <c r="G211" s="12" t="s">
        <v>26</v>
      </c>
      <c r="H211" s="12">
        <v>13574</v>
      </c>
      <c r="I211" s="12"/>
      <c r="J211" s="26"/>
      <c r="K211" s="12">
        <v>14000</v>
      </c>
      <c r="L211" s="14">
        <v>45329</v>
      </c>
      <c r="M211" s="8" t="str">
        <f t="shared" si="9"/>
        <v>Target Achieved</v>
      </c>
      <c r="N211" s="20">
        <f t="shared" si="10"/>
        <v>0</v>
      </c>
      <c r="O211" s="22">
        <f t="shared" si="11"/>
        <v>13574</v>
      </c>
    </row>
    <row r="212" spans="1:15" x14ac:dyDescent="0.3">
      <c r="A212" s="12" t="s">
        <v>378</v>
      </c>
      <c r="B212" s="12" t="s">
        <v>82</v>
      </c>
      <c r="C212" s="12" t="s">
        <v>14</v>
      </c>
      <c r="D212" s="12" t="s">
        <v>15</v>
      </c>
      <c r="E212" s="12" t="s">
        <v>46</v>
      </c>
      <c r="F212" s="12" t="s">
        <v>39</v>
      </c>
      <c r="G212" s="12" t="s">
        <v>26</v>
      </c>
      <c r="H212" s="12">
        <v>12771</v>
      </c>
      <c r="I212" s="12" t="s">
        <v>33</v>
      </c>
      <c r="J212" s="26">
        <v>0.3</v>
      </c>
      <c r="K212" s="12">
        <v>14000</v>
      </c>
      <c r="L212" s="14">
        <v>45330</v>
      </c>
      <c r="M212" s="8" t="str">
        <f t="shared" si="9"/>
        <v>Below Target</v>
      </c>
      <c r="N212" s="20">
        <f t="shared" si="10"/>
        <v>30</v>
      </c>
      <c r="O212" s="22">
        <f t="shared" si="11"/>
        <v>8939.7000000000007</v>
      </c>
    </row>
    <row r="213" spans="1:15" x14ac:dyDescent="0.3">
      <c r="A213" s="12" t="s">
        <v>379</v>
      </c>
      <c r="B213" s="12" t="s">
        <v>330</v>
      </c>
      <c r="C213" s="12" t="s">
        <v>44</v>
      </c>
      <c r="D213" s="12" t="s">
        <v>45</v>
      </c>
      <c r="E213" s="12" t="s">
        <v>32</v>
      </c>
      <c r="F213" s="12" t="s">
        <v>17</v>
      </c>
      <c r="G213" s="12" t="s">
        <v>18</v>
      </c>
      <c r="H213" s="12">
        <v>14321</v>
      </c>
      <c r="I213" s="12" t="s">
        <v>33</v>
      </c>
      <c r="J213" s="26">
        <v>0.3</v>
      </c>
      <c r="K213" s="12">
        <v>13000</v>
      </c>
      <c r="L213" s="14">
        <v>45337</v>
      </c>
      <c r="M213" s="8" t="str">
        <f t="shared" si="9"/>
        <v>Below Target</v>
      </c>
      <c r="N213" s="20">
        <f t="shared" si="10"/>
        <v>30</v>
      </c>
      <c r="O213" s="22">
        <f t="shared" si="11"/>
        <v>10024.700000000001</v>
      </c>
    </row>
    <row r="214" spans="1:15" x14ac:dyDescent="0.3">
      <c r="A214" s="12" t="s">
        <v>380</v>
      </c>
      <c r="B214" s="12" t="s">
        <v>241</v>
      </c>
      <c r="C214" s="12" t="s">
        <v>44</v>
      </c>
      <c r="D214" s="12" t="s">
        <v>45</v>
      </c>
      <c r="E214" s="12" t="s">
        <v>32</v>
      </c>
      <c r="F214" s="12" t="s">
        <v>25</v>
      </c>
      <c r="G214" s="12" t="s">
        <v>26</v>
      </c>
      <c r="H214" s="12">
        <v>12793</v>
      </c>
      <c r="I214" s="12"/>
      <c r="J214" s="26"/>
      <c r="K214" s="12">
        <v>13000</v>
      </c>
      <c r="L214" s="14">
        <v>45325</v>
      </c>
      <c r="M214" s="8" t="str">
        <f t="shared" si="9"/>
        <v>Target Achieved</v>
      </c>
      <c r="N214" s="20">
        <f t="shared" si="10"/>
        <v>0</v>
      </c>
      <c r="O214" s="22">
        <f t="shared" si="11"/>
        <v>12793</v>
      </c>
    </row>
    <row r="215" spans="1:15" x14ac:dyDescent="0.3">
      <c r="A215" s="12" t="s">
        <v>381</v>
      </c>
      <c r="B215" s="12" t="s">
        <v>382</v>
      </c>
      <c r="C215" s="12" t="s">
        <v>44</v>
      </c>
      <c r="D215" s="12" t="s">
        <v>45</v>
      </c>
      <c r="E215" s="12" t="s">
        <v>46</v>
      </c>
      <c r="F215" s="12" t="s">
        <v>17</v>
      </c>
      <c r="G215" s="12" t="s">
        <v>36</v>
      </c>
      <c r="H215" s="12">
        <v>12586</v>
      </c>
      <c r="I215" s="12"/>
      <c r="J215" s="26"/>
      <c r="K215" s="12">
        <v>13000</v>
      </c>
      <c r="L215" s="14">
        <v>45341</v>
      </c>
      <c r="M215" s="8" t="str">
        <f t="shared" si="9"/>
        <v>Target Achieved</v>
      </c>
      <c r="N215" s="20">
        <f t="shared" si="10"/>
        <v>0</v>
      </c>
      <c r="O215" s="22">
        <f t="shared" si="11"/>
        <v>12586</v>
      </c>
    </row>
    <row r="216" spans="1:15" x14ac:dyDescent="0.3">
      <c r="A216" s="12" t="s">
        <v>383</v>
      </c>
      <c r="B216" s="12" t="s">
        <v>150</v>
      </c>
      <c r="C216" s="12" t="s">
        <v>14</v>
      </c>
      <c r="D216" s="12" t="s">
        <v>15</v>
      </c>
      <c r="E216" s="12" t="s">
        <v>16</v>
      </c>
      <c r="F216" s="12" t="s">
        <v>39</v>
      </c>
      <c r="G216" s="12" t="s">
        <v>36</v>
      </c>
      <c r="H216" s="12">
        <v>12269</v>
      </c>
      <c r="I216" s="12" t="s">
        <v>33</v>
      </c>
      <c r="J216" s="26">
        <v>0.3</v>
      </c>
      <c r="K216" s="12">
        <v>14000</v>
      </c>
      <c r="L216" s="14">
        <v>45298</v>
      </c>
      <c r="M216" s="8" t="str">
        <f t="shared" si="9"/>
        <v>Below Target</v>
      </c>
      <c r="N216" s="20">
        <f t="shared" si="10"/>
        <v>30</v>
      </c>
      <c r="O216" s="22">
        <f t="shared" si="11"/>
        <v>8588.2999999999993</v>
      </c>
    </row>
    <row r="217" spans="1:15" x14ac:dyDescent="0.3">
      <c r="A217" s="12" t="s">
        <v>384</v>
      </c>
      <c r="B217" s="12" t="s">
        <v>202</v>
      </c>
      <c r="C217" s="12" t="s">
        <v>61</v>
      </c>
      <c r="D217" s="12" t="s">
        <v>62</v>
      </c>
      <c r="E217" s="12" t="s">
        <v>46</v>
      </c>
      <c r="F217" s="12" t="s">
        <v>17</v>
      </c>
      <c r="G217" s="12" t="s">
        <v>26</v>
      </c>
      <c r="H217" s="12">
        <v>10488</v>
      </c>
      <c r="I217" s="12" t="s">
        <v>27</v>
      </c>
      <c r="J217" s="26"/>
      <c r="K217" s="12">
        <v>9000</v>
      </c>
      <c r="L217" s="14">
        <v>45347</v>
      </c>
      <c r="M217" s="8" t="str">
        <f t="shared" si="9"/>
        <v>Below Target</v>
      </c>
      <c r="N217" s="20">
        <f t="shared" si="10"/>
        <v>15</v>
      </c>
      <c r="O217" s="22">
        <f t="shared" si="11"/>
        <v>8914.7999999999993</v>
      </c>
    </row>
    <row r="218" spans="1:15" x14ac:dyDescent="0.3">
      <c r="A218" s="12" t="s">
        <v>385</v>
      </c>
      <c r="B218" s="12" t="s">
        <v>74</v>
      </c>
      <c r="C218" s="12" t="s">
        <v>14</v>
      </c>
      <c r="D218" s="12" t="s">
        <v>15</v>
      </c>
      <c r="E218" s="12" t="s">
        <v>16</v>
      </c>
      <c r="F218" s="12" t="s">
        <v>39</v>
      </c>
      <c r="G218" s="12" t="s">
        <v>18</v>
      </c>
      <c r="H218" s="12">
        <v>15754</v>
      </c>
      <c r="I218" s="12" t="s">
        <v>33</v>
      </c>
      <c r="J218" s="26">
        <v>0.3</v>
      </c>
      <c r="K218" s="12">
        <v>14000</v>
      </c>
      <c r="L218" s="14">
        <v>45311</v>
      </c>
      <c r="M218" s="8" t="str">
        <f t="shared" si="9"/>
        <v>Below Target</v>
      </c>
      <c r="N218" s="20">
        <f t="shared" si="10"/>
        <v>30</v>
      </c>
      <c r="O218" s="22">
        <f t="shared" si="11"/>
        <v>11027.8</v>
      </c>
    </row>
    <row r="219" spans="1:15" x14ac:dyDescent="0.3">
      <c r="A219" s="12" t="s">
        <v>386</v>
      </c>
      <c r="B219" s="12" t="s">
        <v>305</v>
      </c>
      <c r="C219" s="12" t="s">
        <v>61</v>
      </c>
      <c r="D219" s="12" t="s">
        <v>62</v>
      </c>
      <c r="E219" s="12" t="s">
        <v>32</v>
      </c>
      <c r="F219" s="12" t="s">
        <v>39</v>
      </c>
      <c r="G219" s="12" t="s">
        <v>26</v>
      </c>
      <c r="H219" s="12">
        <v>10842</v>
      </c>
      <c r="I219" s="12" t="s">
        <v>22</v>
      </c>
      <c r="J219" s="26">
        <v>0.1</v>
      </c>
      <c r="K219" s="12">
        <v>9000</v>
      </c>
      <c r="L219" s="14">
        <v>45311</v>
      </c>
      <c r="M219" s="8" t="str">
        <f t="shared" si="9"/>
        <v>Below Target</v>
      </c>
      <c r="N219" s="20">
        <f t="shared" si="10"/>
        <v>10</v>
      </c>
      <c r="O219" s="22">
        <f t="shared" si="11"/>
        <v>9757.7999999999993</v>
      </c>
    </row>
    <row r="220" spans="1:15" x14ac:dyDescent="0.3">
      <c r="A220" s="12" t="s">
        <v>387</v>
      </c>
      <c r="B220" s="12" t="s">
        <v>388</v>
      </c>
      <c r="C220" s="12" t="s">
        <v>30</v>
      </c>
      <c r="D220" s="12" t="s">
        <v>31</v>
      </c>
      <c r="E220" s="12" t="s">
        <v>32</v>
      </c>
      <c r="F220" s="12" t="s">
        <v>39</v>
      </c>
      <c r="G220" s="12" t="s">
        <v>26</v>
      </c>
      <c r="H220" s="12">
        <v>18395</v>
      </c>
      <c r="I220" s="12" t="s">
        <v>27</v>
      </c>
      <c r="J220" s="26"/>
      <c r="K220" s="12">
        <v>17000</v>
      </c>
      <c r="L220" s="14">
        <v>45297</v>
      </c>
      <c r="M220" s="8" t="str">
        <f t="shared" si="9"/>
        <v>Below Target</v>
      </c>
      <c r="N220" s="20">
        <f t="shared" si="10"/>
        <v>15</v>
      </c>
      <c r="O220" s="22">
        <f t="shared" si="11"/>
        <v>15635.75</v>
      </c>
    </row>
    <row r="221" spans="1:15" x14ac:dyDescent="0.3">
      <c r="A221" s="12" t="s">
        <v>389</v>
      </c>
      <c r="B221" s="12" t="s">
        <v>92</v>
      </c>
      <c r="C221" s="12" t="s">
        <v>61</v>
      </c>
      <c r="D221" s="12" t="s">
        <v>62</v>
      </c>
      <c r="E221" s="12" t="s">
        <v>16</v>
      </c>
      <c r="F221" s="12" t="s">
        <v>17</v>
      </c>
      <c r="G221" s="12" t="s">
        <v>18</v>
      </c>
      <c r="H221" s="12">
        <v>8485</v>
      </c>
      <c r="I221" s="12" t="s">
        <v>33</v>
      </c>
      <c r="J221" s="26">
        <v>0.3</v>
      </c>
      <c r="K221" s="12">
        <v>9000</v>
      </c>
      <c r="L221" s="14">
        <v>45303</v>
      </c>
      <c r="M221" s="8" t="str">
        <f t="shared" si="9"/>
        <v>Below Target</v>
      </c>
      <c r="N221" s="20">
        <f t="shared" si="10"/>
        <v>30</v>
      </c>
      <c r="O221" s="22">
        <f t="shared" si="11"/>
        <v>5939.5</v>
      </c>
    </row>
    <row r="222" spans="1:15" x14ac:dyDescent="0.3">
      <c r="A222" s="12" t="s">
        <v>390</v>
      </c>
      <c r="B222" s="12" t="s">
        <v>391</v>
      </c>
      <c r="C222" s="12" t="s">
        <v>61</v>
      </c>
      <c r="D222" s="12" t="s">
        <v>62</v>
      </c>
      <c r="E222" s="12" t="s">
        <v>32</v>
      </c>
      <c r="F222" s="12" t="s">
        <v>25</v>
      </c>
      <c r="G222" s="12" t="s">
        <v>18</v>
      </c>
      <c r="H222" s="12">
        <v>7634</v>
      </c>
      <c r="I222" s="12" t="s">
        <v>22</v>
      </c>
      <c r="J222" s="26">
        <v>0.1</v>
      </c>
      <c r="K222" s="12">
        <v>9000</v>
      </c>
      <c r="L222" s="14">
        <v>45310</v>
      </c>
      <c r="M222" s="8" t="str">
        <f t="shared" si="9"/>
        <v>Below Target</v>
      </c>
      <c r="N222" s="20">
        <f t="shared" si="10"/>
        <v>10</v>
      </c>
      <c r="O222" s="22">
        <f t="shared" si="11"/>
        <v>6870.6</v>
      </c>
    </row>
    <row r="223" spans="1:15" x14ac:dyDescent="0.3">
      <c r="A223" s="12" t="s">
        <v>392</v>
      </c>
      <c r="B223" s="12" t="s">
        <v>393</v>
      </c>
      <c r="C223" s="12" t="s">
        <v>14</v>
      </c>
      <c r="D223" s="12" t="s">
        <v>15</v>
      </c>
      <c r="E223" s="12" t="s">
        <v>16</v>
      </c>
      <c r="F223" s="12" t="s">
        <v>39</v>
      </c>
      <c r="G223" s="12" t="s">
        <v>26</v>
      </c>
      <c r="H223" s="12">
        <v>15619</v>
      </c>
      <c r="I223" s="12" t="s">
        <v>27</v>
      </c>
      <c r="J223" s="26"/>
      <c r="K223" s="12">
        <v>14000</v>
      </c>
      <c r="L223" s="14">
        <v>45294</v>
      </c>
      <c r="M223" s="8" t="str">
        <f t="shared" si="9"/>
        <v>Below Target</v>
      </c>
      <c r="N223" s="20">
        <f t="shared" si="10"/>
        <v>15</v>
      </c>
      <c r="O223" s="22">
        <f t="shared" si="11"/>
        <v>13276.15</v>
      </c>
    </row>
    <row r="224" spans="1:15" x14ac:dyDescent="0.3">
      <c r="A224" s="12" t="s">
        <v>394</v>
      </c>
      <c r="B224" s="12" t="s">
        <v>317</v>
      </c>
      <c r="C224" s="12" t="s">
        <v>44</v>
      </c>
      <c r="D224" s="12" t="s">
        <v>45</v>
      </c>
      <c r="E224" s="12" t="s">
        <v>16</v>
      </c>
      <c r="F224" s="12" t="s">
        <v>17</v>
      </c>
      <c r="G224" s="12" t="s">
        <v>18</v>
      </c>
      <c r="H224" s="12">
        <v>11664</v>
      </c>
      <c r="I224" s="12" t="s">
        <v>19</v>
      </c>
      <c r="J224" s="26">
        <v>0.2</v>
      </c>
      <c r="K224" s="12">
        <v>13000</v>
      </c>
      <c r="L224" s="14">
        <v>45345</v>
      </c>
      <c r="M224" s="8" t="str">
        <f t="shared" si="9"/>
        <v>Below Target</v>
      </c>
      <c r="N224" s="20">
        <f t="shared" si="10"/>
        <v>20</v>
      </c>
      <c r="O224" s="22">
        <f t="shared" si="11"/>
        <v>9331.2000000000007</v>
      </c>
    </row>
    <row r="225" spans="1:15" x14ac:dyDescent="0.3">
      <c r="A225" s="12" t="s">
        <v>395</v>
      </c>
      <c r="B225" s="12" t="s">
        <v>276</v>
      </c>
      <c r="C225" s="12" t="s">
        <v>44</v>
      </c>
      <c r="D225" s="12" t="s">
        <v>45</v>
      </c>
      <c r="E225" s="12" t="s">
        <v>16</v>
      </c>
      <c r="F225" s="12" t="s">
        <v>17</v>
      </c>
      <c r="G225" s="12" t="s">
        <v>18</v>
      </c>
      <c r="H225" s="12">
        <v>12682</v>
      </c>
      <c r="I225" s="12" t="s">
        <v>33</v>
      </c>
      <c r="J225" s="26">
        <v>0.3</v>
      </c>
      <c r="K225" s="12">
        <v>13000</v>
      </c>
      <c r="L225" s="14">
        <v>45335</v>
      </c>
      <c r="M225" s="8" t="str">
        <f t="shared" si="9"/>
        <v>Below Target</v>
      </c>
      <c r="N225" s="20">
        <f t="shared" si="10"/>
        <v>30</v>
      </c>
      <c r="O225" s="22">
        <f t="shared" si="11"/>
        <v>8877.4</v>
      </c>
    </row>
    <row r="226" spans="1:15" x14ac:dyDescent="0.3">
      <c r="A226" s="12" t="s">
        <v>396</v>
      </c>
      <c r="B226" s="12" t="s">
        <v>397</v>
      </c>
      <c r="C226" s="12" t="s">
        <v>61</v>
      </c>
      <c r="D226" s="12" t="s">
        <v>62</v>
      </c>
      <c r="E226" s="12" t="s">
        <v>16</v>
      </c>
      <c r="F226" s="12" t="s">
        <v>17</v>
      </c>
      <c r="G226" s="12" t="s">
        <v>26</v>
      </c>
      <c r="H226" s="12">
        <v>10210</v>
      </c>
      <c r="I226" s="12"/>
      <c r="J226" s="26"/>
      <c r="K226" s="12">
        <v>9000</v>
      </c>
      <c r="L226" s="14">
        <v>45306</v>
      </c>
      <c r="M226" s="8" t="str">
        <f t="shared" si="9"/>
        <v>Target Achieved</v>
      </c>
      <c r="N226" s="20">
        <f t="shared" si="10"/>
        <v>0</v>
      </c>
      <c r="O226" s="22">
        <f t="shared" si="11"/>
        <v>10210</v>
      </c>
    </row>
    <row r="227" spans="1:15" x14ac:dyDescent="0.3">
      <c r="A227" s="12" t="s">
        <v>398</v>
      </c>
      <c r="B227" s="12" t="s">
        <v>346</v>
      </c>
      <c r="C227" s="12" t="s">
        <v>30</v>
      </c>
      <c r="D227" s="12" t="s">
        <v>31</v>
      </c>
      <c r="E227" s="12" t="s">
        <v>46</v>
      </c>
      <c r="F227" s="12" t="s">
        <v>25</v>
      </c>
      <c r="G227" s="12" t="s">
        <v>36</v>
      </c>
      <c r="H227" s="12">
        <v>17778</v>
      </c>
      <c r="I227" s="12" t="s">
        <v>27</v>
      </c>
      <c r="J227" s="26"/>
      <c r="K227" s="12">
        <v>17000</v>
      </c>
      <c r="L227" s="14">
        <v>45320</v>
      </c>
      <c r="M227" s="8" t="str">
        <f t="shared" si="9"/>
        <v>Below Target</v>
      </c>
      <c r="N227" s="20">
        <f t="shared" si="10"/>
        <v>15</v>
      </c>
      <c r="O227" s="22">
        <f t="shared" si="11"/>
        <v>15111.3</v>
      </c>
    </row>
    <row r="228" spans="1:15" x14ac:dyDescent="0.3">
      <c r="A228" s="12" t="s">
        <v>399</v>
      </c>
      <c r="B228" s="12" t="s">
        <v>157</v>
      </c>
      <c r="C228" s="12" t="s">
        <v>30</v>
      </c>
      <c r="D228" s="12" t="s">
        <v>31</v>
      </c>
      <c r="E228" s="12" t="s">
        <v>46</v>
      </c>
      <c r="F228" s="12" t="s">
        <v>39</v>
      </c>
      <c r="G228" s="12" t="s">
        <v>26</v>
      </c>
      <c r="H228" s="12">
        <v>16714</v>
      </c>
      <c r="I228" s="12" t="s">
        <v>19</v>
      </c>
      <c r="J228" s="26">
        <v>0.2</v>
      </c>
      <c r="K228" s="12">
        <v>17000</v>
      </c>
      <c r="L228" s="14">
        <v>45344</v>
      </c>
      <c r="M228" s="8" t="str">
        <f t="shared" si="9"/>
        <v>Below Target</v>
      </c>
      <c r="N228" s="20">
        <f t="shared" si="10"/>
        <v>20</v>
      </c>
      <c r="O228" s="22">
        <f t="shared" si="11"/>
        <v>13371.2</v>
      </c>
    </row>
    <row r="229" spans="1:15" x14ac:dyDescent="0.3">
      <c r="A229" s="12" t="s">
        <v>400</v>
      </c>
      <c r="B229" s="12" t="s">
        <v>401</v>
      </c>
      <c r="C229" s="12" t="s">
        <v>44</v>
      </c>
      <c r="D229" s="12" t="s">
        <v>45</v>
      </c>
      <c r="E229" s="12" t="s">
        <v>46</v>
      </c>
      <c r="F229" s="12" t="s">
        <v>25</v>
      </c>
      <c r="G229" s="12" t="s">
        <v>26</v>
      </c>
      <c r="H229" s="12">
        <v>12968</v>
      </c>
      <c r="I229" s="12" t="s">
        <v>33</v>
      </c>
      <c r="J229" s="26">
        <v>0.3</v>
      </c>
      <c r="K229" s="12">
        <v>13000</v>
      </c>
      <c r="L229" s="14">
        <v>45327</v>
      </c>
      <c r="M229" s="8" t="str">
        <f t="shared" si="9"/>
        <v>Below Target</v>
      </c>
      <c r="N229" s="20">
        <f t="shared" si="10"/>
        <v>30</v>
      </c>
      <c r="O229" s="22">
        <f t="shared" si="11"/>
        <v>9077.6</v>
      </c>
    </row>
    <row r="230" spans="1:15" x14ac:dyDescent="0.3">
      <c r="A230" s="12" t="s">
        <v>402</v>
      </c>
      <c r="B230" s="12" t="s">
        <v>403</v>
      </c>
      <c r="C230" s="12" t="s">
        <v>14</v>
      </c>
      <c r="D230" s="12" t="s">
        <v>15</v>
      </c>
      <c r="E230" s="12" t="s">
        <v>46</v>
      </c>
      <c r="F230" s="12" t="s">
        <v>25</v>
      </c>
      <c r="G230" s="12" t="s">
        <v>18</v>
      </c>
      <c r="H230" s="12">
        <v>13117</v>
      </c>
      <c r="I230" s="12"/>
      <c r="J230" s="26"/>
      <c r="K230" s="12">
        <v>14000</v>
      </c>
      <c r="L230" s="14">
        <v>45349</v>
      </c>
      <c r="M230" s="8" t="str">
        <f t="shared" si="9"/>
        <v>Target Achieved</v>
      </c>
      <c r="N230" s="20">
        <f t="shared" si="10"/>
        <v>0</v>
      </c>
      <c r="O230" s="22">
        <f t="shared" si="11"/>
        <v>13117</v>
      </c>
    </row>
    <row r="231" spans="1:15" x14ac:dyDescent="0.3">
      <c r="A231" s="12" t="s">
        <v>404</v>
      </c>
      <c r="B231" s="12" t="s">
        <v>80</v>
      </c>
      <c r="C231" s="12" t="s">
        <v>61</v>
      </c>
      <c r="D231" s="12" t="s">
        <v>62</v>
      </c>
      <c r="E231" s="12" t="s">
        <v>32</v>
      </c>
      <c r="F231" s="12" t="s">
        <v>25</v>
      </c>
      <c r="G231" s="12" t="s">
        <v>36</v>
      </c>
      <c r="H231" s="12">
        <v>10623</v>
      </c>
      <c r="I231" s="12" t="s">
        <v>33</v>
      </c>
      <c r="J231" s="26">
        <v>0.3</v>
      </c>
      <c r="K231" s="12">
        <v>9000</v>
      </c>
      <c r="L231" s="14">
        <v>45351</v>
      </c>
      <c r="M231" s="8" t="str">
        <f t="shared" si="9"/>
        <v>Below Target</v>
      </c>
      <c r="N231" s="20">
        <f t="shared" si="10"/>
        <v>30</v>
      </c>
      <c r="O231" s="22">
        <f t="shared" si="11"/>
        <v>7436.1</v>
      </c>
    </row>
    <row r="232" spans="1:15" x14ac:dyDescent="0.3">
      <c r="A232" s="12" t="s">
        <v>405</v>
      </c>
      <c r="B232" s="12" t="s">
        <v>406</v>
      </c>
      <c r="C232" s="12" t="s">
        <v>14</v>
      </c>
      <c r="D232" s="12" t="s">
        <v>15</v>
      </c>
      <c r="E232" s="12" t="s">
        <v>46</v>
      </c>
      <c r="F232" s="12" t="s">
        <v>39</v>
      </c>
      <c r="G232" s="12" t="s">
        <v>36</v>
      </c>
      <c r="H232" s="12">
        <v>12965</v>
      </c>
      <c r="I232" s="12"/>
      <c r="J232" s="26"/>
      <c r="K232" s="12">
        <v>14000</v>
      </c>
      <c r="L232" s="14">
        <v>45297</v>
      </c>
      <c r="M232" s="8" t="str">
        <f t="shared" si="9"/>
        <v>Target Achieved</v>
      </c>
      <c r="N232" s="20">
        <f t="shared" si="10"/>
        <v>0</v>
      </c>
      <c r="O232" s="22">
        <f t="shared" si="11"/>
        <v>12965</v>
      </c>
    </row>
    <row r="233" spans="1:15" x14ac:dyDescent="0.3">
      <c r="A233" s="12" t="s">
        <v>407</v>
      </c>
      <c r="B233" s="12" t="s">
        <v>408</v>
      </c>
      <c r="C233" s="12" t="s">
        <v>14</v>
      </c>
      <c r="D233" s="12" t="s">
        <v>15</v>
      </c>
      <c r="E233" s="12" t="s">
        <v>46</v>
      </c>
      <c r="F233" s="12" t="s">
        <v>25</v>
      </c>
      <c r="G233" s="12" t="s">
        <v>26</v>
      </c>
      <c r="H233" s="12">
        <v>14662</v>
      </c>
      <c r="I233" s="12" t="s">
        <v>33</v>
      </c>
      <c r="J233" s="26">
        <v>0.3</v>
      </c>
      <c r="K233" s="12">
        <v>14000</v>
      </c>
      <c r="L233" s="14">
        <v>45342</v>
      </c>
      <c r="M233" s="8" t="str">
        <f t="shared" si="9"/>
        <v>Below Target</v>
      </c>
      <c r="N233" s="20">
        <f t="shared" si="10"/>
        <v>30</v>
      </c>
      <c r="O233" s="22">
        <f t="shared" si="11"/>
        <v>10263.4</v>
      </c>
    </row>
    <row r="234" spans="1:15" x14ac:dyDescent="0.3">
      <c r="A234" s="12" t="s">
        <v>409</v>
      </c>
      <c r="B234" s="12" t="s">
        <v>175</v>
      </c>
      <c r="C234" s="12" t="s">
        <v>14</v>
      </c>
      <c r="D234" s="12" t="s">
        <v>15</v>
      </c>
      <c r="E234" s="12" t="s">
        <v>46</v>
      </c>
      <c r="F234" s="12" t="s">
        <v>17</v>
      </c>
      <c r="G234" s="12" t="s">
        <v>26</v>
      </c>
      <c r="H234" s="12">
        <v>15404</v>
      </c>
      <c r="I234" s="12" t="s">
        <v>19</v>
      </c>
      <c r="J234" s="26">
        <v>0.2</v>
      </c>
      <c r="K234" s="12">
        <v>14000</v>
      </c>
      <c r="L234" s="14">
        <v>45340</v>
      </c>
      <c r="M234" s="8" t="str">
        <f t="shared" si="9"/>
        <v>Below Target</v>
      </c>
      <c r="N234" s="20">
        <f t="shared" si="10"/>
        <v>20</v>
      </c>
      <c r="O234" s="22">
        <f t="shared" si="11"/>
        <v>12323.2</v>
      </c>
    </row>
    <row r="235" spans="1:15" x14ac:dyDescent="0.3">
      <c r="A235" s="12" t="s">
        <v>410</v>
      </c>
      <c r="B235" s="12" t="s">
        <v>334</v>
      </c>
      <c r="C235" s="12" t="s">
        <v>61</v>
      </c>
      <c r="D235" s="12" t="s">
        <v>62</v>
      </c>
      <c r="E235" s="12" t="s">
        <v>16</v>
      </c>
      <c r="F235" s="12" t="s">
        <v>25</v>
      </c>
      <c r="G235" s="12" t="s">
        <v>18</v>
      </c>
      <c r="H235" s="12">
        <v>7077</v>
      </c>
      <c r="I235" s="12" t="s">
        <v>33</v>
      </c>
      <c r="J235" s="26">
        <v>0.3</v>
      </c>
      <c r="K235" s="12">
        <v>9000</v>
      </c>
      <c r="L235" s="14">
        <v>45305</v>
      </c>
      <c r="M235" s="8" t="str">
        <f t="shared" si="9"/>
        <v>Below Target</v>
      </c>
      <c r="N235" s="20">
        <f t="shared" si="10"/>
        <v>30</v>
      </c>
      <c r="O235" s="22">
        <f t="shared" si="11"/>
        <v>4953.8999999999996</v>
      </c>
    </row>
    <row r="236" spans="1:15" x14ac:dyDescent="0.3">
      <c r="A236" s="12" t="s">
        <v>411</v>
      </c>
      <c r="B236" s="12" t="s">
        <v>412</v>
      </c>
      <c r="C236" s="12" t="s">
        <v>61</v>
      </c>
      <c r="D236" s="12" t="s">
        <v>62</v>
      </c>
      <c r="E236" s="12" t="s">
        <v>32</v>
      </c>
      <c r="F236" s="12" t="s">
        <v>17</v>
      </c>
      <c r="G236" s="12" t="s">
        <v>18</v>
      </c>
      <c r="H236" s="12">
        <v>8233</v>
      </c>
      <c r="I236" s="12" t="s">
        <v>22</v>
      </c>
      <c r="J236" s="26">
        <v>0.1</v>
      </c>
      <c r="K236" s="12">
        <v>9000</v>
      </c>
      <c r="L236" s="14">
        <v>45295</v>
      </c>
      <c r="M236" s="8" t="str">
        <f t="shared" si="9"/>
        <v>Below Target</v>
      </c>
      <c r="N236" s="20">
        <f t="shared" si="10"/>
        <v>10</v>
      </c>
      <c r="O236" s="22">
        <f t="shared" si="11"/>
        <v>7409.7</v>
      </c>
    </row>
    <row r="237" spans="1:15" x14ac:dyDescent="0.3">
      <c r="A237" s="12" t="s">
        <v>413</v>
      </c>
      <c r="B237" s="12" t="s">
        <v>414</v>
      </c>
      <c r="C237" s="12" t="s">
        <v>61</v>
      </c>
      <c r="D237" s="12" t="s">
        <v>62</v>
      </c>
      <c r="E237" s="12" t="s">
        <v>32</v>
      </c>
      <c r="F237" s="12" t="s">
        <v>25</v>
      </c>
      <c r="G237" s="12" t="s">
        <v>36</v>
      </c>
      <c r="H237" s="12">
        <v>9444</v>
      </c>
      <c r="I237" s="12" t="s">
        <v>27</v>
      </c>
      <c r="J237" s="26"/>
      <c r="K237" s="12">
        <v>9000</v>
      </c>
      <c r="L237" s="14">
        <v>45293</v>
      </c>
      <c r="M237" s="8" t="str">
        <f t="shared" si="9"/>
        <v>Below Target</v>
      </c>
      <c r="N237" s="20">
        <f t="shared" si="10"/>
        <v>15</v>
      </c>
      <c r="O237" s="22">
        <f t="shared" si="11"/>
        <v>8027.4</v>
      </c>
    </row>
    <row r="238" spans="1:15" x14ac:dyDescent="0.3">
      <c r="A238" s="12" t="s">
        <v>415</v>
      </c>
      <c r="B238" s="12" t="s">
        <v>416</v>
      </c>
      <c r="C238" s="12" t="s">
        <v>44</v>
      </c>
      <c r="D238" s="12" t="s">
        <v>45</v>
      </c>
      <c r="E238" s="12" t="s">
        <v>16</v>
      </c>
      <c r="F238" s="12" t="s">
        <v>25</v>
      </c>
      <c r="G238" s="12" t="s">
        <v>36</v>
      </c>
      <c r="H238" s="12">
        <v>12758</v>
      </c>
      <c r="I238" s="12" t="s">
        <v>22</v>
      </c>
      <c r="J238" s="26">
        <v>0.1</v>
      </c>
      <c r="K238" s="12">
        <v>13000</v>
      </c>
      <c r="L238" s="14">
        <v>45331</v>
      </c>
      <c r="M238" s="8" t="str">
        <f t="shared" si="9"/>
        <v>Below Target</v>
      </c>
      <c r="N238" s="20">
        <f t="shared" si="10"/>
        <v>10</v>
      </c>
      <c r="O238" s="22">
        <f t="shared" si="11"/>
        <v>11482.2</v>
      </c>
    </row>
    <row r="239" spans="1:15" x14ac:dyDescent="0.3">
      <c r="A239" s="12" t="s">
        <v>417</v>
      </c>
      <c r="B239" s="12" t="s">
        <v>408</v>
      </c>
      <c r="C239" s="12" t="s">
        <v>61</v>
      </c>
      <c r="D239" s="12" t="s">
        <v>62</v>
      </c>
      <c r="E239" s="12" t="s">
        <v>32</v>
      </c>
      <c r="F239" s="12" t="s">
        <v>39</v>
      </c>
      <c r="G239" s="12" t="s">
        <v>26</v>
      </c>
      <c r="H239" s="12">
        <v>7350</v>
      </c>
      <c r="I239" s="12" t="s">
        <v>27</v>
      </c>
      <c r="J239" s="26"/>
      <c r="K239" s="12">
        <v>9000</v>
      </c>
      <c r="L239" s="14">
        <v>45315</v>
      </c>
      <c r="M239" s="8" t="str">
        <f t="shared" si="9"/>
        <v>Below Target</v>
      </c>
      <c r="N239" s="20">
        <f t="shared" si="10"/>
        <v>15</v>
      </c>
      <c r="O239" s="22">
        <f t="shared" si="11"/>
        <v>6247.5</v>
      </c>
    </row>
    <row r="240" spans="1:15" x14ac:dyDescent="0.3">
      <c r="A240" s="12" t="s">
        <v>418</v>
      </c>
      <c r="B240" s="12" t="s">
        <v>241</v>
      </c>
      <c r="C240" s="12" t="s">
        <v>14</v>
      </c>
      <c r="D240" s="12" t="s">
        <v>15</v>
      </c>
      <c r="E240" s="12" t="s">
        <v>46</v>
      </c>
      <c r="F240" s="12" t="s">
        <v>17</v>
      </c>
      <c r="G240" s="12" t="s">
        <v>18</v>
      </c>
      <c r="H240" s="12">
        <v>14603</v>
      </c>
      <c r="I240" s="12"/>
      <c r="J240" s="26"/>
      <c r="K240" s="12">
        <v>14000</v>
      </c>
      <c r="L240" s="14">
        <v>45315</v>
      </c>
      <c r="M240" s="8" t="str">
        <f t="shared" si="9"/>
        <v>Target Achieved</v>
      </c>
      <c r="N240" s="20">
        <f t="shared" si="10"/>
        <v>0</v>
      </c>
      <c r="O240" s="22">
        <f t="shared" si="11"/>
        <v>14603</v>
      </c>
    </row>
    <row r="241" spans="1:15" x14ac:dyDescent="0.3">
      <c r="A241" s="12" t="s">
        <v>419</v>
      </c>
      <c r="B241" s="12" t="s">
        <v>350</v>
      </c>
      <c r="C241" s="12" t="s">
        <v>14</v>
      </c>
      <c r="D241" s="12" t="s">
        <v>15</v>
      </c>
      <c r="E241" s="12" t="s">
        <v>46</v>
      </c>
      <c r="F241" s="12" t="s">
        <v>25</v>
      </c>
      <c r="G241" s="12" t="s">
        <v>36</v>
      </c>
      <c r="H241" s="12">
        <v>12987</v>
      </c>
      <c r="I241" s="12" t="s">
        <v>22</v>
      </c>
      <c r="J241" s="26">
        <v>0.1</v>
      </c>
      <c r="K241" s="12">
        <v>14000</v>
      </c>
      <c r="L241" s="14">
        <v>45341</v>
      </c>
      <c r="M241" s="8" t="str">
        <f t="shared" si="9"/>
        <v>Below Target</v>
      </c>
      <c r="N241" s="20">
        <f t="shared" si="10"/>
        <v>10</v>
      </c>
      <c r="O241" s="22">
        <f t="shared" si="11"/>
        <v>11688.3</v>
      </c>
    </row>
    <row r="242" spans="1:15" x14ac:dyDescent="0.3">
      <c r="A242" s="12" t="s">
        <v>420</v>
      </c>
      <c r="B242" s="12" t="s">
        <v>233</v>
      </c>
      <c r="C242" s="12" t="s">
        <v>30</v>
      </c>
      <c r="D242" s="12" t="s">
        <v>31</v>
      </c>
      <c r="E242" s="12" t="s">
        <v>32</v>
      </c>
      <c r="F242" s="12" t="s">
        <v>25</v>
      </c>
      <c r="G242" s="12" t="s">
        <v>36</v>
      </c>
      <c r="H242" s="12">
        <v>17236</v>
      </c>
      <c r="I242" s="12" t="s">
        <v>33</v>
      </c>
      <c r="J242" s="26">
        <v>0.3</v>
      </c>
      <c r="K242" s="12">
        <v>17000</v>
      </c>
      <c r="L242" s="14">
        <v>45344</v>
      </c>
      <c r="M242" s="8" t="str">
        <f t="shared" si="9"/>
        <v>Below Target</v>
      </c>
      <c r="N242" s="20">
        <f t="shared" si="10"/>
        <v>30</v>
      </c>
      <c r="O242" s="22">
        <f t="shared" si="11"/>
        <v>12065.2</v>
      </c>
    </row>
    <row r="243" spans="1:15" x14ac:dyDescent="0.3">
      <c r="A243" s="12" t="s">
        <v>421</v>
      </c>
      <c r="B243" s="12" t="s">
        <v>422</v>
      </c>
      <c r="C243" s="12" t="s">
        <v>61</v>
      </c>
      <c r="D243" s="12" t="s">
        <v>62</v>
      </c>
      <c r="E243" s="12" t="s">
        <v>16</v>
      </c>
      <c r="F243" s="12" t="s">
        <v>17</v>
      </c>
      <c r="G243" s="12" t="s">
        <v>26</v>
      </c>
      <c r="H243" s="12">
        <v>7746</v>
      </c>
      <c r="I243" s="12" t="s">
        <v>19</v>
      </c>
      <c r="J243" s="26">
        <v>0.2</v>
      </c>
      <c r="K243" s="12">
        <v>9000</v>
      </c>
      <c r="L243" s="14">
        <v>45296</v>
      </c>
      <c r="M243" s="8" t="str">
        <f t="shared" si="9"/>
        <v>Below Target</v>
      </c>
      <c r="N243" s="20">
        <f t="shared" si="10"/>
        <v>20</v>
      </c>
      <c r="O243" s="22">
        <f t="shared" si="11"/>
        <v>6196.8</v>
      </c>
    </row>
    <row r="244" spans="1:15" x14ac:dyDescent="0.3">
      <c r="A244" s="12" t="s">
        <v>423</v>
      </c>
      <c r="B244" s="12" t="s">
        <v>276</v>
      </c>
      <c r="C244" s="12" t="s">
        <v>61</v>
      </c>
      <c r="D244" s="12" t="s">
        <v>62</v>
      </c>
      <c r="E244" s="12" t="s">
        <v>32</v>
      </c>
      <c r="F244" s="12" t="s">
        <v>17</v>
      </c>
      <c r="G244" s="12" t="s">
        <v>18</v>
      </c>
      <c r="H244" s="12">
        <v>7179</v>
      </c>
      <c r="I244" s="12" t="s">
        <v>19</v>
      </c>
      <c r="J244" s="26">
        <v>0.2</v>
      </c>
      <c r="K244" s="12">
        <v>9000</v>
      </c>
      <c r="L244" s="14">
        <v>45348</v>
      </c>
      <c r="M244" s="8" t="str">
        <f t="shared" si="9"/>
        <v>Below Target</v>
      </c>
      <c r="N244" s="20">
        <f t="shared" si="10"/>
        <v>20</v>
      </c>
      <c r="O244" s="22">
        <f t="shared" si="11"/>
        <v>5743.2</v>
      </c>
    </row>
    <row r="245" spans="1:15" x14ac:dyDescent="0.3">
      <c r="A245" s="12" t="s">
        <v>424</v>
      </c>
      <c r="B245" s="12" t="s">
        <v>125</v>
      </c>
      <c r="C245" s="12" t="s">
        <v>30</v>
      </c>
      <c r="D245" s="12" t="s">
        <v>31</v>
      </c>
      <c r="E245" s="12" t="s">
        <v>16</v>
      </c>
      <c r="F245" s="12" t="s">
        <v>17</v>
      </c>
      <c r="G245" s="12" t="s">
        <v>26</v>
      </c>
      <c r="H245" s="12">
        <v>16939</v>
      </c>
      <c r="I245" s="12" t="s">
        <v>33</v>
      </c>
      <c r="J245" s="26">
        <v>0.3</v>
      </c>
      <c r="K245" s="12">
        <v>17000</v>
      </c>
      <c r="L245" s="14">
        <v>45294</v>
      </c>
      <c r="M245" s="8" t="str">
        <f t="shared" si="9"/>
        <v>Below Target</v>
      </c>
      <c r="N245" s="20">
        <f t="shared" si="10"/>
        <v>30</v>
      </c>
      <c r="O245" s="22">
        <f t="shared" si="11"/>
        <v>11857.3</v>
      </c>
    </row>
    <row r="246" spans="1:15" x14ac:dyDescent="0.3">
      <c r="A246" s="12" t="s">
        <v>425</v>
      </c>
      <c r="B246" s="12" t="s">
        <v>426</v>
      </c>
      <c r="C246" s="12" t="s">
        <v>44</v>
      </c>
      <c r="D246" s="12" t="s">
        <v>45</v>
      </c>
      <c r="E246" s="12" t="s">
        <v>46</v>
      </c>
      <c r="F246" s="12" t="s">
        <v>17</v>
      </c>
      <c r="G246" s="12" t="s">
        <v>18</v>
      </c>
      <c r="H246" s="12">
        <v>14546</v>
      </c>
      <c r="I246" s="12" t="s">
        <v>33</v>
      </c>
      <c r="J246" s="26">
        <v>0.3</v>
      </c>
      <c r="K246" s="12">
        <v>13000</v>
      </c>
      <c r="L246" s="14">
        <v>45309</v>
      </c>
      <c r="M246" s="8" t="str">
        <f t="shared" si="9"/>
        <v>Below Target</v>
      </c>
      <c r="N246" s="20">
        <f t="shared" si="10"/>
        <v>30</v>
      </c>
      <c r="O246" s="22">
        <f t="shared" si="11"/>
        <v>10182.200000000001</v>
      </c>
    </row>
    <row r="247" spans="1:15" x14ac:dyDescent="0.3">
      <c r="A247" s="12" t="s">
        <v>427</v>
      </c>
      <c r="B247" s="12" t="s">
        <v>200</v>
      </c>
      <c r="C247" s="12" t="s">
        <v>30</v>
      </c>
      <c r="D247" s="12" t="s">
        <v>31</v>
      </c>
      <c r="E247" s="12" t="s">
        <v>46</v>
      </c>
      <c r="F247" s="12" t="s">
        <v>17</v>
      </c>
      <c r="G247" s="12" t="s">
        <v>26</v>
      </c>
      <c r="H247" s="12">
        <v>16801</v>
      </c>
      <c r="I247" s="12"/>
      <c r="J247" s="26"/>
      <c r="K247" s="12">
        <v>17000</v>
      </c>
      <c r="L247" s="14">
        <v>45313</v>
      </c>
      <c r="M247" s="8" t="str">
        <f t="shared" si="9"/>
        <v>Target Achieved</v>
      </c>
      <c r="N247" s="20">
        <f t="shared" si="10"/>
        <v>0</v>
      </c>
      <c r="O247" s="22">
        <f t="shared" si="11"/>
        <v>16801</v>
      </c>
    </row>
    <row r="248" spans="1:15" x14ac:dyDescent="0.3">
      <c r="A248" s="12" t="s">
        <v>428</v>
      </c>
      <c r="B248" s="12" t="s">
        <v>429</v>
      </c>
      <c r="C248" s="12" t="s">
        <v>61</v>
      </c>
      <c r="D248" s="12" t="s">
        <v>62</v>
      </c>
      <c r="E248" s="12" t="s">
        <v>46</v>
      </c>
      <c r="F248" s="12" t="s">
        <v>39</v>
      </c>
      <c r="G248" s="12" t="s">
        <v>36</v>
      </c>
      <c r="H248" s="12">
        <v>10281</v>
      </c>
      <c r="I248" s="12" t="s">
        <v>22</v>
      </c>
      <c r="J248" s="26">
        <v>0.1</v>
      </c>
      <c r="K248" s="12">
        <v>9000</v>
      </c>
      <c r="L248" s="14">
        <v>45338</v>
      </c>
      <c r="M248" s="8" t="str">
        <f t="shared" si="9"/>
        <v>Below Target</v>
      </c>
      <c r="N248" s="20">
        <f t="shared" si="10"/>
        <v>10</v>
      </c>
      <c r="O248" s="22">
        <f t="shared" si="11"/>
        <v>9252.9</v>
      </c>
    </row>
    <row r="249" spans="1:15" x14ac:dyDescent="0.3">
      <c r="A249" s="12" t="s">
        <v>430</v>
      </c>
      <c r="B249" s="12" t="s">
        <v>41</v>
      </c>
      <c r="C249" s="12" t="s">
        <v>61</v>
      </c>
      <c r="D249" s="12" t="s">
        <v>62</v>
      </c>
      <c r="E249" s="12" t="s">
        <v>16</v>
      </c>
      <c r="F249" s="12" t="s">
        <v>25</v>
      </c>
      <c r="G249" s="12" t="s">
        <v>26</v>
      </c>
      <c r="H249" s="12">
        <v>8203</v>
      </c>
      <c r="I249" s="12" t="s">
        <v>33</v>
      </c>
      <c r="J249" s="26">
        <v>0.3</v>
      </c>
      <c r="K249" s="12">
        <v>9000</v>
      </c>
      <c r="L249" s="14">
        <v>45298</v>
      </c>
      <c r="M249" s="8" t="str">
        <f t="shared" si="9"/>
        <v>Below Target</v>
      </c>
      <c r="N249" s="20">
        <f t="shared" si="10"/>
        <v>30</v>
      </c>
      <c r="O249" s="22">
        <f t="shared" si="11"/>
        <v>5742.1</v>
      </c>
    </row>
    <row r="250" spans="1:15" x14ac:dyDescent="0.3">
      <c r="A250" s="12" t="s">
        <v>431</v>
      </c>
      <c r="B250" s="12" t="s">
        <v>432</v>
      </c>
      <c r="C250" s="12" t="s">
        <v>30</v>
      </c>
      <c r="D250" s="12" t="s">
        <v>31</v>
      </c>
      <c r="E250" s="12" t="s">
        <v>46</v>
      </c>
      <c r="F250" s="12" t="s">
        <v>17</v>
      </c>
      <c r="G250" s="12" t="s">
        <v>26</v>
      </c>
      <c r="H250" s="12">
        <v>17939</v>
      </c>
      <c r="I250" s="12"/>
      <c r="J250" s="26"/>
      <c r="K250" s="12">
        <v>17000</v>
      </c>
      <c r="L250" s="14">
        <v>45302</v>
      </c>
      <c r="M250" s="8" t="str">
        <f t="shared" si="9"/>
        <v>Target Achieved</v>
      </c>
      <c r="N250" s="20">
        <f t="shared" si="10"/>
        <v>0</v>
      </c>
      <c r="O250" s="22">
        <f t="shared" si="11"/>
        <v>17939</v>
      </c>
    </row>
    <row r="251" spans="1:15" x14ac:dyDescent="0.3">
      <c r="A251" s="12" t="s">
        <v>433</v>
      </c>
      <c r="B251" s="12" t="s">
        <v>334</v>
      </c>
      <c r="C251" s="12" t="s">
        <v>30</v>
      </c>
      <c r="D251" s="12" t="s">
        <v>31</v>
      </c>
      <c r="E251" s="12" t="s">
        <v>46</v>
      </c>
      <c r="F251" s="12" t="s">
        <v>25</v>
      </c>
      <c r="G251" s="12" t="s">
        <v>26</v>
      </c>
      <c r="H251" s="12">
        <v>18563</v>
      </c>
      <c r="I251" s="12" t="s">
        <v>33</v>
      </c>
      <c r="J251" s="26">
        <v>0.3</v>
      </c>
      <c r="K251" s="12">
        <v>17000</v>
      </c>
      <c r="L251" s="14">
        <v>45331</v>
      </c>
      <c r="M251" s="8" t="str">
        <f t="shared" si="9"/>
        <v>Below Target</v>
      </c>
      <c r="N251" s="20">
        <f t="shared" si="10"/>
        <v>30</v>
      </c>
      <c r="O251" s="22">
        <f t="shared" si="11"/>
        <v>12994.1</v>
      </c>
    </row>
    <row r="252" spans="1:15" x14ac:dyDescent="0.3">
      <c r="A252" s="12" t="s">
        <v>434</v>
      </c>
      <c r="B252" s="12" t="s">
        <v>435</v>
      </c>
      <c r="C252" s="12" t="s">
        <v>14</v>
      </c>
      <c r="D252" s="12" t="s">
        <v>15</v>
      </c>
      <c r="E252" s="12" t="s">
        <v>32</v>
      </c>
      <c r="F252" s="12" t="s">
        <v>39</v>
      </c>
      <c r="G252" s="12" t="s">
        <v>26</v>
      </c>
      <c r="H252" s="12">
        <v>13663</v>
      </c>
      <c r="I252" s="12" t="s">
        <v>33</v>
      </c>
      <c r="J252" s="26">
        <v>0.3</v>
      </c>
      <c r="K252" s="12">
        <v>14000</v>
      </c>
      <c r="L252" s="14">
        <v>45324</v>
      </c>
      <c r="M252" s="8" t="str">
        <f t="shared" si="9"/>
        <v>Below Target</v>
      </c>
      <c r="N252" s="20">
        <f t="shared" si="10"/>
        <v>30</v>
      </c>
      <c r="O252" s="22">
        <f t="shared" si="11"/>
        <v>9564.1</v>
      </c>
    </row>
    <row r="253" spans="1:15" x14ac:dyDescent="0.3">
      <c r="A253" s="12" t="s">
        <v>436</v>
      </c>
      <c r="B253" s="12" t="s">
        <v>296</v>
      </c>
      <c r="C253" s="12" t="s">
        <v>44</v>
      </c>
      <c r="D253" s="12" t="s">
        <v>45</v>
      </c>
      <c r="E253" s="12" t="s">
        <v>32</v>
      </c>
      <c r="F253" s="12" t="s">
        <v>25</v>
      </c>
      <c r="G253" s="12" t="s">
        <v>26</v>
      </c>
      <c r="H253" s="12">
        <v>13777</v>
      </c>
      <c r="I253" s="12"/>
      <c r="J253" s="26"/>
      <c r="K253" s="12">
        <v>13000</v>
      </c>
      <c r="L253" s="14">
        <v>45294</v>
      </c>
      <c r="M253" s="8" t="str">
        <f t="shared" si="9"/>
        <v>Target Achieved</v>
      </c>
      <c r="N253" s="20">
        <f t="shared" si="10"/>
        <v>0</v>
      </c>
      <c r="O253" s="22">
        <f t="shared" si="11"/>
        <v>13777</v>
      </c>
    </row>
    <row r="254" spans="1:15" x14ac:dyDescent="0.3">
      <c r="A254" s="12" t="s">
        <v>437</v>
      </c>
      <c r="B254" s="12" t="s">
        <v>325</v>
      </c>
      <c r="C254" s="12" t="s">
        <v>44</v>
      </c>
      <c r="D254" s="12" t="s">
        <v>45</v>
      </c>
      <c r="E254" s="12" t="s">
        <v>16</v>
      </c>
      <c r="F254" s="12" t="s">
        <v>17</v>
      </c>
      <c r="G254" s="12" t="s">
        <v>36</v>
      </c>
      <c r="H254" s="12">
        <v>12568</v>
      </c>
      <c r="I254" s="12" t="s">
        <v>27</v>
      </c>
      <c r="J254" s="26"/>
      <c r="K254" s="12">
        <v>13000</v>
      </c>
      <c r="L254" s="14">
        <v>45294</v>
      </c>
      <c r="M254" s="8" t="str">
        <f t="shared" si="9"/>
        <v>Below Target</v>
      </c>
      <c r="N254" s="20">
        <f t="shared" si="10"/>
        <v>15</v>
      </c>
      <c r="O254" s="22">
        <f t="shared" si="11"/>
        <v>10682.8</v>
      </c>
    </row>
    <row r="255" spans="1:15" x14ac:dyDescent="0.3">
      <c r="A255" s="12" t="s">
        <v>438</v>
      </c>
      <c r="B255" s="12" t="s">
        <v>373</v>
      </c>
      <c r="C255" s="12" t="s">
        <v>61</v>
      </c>
      <c r="D255" s="12" t="s">
        <v>62</v>
      </c>
      <c r="E255" s="12" t="s">
        <v>46</v>
      </c>
      <c r="F255" s="12" t="s">
        <v>17</v>
      </c>
      <c r="G255" s="12" t="s">
        <v>36</v>
      </c>
      <c r="H255" s="12">
        <v>10125</v>
      </c>
      <c r="I255" s="12" t="s">
        <v>22</v>
      </c>
      <c r="J255" s="26">
        <v>0.1</v>
      </c>
      <c r="K255" s="12">
        <v>9000</v>
      </c>
      <c r="L255" s="14">
        <v>45328</v>
      </c>
      <c r="M255" s="8" t="str">
        <f t="shared" si="9"/>
        <v>Below Target</v>
      </c>
      <c r="N255" s="20">
        <f t="shared" si="10"/>
        <v>10</v>
      </c>
      <c r="O255" s="22">
        <f t="shared" si="11"/>
        <v>9112.5</v>
      </c>
    </row>
    <row r="256" spans="1:15" x14ac:dyDescent="0.3">
      <c r="A256" s="12" t="s">
        <v>439</v>
      </c>
      <c r="B256" s="12" t="s">
        <v>440</v>
      </c>
      <c r="C256" s="12" t="s">
        <v>30</v>
      </c>
      <c r="D256" s="12" t="s">
        <v>31</v>
      </c>
      <c r="E256" s="12" t="s">
        <v>46</v>
      </c>
      <c r="F256" s="12" t="s">
        <v>17</v>
      </c>
      <c r="G256" s="12" t="s">
        <v>26</v>
      </c>
      <c r="H256" s="12">
        <v>16141</v>
      </c>
      <c r="I256" s="12" t="s">
        <v>19</v>
      </c>
      <c r="J256" s="26">
        <v>0.2</v>
      </c>
      <c r="K256" s="12">
        <v>17000</v>
      </c>
      <c r="L256" s="14">
        <v>45299</v>
      </c>
      <c r="M256" s="8" t="str">
        <f t="shared" si="9"/>
        <v>Below Target</v>
      </c>
      <c r="N256" s="20">
        <f t="shared" si="10"/>
        <v>20</v>
      </c>
      <c r="O256" s="22">
        <f t="shared" si="11"/>
        <v>12912.8</v>
      </c>
    </row>
    <row r="257" spans="1:15" x14ac:dyDescent="0.3">
      <c r="A257" s="12" t="s">
        <v>441</v>
      </c>
      <c r="B257" s="12" t="s">
        <v>190</v>
      </c>
      <c r="C257" s="12" t="s">
        <v>44</v>
      </c>
      <c r="D257" s="12" t="s">
        <v>45</v>
      </c>
      <c r="E257" s="12" t="s">
        <v>46</v>
      </c>
      <c r="F257" s="12" t="s">
        <v>39</v>
      </c>
      <c r="G257" s="12" t="s">
        <v>36</v>
      </c>
      <c r="H257" s="12">
        <v>14741</v>
      </c>
      <c r="I257" s="12" t="s">
        <v>27</v>
      </c>
      <c r="J257" s="26"/>
      <c r="K257" s="12">
        <v>13000</v>
      </c>
      <c r="L257" s="14">
        <v>45299</v>
      </c>
      <c r="M257" s="8" t="str">
        <f t="shared" si="9"/>
        <v>Below Target</v>
      </c>
      <c r="N257" s="20">
        <f t="shared" si="10"/>
        <v>15</v>
      </c>
      <c r="O257" s="22">
        <f t="shared" si="11"/>
        <v>12529.85</v>
      </c>
    </row>
    <row r="258" spans="1:15" x14ac:dyDescent="0.3">
      <c r="A258" s="12" t="s">
        <v>442</v>
      </c>
      <c r="B258" s="12" t="s">
        <v>443</v>
      </c>
      <c r="C258" s="12" t="s">
        <v>30</v>
      </c>
      <c r="D258" s="12" t="s">
        <v>31</v>
      </c>
      <c r="E258" s="12" t="s">
        <v>16</v>
      </c>
      <c r="F258" s="12" t="s">
        <v>17</v>
      </c>
      <c r="G258" s="12" t="s">
        <v>18</v>
      </c>
      <c r="H258" s="12">
        <v>17506</v>
      </c>
      <c r="I258" s="12" t="s">
        <v>33</v>
      </c>
      <c r="J258" s="26">
        <v>0.3</v>
      </c>
      <c r="K258" s="12">
        <v>17000</v>
      </c>
      <c r="L258" s="14">
        <v>45336</v>
      </c>
      <c r="M258" s="8" t="str">
        <f t="shared" ref="M258:M321" si="12">IF(J258&gt;=N258,"Target Achieved","Below Target")</f>
        <v>Below Target</v>
      </c>
      <c r="N258" s="20">
        <f t="shared" si="10"/>
        <v>30</v>
      </c>
      <c r="O258" s="22">
        <f t="shared" si="11"/>
        <v>12254.2</v>
      </c>
    </row>
    <row r="259" spans="1:15" x14ac:dyDescent="0.3">
      <c r="A259" s="12" t="s">
        <v>444</v>
      </c>
      <c r="B259" s="12" t="s">
        <v>445</v>
      </c>
      <c r="C259" s="12" t="s">
        <v>44</v>
      </c>
      <c r="D259" s="12" t="s">
        <v>45</v>
      </c>
      <c r="E259" s="12" t="s">
        <v>32</v>
      </c>
      <c r="F259" s="12" t="s">
        <v>25</v>
      </c>
      <c r="G259" s="12" t="s">
        <v>18</v>
      </c>
      <c r="H259" s="12">
        <v>12851</v>
      </c>
      <c r="I259" s="12" t="s">
        <v>19</v>
      </c>
      <c r="J259" s="26">
        <v>0.2</v>
      </c>
      <c r="K259" s="12">
        <v>13000</v>
      </c>
      <c r="L259" s="14">
        <v>45349</v>
      </c>
      <c r="M259" s="8" t="str">
        <f t="shared" si="12"/>
        <v>Below Target</v>
      </c>
      <c r="N259" s="20">
        <f t="shared" ref="N259:N322" si="13">IFERROR(VALUE(RIGHT(I259,2)),0)</f>
        <v>20</v>
      </c>
      <c r="O259" s="22">
        <f t="shared" ref="O259:O322" si="14">H259-H259*N259/100</f>
        <v>10280.799999999999</v>
      </c>
    </row>
    <row r="260" spans="1:15" x14ac:dyDescent="0.3">
      <c r="A260" s="12" t="s">
        <v>446</v>
      </c>
      <c r="B260" s="12" t="s">
        <v>334</v>
      </c>
      <c r="C260" s="12" t="s">
        <v>14</v>
      </c>
      <c r="D260" s="12" t="s">
        <v>15</v>
      </c>
      <c r="E260" s="12" t="s">
        <v>16</v>
      </c>
      <c r="F260" s="12" t="s">
        <v>17</v>
      </c>
      <c r="G260" s="12" t="s">
        <v>26</v>
      </c>
      <c r="H260" s="12">
        <v>13423</v>
      </c>
      <c r="I260" s="12" t="s">
        <v>22</v>
      </c>
      <c r="J260" s="26">
        <v>0.1</v>
      </c>
      <c r="K260" s="12">
        <v>14000</v>
      </c>
      <c r="L260" s="14">
        <v>45327</v>
      </c>
      <c r="M260" s="8" t="str">
        <f t="shared" si="12"/>
        <v>Below Target</v>
      </c>
      <c r="N260" s="20">
        <f t="shared" si="13"/>
        <v>10</v>
      </c>
      <c r="O260" s="22">
        <f t="shared" si="14"/>
        <v>12080.7</v>
      </c>
    </row>
    <row r="261" spans="1:15" x14ac:dyDescent="0.3">
      <c r="A261" s="12" t="s">
        <v>447</v>
      </c>
      <c r="B261" s="12" t="s">
        <v>448</v>
      </c>
      <c r="C261" s="12" t="s">
        <v>30</v>
      </c>
      <c r="D261" s="12" t="s">
        <v>31</v>
      </c>
      <c r="E261" s="12" t="s">
        <v>32</v>
      </c>
      <c r="F261" s="12" t="s">
        <v>39</v>
      </c>
      <c r="G261" s="12" t="s">
        <v>26</v>
      </c>
      <c r="H261" s="12">
        <v>18798</v>
      </c>
      <c r="I261" s="12" t="s">
        <v>19</v>
      </c>
      <c r="J261" s="26">
        <v>0.2</v>
      </c>
      <c r="K261" s="12">
        <v>17000</v>
      </c>
      <c r="L261" s="14">
        <v>45342</v>
      </c>
      <c r="M261" s="8" t="str">
        <f t="shared" si="12"/>
        <v>Below Target</v>
      </c>
      <c r="N261" s="20">
        <f t="shared" si="13"/>
        <v>20</v>
      </c>
      <c r="O261" s="22">
        <f t="shared" si="14"/>
        <v>15038.4</v>
      </c>
    </row>
    <row r="262" spans="1:15" x14ac:dyDescent="0.3">
      <c r="A262" s="12" t="s">
        <v>449</v>
      </c>
      <c r="B262" s="12" t="s">
        <v>301</v>
      </c>
      <c r="C262" s="12" t="s">
        <v>44</v>
      </c>
      <c r="D262" s="12" t="s">
        <v>45</v>
      </c>
      <c r="E262" s="12" t="s">
        <v>32</v>
      </c>
      <c r="F262" s="12" t="s">
        <v>25</v>
      </c>
      <c r="G262" s="12" t="s">
        <v>18</v>
      </c>
      <c r="H262" s="12">
        <v>11969</v>
      </c>
      <c r="I262" s="12"/>
      <c r="J262" s="26"/>
      <c r="K262" s="12">
        <v>13000</v>
      </c>
      <c r="L262" s="14">
        <v>45293</v>
      </c>
      <c r="M262" s="8" t="str">
        <f t="shared" si="12"/>
        <v>Target Achieved</v>
      </c>
      <c r="N262" s="20">
        <f t="shared" si="13"/>
        <v>0</v>
      </c>
      <c r="O262" s="22">
        <f t="shared" si="14"/>
        <v>11969</v>
      </c>
    </row>
    <row r="263" spans="1:15" x14ac:dyDescent="0.3">
      <c r="A263" s="12" t="s">
        <v>450</v>
      </c>
      <c r="B263" s="12" t="s">
        <v>301</v>
      </c>
      <c r="C263" s="12" t="s">
        <v>30</v>
      </c>
      <c r="D263" s="12" t="s">
        <v>31</v>
      </c>
      <c r="E263" s="12" t="s">
        <v>46</v>
      </c>
      <c r="F263" s="12" t="s">
        <v>39</v>
      </c>
      <c r="G263" s="12" t="s">
        <v>18</v>
      </c>
      <c r="H263" s="12">
        <v>17506</v>
      </c>
      <c r="I263" s="12" t="s">
        <v>22</v>
      </c>
      <c r="J263" s="26">
        <v>0.1</v>
      </c>
      <c r="K263" s="12">
        <v>17000</v>
      </c>
      <c r="L263" s="14">
        <v>45296</v>
      </c>
      <c r="M263" s="8" t="str">
        <f t="shared" si="12"/>
        <v>Below Target</v>
      </c>
      <c r="N263" s="20">
        <f t="shared" si="13"/>
        <v>10</v>
      </c>
      <c r="O263" s="22">
        <f t="shared" si="14"/>
        <v>15755.4</v>
      </c>
    </row>
    <row r="264" spans="1:15" x14ac:dyDescent="0.3">
      <c r="A264" s="12" t="s">
        <v>451</v>
      </c>
      <c r="B264" s="12" t="s">
        <v>70</v>
      </c>
      <c r="C264" s="12" t="s">
        <v>61</v>
      </c>
      <c r="D264" s="12" t="s">
        <v>62</v>
      </c>
      <c r="E264" s="12" t="s">
        <v>16</v>
      </c>
      <c r="F264" s="12" t="s">
        <v>17</v>
      </c>
      <c r="G264" s="12" t="s">
        <v>36</v>
      </c>
      <c r="H264" s="12">
        <v>10372</v>
      </c>
      <c r="I264" s="12" t="s">
        <v>27</v>
      </c>
      <c r="J264" s="26"/>
      <c r="K264" s="12">
        <v>9000</v>
      </c>
      <c r="L264" s="14">
        <v>45296</v>
      </c>
      <c r="M264" s="8" t="str">
        <f t="shared" si="12"/>
        <v>Below Target</v>
      </c>
      <c r="N264" s="20">
        <f t="shared" si="13"/>
        <v>15</v>
      </c>
      <c r="O264" s="22">
        <f t="shared" si="14"/>
        <v>8816.2000000000007</v>
      </c>
    </row>
    <row r="265" spans="1:15" x14ac:dyDescent="0.3">
      <c r="A265" s="12" t="s">
        <v>452</v>
      </c>
      <c r="B265" s="12" t="s">
        <v>74</v>
      </c>
      <c r="C265" s="12" t="s">
        <v>14</v>
      </c>
      <c r="D265" s="12" t="s">
        <v>15</v>
      </c>
      <c r="E265" s="12" t="s">
        <v>46</v>
      </c>
      <c r="F265" s="12" t="s">
        <v>17</v>
      </c>
      <c r="G265" s="12" t="s">
        <v>26</v>
      </c>
      <c r="H265" s="12">
        <v>14119</v>
      </c>
      <c r="I265" s="12" t="s">
        <v>33</v>
      </c>
      <c r="J265" s="26">
        <v>0.3</v>
      </c>
      <c r="K265" s="12">
        <v>14000</v>
      </c>
      <c r="L265" s="14">
        <v>45300</v>
      </c>
      <c r="M265" s="8" t="str">
        <f t="shared" si="12"/>
        <v>Below Target</v>
      </c>
      <c r="N265" s="20">
        <f t="shared" si="13"/>
        <v>30</v>
      </c>
      <c r="O265" s="22">
        <f t="shared" si="14"/>
        <v>9883.2999999999993</v>
      </c>
    </row>
    <row r="266" spans="1:15" x14ac:dyDescent="0.3">
      <c r="A266" s="12" t="s">
        <v>453</v>
      </c>
      <c r="B266" s="12" t="s">
        <v>454</v>
      </c>
      <c r="C266" s="12" t="s">
        <v>44</v>
      </c>
      <c r="D266" s="12" t="s">
        <v>45</v>
      </c>
      <c r="E266" s="12" t="s">
        <v>32</v>
      </c>
      <c r="F266" s="12" t="s">
        <v>17</v>
      </c>
      <c r="G266" s="12" t="s">
        <v>26</v>
      </c>
      <c r="H266" s="12">
        <v>14730</v>
      </c>
      <c r="I266" s="12" t="s">
        <v>22</v>
      </c>
      <c r="J266" s="26">
        <v>0.1</v>
      </c>
      <c r="K266" s="12">
        <v>13000</v>
      </c>
      <c r="L266" s="14">
        <v>45345</v>
      </c>
      <c r="M266" s="8" t="str">
        <f t="shared" si="12"/>
        <v>Below Target</v>
      </c>
      <c r="N266" s="20">
        <f t="shared" si="13"/>
        <v>10</v>
      </c>
      <c r="O266" s="22">
        <f t="shared" si="14"/>
        <v>13257</v>
      </c>
    </row>
    <row r="267" spans="1:15" x14ac:dyDescent="0.3">
      <c r="A267" s="12" t="s">
        <v>455</v>
      </c>
      <c r="B267" s="12" t="s">
        <v>241</v>
      </c>
      <c r="C267" s="12" t="s">
        <v>44</v>
      </c>
      <c r="D267" s="12" t="s">
        <v>45</v>
      </c>
      <c r="E267" s="12" t="s">
        <v>46</v>
      </c>
      <c r="F267" s="12" t="s">
        <v>25</v>
      </c>
      <c r="G267" s="12" t="s">
        <v>18</v>
      </c>
      <c r="H267" s="12">
        <v>12321</v>
      </c>
      <c r="I267" s="12" t="s">
        <v>19</v>
      </c>
      <c r="J267" s="26">
        <v>0.2</v>
      </c>
      <c r="K267" s="12">
        <v>13000</v>
      </c>
      <c r="L267" s="14">
        <v>45314</v>
      </c>
      <c r="M267" s="8" t="str">
        <f t="shared" si="12"/>
        <v>Below Target</v>
      </c>
      <c r="N267" s="20">
        <f t="shared" si="13"/>
        <v>20</v>
      </c>
      <c r="O267" s="22">
        <f t="shared" si="14"/>
        <v>9856.7999999999993</v>
      </c>
    </row>
    <row r="268" spans="1:15" x14ac:dyDescent="0.3">
      <c r="A268" s="12" t="s">
        <v>456</v>
      </c>
      <c r="B268" s="12" t="s">
        <v>448</v>
      </c>
      <c r="C268" s="12" t="s">
        <v>14</v>
      </c>
      <c r="D268" s="12" t="s">
        <v>15</v>
      </c>
      <c r="E268" s="12" t="s">
        <v>46</v>
      </c>
      <c r="F268" s="12" t="s">
        <v>25</v>
      </c>
      <c r="G268" s="12" t="s">
        <v>26</v>
      </c>
      <c r="H268" s="12">
        <v>15917</v>
      </c>
      <c r="I268" s="12" t="s">
        <v>27</v>
      </c>
      <c r="J268" s="26"/>
      <c r="K268" s="12">
        <v>14000</v>
      </c>
      <c r="L268" s="14">
        <v>45309</v>
      </c>
      <c r="M268" s="8" t="str">
        <f t="shared" si="12"/>
        <v>Below Target</v>
      </c>
      <c r="N268" s="20">
        <f t="shared" si="13"/>
        <v>15</v>
      </c>
      <c r="O268" s="22">
        <f t="shared" si="14"/>
        <v>13529.45</v>
      </c>
    </row>
    <row r="269" spans="1:15" x14ac:dyDescent="0.3">
      <c r="A269" s="12" t="s">
        <v>457</v>
      </c>
      <c r="B269" s="12" t="s">
        <v>113</v>
      </c>
      <c r="C269" s="12" t="s">
        <v>30</v>
      </c>
      <c r="D269" s="12" t="s">
        <v>31</v>
      </c>
      <c r="E269" s="12" t="s">
        <v>16</v>
      </c>
      <c r="F269" s="12" t="s">
        <v>39</v>
      </c>
      <c r="G269" s="12" t="s">
        <v>18</v>
      </c>
      <c r="H269" s="12">
        <v>17058</v>
      </c>
      <c r="I269" s="12" t="s">
        <v>19</v>
      </c>
      <c r="J269" s="26">
        <v>0.2</v>
      </c>
      <c r="K269" s="12">
        <v>17000</v>
      </c>
      <c r="L269" s="14">
        <v>45329</v>
      </c>
      <c r="M269" s="8" t="str">
        <f t="shared" si="12"/>
        <v>Below Target</v>
      </c>
      <c r="N269" s="20">
        <f t="shared" si="13"/>
        <v>20</v>
      </c>
      <c r="O269" s="22">
        <f t="shared" si="14"/>
        <v>13646.4</v>
      </c>
    </row>
    <row r="270" spans="1:15" x14ac:dyDescent="0.3">
      <c r="A270" s="12" t="s">
        <v>458</v>
      </c>
      <c r="B270" s="12" t="s">
        <v>373</v>
      </c>
      <c r="C270" s="12" t="s">
        <v>44</v>
      </c>
      <c r="D270" s="12" t="s">
        <v>45</v>
      </c>
      <c r="E270" s="12" t="s">
        <v>16</v>
      </c>
      <c r="F270" s="12" t="s">
        <v>39</v>
      </c>
      <c r="G270" s="12" t="s">
        <v>26</v>
      </c>
      <c r="H270" s="12">
        <v>14694</v>
      </c>
      <c r="I270" s="12" t="s">
        <v>27</v>
      </c>
      <c r="J270" s="26"/>
      <c r="K270" s="12">
        <v>13000</v>
      </c>
      <c r="L270" s="14">
        <v>45313</v>
      </c>
      <c r="M270" s="8" t="str">
        <f t="shared" si="12"/>
        <v>Below Target</v>
      </c>
      <c r="N270" s="20">
        <f t="shared" si="13"/>
        <v>15</v>
      </c>
      <c r="O270" s="22">
        <f t="shared" si="14"/>
        <v>12489.9</v>
      </c>
    </row>
    <row r="271" spans="1:15" x14ac:dyDescent="0.3">
      <c r="A271" s="12" t="s">
        <v>459</v>
      </c>
      <c r="B271" s="12" t="s">
        <v>460</v>
      </c>
      <c r="C271" s="12" t="s">
        <v>14</v>
      </c>
      <c r="D271" s="12" t="s">
        <v>15</v>
      </c>
      <c r="E271" s="12" t="s">
        <v>32</v>
      </c>
      <c r="F271" s="12" t="s">
        <v>25</v>
      </c>
      <c r="G271" s="12" t="s">
        <v>18</v>
      </c>
      <c r="H271" s="12">
        <v>15885</v>
      </c>
      <c r="I271" s="12" t="s">
        <v>27</v>
      </c>
      <c r="J271" s="26"/>
      <c r="K271" s="12">
        <v>14000</v>
      </c>
      <c r="L271" s="14">
        <v>45308</v>
      </c>
      <c r="M271" s="8" t="str">
        <f t="shared" si="12"/>
        <v>Below Target</v>
      </c>
      <c r="N271" s="20">
        <f t="shared" si="13"/>
        <v>15</v>
      </c>
      <c r="O271" s="22">
        <f t="shared" si="14"/>
        <v>13502.25</v>
      </c>
    </row>
    <row r="272" spans="1:15" x14ac:dyDescent="0.3">
      <c r="A272" s="12" t="s">
        <v>461</v>
      </c>
      <c r="B272" s="12" t="s">
        <v>239</v>
      </c>
      <c r="C272" s="12" t="s">
        <v>61</v>
      </c>
      <c r="D272" s="12" t="s">
        <v>62</v>
      </c>
      <c r="E272" s="12" t="s">
        <v>16</v>
      </c>
      <c r="F272" s="12" t="s">
        <v>39</v>
      </c>
      <c r="G272" s="12" t="s">
        <v>18</v>
      </c>
      <c r="H272" s="12">
        <v>9039</v>
      </c>
      <c r="I272" s="12" t="s">
        <v>27</v>
      </c>
      <c r="J272" s="26"/>
      <c r="K272" s="12">
        <v>9000</v>
      </c>
      <c r="L272" s="14">
        <v>45310</v>
      </c>
      <c r="M272" s="8" t="str">
        <f t="shared" si="12"/>
        <v>Below Target</v>
      </c>
      <c r="N272" s="20">
        <f t="shared" si="13"/>
        <v>15</v>
      </c>
      <c r="O272" s="22">
        <f t="shared" si="14"/>
        <v>7683.15</v>
      </c>
    </row>
    <row r="273" spans="1:15" x14ac:dyDescent="0.3">
      <c r="A273" s="12" t="s">
        <v>462</v>
      </c>
      <c r="B273" s="12" t="s">
        <v>278</v>
      </c>
      <c r="C273" s="12" t="s">
        <v>61</v>
      </c>
      <c r="D273" s="12" t="s">
        <v>62</v>
      </c>
      <c r="E273" s="12" t="s">
        <v>32</v>
      </c>
      <c r="F273" s="12" t="s">
        <v>39</v>
      </c>
      <c r="G273" s="12" t="s">
        <v>36</v>
      </c>
      <c r="H273" s="12">
        <v>8218</v>
      </c>
      <c r="I273" s="12"/>
      <c r="J273" s="26"/>
      <c r="K273" s="12">
        <v>9000</v>
      </c>
      <c r="L273" s="14">
        <v>45296</v>
      </c>
      <c r="M273" s="8" t="str">
        <f t="shared" si="12"/>
        <v>Target Achieved</v>
      </c>
      <c r="N273" s="20">
        <f t="shared" si="13"/>
        <v>0</v>
      </c>
      <c r="O273" s="22">
        <f t="shared" si="14"/>
        <v>8218</v>
      </c>
    </row>
    <row r="274" spans="1:15" x14ac:dyDescent="0.3">
      <c r="A274" s="12" t="s">
        <v>463</v>
      </c>
      <c r="B274" s="12" t="s">
        <v>464</v>
      </c>
      <c r="C274" s="12" t="s">
        <v>44</v>
      </c>
      <c r="D274" s="12" t="s">
        <v>45</v>
      </c>
      <c r="E274" s="12" t="s">
        <v>46</v>
      </c>
      <c r="F274" s="12" t="s">
        <v>17</v>
      </c>
      <c r="G274" s="12" t="s">
        <v>36</v>
      </c>
      <c r="H274" s="12">
        <v>12902</v>
      </c>
      <c r="I274" s="12" t="s">
        <v>19</v>
      </c>
      <c r="J274" s="26">
        <v>0.2</v>
      </c>
      <c r="K274" s="12">
        <v>13000</v>
      </c>
      <c r="L274" s="14">
        <v>45313</v>
      </c>
      <c r="M274" s="8" t="str">
        <f t="shared" si="12"/>
        <v>Below Target</v>
      </c>
      <c r="N274" s="20">
        <f t="shared" si="13"/>
        <v>20</v>
      </c>
      <c r="O274" s="22">
        <f t="shared" si="14"/>
        <v>10321.6</v>
      </c>
    </row>
    <row r="275" spans="1:15" x14ac:dyDescent="0.3">
      <c r="A275" s="12" t="s">
        <v>465</v>
      </c>
      <c r="B275" s="12" t="s">
        <v>373</v>
      </c>
      <c r="C275" s="12" t="s">
        <v>30</v>
      </c>
      <c r="D275" s="12" t="s">
        <v>31</v>
      </c>
      <c r="E275" s="12" t="s">
        <v>16</v>
      </c>
      <c r="F275" s="12" t="s">
        <v>17</v>
      </c>
      <c r="G275" s="12" t="s">
        <v>26</v>
      </c>
      <c r="H275" s="12">
        <v>18525</v>
      </c>
      <c r="I275" s="12" t="s">
        <v>33</v>
      </c>
      <c r="J275" s="26">
        <v>0.3</v>
      </c>
      <c r="K275" s="12">
        <v>17000</v>
      </c>
      <c r="L275" s="14">
        <v>45317</v>
      </c>
      <c r="M275" s="8" t="str">
        <f t="shared" si="12"/>
        <v>Below Target</v>
      </c>
      <c r="N275" s="20">
        <f t="shared" si="13"/>
        <v>30</v>
      </c>
      <c r="O275" s="22">
        <f t="shared" si="14"/>
        <v>12967.5</v>
      </c>
    </row>
    <row r="276" spans="1:15" x14ac:dyDescent="0.3">
      <c r="A276" s="12" t="s">
        <v>466</v>
      </c>
      <c r="B276" s="12" t="s">
        <v>135</v>
      </c>
      <c r="C276" s="12" t="s">
        <v>30</v>
      </c>
      <c r="D276" s="12" t="s">
        <v>31</v>
      </c>
      <c r="E276" s="12" t="s">
        <v>16</v>
      </c>
      <c r="F276" s="12" t="s">
        <v>39</v>
      </c>
      <c r="G276" s="12" t="s">
        <v>18</v>
      </c>
      <c r="H276" s="12">
        <v>16307</v>
      </c>
      <c r="I276" s="12" t="s">
        <v>19</v>
      </c>
      <c r="J276" s="26">
        <v>0.2</v>
      </c>
      <c r="K276" s="12">
        <v>17000</v>
      </c>
      <c r="L276" s="14">
        <v>45321</v>
      </c>
      <c r="M276" s="8" t="str">
        <f t="shared" si="12"/>
        <v>Below Target</v>
      </c>
      <c r="N276" s="20">
        <f t="shared" si="13"/>
        <v>20</v>
      </c>
      <c r="O276" s="22">
        <f t="shared" si="14"/>
        <v>13045.6</v>
      </c>
    </row>
    <row r="277" spans="1:15" x14ac:dyDescent="0.3">
      <c r="A277" s="12" t="s">
        <v>467</v>
      </c>
      <c r="B277" s="12" t="s">
        <v>263</v>
      </c>
      <c r="C277" s="12" t="s">
        <v>61</v>
      </c>
      <c r="D277" s="12" t="s">
        <v>62</v>
      </c>
      <c r="E277" s="12" t="s">
        <v>32</v>
      </c>
      <c r="F277" s="12" t="s">
        <v>25</v>
      </c>
      <c r="G277" s="12" t="s">
        <v>18</v>
      </c>
      <c r="H277" s="12">
        <v>7207</v>
      </c>
      <c r="I277" s="12" t="s">
        <v>33</v>
      </c>
      <c r="J277" s="26">
        <v>0.3</v>
      </c>
      <c r="K277" s="12">
        <v>9000</v>
      </c>
      <c r="L277" s="14">
        <v>45352</v>
      </c>
      <c r="M277" s="8" t="str">
        <f t="shared" si="12"/>
        <v>Below Target</v>
      </c>
      <c r="N277" s="20">
        <f t="shared" si="13"/>
        <v>30</v>
      </c>
      <c r="O277" s="22">
        <f t="shared" si="14"/>
        <v>5044.8999999999996</v>
      </c>
    </row>
    <row r="278" spans="1:15" x14ac:dyDescent="0.3">
      <c r="A278" s="12" t="s">
        <v>468</v>
      </c>
      <c r="B278" s="12" t="s">
        <v>309</v>
      </c>
      <c r="C278" s="12" t="s">
        <v>61</v>
      </c>
      <c r="D278" s="12" t="s">
        <v>62</v>
      </c>
      <c r="E278" s="12" t="s">
        <v>32</v>
      </c>
      <c r="F278" s="12" t="s">
        <v>25</v>
      </c>
      <c r="G278" s="12" t="s">
        <v>36</v>
      </c>
      <c r="H278" s="12">
        <v>10824</v>
      </c>
      <c r="I278" s="12" t="s">
        <v>27</v>
      </c>
      <c r="J278" s="26"/>
      <c r="K278" s="12">
        <v>9000</v>
      </c>
      <c r="L278" s="14">
        <v>45338</v>
      </c>
      <c r="M278" s="8" t="str">
        <f t="shared" si="12"/>
        <v>Below Target</v>
      </c>
      <c r="N278" s="20">
        <f t="shared" si="13"/>
        <v>15</v>
      </c>
      <c r="O278" s="22">
        <f t="shared" si="14"/>
        <v>9200.4</v>
      </c>
    </row>
    <row r="279" spans="1:15" x14ac:dyDescent="0.3">
      <c r="A279" s="12" t="s">
        <v>469</v>
      </c>
      <c r="B279" s="12" t="s">
        <v>408</v>
      </c>
      <c r="C279" s="12" t="s">
        <v>44</v>
      </c>
      <c r="D279" s="12" t="s">
        <v>45</v>
      </c>
      <c r="E279" s="12" t="s">
        <v>46</v>
      </c>
      <c r="F279" s="12" t="s">
        <v>39</v>
      </c>
      <c r="G279" s="12" t="s">
        <v>36</v>
      </c>
      <c r="H279" s="12">
        <v>13042</v>
      </c>
      <c r="I279" s="12" t="s">
        <v>33</v>
      </c>
      <c r="J279" s="26">
        <v>0.3</v>
      </c>
      <c r="K279" s="12">
        <v>13000</v>
      </c>
      <c r="L279" s="14">
        <v>45323</v>
      </c>
      <c r="M279" s="8" t="str">
        <f t="shared" si="12"/>
        <v>Below Target</v>
      </c>
      <c r="N279" s="20">
        <f t="shared" si="13"/>
        <v>30</v>
      </c>
      <c r="O279" s="22">
        <f t="shared" si="14"/>
        <v>9129.4</v>
      </c>
    </row>
    <row r="280" spans="1:15" x14ac:dyDescent="0.3">
      <c r="A280" s="12" t="s">
        <v>470</v>
      </c>
      <c r="B280" s="12" t="s">
        <v>76</v>
      </c>
      <c r="C280" s="12" t="s">
        <v>61</v>
      </c>
      <c r="D280" s="12" t="s">
        <v>62</v>
      </c>
      <c r="E280" s="12" t="s">
        <v>16</v>
      </c>
      <c r="F280" s="12" t="s">
        <v>17</v>
      </c>
      <c r="G280" s="12" t="s">
        <v>18</v>
      </c>
      <c r="H280" s="12">
        <v>7881</v>
      </c>
      <c r="I280" s="12" t="s">
        <v>27</v>
      </c>
      <c r="J280" s="26"/>
      <c r="K280" s="12">
        <v>9000</v>
      </c>
      <c r="L280" s="14">
        <v>45314</v>
      </c>
      <c r="M280" s="8" t="str">
        <f t="shared" si="12"/>
        <v>Below Target</v>
      </c>
      <c r="N280" s="20">
        <f t="shared" si="13"/>
        <v>15</v>
      </c>
      <c r="O280" s="22">
        <f t="shared" si="14"/>
        <v>6698.85</v>
      </c>
    </row>
    <row r="281" spans="1:15" x14ac:dyDescent="0.3">
      <c r="A281" s="12" t="s">
        <v>471</v>
      </c>
      <c r="B281" s="12" t="s">
        <v>161</v>
      </c>
      <c r="C281" s="12" t="s">
        <v>30</v>
      </c>
      <c r="D281" s="12" t="s">
        <v>31</v>
      </c>
      <c r="E281" s="12" t="s">
        <v>46</v>
      </c>
      <c r="F281" s="12" t="s">
        <v>39</v>
      </c>
      <c r="G281" s="12" t="s">
        <v>26</v>
      </c>
      <c r="H281" s="12">
        <v>17754</v>
      </c>
      <c r="I281" s="12"/>
      <c r="J281" s="26"/>
      <c r="K281" s="12">
        <v>17000</v>
      </c>
      <c r="L281" s="14">
        <v>45310</v>
      </c>
      <c r="M281" s="8" t="str">
        <f t="shared" si="12"/>
        <v>Target Achieved</v>
      </c>
      <c r="N281" s="20">
        <f t="shared" si="13"/>
        <v>0</v>
      </c>
      <c r="O281" s="22">
        <f t="shared" si="14"/>
        <v>17754</v>
      </c>
    </row>
    <row r="282" spans="1:15" x14ac:dyDescent="0.3">
      <c r="A282" s="12" t="s">
        <v>472</v>
      </c>
      <c r="B282" s="12" t="s">
        <v>184</v>
      </c>
      <c r="C282" s="12" t="s">
        <v>14</v>
      </c>
      <c r="D282" s="12" t="s">
        <v>15</v>
      </c>
      <c r="E282" s="12" t="s">
        <v>46</v>
      </c>
      <c r="F282" s="12" t="s">
        <v>25</v>
      </c>
      <c r="G282" s="12" t="s">
        <v>36</v>
      </c>
      <c r="H282" s="12">
        <v>14979</v>
      </c>
      <c r="I282" s="12" t="s">
        <v>33</v>
      </c>
      <c r="J282" s="26">
        <v>0.3</v>
      </c>
      <c r="K282" s="12">
        <v>14000</v>
      </c>
      <c r="L282" s="14">
        <v>45340</v>
      </c>
      <c r="M282" s="8" t="str">
        <f t="shared" si="12"/>
        <v>Below Target</v>
      </c>
      <c r="N282" s="20">
        <f t="shared" si="13"/>
        <v>30</v>
      </c>
      <c r="O282" s="22">
        <f t="shared" si="14"/>
        <v>10485.299999999999</v>
      </c>
    </row>
    <row r="283" spans="1:15" x14ac:dyDescent="0.3">
      <c r="A283" s="12" t="s">
        <v>473</v>
      </c>
      <c r="B283" s="12" t="s">
        <v>474</v>
      </c>
      <c r="C283" s="12" t="s">
        <v>14</v>
      </c>
      <c r="D283" s="12" t="s">
        <v>15</v>
      </c>
      <c r="E283" s="12" t="s">
        <v>46</v>
      </c>
      <c r="F283" s="12" t="s">
        <v>25</v>
      </c>
      <c r="G283" s="12" t="s">
        <v>26</v>
      </c>
      <c r="H283" s="12">
        <v>14301</v>
      </c>
      <c r="I283" s="12" t="s">
        <v>19</v>
      </c>
      <c r="J283" s="26">
        <v>0.2</v>
      </c>
      <c r="K283" s="12">
        <v>14000</v>
      </c>
      <c r="L283" s="14">
        <v>45315</v>
      </c>
      <c r="M283" s="8" t="str">
        <f t="shared" si="12"/>
        <v>Below Target</v>
      </c>
      <c r="N283" s="20">
        <f t="shared" si="13"/>
        <v>20</v>
      </c>
      <c r="O283" s="22">
        <f t="shared" si="14"/>
        <v>11440.8</v>
      </c>
    </row>
    <row r="284" spans="1:15" x14ac:dyDescent="0.3">
      <c r="A284" s="12" t="s">
        <v>475</v>
      </c>
      <c r="B284" s="12" t="s">
        <v>448</v>
      </c>
      <c r="C284" s="12" t="s">
        <v>14</v>
      </c>
      <c r="D284" s="12" t="s">
        <v>15</v>
      </c>
      <c r="E284" s="12" t="s">
        <v>46</v>
      </c>
      <c r="F284" s="12" t="s">
        <v>39</v>
      </c>
      <c r="G284" s="12" t="s">
        <v>36</v>
      </c>
      <c r="H284" s="12">
        <v>15130</v>
      </c>
      <c r="I284" s="12" t="s">
        <v>27</v>
      </c>
      <c r="J284" s="26"/>
      <c r="K284" s="12">
        <v>14000</v>
      </c>
      <c r="L284" s="14">
        <v>45309</v>
      </c>
      <c r="M284" s="8" t="str">
        <f t="shared" si="12"/>
        <v>Below Target</v>
      </c>
      <c r="N284" s="20">
        <f t="shared" si="13"/>
        <v>15</v>
      </c>
      <c r="O284" s="22">
        <f t="shared" si="14"/>
        <v>12860.5</v>
      </c>
    </row>
    <row r="285" spans="1:15" x14ac:dyDescent="0.3">
      <c r="A285" s="12" t="s">
        <v>476</v>
      </c>
      <c r="B285" s="12" t="s">
        <v>460</v>
      </c>
      <c r="C285" s="12" t="s">
        <v>14</v>
      </c>
      <c r="D285" s="12" t="s">
        <v>15</v>
      </c>
      <c r="E285" s="12" t="s">
        <v>32</v>
      </c>
      <c r="F285" s="12" t="s">
        <v>25</v>
      </c>
      <c r="G285" s="12" t="s">
        <v>36</v>
      </c>
      <c r="H285" s="12">
        <v>13528</v>
      </c>
      <c r="I285" s="12" t="s">
        <v>33</v>
      </c>
      <c r="J285" s="26">
        <v>0.3</v>
      </c>
      <c r="K285" s="12">
        <v>14000</v>
      </c>
      <c r="L285" s="14">
        <v>45327</v>
      </c>
      <c r="M285" s="8" t="str">
        <f t="shared" si="12"/>
        <v>Below Target</v>
      </c>
      <c r="N285" s="20">
        <f t="shared" si="13"/>
        <v>30</v>
      </c>
      <c r="O285" s="22">
        <f t="shared" si="14"/>
        <v>9469.6</v>
      </c>
    </row>
    <row r="286" spans="1:15" x14ac:dyDescent="0.3">
      <c r="A286" s="12" t="s">
        <v>477</v>
      </c>
      <c r="B286" s="12" t="s">
        <v>478</v>
      </c>
      <c r="C286" s="12" t="s">
        <v>44</v>
      </c>
      <c r="D286" s="12" t="s">
        <v>45</v>
      </c>
      <c r="E286" s="12" t="s">
        <v>32</v>
      </c>
      <c r="F286" s="12" t="s">
        <v>39</v>
      </c>
      <c r="G286" s="12" t="s">
        <v>26</v>
      </c>
      <c r="H286" s="12">
        <v>12644</v>
      </c>
      <c r="I286" s="12" t="s">
        <v>27</v>
      </c>
      <c r="J286" s="26"/>
      <c r="K286" s="12">
        <v>13000</v>
      </c>
      <c r="L286" s="14">
        <v>45294</v>
      </c>
      <c r="M286" s="8" t="str">
        <f t="shared" si="12"/>
        <v>Below Target</v>
      </c>
      <c r="N286" s="20">
        <f t="shared" si="13"/>
        <v>15</v>
      </c>
      <c r="O286" s="22">
        <f t="shared" si="14"/>
        <v>10747.4</v>
      </c>
    </row>
    <row r="287" spans="1:15" x14ac:dyDescent="0.3">
      <c r="A287" s="12" t="s">
        <v>479</v>
      </c>
      <c r="B287" s="12" t="s">
        <v>161</v>
      </c>
      <c r="C287" s="12" t="s">
        <v>44</v>
      </c>
      <c r="D287" s="12" t="s">
        <v>45</v>
      </c>
      <c r="E287" s="12" t="s">
        <v>16</v>
      </c>
      <c r="F287" s="12" t="s">
        <v>17</v>
      </c>
      <c r="G287" s="12" t="s">
        <v>36</v>
      </c>
      <c r="H287" s="12">
        <v>13127</v>
      </c>
      <c r="I287" s="12"/>
      <c r="J287" s="26"/>
      <c r="K287" s="12">
        <v>13000</v>
      </c>
      <c r="L287" s="14">
        <v>45301</v>
      </c>
      <c r="M287" s="8" t="str">
        <f t="shared" si="12"/>
        <v>Target Achieved</v>
      </c>
      <c r="N287" s="20">
        <f t="shared" si="13"/>
        <v>0</v>
      </c>
      <c r="O287" s="22">
        <f t="shared" si="14"/>
        <v>13127</v>
      </c>
    </row>
    <row r="288" spans="1:15" x14ac:dyDescent="0.3">
      <c r="A288" s="12" t="s">
        <v>480</v>
      </c>
      <c r="B288" s="12" t="s">
        <v>86</v>
      </c>
      <c r="C288" s="12" t="s">
        <v>44</v>
      </c>
      <c r="D288" s="12" t="s">
        <v>45</v>
      </c>
      <c r="E288" s="12" t="s">
        <v>46</v>
      </c>
      <c r="F288" s="12" t="s">
        <v>39</v>
      </c>
      <c r="G288" s="12" t="s">
        <v>36</v>
      </c>
      <c r="H288" s="12">
        <v>11665</v>
      </c>
      <c r="I288" s="12"/>
      <c r="J288" s="26"/>
      <c r="K288" s="12">
        <v>13000</v>
      </c>
      <c r="L288" s="14">
        <v>45331</v>
      </c>
      <c r="M288" s="8" t="str">
        <f t="shared" si="12"/>
        <v>Target Achieved</v>
      </c>
      <c r="N288" s="20">
        <f t="shared" si="13"/>
        <v>0</v>
      </c>
      <c r="O288" s="22">
        <f t="shared" si="14"/>
        <v>11665</v>
      </c>
    </row>
    <row r="289" spans="1:15" x14ac:dyDescent="0.3">
      <c r="A289" s="12" t="s">
        <v>481</v>
      </c>
      <c r="B289" s="12" t="s">
        <v>371</v>
      </c>
      <c r="C289" s="12" t="s">
        <v>30</v>
      </c>
      <c r="D289" s="12" t="s">
        <v>31</v>
      </c>
      <c r="E289" s="12" t="s">
        <v>16</v>
      </c>
      <c r="F289" s="12" t="s">
        <v>17</v>
      </c>
      <c r="G289" s="12" t="s">
        <v>26</v>
      </c>
      <c r="H289" s="12">
        <v>18392</v>
      </c>
      <c r="I289" s="12" t="s">
        <v>27</v>
      </c>
      <c r="J289" s="26"/>
      <c r="K289" s="12">
        <v>17000</v>
      </c>
      <c r="L289" s="14">
        <v>45326</v>
      </c>
      <c r="M289" s="8" t="str">
        <f t="shared" si="12"/>
        <v>Below Target</v>
      </c>
      <c r="N289" s="20">
        <f t="shared" si="13"/>
        <v>15</v>
      </c>
      <c r="O289" s="22">
        <f t="shared" si="14"/>
        <v>15633.2</v>
      </c>
    </row>
    <row r="290" spans="1:15" x14ac:dyDescent="0.3">
      <c r="A290" s="12" t="s">
        <v>482</v>
      </c>
      <c r="B290" s="12" t="s">
        <v>483</v>
      </c>
      <c r="C290" s="12" t="s">
        <v>30</v>
      </c>
      <c r="D290" s="12" t="s">
        <v>31</v>
      </c>
      <c r="E290" s="12" t="s">
        <v>46</v>
      </c>
      <c r="F290" s="12" t="s">
        <v>25</v>
      </c>
      <c r="G290" s="12" t="s">
        <v>36</v>
      </c>
      <c r="H290" s="12">
        <v>16356</v>
      </c>
      <c r="I290" s="12" t="s">
        <v>22</v>
      </c>
      <c r="J290" s="26">
        <v>0.1</v>
      </c>
      <c r="K290" s="12">
        <v>17000</v>
      </c>
      <c r="L290" s="14">
        <v>45318</v>
      </c>
      <c r="M290" s="8" t="str">
        <f t="shared" si="12"/>
        <v>Below Target</v>
      </c>
      <c r="N290" s="20">
        <f t="shared" si="13"/>
        <v>10</v>
      </c>
      <c r="O290" s="22">
        <f t="shared" si="14"/>
        <v>14720.4</v>
      </c>
    </row>
    <row r="291" spans="1:15" x14ac:dyDescent="0.3">
      <c r="A291" s="12" t="s">
        <v>484</v>
      </c>
      <c r="B291" s="12" t="s">
        <v>291</v>
      </c>
      <c r="C291" s="12" t="s">
        <v>14</v>
      </c>
      <c r="D291" s="12" t="s">
        <v>15</v>
      </c>
      <c r="E291" s="12" t="s">
        <v>16</v>
      </c>
      <c r="F291" s="12" t="s">
        <v>17</v>
      </c>
      <c r="G291" s="12" t="s">
        <v>36</v>
      </c>
      <c r="H291" s="12">
        <v>15961</v>
      </c>
      <c r="I291" s="12" t="s">
        <v>27</v>
      </c>
      <c r="J291" s="26"/>
      <c r="K291" s="12">
        <v>14000</v>
      </c>
      <c r="L291" s="14">
        <v>45328</v>
      </c>
      <c r="M291" s="8" t="str">
        <f t="shared" si="12"/>
        <v>Below Target</v>
      </c>
      <c r="N291" s="20">
        <f t="shared" si="13"/>
        <v>15</v>
      </c>
      <c r="O291" s="22">
        <f t="shared" si="14"/>
        <v>13566.85</v>
      </c>
    </row>
    <row r="292" spans="1:15" x14ac:dyDescent="0.3">
      <c r="A292" s="12" t="s">
        <v>485</v>
      </c>
      <c r="B292" s="12" t="s">
        <v>220</v>
      </c>
      <c r="C292" s="12" t="s">
        <v>14</v>
      </c>
      <c r="D292" s="12" t="s">
        <v>15</v>
      </c>
      <c r="E292" s="12" t="s">
        <v>16</v>
      </c>
      <c r="F292" s="12" t="s">
        <v>17</v>
      </c>
      <c r="G292" s="12" t="s">
        <v>18</v>
      </c>
      <c r="H292" s="12">
        <v>14147</v>
      </c>
      <c r="I292" s="12" t="s">
        <v>27</v>
      </c>
      <c r="J292" s="26"/>
      <c r="K292" s="12">
        <v>14000</v>
      </c>
      <c r="L292" s="14">
        <v>45341</v>
      </c>
      <c r="M292" s="8" t="str">
        <f t="shared" si="12"/>
        <v>Below Target</v>
      </c>
      <c r="N292" s="20">
        <f t="shared" si="13"/>
        <v>15</v>
      </c>
      <c r="O292" s="22">
        <f t="shared" si="14"/>
        <v>12024.95</v>
      </c>
    </row>
    <row r="293" spans="1:15" x14ac:dyDescent="0.3">
      <c r="A293" s="12" t="s">
        <v>486</v>
      </c>
      <c r="B293" s="12" t="s">
        <v>487</v>
      </c>
      <c r="C293" s="12" t="s">
        <v>44</v>
      </c>
      <c r="D293" s="12" t="s">
        <v>45</v>
      </c>
      <c r="E293" s="12" t="s">
        <v>16</v>
      </c>
      <c r="F293" s="12" t="s">
        <v>25</v>
      </c>
      <c r="G293" s="12" t="s">
        <v>18</v>
      </c>
      <c r="H293" s="12">
        <v>13345</v>
      </c>
      <c r="I293" s="12" t="s">
        <v>22</v>
      </c>
      <c r="J293" s="26">
        <v>0.1</v>
      </c>
      <c r="K293" s="12">
        <v>13000</v>
      </c>
      <c r="L293" s="14">
        <v>45304</v>
      </c>
      <c r="M293" s="8" t="str">
        <f t="shared" si="12"/>
        <v>Below Target</v>
      </c>
      <c r="N293" s="20">
        <f t="shared" si="13"/>
        <v>10</v>
      </c>
      <c r="O293" s="22">
        <f t="shared" si="14"/>
        <v>12010.5</v>
      </c>
    </row>
    <row r="294" spans="1:15" x14ac:dyDescent="0.3">
      <c r="A294" s="12" t="s">
        <v>488</v>
      </c>
      <c r="B294" s="12" t="s">
        <v>489</v>
      </c>
      <c r="C294" s="12" t="s">
        <v>30</v>
      </c>
      <c r="D294" s="12" t="s">
        <v>31</v>
      </c>
      <c r="E294" s="12" t="s">
        <v>46</v>
      </c>
      <c r="F294" s="12" t="s">
        <v>25</v>
      </c>
      <c r="G294" s="12" t="s">
        <v>36</v>
      </c>
      <c r="H294" s="12">
        <v>17828</v>
      </c>
      <c r="I294" s="12" t="s">
        <v>19</v>
      </c>
      <c r="J294" s="26">
        <v>0.2</v>
      </c>
      <c r="K294" s="12">
        <v>17000</v>
      </c>
      <c r="L294" s="14">
        <v>45318</v>
      </c>
      <c r="M294" s="8" t="str">
        <f t="shared" si="12"/>
        <v>Below Target</v>
      </c>
      <c r="N294" s="20">
        <f t="shared" si="13"/>
        <v>20</v>
      </c>
      <c r="O294" s="22">
        <f t="shared" si="14"/>
        <v>14262.4</v>
      </c>
    </row>
    <row r="295" spans="1:15" x14ac:dyDescent="0.3">
      <c r="A295" s="12" t="s">
        <v>490</v>
      </c>
      <c r="B295" s="12" t="s">
        <v>82</v>
      </c>
      <c r="C295" s="12" t="s">
        <v>61</v>
      </c>
      <c r="D295" s="12" t="s">
        <v>62</v>
      </c>
      <c r="E295" s="12" t="s">
        <v>16</v>
      </c>
      <c r="F295" s="12" t="s">
        <v>39</v>
      </c>
      <c r="G295" s="12" t="s">
        <v>18</v>
      </c>
      <c r="H295" s="12">
        <v>9890</v>
      </c>
      <c r="I295" s="12" t="s">
        <v>19</v>
      </c>
      <c r="J295" s="26">
        <v>0.2</v>
      </c>
      <c r="K295" s="12">
        <v>9000</v>
      </c>
      <c r="L295" s="14">
        <v>45325</v>
      </c>
      <c r="M295" s="8" t="str">
        <f t="shared" si="12"/>
        <v>Below Target</v>
      </c>
      <c r="N295" s="20">
        <f t="shared" si="13"/>
        <v>20</v>
      </c>
      <c r="O295" s="22">
        <f t="shared" si="14"/>
        <v>7912</v>
      </c>
    </row>
    <row r="296" spans="1:15" x14ac:dyDescent="0.3">
      <c r="A296" s="12" t="s">
        <v>491</v>
      </c>
      <c r="B296" s="12" t="s">
        <v>24</v>
      </c>
      <c r="C296" s="12" t="s">
        <v>30</v>
      </c>
      <c r="D296" s="12" t="s">
        <v>31</v>
      </c>
      <c r="E296" s="12" t="s">
        <v>16</v>
      </c>
      <c r="F296" s="12" t="s">
        <v>17</v>
      </c>
      <c r="G296" s="12" t="s">
        <v>26</v>
      </c>
      <c r="H296" s="12">
        <v>16543</v>
      </c>
      <c r="I296" s="12" t="s">
        <v>33</v>
      </c>
      <c r="J296" s="26">
        <v>0.3</v>
      </c>
      <c r="K296" s="12">
        <v>17000</v>
      </c>
      <c r="L296" s="14">
        <v>45303</v>
      </c>
      <c r="M296" s="8" t="str">
        <f t="shared" si="12"/>
        <v>Below Target</v>
      </c>
      <c r="N296" s="20">
        <f t="shared" si="13"/>
        <v>30</v>
      </c>
      <c r="O296" s="22">
        <f t="shared" si="14"/>
        <v>11580.1</v>
      </c>
    </row>
    <row r="297" spans="1:15" x14ac:dyDescent="0.3">
      <c r="A297" s="12" t="s">
        <v>492</v>
      </c>
      <c r="B297" s="12" t="s">
        <v>330</v>
      </c>
      <c r="C297" s="12" t="s">
        <v>30</v>
      </c>
      <c r="D297" s="12" t="s">
        <v>31</v>
      </c>
      <c r="E297" s="12" t="s">
        <v>16</v>
      </c>
      <c r="F297" s="12" t="s">
        <v>17</v>
      </c>
      <c r="G297" s="12" t="s">
        <v>26</v>
      </c>
      <c r="H297" s="12">
        <v>18162</v>
      </c>
      <c r="I297" s="12" t="s">
        <v>33</v>
      </c>
      <c r="J297" s="26">
        <v>0.3</v>
      </c>
      <c r="K297" s="12">
        <v>17000</v>
      </c>
      <c r="L297" s="14">
        <v>45331</v>
      </c>
      <c r="M297" s="8" t="str">
        <f t="shared" si="12"/>
        <v>Below Target</v>
      </c>
      <c r="N297" s="20">
        <f t="shared" si="13"/>
        <v>30</v>
      </c>
      <c r="O297" s="22">
        <f t="shared" si="14"/>
        <v>12713.4</v>
      </c>
    </row>
    <row r="298" spans="1:15" x14ac:dyDescent="0.3">
      <c r="A298" s="12" t="s">
        <v>493</v>
      </c>
      <c r="B298" s="12" t="s">
        <v>211</v>
      </c>
      <c r="C298" s="12" t="s">
        <v>44</v>
      </c>
      <c r="D298" s="12" t="s">
        <v>45</v>
      </c>
      <c r="E298" s="12" t="s">
        <v>46</v>
      </c>
      <c r="F298" s="12" t="s">
        <v>39</v>
      </c>
      <c r="G298" s="12" t="s">
        <v>36</v>
      </c>
      <c r="H298" s="12">
        <v>11921</v>
      </c>
      <c r="I298" s="12" t="s">
        <v>33</v>
      </c>
      <c r="J298" s="26">
        <v>0.3</v>
      </c>
      <c r="K298" s="12">
        <v>13000</v>
      </c>
      <c r="L298" s="14">
        <v>45341</v>
      </c>
      <c r="M298" s="8" t="str">
        <f t="shared" si="12"/>
        <v>Below Target</v>
      </c>
      <c r="N298" s="20">
        <f t="shared" si="13"/>
        <v>30</v>
      </c>
      <c r="O298" s="22">
        <f t="shared" si="14"/>
        <v>8344.7000000000007</v>
      </c>
    </row>
    <row r="299" spans="1:15" x14ac:dyDescent="0.3">
      <c r="A299" s="12" t="s">
        <v>494</v>
      </c>
      <c r="B299" s="12" t="s">
        <v>350</v>
      </c>
      <c r="C299" s="12" t="s">
        <v>44</v>
      </c>
      <c r="D299" s="12" t="s">
        <v>45</v>
      </c>
      <c r="E299" s="12" t="s">
        <v>16</v>
      </c>
      <c r="F299" s="12" t="s">
        <v>39</v>
      </c>
      <c r="G299" s="12" t="s">
        <v>36</v>
      </c>
      <c r="H299" s="12">
        <v>12298</v>
      </c>
      <c r="I299" s="12"/>
      <c r="J299" s="26"/>
      <c r="K299" s="12">
        <v>13000</v>
      </c>
      <c r="L299" s="14">
        <v>45314</v>
      </c>
      <c r="M299" s="8" t="str">
        <f t="shared" si="12"/>
        <v>Target Achieved</v>
      </c>
      <c r="N299" s="20">
        <f t="shared" si="13"/>
        <v>0</v>
      </c>
      <c r="O299" s="22">
        <f t="shared" si="14"/>
        <v>12298</v>
      </c>
    </row>
    <row r="300" spans="1:15" x14ac:dyDescent="0.3">
      <c r="A300" s="12" t="s">
        <v>495</v>
      </c>
      <c r="B300" s="12" t="s">
        <v>82</v>
      </c>
      <c r="C300" s="12" t="s">
        <v>30</v>
      </c>
      <c r="D300" s="12" t="s">
        <v>31</v>
      </c>
      <c r="E300" s="12" t="s">
        <v>46</v>
      </c>
      <c r="F300" s="12" t="s">
        <v>25</v>
      </c>
      <c r="G300" s="12" t="s">
        <v>26</v>
      </c>
      <c r="H300" s="12">
        <v>17771</v>
      </c>
      <c r="I300" s="12" t="s">
        <v>27</v>
      </c>
      <c r="J300" s="26"/>
      <c r="K300" s="12">
        <v>17000</v>
      </c>
      <c r="L300" s="14">
        <v>45316</v>
      </c>
      <c r="M300" s="8" t="str">
        <f t="shared" si="12"/>
        <v>Below Target</v>
      </c>
      <c r="N300" s="20">
        <f t="shared" si="13"/>
        <v>15</v>
      </c>
      <c r="O300" s="22">
        <f t="shared" si="14"/>
        <v>15105.35</v>
      </c>
    </row>
    <row r="301" spans="1:15" x14ac:dyDescent="0.3">
      <c r="A301" s="12" t="s">
        <v>496</v>
      </c>
      <c r="B301" s="12" t="s">
        <v>137</v>
      </c>
      <c r="C301" s="12" t="s">
        <v>30</v>
      </c>
      <c r="D301" s="12" t="s">
        <v>31</v>
      </c>
      <c r="E301" s="12" t="s">
        <v>32</v>
      </c>
      <c r="F301" s="12" t="s">
        <v>17</v>
      </c>
      <c r="G301" s="12" t="s">
        <v>18</v>
      </c>
      <c r="H301" s="12">
        <v>16178</v>
      </c>
      <c r="I301" s="12" t="s">
        <v>22</v>
      </c>
      <c r="J301" s="26">
        <v>0.1</v>
      </c>
      <c r="K301" s="12">
        <v>17000</v>
      </c>
      <c r="L301" s="14">
        <v>45314</v>
      </c>
      <c r="M301" s="8" t="str">
        <f t="shared" si="12"/>
        <v>Below Target</v>
      </c>
      <c r="N301" s="20">
        <f t="shared" si="13"/>
        <v>10</v>
      </c>
      <c r="O301" s="22">
        <f t="shared" si="14"/>
        <v>14560.2</v>
      </c>
    </row>
    <row r="302" spans="1:15" x14ac:dyDescent="0.3">
      <c r="A302" s="12" t="s">
        <v>497</v>
      </c>
      <c r="B302" s="12" t="s">
        <v>445</v>
      </c>
      <c r="C302" s="12" t="s">
        <v>30</v>
      </c>
      <c r="D302" s="12" t="s">
        <v>31</v>
      </c>
      <c r="E302" s="12" t="s">
        <v>16</v>
      </c>
      <c r="F302" s="12" t="s">
        <v>17</v>
      </c>
      <c r="G302" s="12" t="s">
        <v>18</v>
      </c>
      <c r="H302" s="12">
        <v>15827</v>
      </c>
      <c r="I302" s="12" t="s">
        <v>27</v>
      </c>
      <c r="J302" s="26"/>
      <c r="K302" s="12">
        <v>17000</v>
      </c>
      <c r="L302" s="14">
        <v>45309</v>
      </c>
      <c r="M302" s="8" t="str">
        <f t="shared" si="12"/>
        <v>Below Target</v>
      </c>
      <c r="N302" s="20">
        <f t="shared" si="13"/>
        <v>15</v>
      </c>
      <c r="O302" s="22">
        <f t="shared" si="14"/>
        <v>13452.95</v>
      </c>
    </row>
    <row r="303" spans="1:15" x14ac:dyDescent="0.3">
      <c r="A303" s="12" t="s">
        <v>498</v>
      </c>
      <c r="B303" s="12" t="s">
        <v>84</v>
      </c>
      <c r="C303" s="12" t="s">
        <v>30</v>
      </c>
      <c r="D303" s="12" t="s">
        <v>31</v>
      </c>
      <c r="E303" s="12" t="s">
        <v>32</v>
      </c>
      <c r="F303" s="12" t="s">
        <v>25</v>
      </c>
      <c r="G303" s="12" t="s">
        <v>26</v>
      </c>
      <c r="H303" s="12">
        <v>18034</v>
      </c>
      <c r="I303" s="12" t="s">
        <v>27</v>
      </c>
      <c r="J303" s="26"/>
      <c r="K303" s="12">
        <v>17000</v>
      </c>
      <c r="L303" s="14">
        <v>45307</v>
      </c>
      <c r="M303" s="8" t="str">
        <f t="shared" si="12"/>
        <v>Below Target</v>
      </c>
      <c r="N303" s="20">
        <f t="shared" si="13"/>
        <v>15</v>
      </c>
      <c r="O303" s="22">
        <f t="shared" si="14"/>
        <v>15328.9</v>
      </c>
    </row>
    <row r="304" spans="1:15" x14ac:dyDescent="0.3">
      <c r="A304" s="12" t="s">
        <v>499</v>
      </c>
      <c r="B304" s="12" t="s">
        <v>500</v>
      </c>
      <c r="C304" s="12" t="s">
        <v>44</v>
      </c>
      <c r="D304" s="12" t="s">
        <v>45</v>
      </c>
      <c r="E304" s="12" t="s">
        <v>16</v>
      </c>
      <c r="F304" s="12" t="s">
        <v>25</v>
      </c>
      <c r="G304" s="12" t="s">
        <v>18</v>
      </c>
      <c r="H304" s="12">
        <v>11410</v>
      </c>
      <c r="I304" s="12"/>
      <c r="J304" s="26"/>
      <c r="K304" s="12">
        <v>13000</v>
      </c>
      <c r="L304" s="14">
        <v>45313</v>
      </c>
      <c r="M304" s="8" t="str">
        <f t="shared" si="12"/>
        <v>Target Achieved</v>
      </c>
      <c r="N304" s="20">
        <f t="shared" si="13"/>
        <v>0</v>
      </c>
      <c r="O304" s="22">
        <f t="shared" si="14"/>
        <v>11410</v>
      </c>
    </row>
    <row r="305" spans="1:15" x14ac:dyDescent="0.3">
      <c r="A305" s="12" t="s">
        <v>501</v>
      </c>
      <c r="B305" s="12" t="s">
        <v>334</v>
      </c>
      <c r="C305" s="12" t="s">
        <v>14</v>
      </c>
      <c r="D305" s="12" t="s">
        <v>15</v>
      </c>
      <c r="E305" s="12" t="s">
        <v>16</v>
      </c>
      <c r="F305" s="12" t="s">
        <v>25</v>
      </c>
      <c r="G305" s="12" t="s">
        <v>18</v>
      </c>
      <c r="H305" s="12">
        <v>15950</v>
      </c>
      <c r="I305" s="12" t="s">
        <v>27</v>
      </c>
      <c r="J305" s="26"/>
      <c r="K305" s="12">
        <v>14000</v>
      </c>
      <c r="L305" s="14">
        <v>45351</v>
      </c>
      <c r="M305" s="8" t="str">
        <f t="shared" si="12"/>
        <v>Below Target</v>
      </c>
      <c r="N305" s="20">
        <f t="shared" si="13"/>
        <v>15</v>
      </c>
      <c r="O305" s="22">
        <f t="shared" si="14"/>
        <v>13557.5</v>
      </c>
    </row>
    <row r="306" spans="1:15" x14ac:dyDescent="0.3">
      <c r="A306" s="12" t="s">
        <v>502</v>
      </c>
      <c r="B306" s="12" t="s">
        <v>363</v>
      </c>
      <c r="C306" s="12" t="s">
        <v>61</v>
      </c>
      <c r="D306" s="12" t="s">
        <v>62</v>
      </c>
      <c r="E306" s="12" t="s">
        <v>46</v>
      </c>
      <c r="F306" s="12" t="s">
        <v>39</v>
      </c>
      <c r="G306" s="12" t="s">
        <v>18</v>
      </c>
      <c r="H306" s="12">
        <v>10096</v>
      </c>
      <c r="I306" s="12" t="s">
        <v>33</v>
      </c>
      <c r="J306" s="26">
        <v>0.3</v>
      </c>
      <c r="K306" s="12">
        <v>9000</v>
      </c>
      <c r="L306" s="14">
        <v>45312</v>
      </c>
      <c r="M306" s="8" t="str">
        <f t="shared" si="12"/>
        <v>Below Target</v>
      </c>
      <c r="N306" s="20">
        <f t="shared" si="13"/>
        <v>30</v>
      </c>
      <c r="O306" s="22">
        <f t="shared" si="14"/>
        <v>7067.2</v>
      </c>
    </row>
    <row r="307" spans="1:15" x14ac:dyDescent="0.3">
      <c r="A307" s="12" t="s">
        <v>503</v>
      </c>
      <c r="B307" s="12" t="s">
        <v>286</v>
      </c>
      <c r="C307" s="12" t="s">
        <v>14</v>
      </c>
      <c r="D307" s="12" t="s">
        <v>15</v>
      </c>
      <c r="E307" s="12" t="s">
        <v>32</v>
      </c>
      <c r="F307" s="12" t="s">
        <v>39</v>
      </c>
      <c r="G307" s="12" t="s">
        <v>26</v>
      </c>
      <c r="H307" s="12">
        <v>12951</v>
      </c>
      <c r="I307" s="12" t="s">
        <v>27</v>
      </c>
      <c r="J307" s="26"/>
      <c r="K307" s="12">
        <v>14000</v>
      </c>
      <c r="L307" s="14">
        <v>45339</v>
      </c>
      <c r="M307" s="8" t="str">
        <f t="shared" si="12"/>
        <v>Below Target</v>
      </c>
      <c r="N307" s="20">
        <f t="shared" si="13"/>
        <v>15</v>
      </c>
      <c r="O307" s="22">
        <f t="shared" si="14"/>
        <v>11008.35</v>
      </c>
    </row>
    <row r="308" spans="1:15" x14ac:dyDescent="0.3">
      <c r="A308" s="12" t="s">
        <v>504</v>
      </c>
      <c r="B308" s="12" t="s">
        <v>371</v>
      </c>
      <c r="C308" s="12" t="s">
        <v>14</v>
      </c>
      <c r="D308" s="12" t="s">
        <v>15</v>
      </c>
      <c r="E308" s="12" t="s">
        <v>32</v>
      </c>
      <c r="F308" s="12" t="s">
        <v>17</v>
      </c>
      <c r="G308" s="12" t="s">
        <v>18</v>
      </c>
      <c r="H308" s="12">
        <v>15825</v>
      </c>
      <c r="I308" s="12" t="s">
        <v>22</v>
      </c>
      <c r="J308" s="26">
        <v>0.1</v>
      </c>
      <c r="K308" s="12">
        <v>14000</v>
      </c>
      <c r="L308" s="14">
        <v>45345</v>
      </c>
      <c r="M308" s="8" t="str">
        <f t="shared" si="12"/>
        <v>Below Target</v>
      </c>
      <c r="N308" s="20">
        <f t="shared" si="13"/>
        <v>10</v>
      </c>
      <c r="O308" s="22">
        <f t="shared" si="14"/>
        <v>14242.5</v>
      </c>
    </row>
    <row r="309" spans="1:15" x14ac:dyDescent="0.3">
      <c r="A309" s="12" t="s">
        <v>505</v>
      </c>
      <c r="B309" s="12" t="s">
        <v>155</v>
      </c>
      <c r="C309" s="12" t="s">
        <v>61</v>
      </c>
      <c r="D309" s="12" t="s">
        <v>62</v>
      </c>
      <c r="E309" s="12" t="s">
        <v>32</v>
      </c>
      <c r="F309" s="12" t="s">
        <v>39</v>
      </c>
      <c r="G309" s="12" t="s">
        <v>36</v>
      </c>
      <c r="H309" s="12">
        <v>10591</v>
      </c>
      <c r="I309" s="12" t="s">
        <v>22</v>
      </c>
      <c r="J309" s="26">
        <v>0.1</v>
      </c>
      <c r="K309" s="12">
        <v>9000</v>
      </c>
      <c r="L309" s="14">
        <v>45292</v>
      </c>
      <c r="M309" s="8" t="str">
        <f t="shared" si="12"/>
        <v>Below Target</v>
      </c>
      <c r="N309" s="20">
        <f t="shared" si="13"/>
        <v>10</v>
      </c>
      <c r="O309" s="22">
        <f t="shared" si="14"/>
        <v>9531.9</v>
      </c>
    </row>
    <row r="310" spans="1:15" x14ac:dyDescent="0.3">
      <c r="A310" s="12" t="s">
        <v>506</v>
      </c>
      <c r="B310" s="12" t="s">
        <v>118</v>
      </c>
      <c r="C310" s="12" t="s">
        <v>14</v>
      </c>
      <c r="D310" s="12" t="s">
        <v>15</v>
      </c>
      <c r="E310" s="12" t="s">
        <v>46</v>
      </c>
      <c r="F310" s="12" t="s">
        <v>17</v>
      </c>
      <c r="G310" s="12" t="s">
        <v>36</v>
      </c>
      <c r="H310" s="12">
        <v>14626</v>
      </c>
      <c r="I310" s="12" t="s">
        <v>27</v>
      </c>
      <c r="J310" s="26"/>
      <c r="K310" s="12">
        <v>14000</v>
      </c>
      <c r="L310" s="14">
        <v>45325</v>
      </c>
      <c r="M310" s="8" t="str">
        <f t="shared" si="12"/>
        <v>Below Target</v>
      </c>
      <c r="N310" s="20">
        <f t="shared" si="13"/>
        <v>15</v>
      </c>
      <c r="O310" s="22">
        <f t="shared" si="14"/>
        <v>12432.1</v>
      </c>
    </row>
    <row r="311" spans="1:15" x14ac:dyDescent="0.3">
      <c r="A311" s="12" t="s">
        <v>507</v>
      </c>
      <c r="B311" s="12" t="s">
        <v>508</v>
      </c>
      <c r="C311" s="12" t="s">
        <v>61</v>
      </c>
      <c r="D311" s="12" t="s">
        <v>62</v>
      </c>
      <c r="E311" s="12" t="s">
        <v>46</v>
      </c>
      <c r="F311" s="12" t="s">
        <v>25</v>
      </c>
      <c r="G311" s="12" t="s">
        <v>18</v>
      </c>
      <c r="H311" s="12">
        <v>8354</v>
      </c>
      <c r="I311" s="12" t="s">
        <v>19</v>
      </c>
      <c r="J311" s="26">
        <v>0.2</v>
      </c>
      <c r="K311" s="12">
        <v>9000</v>
      </c>
      <c r="L311" s="14">
        <v>45338</v>
      </c>
      <c r="M311" s="8" t="str">
        <f t="shared" si="12"/>
        <v>Below Target</v>
      </c>
      <c r="N311" s="20">
        <f t="shared" si="13"/>
        <v>20</v>
      </c>
      <c r="O311" s="22">
        <f t="shared" si="14"/>
        <v>6683.2</v>
      </c>
    </row>
    <row r="312" spans="1:15" x14ac:dyDescent="0.3">
      <c r="A312" s="12" t="s">
        <v>509</v>
      </c>
      <c r="B312" s="12" t="s">
        <v>332</v>
      </c>
      <c r="C312" s="12" t="s">
        <v>30</v>
      </c>
      <c r="D312" s="12" t="s">
        <v>31</v>
      </c>
      <c r="E312" s="12" t="s">
        <v>16</v>
      </c>
      <c r="F312" s="12" t="s">
        <v>25</v>
      </c>
      <c r="G312" s="12" t="s">
        <v>18</v>
      </c>
      <c r="H312" s="12">
        <v>18017</v>
      </c>
      <c r="I312" s="12" t="s">
        <v>33</v>
      </c>
      <c r="J312" s="26">
        <v>0.3</v>
      </c>
      <c r="K312" s="12">
        <v>17000</v>
      </c>
      <c r="L312" s="14">
        <v>45342</v>
      </c>
      <c r="M312" s="8" t="str">
        <f t="shared" si="12"/>
        <v>Below Target</v>
      </c>
      <c r="N312" s="20">
        <f t="shared" si="13"/>
        <v>30</v>
      </c>
      <c r="O312" s="22">
        <f t="shared" si="14"/>
        <v>12611.9</v>
      </c>
    </row>
    <row r="313" spans="1:15" x14ac:dyDescent="0.3">
      <c r="A313" s="12" t="s">
        <v>510</v>
      </c>
      <c r="B313" s="12" t="s">
        <v>118</v>
      </c>
      <c r="C313" s="12" t="s">
        <v>44</v>
      </c>
      <c r="D313" s="12" t="s">
        <v>45</v>
      </c>
      <c r="E313" s="12" t="s">
        <v>32</v>
      </c>
      <c r="F313" s="12" t="s">
        <v>39</v>
      </c>
      <c r="G313" s="12" t="s">
        <v>26</v>
      </c>
      <c r="H313" s="12">
        <v>14674</v>
      </c>
      <c r="I313" s="12"/>
      <c r="J313" s="26"/>
      <c r="K313" s="12">
        <v>13000</v>
      </c>
      <c r="L313" s="14">
        <v>45344</v>
      </c>
      <c r="M313" s="8" t="str">
        <f t="shared" si="12"/>
        <v>Target Achieved</v>
      </c>
      <c r="N313" s="20">
        <f t="shared" si="13"/>
        <v>0</v>
      </c>
      <c r="O313" s="22">
        <f t="shared" si="14"/>
        <v>14674</v>
      </c>
    </row>
    <row r="314" spans="1:15" x14ac:dyDescent="0.3">
      <c r="A314" s="12" t="s">
        <v>511</v>
      </c>
      <c r="B314" s="12" t="s">
        <v>512</v>
      </c>
      <c r="C314" s="12" t="s">
        <v>30</v>
      </c>
      <c r="D314" s="12" t="s">
        <v>31</v>
      </c>
      <c r="E314" s="12" t="s">
        <v>32</v>
      </c>
      <c r="F314" s="12" t="s">
        <v>17</v>
      </c>
      <c r="G314" s="12" t="s">
        <v>26</v>
      </c>
      <c r="H314" s="12">
        <v>15390</v>
      </c>
      <c r="I314" s="12" t="s">
        <v>19</v>
      </c>
      <c r="J314" s="26">
        <v>0.2</v>
      </c>
      <c r="K314" s="12">
        <v>17000</v>
      </c>
      <c r="L314" s="14">
        <v>45300</v>
      </c>
      <c r="M314" s="8" t="str">
        <f t="shared" si="12"/>
        <v>Below Target</v>
      </c>
      <c r="N314" s="20">
        <f t="shared" si="13"/>
        <v>20</v>
      </c>
      <c r="O314" s="22">
        <f t="shared" si="14"/>
        <v>12312</v>
      </c>
    </row>
    <row r="315" spans="1:15" x14ac:dyDescent="0.3">
      <c r="A315" s="12" t="s">
        <v>513</v>
      </c>
      <c r="B315" s="12" t="s">
        <v>188</v>
      </c>
      <c r="C315" s="12" t="s">
        <v>44</v>
      </c>
      <c r="D315" s="12" t="s">
        <v>45</v>
      </c>
      <c r="E315" s="12" t="s">
        <v>32</v>
      </c>
      <c r="F315" s="12" t="s">
        <v>17</v>
      </c>
      <c r="G315" s="12" t="s">
        <v>36</v>
      </c>
      <c r="H315" s="12">
        <v>11964</v>
      </c>
      <c r="I315" s="12"/>
      <c r="J315" s="26"/>
      <c r="K315" s="12">
        <v>13000</v>
      </c>
      <c r="L315" s="14">
        <v>45340</v>
      </c>
      <c r="M315" s="8" t="str">
        <f t="shared" si="12"/>
        <v>Target Achieved</v>
      </c>
      <c r="N315" s="20">
        <f t="shared" si="13"/>
        <v>0</v>
      </c>
      <c r="O315" s="22">
        <f t="shared" si="14"/>
        <v>11964</v>
      </c>
    </row>
    <row r="316" spans="1:15" x14ac:dyDescent="0.3">
      <c r="A316" s="12" t="s">
        <v>514</v>
      </c>
      <c r="B316" s="12" t="s">
        <v>131</v>
      </c>
      <c r="C316" s="12" t="s">
        <v>30</v>
      </c>
      <c r="D316" s="12" t="s">
        <v>31</v>
      </c>
      <c r="E316" s="12" t="s">
        <v>16</v>
      </c>
      <c r="F316" s="12" t="s">
        <v>39</v>
      </c>
      <c r="G316" s="12" t="s">
        <v>26</v>
      </c>
      <c r="H316" s="12">
        <v>15046</v>
      </c>
      <c r="I316" s="12" t="s">
        <v>33</v>
      </c>
      <c r="J316" s="26">
        <v>0.3</v>
      </c>
      <c r="K316" s="12">
        <v>17000</v>
      </c>
      <c r="L316" s="14">
        <v>45333</v>
      </c>
      <c r="M316" s="8" t="str">
        <f t="shared" si="12"/>
        <v>Below Target</v>
      </c>
      <c r="N316" s="20">
        <f t="shared" si="13"/>
        <v>30</v>
      </c>
      <c r="O316" s="22">
        <f t="shared" si="14"/>
        <v>10532.2</v>
      </c>
    </row>
    <row r="317" spans="1:15" x14ac:dyDescent="0.3">
      <c r="A317" s="12" t="s">
        <v>515</v>
      </c>
      <c r="B317" s="12" t="s">
        <v>516</v>
      </c>
      <c r="C317" s="12" t="s">
        <v>44</v>
      </c>
      <c r="D317" s="12" t="s">
        <v>45</v>
      </c>
      <c r="E317" s="12" t="s">
        <v>32</v>
      </c>
      <c r="F317" s="12" t="s">
        <v>39</v>
      </c>
      <c r="G317" s="12" t="s">
        <v>18</v>
      </c>
      <c r="H317" s="12">
        <v>12906</v>
      </c>
      <c r="I317" s="12" t="s">
        <v>33</v>
      </c>
      <c r="J317" s="26">
        <v>0.3</v>
      </c>
      <c r="K317" s="12">
        <v>13000</v>
      </c>
      <c r="L317" s="14">
        <v>45302</v>
      </c>
      <c r="M317" s="8" t="str">
        <f t="shared" si="12"/>
        <v>Below Target</v>
      </c>
      <c r="N317" s="20">
        <f t="shared" si="13"/>
        <v>30</v>
      </c>
      <c r="O317" s="22">
        <f t="shared" si="14"/>
        <v>9034.2000000000007</v>
      </c>
    </row>
    <row r="318" spans="1:15" x14ac:dyDescent="0.3">
      <c r="A318" s="12" t="s">
        <v>517</v>
      </c>
      <c r="B318" s="12" t="s">
        <v>274</v>
      </c>
      <c r="C318" s="12" t="s">
        <v>30</v>
      </c>
      <c r="D318" s="12" t="s">
        <v>31</v>
      </c>
      <c r="E318" s="12" t="s">
        <v>16</v>
      </c>
      <c r="F318" s="12" t="s">
        <v>25</v>
      </c>
      <c r="G318" s="12" t="s">
        <v>26</v>
      </c>
      <c r="H318" s="12">
        <v>18752</v>
      </c>
      <c r="I318" s="12" t="s">
        <v>33</v>
      </c>
      <c r="J318" s="26">
        <v>0.3</v>
      </c>
      <c r="K318" s="12">
        <v>17000</v>
      </c>
      <c r="L318" s="14">
        <v>45315</v>
      </c>
      <c r="M318" s="8" t="str">
        <f t="shared" si="12"/>
        <v>Below Target</v>
      </c>
      <c r="N318" s="20">
        <f t="shared" si="13"/>
        <v>30</v>
      </c>
      <c r="O318" s="22">
        <f t="shared" si="14"/>
        <v>13126.4</v>
      </c>
    </row>
    <row r="319" spans="1:15" x14ac:dyDescent="0.3">
      <c r="A319" s="12" t="s">
        <v>518</v>
      </c>
      <c r="B319" s="12" t="s">
        <v>519</v>
      </c>
      <c r="C319" s="12" t="s">
        <v>44</v>
      </c>
      <c r="D319" s="12" t="s">
        <v>45</v>
      </c>
      <c r="E319" s="12" t="s">
        <v>32</v>
      </c>
      <c r="F319" s="12" t="s">
        <v>17</v>
      </c>
      <c r="G319" s="12" t="s">
        <v>18</v>
      </c>
      <c r="H319" s="12">
        <v>12863</v>
      </c>
      <c r="I319" s="12" t="s">
        <v>27</v>
      </c>
      <c r="J319" s="26"/>
      <c r="K319" s="12">
        <v>13000</v>
      </c>
      <c r="L319" s="14">
        <v>45315</v>
      </c>
      <c r="M319" s="8" t="str">
        <f t="shared" si="12"/>
        <v>Below Target</v>
      </c>
      <c r="N319" s="20">
        <f t="shared" si="13"/>
        <v>15</v>
      </c>
      <c r="O319" s="22">
        <f t="shared" si="14"/>
        <v>10933.55</v>
      </c>
    </row>
    <row r="320" spans="1:15" x14ac:dyDescent="0.3">
      <c r="A320" s="12" t="s">
        <v>520</v>
      </c>
      <c r="B320" s="12" t="s">
        <v>101</v>
      </c>
      <c r="C320" s="12" t="s">
        <v>61</v>
      </c>
      <c r="D320" s="12" t="s">
        <v>62</v>
      </c>
      <c r="E320" s="12" t="s">
        <v>16</v>
      </c>
      <c r="F320" s="12" t="s">
        <v>39</v>
      </c>
      <c r="G320" s="12" t="s">
        <v>18</v>
      </c>
      <c r="H320" s="12">
        <v>10120</v>
      </c>
      <c r="I320" s="12" t="s">
        <v>19</v>
      </c>
      <c r="J320" s="26">
        <v>0.2</v>
      </c>
      <c r="K320" s="12">
        <v>9000</v>
      </c>
      <c r="L320" s="14">
        <v>45335</v>
      </c>
      <c r="M320" s="8" t="str">
        <f t="shared" si="12"/>
        <v>Below Target</v>
      </c>
      <c r="N320" s="20">
        <f t="shared" si="13"/>
        <v>20</v>
      </c>
      <c r="O320" s="22">
        <f t="shared" si="14"/>
        <v>8096</v>
      </c>
    </row>
    <row r="321" spans="1:15" x14ac:dyDescent="0.3">
      <c r="A321" s="12" t="s">
        <v>521</v>
      </c>
      <c r="B321" s="12" t="s">
        <v>522</v>
      </c>
      <c r="C321" s="12" t="s">
        <v>14</v>
      </c>
      <c r="D321" s="12" t="s">
        <v>15</v>
      </c>
      <c r="E321" s="12" t="s">
        <v>16</v>
      </c>
      <c r="F321" s="12" t="s">
        <v>17</v>
      </c>
      <c r="G321" s="12" t="s">
        <v>26</v>
      </c>
      <c r="H321" s="12">
        <v>14882</v>
      </c>
      <c r="I321" s="12" t="s">
        <v>33</v>
      </c>
      <c r="J321" s="26">
        <v>0.3</v>
      </c>
      <c r="K321" s="12">
        <v>14000</v>
      </c>
      <c r="L321" s="14">
        <v>45296</v>
      </c>
      <c r="M321" s="8" t="str">
        <f t="shared" si="12"/>
        <v>Below Target</v>
      </c>
      <c r="N321" s="20">
        <f t="shared" si="13"/>
        <v>30</v>
      </c>
      <c r="O321" s="22">
        <f t="shared" si="14"/>
        <v>10417.4</v>
      </c>
    </row>
    <row r="322" spans="1:15" x14ac:dyDescent="0.3">
      <c r="A322" s="12" t="s">
        <v>523</v>
      </c>
      <c r="B322" s="12" t="s">
        <v>60</v>
      </c>
      <c r="C322" s="12" t="s">
        <v>14</v>
      </c>
      <c r="D322" s="12" t="s">
        <v>15</v>
      </c>
      <c r="E322" s="12" t="s">
        <v>32</v>
      </c>
      <c r="F322" s="12" t="s">
        <v>39</v>
      </c>
      <c r="G322" s="12" t="s">
        <v>26</v>
      </c>
      <c r="H322" s="12">
        <v>12828</v>
      </c>
      <c r="I322" s="12" t="s">
        <v>27</v>
      </c>
      <c r="J322" s="26"/>
      <c r="K322" s="12">
        <v>14000</v>
      </c>
      <c r="L322" s="14">
        <v>45326</v>
      </c>
      <c r="M322" s="8" t="str">
        <f t="shared" ref="M322:M385" si="15">IF(J322&gt;=N322,"Target Achieved","Below Target")</f>
        <v>Below Target</v>
      </c>
      <c r="N322" s="20">
        <f t="shared" si="13"/>
        <v>15</v>
      </c>
      <c r="O322" s="22">
        <f t="shared" si="14"/>
        <v>10903.8</v>
      </c>
    </row>
    <row r="323" spans="1:15" x14ac:dyDescent="0.3">
      <c r="A323" s="12" t="s">
        <v>524</v>
      </c>
      <c r="B323" s="12" t="s">
        <v>175</v>
      </c>
      <c r="C323" s="12" t="s">
        <v>30</v>
      </c>
      <c r="D323" s="12" t="s">
        <v>31</v>
      </c>
      <c r="E323" s="12" t="s">
        <v>16</v>
      </c>
      <c r="F323" s="12" t="s">
        <v>17</v>
      </c>
      <c r="G323" s="12" t="s">
        <v>18</v>
      </c>
      <c r="H323" s="12">
        <v>17786</v>
      </c>
      <c r="I323" s="12" t="s">
        <v>19</v>
      </c>
      <c r="J323" s="26">
        <v>0.2</v>
      </c>
      <c r="K323" s="12">
        <v>17000</v>
      </c>
      <c r="L323" s="14">
        <v>45337</v>
      </c>
      <c r="M323" s="8" t="str">
        <f t="shared" si="15"/>
        <v>Below Target</v>
      </c>
      <c r="N323" s="20">
        <f t="shared" ref="N323:N386" si="16">IFERROR(VALUE(RIGHT(I323,2)),0)</f>
        <v>20</v>
      </c>
      <c r="O323" s="22">
        <f t="shared" ref="O323:O386" si="17">H323-H323*N323/100</f>
        <v>14228.8</v>
      </c>
    </row>
    <row r="324" spans="1:15" x14ac:dyDescent="0.3">
      <c r="A324" s="12" t="s">
        <v>525</v>
      </c>
      <c r="B324" s="12" t="s">
        <v>356</v>
      </c>
      <c r="C324" s="12" t="s">
        <v>14</v>
      </c>
      <c r="D324" s="12" t="s">
        <v>15</v>
      </c>
      <c r="E324" s="12" t="s">
        <v>16</v>
      </c>
      <c r="F324" s="12" t="s">
        <v>17</v>
      </c>
      <c r="G324" s="12" t="s">
        <v>18</v>
      </c>
      <c r="H324" s="12">
        <v>13857</v>
      </c>
      <c r="I324" s="12" t="s">
        <v>19</v>
      </c>
      <c r="J324" s="26">
        <v>0.2</v>
      </c>
      <c r="K324" s="12">
        <v>14000</v>
      </c>
      <c r="L324" s="14">
        <v>45324</v>
      </c>
      <c r="M324" s="8" t="str">
        <f t="shared" si="15"/>
        <v>Below Target</v>
      </c>
      <c r="N324" s="20">
        <f t="shared" si="16"/>
        <v>20</v>
      </c>
      <c r="O324" s="22">
        <f t="shared" si="17"/>
        <v>11085.6</v>
      </c>
    </row>
    <row r="325" spans="1:15" x14ac:dyDescent="0.3">
      <c r="A325" s="12" t="s">
        <v>526</v>
      </c>
      <c r="B325" s="12" t="s">
        <v>527</v>
      </c>
      <c r="C325" s="12" t="s">
        <v>14</v>
      </c>
      <c r="D325" s="12" t="s">
        <v>15</v>
      </c>
      <c r="E325" s="12" t="s">
        <v>16</v>
      </c>
      <c r="F325" s="12" t="s">
        <v>17</v>
      </c>
      <c r="G325" s="12" t="s">
        <v>26</v>
      </c>
      <c r="H325" s="12">
        <v>15305</v>
      </c>
      <c r="I325" s="12" t="s">
        <v>33</v>
      </c>
      <c r="J325" s="26">
        <v>0.3</v>
      </c>
      <c r="K325" s="12">
        <v>14000</v>
      </c>
      <c r="L325" s="14">
        <v>45338</v>
      </c>
      <c r="M325" s="8" t="str">
        <f t="shared" si="15"/>
        <v>Below Target</v>
      </c>
      <c r="N325" s="20">
        <f t="shared" si="16"/>
        <v>30</v>
      </c>
      <c r="O325" s="22">
        <f t="shared" si="17"/>
        <v>10713.5</v>
      </c>
    </row>
    <row r="326" spans="1:15" x14ac:dyDescent="0.3">
      <c r="A326" s="12" t="s">
        <v>528</v>
      </c>
      <c r="B326" s="12" t="s">
        <v>406</v>
      </c>
      <c r="C326" s="12" t="s">
        <v>30</v>
      </c>
      <c r="D326" s="12" t="s">
        <v>31</v>
      </c>
      <c r="E326" s="12" t="s">
        <v>32</v>
      </c>
      <c r="F326" s="12" t="s">
        <v>39</v>
      </c>
      <c r="G326" s="12" t="s">
        <v>18</v>
      </c>
      <c r="H326" s="12">
        <v>17368</v>
      </c>
      <c r="I326" s="12" t="s">
        <v>22</v>
      </c>
      <c r="J326" s="26">
        <v>0.1</v>
      </c>
      <c r="K326" s="12">
        <v>17000</v>
      </c>
      <c r="L326" s="14">
        <v>45294</v>
      </c>
      <c r="M326" s="8" t="str">
        <f t="shared" si="15"/>
        <v>Below Target</v>
      </c>
      <c r="N326" s="20">
        <f t="shared" si="16"/>
        <v>10</v>
      </c>
      <c r="O326" s="22">
        <f t="shared" si="17"/>
        <v>15631.2</v>
      </c>
    </row>
    <row r="327" spans="1:15" x14ac:dyDescent="0.3">
      <c r="A327" s="12" t="s">
        <v>529</v>
      </c>
      <c r="B327" s="12" t="s">
        <v>474</v>
      </c>
      <c r="C327" s="12" t="s">
        <v>14</v>
      </c>
      <c r="D327" s="12" t="s">
        <v>15</v>
      </c>
      <c r="E327" s="12" t="s">
        <v>16</v>
      </c>
      <c r="F327" s="12" t="s">
        <v>25</v>
      </c>
      <c r="G327" s="12" t="s">
        <v>18</v>
      </c>
      <c r="H327" s="12">
        <v>15824</v>
      </c>
      <c r="I327" s="12"/>
      <c r="J327" s="26"/>
      <c r="K327" s="12">
        <v>14000</v>
      </c>
      <c r="L327" s="14">
        <v>45294</v>
      </c>
      <c r="M327" s="8" t="str">
        <f t="shared" si="15"/>
        <v>Target Achieved</v>
      </c>
      <c r="N327" s="20">
        <f t="shared" si="16"/>
        <v>0</v>
      </c>
      <c r="O327" s="22">
        <f t="shared" si="17"/>
        <v>15824</v>
      </c>
    </row>
    <row r="328" spans="1:15" x14ac:dyDescent="0.3">
      <c r="A328" s="12" t="s">
        <v>530</v>
      </c>
      <c r="B328" s="12" t="s">
        <v>70</v>
      </c>
      <c r="C328" s="12" t="s">
        <v>44</v>
      </c>
      <c r="D328" s="12" t="s">
        <v>45</v>
      </c>
      <c r="E328" s="12" t="s">
        <v>32</v>
      </c>
      <c r="F328" s="12" t="s">
        <v>39</v>
      </c>
      <c r="G328" s="12" t="s">
        <v>26</v>
      </c>
      <c r="H328" s="12">
        <v>13645</v>
      </c>
      <c r="I328" s="12"/>
      <c r="J328" s="26"/>
      <c r="K328" s="12">
        <v>13000</v>
      </c>
      <c r="L328" s="14">
        <v>45315</v>
      </c>
      <c r="M328" s="8" t="str">
        <f t="shared" si="15"/>
        <v>Target Achieved</v>
      </c>
      <c r="N328" s="20">
        <f t="shared" si="16"/>
        <v>0</v>
      </c>
      <c r="O328" s="22">
        <f t="shared" si="17"/>
        <v>13645</v>
      </c>
    </row>
    <row r="329" spans="1:15" x14ac:dyDescent="0.3">
      <c r="A329" s="12" t="s">
        <v>531</v>
      </c>
      <c r="B329" s="12" t="s">
        <v>137</v>
      </c>
      <c r="C329" s="12" t="s">
        <v>61</v>
      </c>
      <c r="D329" s="12" t="s">
        <v>62</v>
      </c>
      <c r="E329" s="12" t="s">
        <v>46</v>
      </c>
      <c r="F329" s="12" t="s">
        <v>17</v>
      </c>
      <c r="G329" s="12" t="s">
        <v>18</v>
      </c>
      <c r="H329" s="12">
        <v>9796</v>
      </c>
      <c r="I329" s="12" t="s">
        <v>27</v>
      </c>
      <c r="J329" s="26"/>
      <c r="K329" s="12">
        <v>9000</v>
      </c>
      <c r="L329" s="14">
        <v>45300</v>
      </c>
      <c r="M329" s="8" t="str">
        <f t="shared" si="15"/>
        <v>Below Target</v>
      </c>
      <c r="N329" s="20">
        <f t="shared" si="16"/>
        <v>15</v>
      </c>
      <c r="O329" s="22">
        <f t="shared" si="17"/>
        <v>8326.6</v>
      </c>
    </row>
    <row r="330" spans="1:15" x14ac:dyDescent="0.3">
      <c r="A330" s="12" t="s">
        <v>532</v>
      </c>
      <c r="B330" s="12" t="s">
        <v>204</v>
      </c>
      <c r="C330" s="12" t="s">
        <v>30</v>
      </c>
      <c r="D330" s="12" t="s">
        <v>31</v>
      </c>
      <c r="E330" s="12" t="s">
        <v>32</v>
      </c>
      <c r="F330" s="12" t="s">
        <v>25</v>
      </c>
      <c r="G330" s="12" t="s">
        <v>26</v>
      </c>
      <c r="H330" s="12">
        <v>16609</v>
      </c>
      <c r="I330" s="12" t="s">
        <v>27</v>
      </c>
      <c r="J330" s="26"/>
      <c r="K330" s="12">
        <v>17000</v>
      </c>
      <c r="L330" s="14">
        <v>45300</v>
      </c>
      <c r="M330" s="8" t="str">
        <f t="shared" si="15"/>
        <v>Below Target</v>
      </c>
      <c r="N330" s="20">
        <f t="shared" si="16"/>
        <v>15</v>
      </c>
      <c r="O330" s="22">
        <f t="shared" si="17"/>
        <v>14117.65</v>
      </c>
    </row>
    <row r="331" spans="1:15" x14ac:dyDescent="0.3">
      <c r="A331" s="12" t="s">
        <v>533</v>
      </c>
      <c r="B331" s="12" t="s">
        <v>397</v>
      </c>
      <c r="C331" s="12" t="s">
        <v>14</v>
      </c>
      <c r="D331" s="12" t="s">
        <v>15</v>
      </c>
      <c r="E331" s="12" t="s">
        <v>32</v>
      </c>
      <c r="F331" s="12" t="s">
        <v>17</v>
      </c>
      <c r="G331" s="12" t="s">
        <v>36</v>
      </c>
      <c r="H331" s="12">
        <v>14758</v>
      </c>
      <c r="I331" s="12" t="s">
        <v>27</v>
      </c>
      <c r="J331" s="26"/>
      <c r="K331" s="12">
        <v>14000</v>
      </c>
      <c r="L331" s="14">
        <v>45319</v>
      </c>
      <c r="M331" s="8" t="str">
        <f t="shared" si="15"/>
        <v>Below Target</v>
      </c>
      <c r="N331" s="20">
        <f t="shared" si="16"/>
        <v>15</v>
      </c>
      <c r="O331" s="22">
        <f t="shared" si="17"/>
        <v>12544.3</v>
      </c>
    </row>
    <row r="332" spans="1:15" x14ac:dyDescent="0.3">
      <c r="A332" s="12" t="s">
        <v>534</v>
      </c>
      <c r="B332" s="12" t="s">
        <v>388</v>
      </c>
      <c r="C332" s="12" t="s">
        <v>44</v>
      </c>
      <c r="D332" s="12" t="s">
        <v>45</v>
      </c>
      <c r="E332" s="12" t="s">
        <v>32</v>
      </c>
      <c r="F332" s="12" t="s">
        <v>17</v>
      </c>
      <c r="G332" s="12" t="s">
        <v>36</v>
      </c>
      <c r="H332" s="12">
        <v>11635</v>
      </c>
      <c r="I332" s="12" t="s">
        <v>33</v>
      </c>
      <c r="J332" s="26">
        <v>0.3</v>
      </c>
      <c r="K332" s="12">
        <v>13000</v>
      </c>
      <c r="L332" s="14">
        <v>45304</v>
      </c>
      <c r="M332" s="8" t="str">
        <f t="shared" si="15"/>
        <v>Below Target</v>
      </c>
      <c r="N332" s="20">
        <f t="shared" si="16"/>
        <v>30</v>
      </c>
      <c r="O332" s="22">
        <f t="shared" si="17"/>
        <v>8144.5</v>
      </c>
    </row>
    <row r="333" spans="1:15" x14ac:dyDescent="0.3">
      <c r="A333" s="12" t="s">
        <v>535</v>
      </c>
      <c r="B333" s="12" t="s">
        <v>260</v>
      </c>
      <c r="C333" s="12" t="s">
        <v>14</v>
      </c>
      <c r="D333" s="12" t="s">
        <v>15</v>
      </c>
      <c r="E333" s="12" t="s">
        <v>32</v>
      </c>
      <c r="F333" s="12" t="s">
        <v>39</v>
      </c>
      <c r="G333" s="12" t="s">
        <v>36</v>
      </c>
      <c r="H333" s="12">
        <v>14518</v>
      </c>
      <c r="I333" s="12" t="s">
        <v>22</v>
      </c>
      <c r="J333" s="26">
        <v>0.1</v>
      </c>
      <c r="K333" s="12">
        <v>14000</v>
      </c>
      <c r="L333" s="14">
        <v>45307</v>
      </c>
      <c r="M333" s="8" t="str">
        <f t="shared" si="15"/>
        <v>Below Target</v>
      </c>
      <c r="N333" s="20">
        <f t="shared" si="16"/>
        <v>10</v>
      </c>
      <c r="O333" s="22">
        <f t="shared" si="17"/>
        <v>13066.2</v>
      </c>
    </row>
    <row r="334" spans="1:15" x14ac:dyDescent="0.3">
      <c r="A334" s="12" t="s">
        <v>536</v>
      </c>
      <c r="B334" s="12" t="s">
        <v>229</v>
      </c>
      <c r="C334" s="12" t="s">
        <v>14</v>
      </c>
      <c r="D334" s="12" t="s">
        <v>15</v>
      </c>
      <c r="E334" s="12" t="s">
        <v>16</v>
      </c>
      <c r="F334" s="12" t="s">
        <v>25</v>
      </c>
      <c r="G334" s="12" t="s">
        <v>36</v>
      </c>
      <c r="H334" s="12">
        <v>14448</v>
      </c>
      <c r="I334" s="12" t="s">
        <v>22</v>
      </c>
      <c r="J334" s="26">
        <v>0.1</v>
      </c>
      <c r="K334" s="12">
        <v>14000</v>
      </c>
      <c r="L334" s="14">
        <v>45307</v>
      </c>
      <c r="M334" s="8" t="str">
        <f t="shared" si="15"/>
        <v>Below Target</v>
      </c>
      <c r="N334" s="20">
        <f t="shared" si="16"/>
        <v>10</v>
      </c>
      <c r="O334" s="22">
        <f t="shared" si="17"/>
        <v>13003.2</v>
      </c>
    </row>
    <row r="335" spans="1:15" x14ac:dyDescent="0.3">
      <c r="A335" s="12" t="s">
        <v>537</v>
      </c>
      <c r="B335" s="12" t="s">
        <v>464</v>
      </c>
      <c r="C335" s="12" t="s">
        <v>61</v>
      </c>
      <c r="D335" s="12" t="s">
        <v>62</v>
      </c>
      <c r="E335" s="12" t="s">
        <v>46</v>
      </c>
      <c r="F335" s="12" t="s">
        <v>25</v>
      </c>
      <c r="G335" s="12" t="s">
        <v>26</v>
      </c>
      <c r="H335" s="12">
        <v>7889</v>
      </c>
      <c r="I335" s="12" t="s">
        <v>22</v>
      </c>
      <c r="J335" s="26">
        <v>0.1</v>
      </c>
      <c r="K335" s="12">
        <v>9000</v>
      </c>
      <c r="L335" s="14">
        <v>45300</v>
      </c>
      <c r="M335" s="8" t="str">
        <f t="shared" si="15"/>
        <v>Below Target</v>
      </c>
      <c r="N335" s="20">
        <f t="shared" si="16"/>
        <v>10</v>
      </c>
      <c r="O335" s="22">
        <f t="shared" si="17"/>
        <v>7100.1</v>
      </c>
    </row>
    <row r="336" spans="1:15" x14ac:dyDescent="0.3">
      <c r="A336" s="12" t="s">
        <v>538</v>
      </c>
      <c r="B336" s="12" t="s">
        <v>448</v>
      </c>
      <c r="C336" s="12" t="s">
        <v>44</v>
      </c>
      <c r="D336" s="12" t="s">
        <v>45</v>
      </c>
      <c r="E336" s="12" t="s">
        <v>16</v>
      </c>
      <c r="F336" s="12" t="s">
        <v>39</v>
      </c>
      <c r="G336" s="12" t="s">
        <v>36</v>
      </c>
      <c r="H336" s="12">
        <v>13365</v>
      </c>
      <c r="I336" s="12" t="s">
        <v>27</v>
      </c>
      <c r="J336" s="26"/>
      <c r="K336" s="12">
        <v>13000</v>
      </c>
      <c r="L336" s="14">
        <v>45341</v>
      </c>
      <c r="M336" s="8" t="str">
        <f t="shared" si="15"/>
        <v>Below Target</v>
      </c>
      <c r="N336" s="20">
        <f t="shared" si="16"/>
        <v>15</v>
      </c>
      <c r="O336" s="22">
        <f t="shared" si="17"/>
        <v>11360.25</v>
      </c>
    </row>
    <row r="337" spans="1:15" x14ac:dyDescent="0.3">
      <c r="A337" s="12" t="s">
        <v>539</v>
      </c>
      <c r="B337" s="12" t="s">
        <v>204</v>
      </c>
      <c r="C337" s="12" t="s">
        <v>30</v>
      </c>
      <c r="D337" s="12" t="s">
        <v>31</v>
      </c>
      <c r="E337" s="12" t="s">
        <v>32</v>
      </c>
      <c r="F337" s="12" t="s">
        <v>17</v>
      </c>
      <c r="G337" s="12" t="s">
        <v>18</v>
      </c>
      <c r="H337" s="12">
        <v>17704</v>
      </c>
      <c r="I337" s="12" t="s">
        <v>27</v>
      </c>
      <c r="J337" s="26"/>
      <c r="K337" s="12">
        <v>17000</v>
      </c>
      <c r="L337" s="14">
        <v>45306</v>
      </c>
      <c r="M337" s="8" t="str">
        <f t="shared" si="15"/>
        <v>Below Target</v>
      </c>
      <c r="N337" s="20">
        <f t="shared" si="16"/>
        <v>15</v>
      </c>
      <c r="O337" s="22">
        <f t="shared" si="17"/>
        <v>15048.4</v>
      </c>
    </row>
    <row r="338" spans="1:15" x14ac:dyDescent="0.3">
      <c r="A338" s="12" t="s">
        <v>540</v>
      </c>
      <c r="B338" s="12" t="s">
        <v>435</v>
      </c>
      <c r="C338" s="12" t="s">
        <v>30</v>
      </c>
      <c r="D338" s="12" t="s">
        <v>31</v>
      </c>
      <c r="E338" s="12" t="s">
        <v>32</v>
      </c>
      <c r="F338" s="12" t="s">
        <v>39</v>
      </c>
      <c r="G338" s="12" t="s">
        <v>26</v>
      </c>
      <c r="H338" s="12">
        <v>18603</v>
      </c>
      <c r="I338" s="12" t="s">
        <v>19</v>
      </c>
      <c r="J338" s="26">
        <v>0.2</v>
      </c>
      <c r="K338" s="12">
        <v>17000</v>
      </c>
      <c r="L338" s="14">
        <v>45332</v>
      </c>
      <c r="M338" s="8" t="str">
        <f t="shared" si="15"/>
        <v>Below Target</v>
      </c>
      <c r="N338" s="20">
        <f t="shared" si="16"/>
        <v>20</v>
      </c>
      <c r="O338" s="22">
        <f t="shared" si="17"/>
        <v>14882.4</v>
      </c>
    </row>
    <row r="339" spans="1:15" x14ac:dyDescent="0.3">
      <c r="A339" s="12" t="s">
        <v>541</v>
      </c>
      <c r="B339" s="12" t="s">
        <v>90</v>
      </c>
      <c r="C339" s="12" t="s">
        <v>61</v>
      </c>
      <c r="D339" s="12" t="s">
        <v>62</v>
      </c>
      <c r="E339" s="12" t="s">
        <v>32</v>
      </c>
      <c r="F339" s="12" t="s">
        <v>17</v>
      </c>
      <c r="G339" s="12" t="s">
        <v>26</v>
      </c>
      <c r="H339" s="12">
        <v>9749</v>
      </c>
      <c r="I339" s="12"/>
      <c r="J339" s="26"/>
      <c r="K339" s="12">
        <v>9000</v>
      </c>
      <c r="L339" s="14">
        <v>45342</v>
      </c>
      <c r="M339" s="8" t="str">
        <f t="shared" si="15"/>
        <v>Target Achieved</v>
      </c>
      <c r="N339" s="20">
        <f t="shared" si="16"/>
        <v>0</v>
      </c>
      <c r="O339" s="22">
        <f t="shared" si="17"/>
        <v>9749</v>
      </c>
    </row>
    <row r="340" spans="1:15" x14ac:dyDescent="0.3">
      <c r="A340" s="12" t="s">
        <v>542</v>
      </c>
      <c r="B340" s="12" t="s">
        <v>217</v>
      </c>
      <c r="C340" s="12" t="s">
        <v>61</v>
      </c>
      <c r="D340" s="12" t="s">
        <v>62</v>
      </c>
      <c r="E340" s="12" t="s">
        <v>46</v>
      </c>
      <c r="F340" s="12" t="s">
        <v>25</v>
      </c>
      <c r="G340" s="12" t="s">
        <v>36</v>
      </c>
      <c r="H340" s="12">
        <v>8541</v>
      </c>
      <c r="I340" s="12" t="s">
        <v>19</v>
      </c>
      <c r="J340" s="26">
        <v>0.2</v>
      </c>
      <c r="K340" s="12">
        <v>9000</v>
      </c>
      <c r="L340" s="14">
        <v>45340</v>
      </c>
      <c r="M340" s="8" t="str">
        <f t="shared" si="15"/>
        <v>Below Target</v>
      </c>
      <c r="N340" s="20">
        <f t="shared" si="16"/>
        <v>20</v>
      </c>
      <c r="O340" s="22">
        <f t="shared" si="17"/>
        <v>6832.8</v>
      </c>
    </row>
    <row r="341" spans="1:15" x14ac:dyDescent="0.3">
      <c r="A341" s="12" t="s">
        <v>543</v>
      </c>
      <c r="B341" s="12" t="s">
        <v>544</v>
      </c>
      <c r="C341" s="12" t="s">
        <v>44</v>
      </c>
      <c r="D341" s="12" t="s">
        <v>45</v>
      </c>
      <c r="E341" s="12" t="s">
        <v>32</v>
      </c>
      <c r="F341" s="12" t="s">
        <v>17</v>
      </c>
      <c r="G341" s="12" t="s">
        <v>26</v>
      </c>
      <c r="H341" s="12">
        <v>11591</v>
      </c>
      <c r="I341" s="12"/>
      <c r="J341" s="26"/>
      <c r="K341" s="12">
        <v>13000</v>
      </c>
      <c r="L341" s="14">
        <v>45350</v>
      </c>
      <c r="M341" s="8" t="str">
        <f t="shared" si="15"/>
        <v>Target Achieved</v>
      </c>
      <c r="N341" s="20">
        <f t="shared" si="16"/>
        <v>0</v>
      </c>
      <c r="O341" s="22">
        <f t="shared" si="17"/>
        <v>11591</v>
      </c>
    </row>
    <row r="342" spans="1:15" x14ac:dyDescent="0.3">
      <c r="A342" s="12" t="s">
        <v>545</v>
      </c>
      <c r="B342" s="12" t="s">
        <v>166</v>
      </c>
      <c r="C342" s="12" t="s">
        <v>61</v>
      </c>
      <c r="D342" s="12" t="s">
        <v>62</v>
      </c>
      <c r="E342" s="12" t="s">
        <v>46</v>
      </c>
      <c r="F342" s="12" t="s">
        <v>39</v>
      </c>
      <c r="G342" s="12" t="s">
        <v>26</v>
      </c>
      <c r="H342" s="12">
        <v>7549</v>
      </c>
      <c r="I342" s="12"/>
      <c r="J342" s="26"/>
      <c r="K342" s="12">
        <v>9000</v>
      </c>
      <c r="L342" s="14">
        <v>45307</v>
      </c>
      <c r="M342" s="8" t="str">
        <f t="shared" si="15"/>
        <v>Target Achieved</v>
      </c>
      <c r="N342" s="20">
        <f t="shared" si="16"/>
        <v>0</v>
      </c>
      <c r="O342" s="22">
        <f t="shared" si="17"/>
        <v>7549</v>
      </c>
    </row>
    <row r="343" spans="1:15" x14ac:dyDescent="0.3">
      <c r="A343" s="12" t="s">
        <v>546</v>
      </c>
      <c r="B343" s="12" t="s">
        <v>289</v>
      </c>
      <c r="C343" s="12" t="s">
        <v>30</v>
      </c>
      <c r="D343" s="12" t="s">
        <v>31</v>
      </c>
      <c r="E343" s="12" t="s">
        <v>16</v>
      </c>
      <c r="F343" s="12" t="s">
        <v>25</v>
      </c>
      <c r="G343" s="12" t="s">
        <v>36</v>
      </c>
      <c r="H343" s="12">
        <v>18469</v>
      </c>
      <c r="I343" s="12" t="s">
        <v>33</v>
      </c>
      <c r="J343" s="26">
        <v>0.3</v>
      </c>
      <c r="K343" s="12">
        <v>17000</v>
      </c>
      <c r="L343" s="14">
        <v>45297</v>
      </c>
      <c r="M343" s="8" t="str">
        <f t="shared" si="15"/>
        <v>Below Target</v>
      </c>
      <c r="N343" s="20">
        <f t="shared" si="16"/>
        <v>30</v>
      </c>
      <c r="O343" s="22">
        <f t="shared" si="17"/>
        <v>12928.3</v>
      </c>
    </row>
    <row r="344" spans="1:15" x14ac:dyDescent="0.3">
      <c r="A344" s="12" t="s">
        <v>547</v>
      </c>
      <c r="B344" s="12" t="s">
        <v>548</v>
      </c>
      <c r="C344" s="12" t="s">
        <v>44</v>
      </c>
      <c r="D344" s="12" t="s">
        <v>45</v>
      </c>
      <c r="E344" s="12" t="s">
        <v>32</v>
      </c>
      <c r="F344" s="12" t="s">
        <v>17</v>
      </c>
      <c r="G344" s="12" t="s">
        <v>36</v>
      </c>
      <c r="H344" s="12">
        <v>13759</v>
      </c>
      <c r="I344" s="12" t="s">
        <v>27</v>
      </c>
      <c r="J344" s="26"/>
      <c r="K344" s="12">
        <v>13000</v>
      </c>
      <c r="L344" s="14">
        <v>45330</v>
      </c>
      <c r="M344" s="8" t="str">
        <f t="shared" si="15"/>
        <v>Below Target</v>
      </c>
      <c r="N344" s="20">
        <f t="shared" si="16"/>
        <v>15</v>
      </c>
      <c r="O344" s="22">
        <f t="shared" si="17"/>
        <v>11695.15</v>
      </c>
    </row>
    <row r="345" spans="1:15" x14ac:dyDescent="0.3">
      <c r="A345" s="12" t="s">
        <v>549</v>
      </c>
      <c r="B345" s="12" t="s">
        <v>129</v>
      </c>
      <c r="C345" s="12" t="s">
        <v>14</v>
      </c>
      <c r="D345" s="12" t="s">
        <v>15</v>
      </c>
      <c r="E345" s="12" t="s">
        <v>32</v>
      </c>
      <c r="F345" s="12" t="s">
        <v>39</v>
      </c>
      <c r="G345" s="12" t="s">
        <v>26</v>
      </c>
      <c r="H345" s="12">
        <v>14750</v>
      </c>
      <c r="I345" s="12" t="s">
        <v>27</v>
      </c>
      <c r="J345" s="26"/>
      <c r="K345" s="12">
        <v>14000</v>
      </c>
      <c r="L345" s="14">
        <v>45305</v>
      </c>
      <c r="M345" s="8" t="str">
        <f t="shared" si="15"/>
        <v>Below Target</v>
      </c>
      <c r="N345" s="20">
        <f t="shared" si="16"/>
        <v>15</v>
      </c>
      <c r="O345" s="22">
        <f t="shared" si="17"/>
        <v>12537.5</v>
      </c>
    </row>
    <row r="346" spans="1:15" x14ac:dyDescent="0.3">
      <c r="A346" s="12" t="s">
        <v>550</v>
      </c>
      <c r="B346" s="12" t="s">
        <v>211</v>
      </c>
      <c r="C346" s="12" t="s">
        <v>30</v>
      </c>
      <c r="D346" s="12" t="s">
        <v>31</v>
      </c>
      <c r="E346" s="12" t="s">
        <v>46</v>
      </c>
      <c r="F346" s="12" t="s">
        <v>25</v>
      </c>
      <c r="G346" s="12" t="s">
        <v>18</v>
      </c>
      <c r="H346" s="12">
        <v>18838</v>
      </c>
      <c r="I346" s="12" t="s">
        <v>19</v>
      </c>
      <c r="J346" s="26">
        <v>0.2</v>
      </c>
      <c r="K346" s="12">
        <v>17000</v>
      </c>
      <c r="L346" s="14">
        <v>45339</v>
      </c>
      <c r="M346" s="8" t="str">
        <f t="shared" si="15"/>
        <v>Below Target</v>
      </c>
      <c r="N346" s="20">
        <f t="shared" si="16"/>
        <v>20</v>
      </c>
      <c r="O346" s="22">
        <f t="shared" si="17"/>
        <v>15070.4</v>
      </c>
    </row>
    <row r="347" spans="1:15" x14ac:dyDescent="0.3">
      <c r="A347" s="12" t="s">
        <v>551</v>
      </c>
      <c r="B347" s="12" t="s">
        <v>173</v>
      </c>
      <c r="C347" s="12" t="s">
        <v>61</v>
      </c>
      <c r="D347" s="12" t="s">
        <v>62</v>
      </c>
      <c r="E347" s="12" t="s">
        <v>32</v>
      </c>
      <c r="F347" s="12" t="s">
        <v>39</v>
      </c>
      <c r="G347" s="12" t="s">
        <v>26</v>
      </c>
      <c r="H347" s="12">
        <v>9882</v>
      </c>
      <c r="I347" s="12" t="s">
        <v>19</v>
      </c>
      <c r="J347" s="26">
        <v>0.2</v>
      </c>
      <c r="K347" s="12">
        <v>9000</v>
      </c>
      <c r="L347" s="14">
        <v>45317</v>
      </c>
      <c r="M347" s="8" t="str">
        <f t="shared" si="15"/>
        <v>Below Target</v>
      </c>
      <c r="N347" s="20">
        <f t="shared" si="16"/>
        <v>20</v>
      </c>
      <c r="O347" s="22">
        <f t="shared" si="17"/>
        <v>7905.6</v>
      </c>
    </row>
    <row r="348" spans="1:15" x14ac:dyDescent="0.3">
      <c r="A348" s="12" t="s">
        <v>552</v>
      </c>
      <c r="B348" s="12" t="s">
        <v>553</v>
      </c>
      <c r="C348" s="12" t="s">
        <v>30</v>
      </c>
      <c r="D348" s="12" t="s">
        <v>31</v>
      </c>
      <c r="E348" s="12" t="s">
        <v>46</v>
      </c>
      <c r="F348" s="12" t="s">
        <v>17</v>
      </c>
      <c r="G348" s="12" t="s">
        <v>36</v>
      </c>
      <c r="H348" s="12">
        <v>17185</v>
      </c>
      <c r="I348" s="12" t="s">
        <v>33</v>
      </c>
      <c r="J348" s="26">
        <v>0.3</v>
      </c>
      <c r="K348" s="12">
        <v>17000</v>
      </c>
      <c r="L348" s="14">
        <v>45311</v>
      </c>
      <c r="M348" s="8" t="str">
        <f t="shared" si="15"/>
        <v>Below Target</v>
      </c>
      <c r="N348" s="20">
        <f t="shared" si="16"/>
        <v>30</v>
      </c>
      <c r="O348" s="22">
        <f t="shared" si="17"/>
        <v>12029.5</v>
      </c>
    </row>
    <row r="349" spans="1:15" x14ac:dyDescent="0.3">
      <c r="A349" s="12" t="s">
        <v>554</v>
      </c>
      <c r="B349" s="12" t="s">
        <v>131</v>
      </c>
      <c r="C349" s="12" t="s">
        <v>61</v>
      </c>
      <c r="D349" s="12" t="s">
        <v>62</v>
      </c>
      <c r="E349" s="12" t="s">
        <v>46</v>
      </c>
      <c r="F349" s="12" t="s">
        <v>25</v>
      </c>
      <c r="G349" s="12" t="s">
        <v>26</v>
      </c>
      <c r="H349" s="12">
        <v>8923</v>
      </c>
      <c r="I349" s="12" t="s">
        <v>33</v>
      </c>
      <c r="J349" s="26">
        <v>0.3</v>
      </c>
      <c r="K349" s="12">
        <v>9000</v>
      </c>
      <c r="L349" s="14">
        <v>45350</v>
      </c>
      <c r="M349" s="8" t="str">
        <f t="shared" si="15"/>
        <v>Below Target</v>
      </c>
      <c r="N349" s="20">
        <f t="shared" si="16"/>
        <v>30</v>
      </c>
      <c r="O349" s="22">
        <f t="shared" si="17"/>
        <v>6246.1</v>
      </c>
    </row>
    <row r="350" spans="1:15" x14ac:dyDescent="0.3">
      <c r="A350" s="12" t="s">
        <v>555</v>
      </c>
      <c r="B350" s="12" t="s">
        <v>391</v>
      </c>
      <c r="C350" s="12" t="s">
        <v>30</v>
      </c>
      <c r="D350" s="12" t="s">
        <v>31</v>
      </c>
      <c r="E350" s="12" t="s">
        <v>46</v>
      </c>
      <c r="F350" s="12" t="s">
        <v>25</v>
      </c>
      <c r="G350" s="12" t="s">
        <v>26</v>
      </c>
      <c r="H350" s="12">
        <v>18539</v>
      </c>
      <c r="I350" s="12" t="s">
        <v>19</v>
      </c>
      <c r="J350" s="26">
        <v>0.2</v>
      </c>
      <c r="K350" s="12">
        <v>17000</v>
      </c>
      <c r="L350" s="14">
        <v>45339</v>
      </c>
      <c r="M350" s="8" t="str">
        <f t="shared" si="15"/>
        <v>Below Target</v>
      </c>
      <c r="N350" s="20">
        <f t="shared" si="16"/>
        <v>20</v>
      </c>
      <c r="O350" s="22">
        <f t="shared" si="17"/>
        <v>14831.2</v>
      </c>
    </row>
    <row r="351" spans="1:15" x14ac:dyDescent="0.3">
      <c r="A351" s="12" t="s">
        <v>556</v>
      </c>
      <c r="B351" s="12" t="s">
        <v>557</v>
      </c>
      <c r="C351" s="12" t="s">
        <v>30</v>
      </c>
      <c r="D351" s="12" t="s">
        <v>31</v>
      </c>
      <c r="E351" s="12" t="s">
        <v>16</v>
      </c>
      <c r="F351" s="12" t="s">
        <v>39</v>
      </c>
      <c r="G351" s="12" t="s">
        <v>26</v>
      </c>
      <c r="H351" s="12">
        <v>17949</v>
      </c>
      <c r="I351" s="12"/>
      <c r="J351" s="26"/>
      <c r="K351" s="12">
        <v>17000</v>
      </c>
      <c r="L351" s="14">
        <v>45310</v>
      </c>
      <c r="M351" s="8" t="str">
        <f t="shared" si="15"/>
        <v>Target Achieved</v>
      </c>
      <c r="N351" s="20">
        <f t="shared" si="16"/>
        <v>0</v>
      </c>
      <c r="O351" s="22">
        <f t="shared" si="17"/>
        <v>17949</v>
      </c>
    </row>
    <row r="352" spans="1:15" x14ac:dyDescent="0.3">
      <c r="A352" s="12" t="s">
        <v>558</v>
      </c>
      <c r="B352" s="12" t="s">
        <v>35</v>
      </c>
      <c r="C352" s="12" t="s">
        <v>30</v>
      </c>
      <c r="D352" s="12" t="s">
        <v>31</v>
      </c>
      <c r="E352" s="12" t="s">
        <v>32</v>
      </c>
      <c r="F352" s="12" t="s">
        <v>17</v>
      </c>
      <c r="G352" s="12" t="s">
        <v>26</v>
      </c>
      <c r="H352" s="12">
        <v>18413</v>
      </c>
      <c r="I352" s="12" t="s">
        <v>19</v>
      </c>
      <c r="J352" s="26">
        <v>0.2</v>
      </c>
      <c r="K352" s="12">
        <v>17000</v>
      </c>
      <c r="L352" s="14">
        <v>45323</v>
      </c>
      <c r="M352" s="8" t="str">
        <f t="shared" si="15"/>
        <v>Below Target</v>
      </c>
      <c r="N352" s="20">
        <f t="shared" si="16"/>
        <v>20</v>
      </c>
      <c r="O352" s="22">
        <f t="shared" si="17"/>
        <v>14730.4</v>
      </c>
    </row>
    <row r="353" spans="1:15" x14ac:dyDescent="0.3">
      <c r="A353" s="12" t="s">
        <v>559</v>
      </c>
      <c r="B353" s="12" t="s">
        <v>202</v>
      </c>
      <c r="C353" s="12" t="s">
        <v>30</v>
      </c>
      <c r="D353" s="12" t="s">
        <v>31</v>
      </c>
      <c r="E353" s="12" t="s">
        <v>46</v>
      </c>
      <c r="F353" s="12" t="s">
        <v>17</v>
      </c>
      <c r="G353" s="12" t="s">
        <v>26</v>
      </c>
      <c r="H353" s="12">
        <v>17628</v>
      </c>
      <c r="I353" s="12"/>
      <c r="J353" s="26"/>
      <c r="K353" s="12">
        <v>17000</v>
      </c>
      <c r="L353" s="14">
        <v>45321</v>
      </c>
      <c r="M353" s="8" t="str">
        <f t="shared" si="15"/>
        <v>Target Achieved</v>
      </c>
      <c r="N353" s="20">
        <f t="shared" si="16"/>
        <v>0</v>
      </c>
      <c r="O353" s="22">
        <f t="shared" si="17"/>
        <v>17628</v>
      </c>
    </row>
    <row r="354" spans="1:15" x14ac:dyDescent="0.3">
      <c r="A354" s="12" t="s">
        <v>560</v>
      </c>
      <c r="B354" s="12" t="s">
        <v>280</v>
      </c>
      <c r="C354" s="12" t="s">
        <v>30</v>
      </c>
      <c r="D354" s="12" t="s">
        <v>31</v>
      </c>
      <c r="E354" s="12" t="s">
        <v>32</v>
      </c>
      <c r="F354" s="12" t="s">
        <v>25</v>
      </c>
      <c r="G354" s="12" t="s">
        <v>26</v>
      </c>
      <c r="H354" s="12">
        <v>17238</v>
      </c>
      <c r="I354" s="12"/>
      <c r="J354" s="26"/>
      <c r="K354" s="12">
        <v>17000</v>
      </c>
      <c r="L354" s="14">
        <v>45303</v>
      </c>
      <c r="M354" s="8" t="str">
        <f t="shared" si="15"/>
        <v>Target Achieved</v>
      </c>
      <c r="N354" s="20">
        <f t="shared" si="16"/>
        <v>0</v>
      </c>
      <c r="O354" s="22">
        <f t="shared" si="17"/>
        <v>17238</v>
      </c>
    </row>
    <row r="355" spans="1:15" x14ac:dyDescent="0.3">
      <c r="A355" s="12" t="s">
        <v>561</v>
      </c>
      <c r="B355" s="12" t="s">
        <v>84</v>
      </c>
      <c r="C355" s="12" t="s">
        <v>14</v>
      </c>
      <c r="D355" s="12" t="s">
        <v>15</v>
      </c>
      <c r="E355" s="12" t="s">
        <v>16</v>
      </c>
      <c r="F355" s="12" t="s">
        <v>25</v>
      </c>
      <c r="G355" s="12" t="s">
        <v>18</v>
      </c>
      <c r="H355" s="12">
        <v>15871</v>
      </c>
      <c r="I355" s="12" t="s">
        <v>22</v>
      </c>
      <c r="J355" s="26">
        <v>0.1</v>
      </c>
      <c r="K355" s="12">
        <v>14000</v>
      </c>
      <c r="L355" s="14">
        <v>45340</v>
      </c>
      <c r="M355" s="8" t="str">
        <f t="shared" si="15"/>
        <v>Below Target</v>
      </c>
      <c r="N355" s="20">
        <f t="shared" si="16"/>
        <v>10</v>
      </c>
      <c r="O355" s="22">
        <f t="shared" si="17"/>
        <v>14283.9</v>
      </c>
    </row>
    <row r="356" spans="1:15" x14ac:dyDescent="0.3">
      <c r="A356" s="12" t="s">
        <v>562</v>
      </c>
      <c r="B356" s="12" t="s">
        <v>406</v>
      </c>
      <c r="C356" s="12" t="s">
        <v>44</v>
      </c>
      <c r="D356" s="12" t="s">
        <v>45</v>
      </c>
      <c r="E356" s="12" t="s">
        <v>16</v>
      </c>
      <c r="F356" s="12" t="s">
        <v>25</v>
      </c>
      <c r="G356" s="12" t="s">
        <v>18</v>
      </c>
      <c r="H356" s="12">
        <v>13896</v>
      </c>
      <c r="I356" s="12" t="s">
        <v>19</v>
      </c>
      <c r="J356" s="26">
        <v>0.2</v>
      </c>
      <c r="K356" s="12">
        <v>13000</v>
      </c>
      <c r="L356" s="14">
        <v>45292</v>
      </c>
      <c r="M356" s="8" t="str">
        <f t="shared" si="15"/>
        <v>Below Target</v>
      </c>
      <c r="N356" s="20">
        <f t="shared" si="16"/>
        <v>20</v>
      </c>
      <c r="O356" s="22">
        <f t="shared" si="17"/>
        <v>11116.8</v>
      </c>
    </row>
    <row r="357" spans="1:15" x14ac:dyDescent="0.3">
      <c r="A357" s="12" t="s">
        <v>563</v>
      </c>
      <c r="B357" s="12" t="s">
        <v>24</v>
      </c>
      <c r="C357" s="12" t="s">
        <v>61</v>
      </c>
      <c r="D357" s="12" t="s">
        <v>62</v>
      </c>
      <c r="E357" s="12" t="s">
        <v>46</v>
      </c>
      <c r="F357" s="12" t="s">
        <v>25</v>
      </c>
      <c r="G357" s="12" t="s">
        <v>26</v>
      </c>
      <c r="H357" s="12">
        <v>9612</v>
      </c>
      <c r="I357" s="12" t="s">
        <v>27</v>
      </c>
      <c r="J357" s="26"/>
      <c r="K357" s="12">
        <v>9000</v>
      </c>
      <c r="L357" s="14">
        <v>45350</v>
      </c>
      <c r="M357" s="8" t="str">
        <f t="shared" si="15"/>
        <v>Below Target</v>
      </c>
      <c r="N357" s="20">
        <f t="shared" si="16"/>
        <v>15</v>
      </c>
      <c r="O357" s="22">
        <f t="shared" si="17"/>
        <v>8170.2</v>
      </c>
    </row>
    <row r="358" spans="1:15" x14ac:dyDescent="0.3">
      <c r="A358" s="12" t="s">
        <v>564</v>
      </c>
      <c r="B358" s="12" t="s">
        <v>332</v>
      </c>
      <c r="C358" s="12" t="s">
        <v>61</v>
      </c>
      <c r="D358" s="12" t="s">
        <v>62</v>
      </c>
      <c r="E358" s="12" t="s">
        <v>32</v>
      </c>
      <c r="F358" s="12" t="s">
        <v>25</v>
      </c>
      <c r="G358" s="12" t="s">
        <v>26</v>
      </c>
      <c r="H358" s="12">
        <v>9259</v>
      </c>
      <c r="I358" s="12"/>
      <c r="J358" s="26"/>
      <c r="K358" s="12">
        <v>9000</v>
      </c>
      <c r="L358" s="14">
        <v>45292</v>
      </c>
      <c r="M358" s="8" t="str">
        <f t="shared" si="15"/>
        <v>Target Achieved</v>
      </c>
      <c r="N358" s="20">
        <f t="shared" si="16"/>
        <v>0</v>
      </c>
      <c r="O358" s="22">
        <f t="shared" si="17"/>
        <v>9259</v>
      </c>
    </row>
    <row r="359" spans="1:15" x14ac:dyDescent="0.3">
      <c r="A359" s="12" t="s">
        <v>565</v>
      </c>
      <c r="B359" s="12" t="s">
        <v>166</v>
      </c>
      <c r="C359" s="12" t="s">
        <v>30</v>
      </c>
      <c r="D359" s="12" t="s">
        <v>31</v>
      </c>
      <c r="E359" s="12" t="s">
        <v>16</v>
      </c>
      <c r="F359" s="12" t="s">
        <v>17</v>
      </c>
      <c r="G359" s="12" t="s">
        <v>18</v>
      </c>
      <c r="H359" s="12">
        <v>17057</v>
      </c>
      <c r="I359" s="12"/>
      <c r="J359" s="26"/>
      <c r="K359" s="12">
        <v>17000</v>
      </c>
      <c r="L359" s="14">
        <v>45343</v>
      </c>
      <c r="M359" s="8" t="str">
        <f t="shared" si="15"/>
        <v>Target Achieved</v>
      </c>
      <c r="N359" s="20">
        <f t="shared" si="16"/>
        <v>0</v>
      </c>
      <c r="O359" s="22">
        <f t="shared" si="17"/>
        <v>17057</v>
      </c>
    </row>
    <row r="360" spans="1:15" x14ac:dyDescent="0.3">
      <c r="A360" s="12" t="s">
        <v>566</v>
      </c>
      <c r="B360" s="12" t="s">
        <v>120</v>
      </c>
      <c r="C360" s="12" t="s">
        <v>14</v>
      </c>
      <c r="D360" s="12" t="s">
        <v>15</v>
      </c>
      <c r="E360" s="12" t="s">
        <v>32</v>
      </c>
      <c r="F360" s="12" t="s">
        <v>39</v>
      </c>
      <c r="G360" s="12" t="s">
        <v>18</v>
      </c>
      <c r="H360" s="12">
        <v>12987</v>
      </c>
      <c r="I360" s="12" t="s">
        <v>19</v>
      </c>
      <c r="J360" s="26">
        <v>0.2</v>
      </c>
      <c r="K360" s="12">
        <v>14000</v>
      </c>
      <c r="L360" s="14">
        <v>45331</v>
      </c>
      <c r="M360" s="8" t="str">
        <f t="shared" si="15"/>
        <v>Below Target</v>
      </c>
      <c r="N360" s="20">
        <f t="shared" si="16"/>
        <v>20</v>
      </c>
      <c r="O360" s="22">
        <f t="shared" si="17"/>
        <v>10389.6</v>
      </c>
    </row>
    <row r="361" spans="1:15" x14ac:dyDescent="0.3">
      <c r="A361" s="12" t="s">
        <v>567</v>
      </c>
      <c r="B361" s="12" t="s">
        <v>448</v>
      </c>
      <c r="C361" s="12" t="s">
        <v>30</v>
      </c>
      <c r="D361" s="12" t="s">
        <v>31</v>
      </c>
      <c r="E361" s="12" t="s">
        <v>46</v>
      </c>
      <c r="F361" s="12" t="s">
        <v>17</v>
      </c>
      <c r="G361" s="12" t="s">
        <v>18</v>
      </c>
      <c r="H361" s="12">
        <v>16528</v>
      </c>
      <c r="I361" s="12"/>
      <c r="J361" s="26"/>
      <c r="K361" s="12">
        <v>17000</v>
      </c>
      <c r="L361" s="14">
        <v>45321</v>
      </c>
      <c r="M361" s="8" t="str">
        <f t="shared" si="15"/>
        <v>Target Achieved</v>
      </c>
      <c r="N361" s="20">
        <f t="shared" si="16"/>
        <v>0</v>
      </c>
      <c r="O361" s="22">
        <f t="shared" si="17"/>
        <v>16528</v>
      </c>
    </row>
    <row r="362" spans="1:15" x14ac:dyDescent="0.3">
      <c r="A362" s="12" t="s">
        <v>568</v>
      </c>
      <c r="B362" s="12" t="s">
        <v>519</v>
      </c>
      <c r="C362" s="12" t="s">
        <v>44</v>
      </c>
      <c r="D362" s="12" t="s">
        <v>45</v>
      </c>
      <c r="E362" s="12" t="s">
        <v>46</v>
      </c>
      <c r="F362" s="12" t="s">
        <v>39</v>
      </c>
      <c r="G362" s="12" t="s">
        <v>18</v>
      </c>
      <c r="H362" s="12">
        <v>13677</v>
      </c>
      <c r="I362" s="12" t="s">
        <v>22</v>
      </c>
      <c r="J362" s="26">
        <v>0.1</v>
      </c>
      <c r="K362" s="12">
        <v>13000</v>
      </c>
      <c r="L362" s="14">
        <v>45297</v>
      </c>
      <c r="M362" s="8" t="str">
        <f t="shared" si="15"/>
        <v>Below Target</v>
      </c>
      <c r="N362" s="20">
        <f t="shared" si="16"/>
        <v>10</v>
      </c>
      <c r="O362" s="22">
        <f t="shared" si="17"/>
        <v>12309.3</v>
      </c>
    </row>
    <row r="363" spans="1:15" x14ac:dyDescent="0.3">
      <c r="A363" s="12" t="s">
        <v>569</v>
      </c>
      <c r="B363" s="12" t="s">
        <v>177</v>
      </c>
      <c r="C363" s="12" t="s">
        <v>61</v>
      </c>
      <c r="D363" s="12" t="s">
        <v>62</v>
      </c>
      <c r="E363" s="12" t="s">
        <v>16</v>
      </c>
      <c r="F363" s="12" t="s">
        <v>17</v>
      </c>
      <c r="G363" s="12" t="s">
        <v>18</v>
      </c>
      <c r="H363" s="12">
        <v>9608</v>
      </c>
      <c r="I363" s="12" t="s">
        <v>22</v>
      </c>
      <c r="J363" s="26">
        <v>0.1</v>
      </c>
      <c r="K363" s="12">
        <v>9000</v>
      </c>
      <c r="L363" s="14">
        <v>45336</v>
      </c>
      <c r="M363" s="8" t="str">
        <f t="shared" si="15"/>
        <v>Below Target</v>
      </c>
      <c r="N363" s="20">
        <f t="shared" si="16"/>
        <v>10</v>
      </c>
      <c r="O363" s="22">
        <f t="shared" si="17"/>
        <v>8647.2000000000007</v>
      </c>
    </row>
    <row r="364" spans="1:15" x14ac:dyDescent="0.3">
      <c r="A364" s="12" t="s">
        <v>570</v>
      </c>
      <c r="B364" s="12" t="s">
        <v>325</v>
      </c>
      <c r="C364" s="12" t="s">
        <v>61</v>
      </c>
      <c r="D364" s="12" t="s">
        <v>62</v>
      </c>
      <c r="E364" s="12" t="s">
        <v>46</v>
      </c>
      <c r="F364" s="12" t="s">
        <v>39</v>
      </c>
      <c r="G364" s="12" t="s">
        <v>36</v>
      </c>
      <c r="H364" s="12">
        <v>9317</v>
      </c>
      <c r="I364" s="12" t="s">
        <v>22</v>
      </c>
      <c r="J364" s="26">
        <v>0.1</v>
      </c>
      <c r="K364" s="12">
        <v>9000</v>
      </c>
      <c r="L364" s="14">
        <v>45349</v>
      </c>
      <c r="M364" s="8" t="str">
        <f t="shared" si="15"/>
        <v>Below Target</v>
      </c>
      <c r="N364" s="20">
        <f t="shared" si="16"/>
        <v>10</v>
      </c>
      <c r="O364" s="22">
        <f t="shared" si="17"/>
        <v>8385.2999999999993</v>
      </c>
    </row>
    <row r="365" spans="1:15" x14ac:dyDescent="0.3">
      <c r="A365" s="12" t="s">
        <v>571</v>
      </c>
      <c r="B365" s="12" t="s">
        <v>184</v>
      </c>
      <c r="C365" s="12" t="s">
        <v>44</v>
      </c>
      <c r="D365" s="12" t="s">
        <v>45</v>
      </c>
      <c r="E365" s="12" t="s">
        <v>32</v>
      </c>
      <c r="F365" s="12" t="s">
        <v>39</v>
      </c>
      <c r="G365" s="12" t="s">
        <v>26</v>
      </c>
      <c r="H365" s="12">
        <v>12947</v>
      </c>
      <c r="I365" s="12" t="s">
        <v>33</v>
      </c>
      <c r="J365" s="26">
        <v>0.3</v>
      </c>
      <c r="K365" s="12">
        <v>13000</v>
      </c>
      <c r="L365" s="14">
        <v>45294</v>
      </c>
      <c r="M365" s="8" t="str">
        <f t="shared" si="15"/>
        <v>Below Target</v>
      </c>
      <c r="N365" s="20">
        <f t="shared" si="16"/>
        <v>30</v>
      </c>
      <c r="O365" s="22">
        <f t="shared" si="17"/>
        <v>9062.9</v>
      </c>
    </row>
    <row r="366" spans="1:15" x14ac:dyDescent="0.3">
      <c r="A366" s="12" t="s">
        <v>572</v>
      </c>
      <c r="B366" s="12" t="s">
        <v>403</v>
      </c>
      <c r="C366" s="12" t="s">
        <v>30</v>
      </c>
      <c r="D366" s="12" t="s">
        <v>31</v>
      </c>
      <c r="E366" s="12" t="s">
        <v>16</v>
      </c>
      <c r="F366" s="12" t="s">
        <v>39</v>
      </c>
      <c r="G366" s="12" t="s">
        <v>26</v>
      </c>
      <c r="H366" s="12">
        <v>15134</v>
      </c>
      <c r="I366" s="12" t="s">
        <v>19</v>
      </c>
      <c r="J366" s="26">
        <v>0.2</v>
      </c>
      <c r="K366" s="12">
        <v>17000</v>
      </c>
      <c r="L366" s="14">
        <v>45351</v>
      </c>
      <c r="M366" s="8" t="str">
        <f t="shared" si="15"/>
        <v>Below Target</v>
      </c>
      <c r="N366" s="20">
        <f t="shared" si="16"/>
        <v>20</v>
      </c>
      <c r="O366" s="22">
        <f t="shared" si="17"/>
        <v>12107.2</v>
      </c>
    </row>
    <row r="367" spans="1:15" x14ac:dyDescent="0.3">
      <c r="A367" s="12" t="s">
        <v>573</v>
      </c>
      <c r="B367" s="12" t="s">
        <v>303</v>
      </c>
      <c r="C367" s="12" t="s">
        <v>14</v>
      </c>
      <c r="D367" s="12" t="s">
        <v>15</v>
      </c>
      <c r="E367" s="12" t="s">
        <v>32</v>
      </c>
      <c r="F367" s="12" t="s">
        <v>39</v>
      </c>
      <c r="G367" s="12" t="s">
        <v>18</v>
      </c>
      <c r="H367" s="12">
        <v>15081</v>
      </c>
      <c r="I367" s="12"/>
      <c r="J367" s="26"/>
      <c r="K367" s="12">
        <v>14000</v>
      </c>
      <c r="L367" s="14">
        <v>45351</v>
      </c>
      <c r="M367" s="8" t="str">
        <f t="shared" si="15"/>
        <v>Target Achieved</v>
      </c>
      <c r="N367" s="20">
        <f t="shared" si="16"/>
        <v>0</v>
      </c>
      <c r="O367" s="22">
        <f t="shared" si="17"/>
        <v>15081</v>
      </c>
    </row>
    <row r="368" spans="1:15" x14ac:dyDescent="0.3">
      <c r="A368" s="12" t="s">
        <v>574</v>
      </c>
      <c r="B368" s="12" t="s">
        <v>263</v>
      </c>
      <c r="C368" s="12" t="s">
        <v>44</v>
      </c>
      <c r="D368" s="12" t="s">
        <v>45</v>
      </c>
      <c r="E368" s="12" t="s">
        <v>16</v>
      </c>
      <c r="F368" s="12" t="s">
        <v>25</v>
      </c>
      <c r="G368" s="12" t="s">
        <v>26</v>
      </c>
      <c r="H368" s="12">
        <v>14418</v>
      </c>
      <c r="I368" s="12"/>
      <c r="J368" s="26"/>
      <c r="K368" s="12">
        <v>13000</v>
      </c>
      <c r="L368" s="14">
        <v>45335</v>
      </c>
      <c r="M368" s="8" t="str">
        <f t="shared" si="15"/>
        <v>Target Achieved</v>
      </c>
      <c r="N368" s="20">
        <f t="shared" si="16"/>
        <v>0</v>
      </c>
      <c r="O368" s="22">
        <f t="shared" si="17"/>
        <v>14418</v>
      </c>
    </row>
    <row r="369" spans="1:15" x14ac:dyDescent="0.3">
      <c r="A369" s="12" t="s">
        <v>575</v>
      </c>
      <c r="B369" s="12" t="s">
        <v>84</v>
      </c>
      <c r="C369" s="12" t="s">
        <v>30</v>
      </c>
      <c r="D369" s="12" t="s">
        <v>31</v>
      </c>
      <c r="E369" s="12" t="s">
        <v>46</v>
      </c>
      <c r="F369" s="12" t="s">
        <v>39</v>
      </c>
      <c r="G369" s="12" t="s">
        <v>18</v>
      </c>
      <c r="H369" s="12">
        <v>18237</v>
      </c>
      <c r="I369" s="12" t="s">
        <v>22</v>
      </c>
      <c r="J369" s="26">
        <v>0.1</v>
      </c>
      <c r="K369" s="12">
        <v>17000</v>
      </c>
      <c r="L369" s="14">
        <v>45324</v>
      </c>
      <c r="M369" s="8" t="str">
        <f t="shared" si="15"/>
        <v>Below Target</v>
      </c>
      <c r="N369" s="20">
        <f t="shared" si="16"/>
        <v>10</v>
      </c>
      <c r="O369" s="22">
        <f t="shared" si="17"/>
        <v>16413.3</v>
      </c>
    </row>
    <row r="370" spans="1:15" x14ac:dyDescent="0.3">
      <c r="A370" s="12" t="s">
        <v>576</v>
      </c>
      <c r="B370" s="12" t="s">
        <v>577</v>
      </c>
      <c r="C370" s="12" t="s">
        <v>14</v>
      </c>
      <c r="D370" s="12" t="s">
        <v>15</v>
      </c>
      <c r="E370" s="12" t="s">
        <v>32</v>
      </c>
      <c r="F370" s="12" t="s">
        <v>17</v>
      </c>
      <c r="G370" s="12" t="s">
        <v>18</v>
      </c>
      <c r="H370" s="12">
        <v>15435</v>
      </c>
      <c r="I370" s="12" t="s">
        <v>22</v>
      </c>
      <c r="J370" s="26">
        <v>0.1</v>
      </c>
      <c r="K370" s="12">
        <v>14000</v>
      </c>
      <c r="L370" s="14">
        <v>45313</v>
      </c>
      <c r="M370" s="8" t="str">
        <f t="shared" si="15"/>
        <v>Below Target</v>
      </c>
      <c r="N370" s="20">
        <f t="shared" si="16"/>
        <v>10</v>
      </c>
      <c r="O370" s="22">
        <f t="shared" si="17"/>
        <v>13891.5</v>
      </c>
    </row>
    <row r="371" spans="1:15" x14ac:dyDescent="0.3">
      <c r="A371" s="12" t="s">
        <v>578</v>
      </c>
      <c r="B371" s="12" t="s">
        <v>579</v>
      </c>
      <c r="C371" s="12" t="s">
        <v>61</v>
      </c>
      <c r="D371" s="12" t="s">
        <v>62</v>
      </c>
      <c r="E371" s="12" t="s">
        <v>46</v>
      </c>
      <c r="F371" s="12" t="s">
        <v>25</v>
      </c>
      <c r="G371" s="12" t="s">
        <v>26</v>
      </c>
      <c r="H371" s="12">
        <v>8119</v>
      </c>
      <c r="I371" s="12"/>
      <c r="J371" s="26"/>
      <c r="K371" s="12">
        <v>9000</v>
      </c>
      <c r="L371" s="14">
        <v>45323</v>
      </c>
      <c r="M371" s="8" t="str">
        <f t="shared" si="15"/>
        <v>Target Achieved</v>
      </c>
      <c r="N371" s="20">
        <f t="shared" si="16"/>
        <v>0</v>
      </c>
      <c r="O371" s="22">
        <f t="shared" si="17"/>
        <v>8119</v>
      </c>
    </row>
    <row r="372" spans="1:15" x14ac:dyDescent="0.3">
      <c r="A372" s="12" t="s">
        <v>580</v>
      </c>
      <c r="B372" s="12" t="s">
        <v>391</v>
      </c>
      <c r="C372" s="12" t="s">
        <v>61</v>
      </c>
      <c r="D372" s="12" t="s">
        <v>62</v>
      </c>
      <c r="E372" s="12" t="s">
        <v>46</v>
      </c>
      <c r="F372" s="12" t="s">
        <v>25</v>
      </c>
      <c r="G372" s="12" t="s">
        <v>26</v>
      </c>
      <c r="H372" s="12">
        <v>9399</v>
      </c>
      <c r="I372" s="12"/>
      <c r="J372" s="26"/>
      <c r="K372" s="12">
        <v>9000</v>
      </c>
      <c r="L372" s="14">
        <v>45297</v>
      </c>
      <c r="M372" s="8" t="str">
        <f t="shared" si="15"/>
        <v>Target Achieved</v>
      </c>
      <c r="N372" s="20">
        <f t="shared" si="16"/>
        <v>0</v>
      </c>
      <c r="O372" s="22">
        <f t="shared" si="17"/>
        <v>9399</v>
      </c>
    </row>
    <row r="373" spans="1:15" x14ac:dyDescent="0.3">
      <c r="A373" s="12" t="s">
        <v>581</v>
      </c>
      <c r="B373" s="12" t="s">
        <v>522</v>
      </c>
      <c r="C373" s="12" t="s">
        <v>30</v>
      </c>
      <c r="D373" s="12" t="s">
        <v>31</v>
      </c>
      <c r="E373" s="12" t="s">
        <v>32</v>
      </c>
      <c r="F373" s="12" t="s">
        <v>39</v>
      </c>
      <c r="G373" s="12" t="s">
        <v>18</v>
      </c>
      <c r="H373" s="12">
        <v>15336</v>
      </c>
      <c r="I373" s="12" t="s">
        <v>33</v>
      </c>
      <c r="J373" s="26">
        <v>0.3</v>
      </c>
      <c r="K373" s="12">
        <v>17000</v>
      </c>
      <c r="L373" s="14">
        <v>45301</v>
      </c>
      <c r="M373" s="8" t="str">
        <f t="shared" si="15"/>
        <v>Below Target</v>
      </c>
      <c r="N373" s="20">
        <f t="shared" si="16"/>
        <v>30</v>
      </c>
      <c r="O373" s="22">
        <f t="shared" si="17"/>
        <v>10735.2</v>
      </c>
    </row>
    <row r="374" spans="1:15" x14ac:dyDescent="0.3">
      <c r="A374" s="12" t="s">
        <v>582</v>
      </c>
      <c r="B374" s="12" t="s">
        <v>101</v>
      </c>
      <c r="C374" s="12" t="s">
        <v>44</v>
      </c>
      <c r="D374" s="12" t="s">
        <v>45</v>
      </c>
      <c r="E374" s="12" t="s">
        <v>16</v>
      </c>
      <c r="F374" s="12" t="s">
        <v>17</v>
      </c>
      <c r="G374" s="12" t="s">
        <v>36</v>
      </c>
      <c r="H374" s="12">
        <v>12477</v>
      </c>
      <c r="I374" s="12" t="s">
        <v>22</v>
      </c>
      <c r="J374" s="26">
        <v>0.1</v>
      </c>
      <c r="K374" s="12">
        <v>13000</v>
      </c>
      <c r="L374" s="14">
        <v>45297</v>
      </c>
      <c r="M374" s="8" t="str">
        <f t="shared" si="15"/>
        <v>Below Target</v>
      </c>
      <c r="N374" s="20">
        <f t="shared" si="16"/>
        <v>10</v>
      </c>
      <c r="O374" s="22">
        <f t="shared" si="17"/>
        <v>11229.3</v>
      </c>
    </row>
    <row r="375" spans="1:15" x14ac:dyDescent="0.3">
      <c r="A375" s="12" t="s">
        <v>583</v>
      </c>
      <c r="B375" s="12" t="s">
        <v>584</v>
      </c>
      <c r="C375" s="12" t="s">
        <v>61</v>
      </c>
      <c r="D375" s="12" t="s">
        <v>62</v>
      </c>
      <c r="E375" s="12" t="s">
        <v>46</v>
      </c>
      <c r="F375" s="12" t="s">
        <v>17</v>
      </c>
      <c r="G375" s="12" t="s">
        <v>18</v>
      </c>
      <c r="H375" s="12">
        <v>7542</v>
      </c>
      <c r="I375" s="12" t="s">
        <v>22</v>
      </c>
      <c r="J375" s="26">
        <v>0.1</v>
      </c>
      <c r="K375" s="12">
        <v>9000</v>
      </c>
      <c r="L375" s="14">
        <v>45303</v>
      </c>
      <c r="M375" s="8" t="str">
        <f t="shared" si="15"/>
        <v>Below Target</v>
      </c>
      <c r="N375" s="20">
        <f t="shared" si="16"/>
        <v>10</v>
      </c>
      <c r="O375" s="22">
        <f t="shared" si="17"/>
        <v>6787.8</v>
      </c>
    </row>
    <row r="376" spans="1:15" x14ac:dyDescent="0.3">
      <c r="A376" s="12" t="s">
        <v>585</v>
      </c>
      <c r="B376" s="12" t="s">
        <v>527</v>
      </c>
      <c r="C376" s="12" t="s">
        <v>61</v>
      </c>
      <c r="D376" s="12" t="s">
        <v>62</v>
      </c>
      <c r="E376" s="12" t="s">
        <v>32</v>
      </c>
      <c r="F376" s="12" t="s">
        <v>25</v>
      </c>
      <c r="G376" s="12" t="s">
        <v>18</v>
      </c>
      <c r="H376" s="12">
        <v>8449</v>
      </c>
      <c r="I376" s="12" t="s">
        <v>27</v>
      </c>
      <c r="J376" s="26"/>
      <c r="K376" s="12">
        <v>9000</v>
      </c>
      <c r="L376" s="14">
        <v>45297</v>
      </c>
      <c r="M376" s="8" t="str">
        <f t="shared" si="15"/>
        <v>Below Target</v>
      </c>
      <c r="N376" s="20">
        <f t="shared" si="16"/>
        <v>15</v>
      </c>
      <c r="O376" s="22">
        <f t="shared" si="17"/>
        <v>7181.65</v>
      </c>
    </row>
    <row r="377" spans="1:15" x14ac:dyDescent="0.3">
      <c r="A377" s="12" t="s">
        <v>586</v>
      </c>
      <c r="B377" s="12" t="s">
        <v>195</v>
      </c>
      <c r="C377" s="12" t="s">
        <v>30</v>
      </c>
      <c r="D377" s="12" t="s">
        <v>31</v>
      </c>
      <c r="E377" s="12" t="s">
        <v>46</v>
      </c>
      <c r="F377" s="12" t="s">
        <v>25</v>
      </c>
      <c r="G377" s="12" t="s">
        <v>36</v>
      </c>
      <c r="H377" s="12">
        <v>16694</v>
      </c>
      <c r="I377" s="12"/>
      <c r="J377" s="26"/>
      <c r="K377" s="12">
        <v>17000</v>
      </c>
      <c r="L377" s="14">
        <v>45341</v>
      </c>
      <c r="M377" s="8" t="str">
        <f t="shared" si="15"/>
        <v>Target Achieved</v>
      </c>
      <c r="N377" s="20">
        <f t="shared" si="16"/>
        <v>0</v>
      </c>
      <c r="O377" s="22">
        <f t="shared" si="17"/>
        <v>16694</v>
      </c>
    </row>
    <row r="378" spans="1:15" x14ac:dyDescent="0.3">
      <c r="A378" s="12" t="s">
        <v>587</v>
      </c>
      <c r="B378" s="12" t="s">
        <v>173</v>
      </c>
      <c r="C378" s="12" t="s">
        <v>44</v>
      </c>
      <c r="D378" s="12" t="s">
        <v>45</v>
      </c>
      <c r="E378" s="12" t="s">
        <v>16</v>
      </c>
      <c r="F378" s="12" t="s">
        <v>39</v>
      </c>
      <c r="G378" s="12" t="s">
        <v>18</v>
      </c>
      <c r="H378" s="12">
        <v>13807</v>
      </c>
      <c r="I378" s="12"/>
      <c r="J378" s="26"/>
      <c r="K378" s="12">
        <v>13000</v>
      </c>
      <c r="L378" s="14">
        <v>45302</v>
      </c>
      <c r="M378" s="8" t="str">
        <f t="shared" si="15"/>
        <v>Target Achieved</v>
      </c>
      <c r="N378" s="20">
        <f t="shared" si="16"/>
        <v>0</v>
      </c>
      <c r="O378" s="22">
        <f t="shared" si="17"/>
        <v>13807</v>
      </c>
    </row>
    <row r="379" spans="1:15" x14ac:dyDescent="0.3">
      <c r="A379" s="12" t="s">
        <v>588</v>
      </c>
      <c r="B379" s="12" t="s">
        <v>256</v>
      </c>
      <c r="C379" s="12" t="s">
        <v>30</v>
      </c>
      <c r="D379" s="12" t="s">
        <v>31</v>
      </c>
      <c r="E379" s="12" t="s">
        <v>46</v>
      </c>
      <c r="F379" s="12" t="s">
        <v>17</v>
      </c>
      <c r="G379" s="12" t="s">
        <v>18</v>
      </c>
      <c r="H379" s="12">
        <v>15259</v>
      </c>
      <c r="I379" s="12" t="s">
        <v>19</v>
      </c>
      <c r="J379" s="26">
        <v>0.2</v>
      </c>
      <c r="K379" s="12">
        <v>17000</v>
      </c>
      <c r="L379" s="14">
        <v>45319</v>
      </c>
      <c r="M379" s="8" t="str">
        <f t="shared" si="15"/>
        <v>Below Target</v>
      </c>
      <c r="N379" s="20">
        <f t="shared" si="16"/>
        <v>20</v>
      </c>
      <c r="O379" s="22">
        <f t="shared" si="17"/>
        <v>12207.2</v>
      </c>
    </row>
    <row r="380" spans="1:15" x14ac:dyDescent="0.3">
      <c r="A380" s="12" t="s">
        <v>589</v>
      </c>
      <c r="B380" s="12" t="s">
        <v>70</v>
      </c>
      <c r="C380" s="12" t="s">
        <v>30</v>
      </c>
      <c r="D380" s="12" t="s">
        <v>31</v>
      </c>
      <c r="E380" s="12" t="s">
        <v>46</v>
      </c>
      <c r="F380" s="12" t="s">
        <v>25</v>
      </c>
      <c r="G380" s="12" t="s">
        <v>36</v>
      </c>
      <c r="H380" s="12">
        <v>16030</v>
      </c>
      <c r="I380" s="12" t="s">
        <v>19</v>
      </c>
      <c r="J380" s="26">
        <v>0.2</v>
      </c>
      <c r="K380" s="12">
        <v>17000</v>
      </c>
      <c r="L380" s="14">
        <v>45338</v>
      </c>
      <c r="M380" s="8" t="str">
        <f t="shared" si="15"/>
        <v>Below Target</v>
      </c>
      <c r="N380" s="20">
        <f t="shared" si="16"/>
        <v>20</v>
      </c>
      <c r="O380" s="22">
        <f t="shared" si="17"/>
        <v>12824</v>
      </c>
    </row>
    <row r="381" spans="1:15" x14ac:dyDescent="0.3">
      <c r="A381" s="12" t="s">
        <v>590</v>
      </c>
      <c r="B381" s="12" t="s">
        <v>591</v>
      </c>
      <c r="C381" s="12" t="s">
        <v>44</v>
      </c>
      <c r="D381" s="12" t="s">
        <v>45</v>
      </c>
      <c r="E381" s="12" t="s">
        <v>46</v>
      </c>
      <c r="F381" s="12" t="s">
        <v>25</v>
      </c>
      <c r="G381" s="12" t="s">
        <v>18</v>
      </c>
      <c r="H381" s="12">
        <v>12247</v>
      </c>
      <c r="I381" s="12" t="s">
        <v>22</v>
      </c>
      <c r="J381" s="26">
        <v>0.1</v>
      </c>
      <c r="K381" s="12">
        <v>13000</v>
      </c>
      <c r="L381" s="14">
        <v>45352</v>
      </c>
      <c r="M381" s="8" t="str">
        <f t="shared" si="15"/>
        <v>Below Target</v>
      </c>
      <c r="N381" s="20">
        <f t="shared" si="16"/>
        <v>10</v>
      </c>
      <c r="O381" s="22">
        <f t="shared" si="17"/>
        <v>11022.3</v>
      </c>
    </row>
    <row r="382" spans="1:15" x14ac:dyDescent="0.3">
      <c r="A382" s="12" t="s">
        <v>592</v>
      </c>
      <c r="B382" s="12" t="s">
        <v>474</v>
      </c>
      <c r="C382" s="12" t="s">
        <v>61</v>
      </c>
      <c r="D382" s="12" t="s">
        <v>62</v>
      </c>
      <c r="E382" s="12" t="s">
        <v>46</v>
      </c>
      <c r="F382" s="12" t="s">
        <v>17</v>
      </c>
      <c r="G382" s="12" t="s">
        <v>36</v>
      </c>
      <c r="H382" s="12">
        <v>8763</v>
      </c>
      <c r="I382" s="12" t="s">
        <v>27</v>
      </c>
      <c r="J382" s="26"/>
      <c r="K382" s="12">
        <v>9000</v>
      </c>
      <c r="L382" s="14">
        <v>45300</v>
      </c>
      <c r="M382" s="8" t="str">
        <f t="shared" si="15"/>
        <v>Below Target</v>
      </c>
      <c r="N382" s="20">
        <f t="shared" si="16"/>
        <v>15</v>
      </c>
      <c r="O382" s="22">
        <f t="shared" si="17"/>
        <v>7448.55</v>
      </c>
    </row>
    <row r="383" spans="1:15" x14ac:dyDescent="0.3">
      <c r="A383" s="12" t="s">
        <v>593</v>
      </c>
      <c r="B383" s="12" t="s">
        <v>131</v>
      </c>
      <c r="C383" s="12" t="s">
        <v>44</v>
      </c>
      <c r="D383" s="12" t="s">
        <v>45</v>
      </c>
      <c r="E383" s="12" t="s">
        <v>46</v>
      </c>
      <c r="F383" s="12" t="s">
        <v>17</v>
      </c>
      <c r="G383" s="12" t="s">
        <v>18</v>
      </c>
      <c r="H383" s="12">
        <v>14950</v>
      </c>
      <c r="I383" s="12"/>
      <c r="J383" s="26"/>
      <c r="K383" s="12">
        <v>13000</v>
      </c>
      <c r="L383" s="14">
        <v>45312</v>
      </c>
      <c r="M383" s="8" t="str">
        <f t="shared" si="15"/>
        <v>Target Achieved</v>
      </c>
      <c r="N383" s="20">
        <f t="shared" si="16"/>
        <v>0</v>
      </c>
      <c r="O383" s="22">
        <f t="shared" si="17"/>
        <v>14950</v>
      </c>
    </row>
    <row r="384" spans="1:15" x14ac:dyDescent="0.3">
      <c r="A384" s="12" t="s">
        <v>594</v>
      </c>
      <c r="B384" s="12" t="s">
        <v>350</v>
      </c>
      <c r="C384" s="12" t="s">
        <v>61</v>
      </c>
      <c r="D384" s="12" t="s">
        <v>62</v>
      </c>
      <c r="E384" s="12" t="s">
        <v>16</v>
      </c>
      <c r="F384" s="12" t="s">
        <v>25</v>
      </c>
      <c r="G384" s="12" t="s">
        <v>36</v>
      </c>
      <c r="H384" s="12">
        <v>8540</v>
      </c>
      <c r="I384" s="12" t="s">
        <v>33</v>
      </c>
      <c r="J384" s="26">
        <v>0.3</v>
      </c>
      <c r="K384" s="12">
        <v>9000</v>
      </c>
      <c r="L384" s="14">
        <v>45344</v>
      </c>
      <c r="M384" s="8" t="str">
        <f t="shared" si="15"/>
        <v>Below Target</v>
      </c>
      <c r="N384" s="20">
        <f t="shared" si="16"/>
        <v>30</v>
      </c>
      <c r="O384" s="22">
        <f t="shared" si="17"/>
        <v>5978</v>
      </c>
    </row>
    <row r="385" spans="1:15" x14ac:dyDescent="0.3">
      <c r="A385" s="12" t="s">
        <v>595</v>
      </c>
      <c r="B385" s="12" t="s">
        <v>180</v>
      </c>
      <c r="C385" s="12" t="s">
        <v>30</v>
      </c>
      <c r="D385" s="12" t="s">
        <v>31</v>
      </c>
      <c r="E385" s="12" t="s">
        <v>32</v>
      </c>
      <c r="F385" s="12" t="s">
        <v>39</v>
      </c>
      <c r="G385" s="12" t="s">
        <v>18</v>
      </c>
      <c r="H385" s="12">
        <v>17425</v>
      </c>
      <c r="I385" s="12" t="s">
        <v>27</v>
      </c>
      <c r="J385" s="26"/>
      <c r="K385" s="12">
        <v>17000</v>
      </c>
      <c r="L385" s="14">
        <v>45303</v>
      </c>
      <c r="M385" s="8" t="str">
        <f t="shared" si="15"/>
        <v>Below Target</v>
      </c>
      <c r="N385" s="20">
        <f t="shared" si="16"/>
        <v>15</v>
      </c>
      <c r="O385" s="22">
        <f t="shared" si="17"/>
        <v>14811.25</v>
      </c>
    </row>
    <row r="386" spans="1:15" x14ac:dyDescent="0.3">
      <c r="A386" s="12" t="s">
        <v>596</v>
      </c>
      <c r="B386" s="12" t="s">
        <v>270</v>
      </c>
      <c r="C386" s="12" t="s">
        <v>14</v>
      </c>
      <c r="D386" s="12" t="s">
        <v>15</v>
      </c>
      <c r="E386" s="12" t="s">
        <v>16</v>
      </c>
      <c r="F386" s="12" t="s">
        <v>17</v>
      </c>
      <c r="G386" s="12" t="s">
        <v>26</v>
      </c>
      <c r="H386" s="12">
        <v>12858</v>
      </c>
      <c r="I386" s="12"/>
      <c r="J386" s="26"/>
      <c r="K386" s="12">
        <v>14000</v>
      </c>
      <c r="L386" s="14">
        <v>45343</v>
      </c>
      <c r="M386" s="8" t="str">
        <f t="shared" ref="M386:M449" si="18">IF(J386&gt;=N386,"Target Achieved","Below Target")</f>
        <v>Target Achieved</v>
      </c>
      <c r="N386" s="20">
        <f t="shared" si="16"/>
        <v>0</v>
      </c>
      <c r="O386" s="22">
        <f t="shared" si="17"/>
        <v>12858</v>
      </c>
    </row>
    <row r="387" spans="1:15" x14ac:dyDescent="0.3">
      <c r="A387" s="12" t="s">
        <v>597</v>
      </c>
      <c r="B387" s="12" t="s">
        <v>142</v>
      </c>
      <c r="C387" s="12" t="s">
        <v>14</v>
      </c>
      <c r="D387" s="12" t="s">
        <v>15</v>
      </c>
      <c r="E387" s="12" t="s">
        <v>46</v>
      </c>
      <c r="F387" s="12" t="s">
        <v>39</v>
      </c>
      <c r="G387" s="12" t="s">
        <v>36</v>
      </c>
      <c r="H387" s="12">
        <v>12570</v>
      </c>
      <c r="I387" s="12" t="s">
        <v>33</v>
      </c>
      <c r="J387" s="26">
        <v>0.3</v>
      </c>
      <c r="K387" s="12">
        <v>14000</v>
      </c>
      <c r="L387" s="14">
        <v>45307</v>
      </c>
      <c r="M387" s="8" t="str">
        <f t="shared" si="18"/>
        <v>Below Target</v>
      </c>
      <c r="N387" s="20">
        <f t="shared" ref="N387:N450" si="19">IFERROR(VALUE(RIGHT(I387,2)),0)</f>
        <v>30</v>
      </c>
      <c r="O387" s="22">
        <f t="shared" ref="O387:O450" si="20">H387-H387*N387/100</f>
        <v>8799</v>
      </c>
    </row>
    <row r="388" spans="1:15" x14ac:dyDescent="0.3">
      <c r="A388" s="12" t="s">
        <v>598</v>
      </c>
      <c r="B388" s="12" t="s">
        <v>286</v>
      </c>
      <c r="C388" s="12" t="s">
        <v>44</v>
      </c>
      <c r="D388" s="12" t="s">
        <v>45</v>
      </c>
      <c r="E388" s="12" t="s">
        <v>16</v>
      </c>
      <c r="F388" s="12" t="s">
        <v>17</v>
      </c>
      <c r="G388" s="12" t="s">
        <v>36</v>
      </c>
      <c r="H388" s="12">
        <v>11302</v>
      </c>
      <c r="I388" s="12"/>
      <c r="J388" s="26"/>
      <c r="K388" s="12">
        <v>13000</v>
      </c>
      <c r="L388" s="14">
        <v>45330</v>
      </c>
      <c r="M388" s="8" t="str">
        <f t="shared" si="18"/>
        <v>Target Achieved</v>
      </c>
      <c r="N388" s="20">
        <f t="shared" si="19"/>
        <v>0</v>
      </c>
      <c r="O388" s="22">
        <f t="shared" si="20"/>
        <v>11302</v>
      </c>
    </row>
    <row r="389" spans="1:15" x14ac:dyDescent="0.3">
      <c r="A389" s="12" t="s">
        <v>599</v>
      </c>
      <c r="B389" s="12" t="s">
        <v>600</v>
      </c>
      <c r="C389" s="12" t="s">
        <v>61</v>
      </c>
      <c r="D389" s="12" t="s">
        <v>62</v>
      </c>
      <c r="E389" s="12" t="s">
        <v>16</v>
      </c>
      <c r="F389" s="12" t="s">
        <v>39</v>
      </c>
      <c r="G389" s="12" t="s">
        <v>26</v>
      </c>
      <c r="H389" s="12">
        <v>8713</v>
      </c>
      <c r="I389" s="12" t="s">
        <v>27</v>
      </c>
      <c r="J389" s="26"/>
      <c r="K389" s="12">
        <v>9000</v>
      </c>
      <c r="L389" s="14">
        <v>45294</v>
      </c>
      <c r="M389" s="8" t="str">
        <f t="shared" si="18"/>
        <v>Below Target</v>
      </c>
      <c r="N389" s="20">
        <f t="shared" si="19"/>
        <v>15</v>
      </c>
      <c r="O389" s="22">
        <f t="shared" si="20"/>
        <v>7406.05</v>
      </c>
    </row>
    <row r="390" spans="1:15" x14ac:dyDescent="0.3">
      <c r="A390" s="12" t="s">
        <v>601</v>
      </c>
      <c r="B390" s="12" t="s">
        <v>602</v>
      </c>
      <c r="C390" s="12" t="s">
        <v>14</v>
      </c>
      <c r="D390" s="12" t="s">
        <v>15</v>
      </c>
      <c r="E390" s="12" t="s">
        <v>32</v>
      </c>
      <c r="F390" s="12" t="s">
        <v>25</v>
      </c>
      <c r="G390" s="12" t="s">
        <v>26</v>
      </c>
      <c r="H390" s="12">
        <v>14722</v>
      </c>
      <c r="I390" s="12" t="s">
        <v>33</v>
      </c>
      <c r="J390" s="26">
        <v>0.3</v>
      </c>
      <c r="K390" s="12">
        <v>14000</v>
      </c>
      <c r="L390" s="14">
        <v>45302</v>
      </c>
      <c r="M390" s="8" t="str">
        <f t="shared" si="18"/>
        <v>Below Target</v>
      </c>
      <c r="N390" s="20">
        <f t="shared" si="19"/>
        <v>30</v>
      </c>
      <c r="O390" s="22">
        <f t="shared" si="20"/>
        <v>10305.4</v>
      </c>
    </row>
    <row r="391" spans="1:15" x14ac:dyDescent="0.3">
      <c r="A391" s="12" t="s">
        <v>603</v>
      </c>
      <c r="B391" s="12" t="s">
        <v>163</v>
      </c>
      <c r="C391" s="12" t="s">
        <v>14</v>
      </c>
      <c r="D391" s="12" t="s">
        <v>15</v>
      </c>
      <c r="E391" s="12" t="s">
        <v>16</v>
      </c>
      <c r="F391" s="12" t="s">
        <v>39</v>
      </c>
      <c r="G391" s="12" t="s">
        <v>26</v>
      </c>
      <c r="H391" s="12">
        <v>14649</v>
      </c>
      <c r="I391" s="12"/>
      <c r="J391" s="26"/>
      <c r="K391" s="12">
        <v>14000</v>
      </c>
      <c r="L391" s="14">
        <v>45340</v>
      </c>
      <c r="M391" s="8" t="str">
        <f t="shared" si="18"/>
        <v>Target Achieved</v>
      </c>
      <c r="N391" s="20">
        <f t="shared" si="19"/>
        <v>0</v>
      </c>
      <c r="O391" s="22">
        <f t="shared" si="20"/>
        <v>14649</v>
      </c>
    </row>
    <row r="392" spans="1:15" x14ac:dyDescent="0.3">
      <c r="A392" s="12" t="s">
        <v>604</v>
      </c>
      <c r="B392" s="12" t="s">
        <v>478</v>
      </c>
      <c r="C392" s="12" t="s">
        <v>61</v>
      </c>
      <c r="D392" s="12" t="s">
        <v>62</v>
      </c>
      <c r="E392" s="12" t="s">
        <v>32</v>
      </c>
      <c r="F392" s="12" t="s">
        <v>25</v>
      </c>
      <c r="G392" s="12" t="s">
        <v>18</v>
      </c>
      <c r="H392" s="12">
        <v>8059</v>
      </c>
      <c r="I392" s="12" t="s">
        <v>19</v>
      </c>
      <c r="J392" s="26">
        <v>0.2</v>
      </c>
      <c r="K392" s="12">
        <v>9000</v>
      </c>
      <c r="L392" s="14">
        <v>45324</v>
      </c>
      <c r="M392" s="8" t="str">
        <f t="shared" si="18"/>
        <v>Below Target</v>
      </c>
      <c r="N392" s="20">
        <f t="shared" si="19"/>
        <v>20</v>
      </c>
      <c r="O392" s="22">
        <f t="shared" si="20"/>
        <v>6447.2</v>
      </c>
    </row>
    <row r="393" spans="1:15" x14ac:dyDescent="0.3">
      <c r="A393" s="12" t="s">
        <v>605</v>
      </c>
      <c r="B393" s="12" t="s">
        <v>103</v>
      </c>
      <c r="C393" s="12" t="s">
        <v>44</v>
      </c>
      <c r="D393" s="12" t="s">
        <v>45</v>
      </c>
      <c r="E393" s="12" t="s">
        <v>46</v>
      </c>
      <c r="F393" s="12" t="s">
        <v>17</v>
      </c>
      <c r="G393" s="12" t="s">
        <v>36</v>
      </c>
      <c r="H393" s="12">
        <v>12896</v>
      </c>
      <c r="I393" s="12" t="s">
        <v>27</v>
      </c>
      <c r="J393" s="26"/>
      <c r="K393" s="12">
        <v>13000</v>
      </c>
      <c r="L393" s="14">
        <v>45336</v>
      </c>
      <c r="M393" s="8" t="str">
        <f t="shared" si="18"/>
        <v>Below Target</v>
      </c>
      <c r="N393" s="20">
        <f t="shared" si="19"/>
        <v>15</v>
      </c>
      <c r="O393" s="22">
        <f t="shared" si="20"/>
        <v>10961.6</v>
      </c>
    </row>
    <row r="394" spans="1:15" x14ac:dyDescent="0.3">
      <c r="A394" s="12" t="s">
        <v>606</v>
      </c>
      <c r="B394" s="12" t="s">
        <v>80</v>
      </c>
      <c r="C394" s="12" t="s">
        <v>30</v>
      </c>
      <c r="D394" s="12" t="s">
        <v>31</v>
      </c>
      <c r="E394" s="12" t="s">
        <v>32</v>
      </c>
      <c r="F394" s="12" t="s">
        <v>17</v>
      </c>
      <c r="G394" s="12" t="s">
        <v>18</v>
      </c>
      <c r="H394" s="12">
        <v>16210</v>
      </c>
      <c r="I394" s="12"/>
      <c r="J394" s="26"/>
      <c r="K394" s="12">
        <v>17000</v>
      </c>
      <c r="L394" s="14">
        <v>45350</v>
      </c>
      <c r="M394" s="8" t="str">
        <f t="shared" si="18"/>
        <v>Target Achieved</v>
      </c>
      <c r="N394" s="20">
        <f t="shared" si="19"/>
        <v>0</v>
      </c>
      <c r="O394" s="22">
        <f t="shared" si="20"/>
        <v>16210</v>
      </c>
    </row>
    <row r="395" spans="1:15" x14ac:dyDescent="0.3">
      <c r="A395" s="12" t="s">
        <v>607</v>
      </c>
      <c r="B395" s="12" t="s">
        <v>78</v>
      </c>
      <c r="C395" s="12" t="s">
        <v>44</v>
      </c>
      <c r="D395" s="12" t="s">
        <v>45</v>
      </c>
      <c r="E395" s="12" t="s">
        <v>46</v>
      </c>
      <c r="F395" s="12" t="s">
        <v>17</v>
      </c>
      <c r="G395" s="12" t="s">
        <v>36</v>
      </c>
      <c r="H395" s="12">
        <v>12865</v>
      </c>
      <c r="I395" s="12" t="s">
        <v>19</v>
      </c>
      <c r="J395" s="26">
        <v>0.2</v>
      </c>
      <c r="K395" s="12">
        <v>13000</v>
      </c>
      <c r="L395" s="14">
        <v>45325</v>
      </c>
      <c r="M395" s="8" t="str">
        <f t="shared" si="18"/>
        <v>Below Target</v>
      </c>
      <c r="N395" s="20">
        <f t="shared" si="19"/>
        <v>20</v>
      </c>
      <c r="O395" s="22">
        <f t="shared" si="20"/>
        <v>10292</v>
      </c>
    </row>
    <row r="396" spans="1:15" x14ac:dyDescent="0.3">
      <c r="A396" s="12" t="s">
        <v>608</v>
      </c>
      <c r="B396" s="12" t="s">
        <v>188</v>
      </c>
      <c r="C396" s="12" t="s">
        <v>61</v>
      </c>
      <c r="D396" s="12" t="s">
        <v>62</v>
      </c>
      <c r="E396" s="12" t="s">
        <v>32</v>
      </c>
      <c r="F396" s="12" t="s">
        <v>17</v>
      </c>
      <c r="G396" s="12" t="s">
        <v>26</v>
      </c>
      <c r="H396" s="12">
        <v>9853</v>
      </c>
      <c r="I396" s="12"/>
      <c r="J396" s="26"/>
      <c r="K396" s="12">
        <v>9000</v>
      </c>
      <c r="L396" s="14">
        <v>45312</v>
      </c>
      <c r="M396" s="8" t="str">
        <f t="shared" si="18"/>
        <v>Target Achieved</v>
      </c>
      <c r="N396" s="20">
        <f t="shared" si="19"/>
        <v>0</v>
      </c>
      <c r="O396" s="22">
        <f t="shared" si="20"/>
        <v>9853</v>
      </c>
    </row>
    <row r="397" spans="1:15" x14ac:dyDescent="0.3">
      <c r="A397" s="12" t="s">
        <v>609</v>
      </c>
      <c r="B397" s="12" t="s">
        <v>263</v>
      </c>
      <c r="C397" s="12" t="s">
        <v>14</v>
      </c>
      <c r="D397" s="12" t="s">
        <v>15</v>
      </c>
      <c r="E397" s="12" t="s">
        <v>16</v>
      </c>
      <c r="F397" s="12" t="s">
        <v>25</v>
      </c>
      <c r="G397" s="12" t="s">
        <v>18</v>
      </c>
      <c r="H397" s="12">
        <v>15478</v>
      </c>
      <c r="I397" s="12" t="s">
        <v>33</v>
      </c>
      <c r="J397" s="26">
        <v>0.3</v>
      </c>
      <c r="K397" s="12">
        <v>14000</v>
      </c>
      <c r="L397" s="14">
        <v>45333</v>
      </c>
      <c r="M397" s="8" t="str">
        <f t="shared" si="18"/>
        <v>Below Target</v>
      </c>
      <c r="N397" s="20">
        <f t="shared" si="19"/>
        <v>30</v>
      </c>
      <c r="O397" s="22">
        <f t="shared" si="20"/>
        <v>10834.6</v>
      </c>
    </row>
    <row r="398" spans="1:15" x14ac:dyDescent="0.3">
      <c r="A398" s="12" t="s">
        <v>610</v>
      </c>
      <c r="B398" s="12" t="s">
        <v>21</v>
      </c>
      <c r="C398" s="12" t="s">
        <v>44</v>
      </c>
      <c r="D398" s="12" t="s">
        <v>45</v>
      </c>
      <c r="E398" s="12" t="s">
        <v>16</v>
      </c>
      <c r="F398" s="12" t="s">
        <v>25</v>
      </c>
      <c r="G398" s="12" t="s">
        <v>26</v>
      </c>
      <c r="H398" s="12">
        <v>11714</v>
      </c>
      <c r="I398" s="12" t="s">
        <v>27</v>
      </c>
      <c r="J398" s="26"/>
      <c r="K398" s="12">
        <v>13000</v>
      </c>
      <c r="L398" s="14">
        <v>45302</v>
      </c>
      <c r="M398" s="8" t="str">
        <f t="shared" si="18"/>
        <v>Below Target</v>
      </c>
      <c r="N398" s="20">
        <f t="shared" si="19"/>
        <v>15</v>
      </c>
      <c r="O398" s="22">
        <f t="shared" si="20"/>
        <v>9956.9</v>
      </c>
    </row>
    <row r="399" spans="1:15" x14ac:dyDescent="0.3">
      <c r="A399" s="12" t="s">
        <v>611</v>
      </c>
      <c r="B399" s="12" t="s">
        <v>301</v>
      </c>
      <c r="C399" s="12" t="s">
        <v>61</v>
      </c>
      <c r="D399" s="12" t="s">
        <v>62</v>
      </c>
      <c r="E399" s="12" t="s">
        <v>46</v>
      </c>
      <c r="F399" s="12" t="s">
        <v>25</v>
      </c>
      <c r="G399" s="12" t="s">
        <v>36</v>
      </c>
      <c r="H399" s="12">
        <v>9579</v>
      </c>
      <c r="I399" s="12" t="s">
        <v>19</v>
      </c>
      <c r="J399" s="26">
        <v>0.2</v>
      </c>
      <c r="K399" s="12">
        <v>9000</v>
      </c>
      <c r="L399" s="14">
        <v>45303</v>
      </c>
      <c r="M399" s="8" t="str">
        <f t="shared" si="18"/>
        <v>Below Target</v>
      </c>
      <c r="N399" s="20">
        <f t="shared" si="19"/>
        <v>20</v>
      </c>
      <c r="O399" s="22">
        <f t="shared" si="20"/>
        <v>7663.2</v>
      </c>
    </row>
    <row r="400" spans="1:15" x14ac:dyDescent="0.3">
      <c r="A400" s="12" t="s">
        <v>612</v>
      </c>
      <c r="B400" s="12" t="s">
        <v>92</v>
      </c>
      <c r="C400" s="12" t="s">
        <v>61</v>
      </c>
      <c r="D400" s="12" t="s">
        <v>62</v>
      </c>
      <c r="E400" s="12" t="s">
        <v>46</v>
      </c>
      <c r="F400" s="12" t="s">
        <v>25</v>
      </c>
      <c r="G400" s="12" t="s">
        <v>26</v>
      </c>
      <c r="H400" s="12">
        <v>9515</v>
      </c>
      <c r="I400" s="12" t="s">
        <v>19</v>
      </c>
      <c r="J400" s="26">
        <v>0.2</v>
      </c>
      <c r="K400" s="12">
        <v>9000</v>
      </c>
      <c r="L400" s="14">
        <v>45320</v>
      </c>
      <c r="M400" s="8" t="str">
        <f t="shared" si="18"/>
        <v>Below Target</v>
      </c>
      <c r="N400" s="20">
        <f t="shared" si="19"/>
        <v>20</v>
      </c>
      <c r="O400" s="22">
        <f t="shared" si="20"/>
        <v>7612</v>
      </c>
    </row>
    <row r="401" spans="1:15" x14ac:dyDescent="0.3">
      <c r="A401" s="12" t="s">
        <v>613</v>
      </c>
      <c r="B401" s="12" t="s">
        <v>337</v>
      </c>
      <c r="C401" s="12" t="s">
        <v>61</v>
      </c>
      <c r="D401" s="12" t="s">
        <v>62</v>
      </c>
      <c r="E401" s="12" t="s">
        <v>32</v>
      </c>
      <c r="F401" s="12" t="s">
        <v>39</v>
      </c>
      <c r="G401" s="12" t="s">
        <v>18</v>
      </c>
      <c r="H401" s="12">
        <v>7842</v>
      </c>
      <c r="I401" s="12" t="s">
        <v>33</v>
      </c>
      <c r="J401" s="26">
        <v>0.3</v>
      </c>
      <c r="K401" s="12">
        <v>9000</v>
      </c>
      <c r="L401" s="14">
        <v>45340</v>
      </c>
      <c r="M401" s="8" t="str">
        <f t="shared" si="18"/>
        <v>Below Target</v>
      </c>
      <c r="N401" s="20">
        <f t="shared" si="19"/>
        <v>30</v>
      </c>
      <c r="O401" s="22">
        <f t="shared" si="20"/>
        <v>5489.4</v>
      </c>
    </row>
    <row r="402" spans="1:15" x14ac:dyDescent="0.3">
      <c r="A402" s="12" t="s">
        <v>614</v>
      </c>
      <c r="B402" s="12" t="s">
        <v>276</v>
      </c>
      <c r="C402" s="12" t="s">
        <v>14</v>
      </c>
      <c r="D402" s="12" t="s">
        <v>15</v>
      </c>
      <c r="E402" s="12" t="s">
        <v>16</v>
      </c>
      <c r="F402" s="12" t="s">
        <v>25</v>
      </c>
      <c r="G402" s="12" t="s">
        <v>26</v>
      </c>
      <c r="H402" s="12">
        <v>12765</v>
      </c>
      <c r="I402" s="12" t="s">
        <v>33</v>
      </c>
      <c r="J402" s="26">
        <v>0.3</v>
      </c>
      <c r="K402" s="12">
        <v>14000</v>
      </c>
      <c r="L402" s="14">
        <v>45312</v>
      </c>
      <c r="M402" s="8" t="str">
        <f t="shared" si="18"/>
        <v>Below Target</v>
      </c>
      <c r="N402" s="20">
        <f t="shared" si="19"/>
        <v>30</v>
      </c>
      <c r="O402" s="22">
        <f t="shared" si="20"/>
        <v>8935.5</v>
      </c>
    </row>
    <row r="403" spans="1:15" x14ac:dyDescent="0.3">
      <c r="A403" s="12" t="s">
        <v>615</v>
      </c>
      <c r="B403" s="12" t="s">
        <v>29</v>
      </c>
      <c r="C403" s="12" t="s">
        <v>14</v>
      </c>
      <c r="D403" s="12" t="s">
        <v>15</v>
      </c>
      <c r="E403" s="12" t="s">
        <v>46</v>
      </c>
      <c r="F403" s="12" t="s">
        <v>39</v>
      </c>
      <c r="G403" s="12" t="s">
        <v>36</v>
      </c>
      <c r="H403" s="12">
        <v>14161</v>
      </c>
      <c r="I403" s="12" t="s">
        <v>33</v>
      </c>
      <c r="J403" s="26">
        <v>0.3</v>
      </c>
      <c r="K403" s="12">
        <v>14000</v>
      </c>
      <c r="L403" s="14">
        <v>45330</v>
      </c>
      <c r="M403" s="8" t="str">
        <f t="shared" si="18"/>
        <v>Below Target</v>
      </c>
      <c r="N403" s="20">
        <f t="shared" si="19"/>
        <v>30</v>
      </c>
      <c r="O403" s="22">
        <f t="shared" si="20"/>
        <v>9912.7000000000007</v>
      </c>
    </row>
    <row r="404" spans="1:15" x14ac:dyDescent="0.3">
      <c r="A404" s="12" t="s">
        <v>616</v>
      </c>
      <c r="B404" s="12" t="s">
        <v>617</v>
      </c>
      <c r="C404" s="12" t="s">
        <v>61</v>
      </c>
      <c r="D404" s="12" t="s">
        <v>62</v>
      </c>
      <c r="E404" s="12" t="s">
        <v>16</v>
      </c>
      <c r="F404" s="12" t="s">
        <v>25</v>
      </c>
      <c r="G404" s="12" t="s">
        <v>36</v>
      </c>
      <c r="H404" s="12">
        <v>8441</v>
      </c>
      <c r="I404" s="12"/>
      <c r="J404" s="26"/>
      <c r="K404" s="12">
        <v>9000</v>
      </c>
      <c r="L404" s="14">
        <v>45331</v>
      </c>
      <c r="M404" s="8" t="str">
        <f t="shared" si="18"/>
        <v>Target Achieved</v>
      </c>
      <c r="N404" s="20">
        <f t="shared" si="19"/>
        <v>0</v>
      </c>
      <c r="O404" s="22">
        <f t="shared" si="20"/>
        <v>8441</v>
      </c>
    </row>
    <row r="405" spans="1:15" x14ac:dyDescent="0.3">
      <c r="A405" s="12" t="s">
        <v>618</v>
      </c>
      <c r="B405" s="12" t="s">
        <v>619</v>
      </c>
      <c r="C405" s="12" t="s">
        <v>30</v>
      </c>
      <c r="D405" s="12" t="s">
        <v>31</v>
      </c>
      <c r="E405" s="12" t="s">
        <v>16</v>
      </c>
      <c r="F405" s="12" t="s">
        <v>39</v>
      </c>
      <c r="G405" s="12" t="s">
        <v>18</v>
      </c>
      <c r="H405" s="12">
        <v>17752</v>
      </c>
      <c r="I405" s="12" t="s">
        <v>19</v>
      </c>
      <c r="J405" s="26">
        <v>0.2</v>
      </c>
      <c r="K405" s="12">
        <v>17000</v>
      </c>
      <c r="L405" s="14">
        <v>45312</v>
      </c>
      <c r="M405" s="8" t="str">
        <f t="shared" si="18"/>
        <v>Below Target</v>
      </c>
      <c r="N405" s="20">
        <f t="shared" si="19"/>
        <v>20</v>
      </c>
      <c r="O405" s="22">
        <f t="shared" si="20"/>
        <v>14201.6</v>
      </c>
    </row>
    <row r="406" spans="1:15" x14ac:dyDescent="0.3">
      <c r="A406" s="12" t="s">
        <v>620</v>
      </c>
      <c r="B406" s="12" t="s">
        <v>248</v>
      </c>
      <c r="C406" s="12" t="s">
        <v>30</v>
      </c>
      <c r="D406" s="12" t="s">
        <v>31</v>
      </c>
      <c r="E406" s="12" t="s">
        <v>32</v>
      </c>
      <c r="F406" s="12" t="s">
        <v>25</v>
      </c>
      <c r="G406" s="12" t="s">
        <v>36</v>
      </c>
      <c r="H406" s="12">
        <v>17840</v>
      </c>
      <c r="I406" s="12" t="s">
        <v>19</v>
      </c>
      <c r="J406" s="26">
        <v>0.2</v>
      </c>
      <c r="K406" s="12">
        <v>17000</v>
      </c>
      <c r="L406" s="14">
        <v>45324</v>
      </c>
      <c r="M406" s="8" t="str">
        <f t="shared" si="18"/>
        <v>Below Target</v>
      </c>
      <c r="N406" s="20">
        <f t="shared" si="19"/>
        <v>20</v>
      </c>
      <c r="O406" s="22">
        <f t="shared" si="20"/>
        <v>14272</v>
      </c>
    </row>
    <row r="407" spans="1:15" x14ac:dyDescent="0.3">
      <c r="A407" s="12" t="s">
        <v>621</v>
      </c>
      <c r="B407" s="12" t="s">
        <v>177</v>
      </c>
      <c r="C407" s="12" t="s">
        <v>44</v>
      </c>
      <c r="D407" s="12" t="s">
        <v>45</v>
      </c>
      <c r="E407" s="12" t="s">
        <v>16</v>
      </c>
      <c r="F407" s="12" t="s">
        <v>17</v>
      </c>
      <c r="G407" s="12" t="s">
        <v>36</v>
      </c>
      <c r="H407" s="12">
        <v>11760</v>
      </c>
      <c r="I407" s="12"/>
      <c r="J407" s="26"/>
      <c r="K407" s="12">
        <v>13000</v>
      </c>
      <c r="L407" s="14">
        <v>45332</v>
      </c>
      <c r="M407" s="8" t="str">
        <f t="shared" si="18"/>
        <v>Target Achieved</v>
      </c>
      <c r="N407" s="20">
        <f t="shared" si="19"/>
        <v>0</v>
      </c>
      <c r="O407" s="22">
        <f t="shared" si="20"/>
        <v>11760</v>
      </c>
    </row>
    <row r="408" spans="1:15" x14ac:dyDescent="0.3">
      <c r="A408" s="12" t="s">
        <v>622</v>
      </c>
      <c r="B408" s="12" t="s">
        <v>548</v>
      </c>
      <c r="C408" s="12" t="s">
        <v>44</v>
      </c>
      <c r="D408" s="12" t="s">
        <v>45</v>
      </c>
      <c r="E408" s="12" t="s">
        <v>16</v>
      </c>
      <c r="F408" s="12" t="s">
        <v>25</v>
      </c>
      <c r="G408" s="12" t="s">
        <v>36</v>
      </c>
      <c r="H408" s="12">
        <v>12183</v>
      </c>
      <c r="I408" s="12" t="s">
        <v>19</v>
      </c>
      <c r="J408" s="26">
        <v>0.2</v>
      </c>
      <c r="K408" s="12">
        <v>13000</v>
      </c>
      <c r="L408" s="14">
        <v>45303</v>
      </c>
      <c r="M408" s="8" t="str">
        <f t="shared" si="18"/>
        <v>Below Target</v>
      </c>
      <c r="N408" s="20">
        <f t="shared" si="19"/>
        <v>20</v>
      </c>
      <c r="O408" s="22">
        <f t="shared" si="20"/>
        <v>9746.4</v>
      </c>
    </row>
    <row r="409" spans="1:15" x14ac:dyDescent="0.3">
      <c r="A409" s="12" t="s">
        <v>623</v>
      </c>
      <c r="B409" s="12" t="s">
        <v>624</v>
      </c>
      <c r="C409" s="12" t="s">
        <v>61</v>
      </c>
      <c r="D409" s="12" t="s">
        <v>62</v>
      </c>
      <c r="E409" s="12" t="s">
        <v>16</v>
      </c>
      <c r="F409" s="12" t="s">
        <v>25</v>
      </c>
      <c r="G409" s="12" t="s">
        <v>36</v>
      </c>
      <c r="H409" s="12">
        <v>10898</v>
      </c>
      <c r="I409" s="12" t="s">
        <v>22</v>
      </c>
      <c r="J409" s="26">
        <v>0.1</v>
      </c>
      <c r="K409" s="12">
        <v>9000</v>
      </c>
      <c r="L409" s="14">
        <v>45323</v>
      </c>
      <c r="M409" s="8" t="str">
        <f t="shared" si="18"/>
        <v>Below Target</v>
      </c>
      <c r="N409" s="20">
        <f t="shared" si="19"/>
        <v>10</v>
      </c>
      <c r="O409" s="22">
        <f t="shared" si="20"/>
        <v>9808.2000000000007</v>
      </c>
    </row>
    <row r="410" spans="1:15" x14ac:dyDescent="0.3">
      <c r="A410" s="12" t="s">
        <v>625</v>
      </c>
      <c r="B410" s="12" t="s">
        <v>35</v>
      </c>
      <c r="C410" s="12" t="s">
        <v>61</v>
      </c>
      <c r="D410" s="12" t="s">
        <v>62</v>
      </c>
      <c r="E410" s="12" t="s">
        <v>16</v>
      </c>
      <c r="F410" s="12" t="s">
        <v>39</v>
      </c>
      <c r="G410" s="12" t="s">
        <v>26</v>
      </c>
      <c r="H410" s="12">
        <v>9027</v>
      </c>
      <c r="I410" s="12"/>
      <c r="J410" s="26"/>
      <c r="K410" s="12">
        <v>9000</v>
      </c>
      <c r="L410" s="14">
        <v>45335</v>
      </c>
      <c r="M410" s="8" t="str">
        <f t="shared" si="18"/>
        <v>Target Achieved</v>
      </c>
      <c r="N410" s="20">
        <f t="shared" si="19"/>
        <v>0</v>
      </c>
      <c r="O410" s="22">
        <f t="shared" si="20"/>
        <v>9027</v>
      </c>
    </row>
    <row r="411" spans="1:15" x14ac:dyDescent="0.3">
      <c r="A411" s="12" t="s">
        <v>626</v>
      </c>
      <c r="B411" s="12" t="s">
        <v>52</v>
      </c>
      <c r="C411" s="12" t="s">
        <v>61</v>
      </c>
      <c r="D411" s="12" t="s">
        <v>62</v>
      </c>
      <c r="E411" s="12" t="s">
        <v>46</v>
      </c>
      <c r="F411" s="12" t="s">
        <v>25</v>
      </c>
      <c r="G411" s="12" t="s">
        <v>18</v>
      </c>
      <c r="H411" s="12">
        <v>9315</v>
      </c>
      <c r="I411" s="12" t="s">
        <v>22</v>
      </c>
      <c r="J411" s="26">
        <v>0.1</v>
      </c>
      <c r="K411" s="12">
        <v>9000</v>
      </c>
      <c r="L411" s="14">
        <v>45342</v>
      </c>
      <c r="M411" s="8" t="str">
        <f t="shared" si="18"/>
        <v>Below Target</v>
      </c>
      <c r="N411" s="20">
        <f t="shared" si="19"/>
        <v>10</v>
      </c>
      <c r="O411" s="22">
        <f t="shared" si="20"/>
        <v>8383.5</v>
      </c>
    </row>
    <row r="412" spans="1:15" x14ac:dyDescent="0.3">
      <c r="A412" s="12" t="s">
        <v>627</v>
      </c>
      <c r="B412" s="12" t="s">
        <v>294</v>
      </c>
      <c r="C412" s="12" t="s">
        <v>30</v>
      </c>
      <c r="D412" s="12" t="s">
        <v>31</v>
      </c>
      <c r="E412" s="12" t="s">
        <v>32</v>
      </c>
      <c r="F412" s="12" t="s">
        <v>17</v>
      </c>
      <c r="G412" s="12" t="s">
        <v>18</v>
      </c>
      <c r="H412" s="12">
        <v>17202</v>
      </c>
      <c r="I412" s="12" t="s">
        <v>33</v>
      </c>
      <c r="J412" s="26">
        <v>0.3</v>
      </c>
      <c r="K412" s="12">
        <v>17000</v>
      </c>
      <c r="L412" s="14">
        <v>45302</v>
      </c>
      <c r="M412" s="8" t="str">
        <f t="shared" si="18"/>
        <v>Below Target</v>
      </c>
      <c r="N412" s="20">
        <f t="shared" si="19"/>
        <v>30</v>
      </c>
      <c r="O412" s="22">
        <f t="shared" si="20"/>
        <v>12041.4</v>
      </c>
    </row>
    <row r="413" spans="1:15" x14ac:dyDescent="0.3">
      <c r="A413" s="12" t="s">
        <v>628</v>
      </c>
      <c r="B413" s="12" t="s">
        <v>298</v>
      </c>
      <c r="C413" s="12" t="s">
        <v>61</v>
      </c>
      <c r="D413" s="12" t="s">
        <v>62</v>
      </c>
      <c r="E413" s="12" t="s">
        <v>16</v>
      </c>
      <c r="F413" s="12" t="s">
        <v>39</v>
      </c>
      <c r="G413" s="12" t="s">
        <v>18</v>
      </c>
      <c r="H413" s="12">
        <v>9345</v>
      </c>
      <c r="I413" s="12" t="s">
        <v>22</v>
      </c>
      <c r="J413" s="26">
        <v>0.1</v>
      </c>
      <c r="K413" s="12">
        <v>9000</v>
      </c>
      <c r="L413" s="14">
        <v>45309</v>
      </c>
      <c r="M413" s="8" t="str">
        <f t="shared" si="18"/>
        <v>Below Target</v>
      </c>
      <c r="N413" s="20">
        <f t="shared" si="19"/>
        <v>10</v>
      </c>
      <c r="O413" s="22">
        <f t="shared" si="20"/>
        <v>8410.5</v>
      </c>
    </row>
    <row r="414" spans="1:15" x14ac:dyDescent="0.3">
      <c r="A414" s="12" t="s">
        <v>629</v>
      </c>
      <c r="B414" s="12" t="s">
        <v>133</v>
      </c>
      <c r="C414" s="12" t="s">
        <v>30</v>
      </c>
      <c r="D414" s="12" t="s">
        <v>31</v>
      </c>
      <c r="E414" s="12" t="s">
        <v>16</v>
      </c>
      <c r="F414" s="12" t="s">
        <v>25</v>
      </c>
      <c r="G414" s="12" t="s">
        <v>26</v>
      </c>
      <c r="H414" s="12">
        <v>16807</v>
      </c>
      <c r="I414" s="12" t="s">
        <v>27</v>
      </c>
      <c r="J414" s="26"/>
      <c r="K414" s="12">
        <v>17000</v>
      </c>
      <c r="L414" s="14">
        <v>45305</v>
      </c>
      <c r="M414" s="8" t="str">
        <f t="shared" si="18"/>
        <v>Below Target</v>
      </c>
      <c r="N414" s="20">
        <f t="shared" si="19"/>
        <v>15</v>
      </c>
      <c r="O414" s="22">
        <f t="shared" si="20"/>
        <v>14285.95</v>
      </c>
    </row>
    <row r="415" spans="1:15" x14ac:dyDescent="0.3">
      <c r="A415" s="12" t="s">
        <v>630</v>
      </c>
      <c r="B415" s="12" t="s">
        <v>41</v>
      </c>
      <c r="C415" s="12" t="s">
        <v>44</v>
      </c>
      <c r="D415" s="12" t="s">
        <v>45</v>
      </c>
      <c r="E415" s="12" t="s">
        <v>46</v>
      </c>
      <c r="F415" s="12" t="s">
        <v>25</v>
      </c>
      <c r="G415" s="12" t="s">
        <v>36</v>
      </c>
      <c r="H415" s="12">
        <v>12076</v>
      </c>
      <c r="I415" s="12" t="s">
        <v>33</v>
      </c>
      <c r="J415" s="26">
        <v>0.3</v>
      </c>
      <c r="K415" s="12">
        <v>13000</v>
      </c>
      <c r="L415" s="14">
        <v>45347</v>
      </c>
      <c r="M415" s="8" t="str">
        <f t="shared" si="18"/>
        <v>Below Target</v>
      </c>
      <c r="N415" s="20">
        <f t="shared" si="19"/>
        <v>30</v>
      </c>
      <c r="O415" s="22">
        <f t="shared" si="20"/>
        <v>8453.2000000000007</v>
      </c>
    </row>
    <row r="416" spans="1:15" x14ac:dyDescent="0.3">
      <c r="A416" s="12" t="s">
        <v>631</v>
      </c>
      <c r="B416" s="12" t="s">
        <v>96</v>
      </c>
      <c r="C416" s="12" t="s">
        <v>61</v>
      </c>
      <c r="D416" s="12" t="s">
        <v>62</v>
      </c>
      <c r="E416" s="12" t="s">
        <v>32</v>
      </c>
      <c r="F416" s="12" t="s">
        <v>25</v>
      </c>
      <c r="G416" s="12" t="s">
        <v>18</v>
      </c>
      <c r="H416" s="12">
        <v>10320</v>
      </c>
      <c r="I416" s="12" t="s">
        <v>27</v>
      </c>
      <c r="J416" s="26"/>
      <c r="K416" s="12">
        <v>9000</v>
      </c>
      <c r="L416" s="14">
        <v>45336</v>
      </c>
      <c r="M416" s="8" t="str">
        <f t="shared" si="18"/>
        <v>Below Target</v>
      </c>
      <c r="N416" s="20">
        <f t="shared" si="19"/>
        <v>15</v>
      </c>
      <c r="O416" s="22">
        <f t="shared" si="20"/>
        <v>8772</v>
      </c>
    </row>
    <row r="417" spans="1:15" x14ac:dyDescent="0.3">
      <c r="A417" s="12" t="s">
        <v>632</v>
      </c>
      <c r="B417" s="12" t="s">
        <v>624</v>
      </c>
      <c r="C417" s="12" t="s">
        <v>61</v>
      </c>
      <c r="D417" s="12" t="s">
        <v>62</v>
      </c>
      <c r="E417" s="12" t="s">
        <v>32</v>
      </c>
      <c r="F417" s="12" t="s">
        <v>39</v>
      </c>
      <c r="G417" s="12" t="s">
        <v>18</v>
      </c>
      <c r="H417" s="12">
        <v>10214</v>
      </c>
      <c r="I417" s="12" t="s">
        <v>19</v>
      </c>
      <c r="J417" s="26">
        <v>0.2</v>
      </c>
      <c r="K417" s="12">
        <v>9000</v>
      </c>
      <c r="L417" s="14">
        <v>45344</v>
      </c>
      <c r="M417" s="8" t="str">
        <f t="shared" si="18"/>
        <v>Below Target</v>
      </c>
      <c r="N417" s="20">
        <f t="shared" si="19"/>
        <v>20</v>
      </c>
      <c r="O417" s="22">
        <f t="shared" si="20"/>
        <v>8171.2</v>
      </c>
    </row>
    <row r="418" spans="1:15" x14ac:dyDescent="0.3">
      <c r="A418" s="12" t="s">
        <v>633</v>
      </c>
      <c r="B418" s="12" t="s">
        <v>401</v>
      </c>
      <c r="C418" s="12" t="s">
        <v>14</v>
      </c>
      <c r="D418" s="12" t="s">
        <v>15</v>
      </c>
      <c r="E418" s="12" t="s">
        <v>16</v>
      </c>
      <c r="F418" s="12" t="s">
        <v>17</v>
      </c>
      <c r="G418" s="12" t="s">
        <v>26</v>
      </c>
      <c r="H418" s="12">
        <v>13151</v>
      </c>
      <c r="I418" s="12" t="s">
        <v>27</v>
      </c>
      <c r="J418" s="26"/>
      <c r="K418" s="12">
        <v>14000</v>
      </c>
      <c r="L418" s="14">
        <v>45326</v>
      </c>
      <c r="M418" s="8" t="str">
        <f t="shared" si="18"/>
        <v>Below Target</v>
      </c>
      <c r="N418" s="20">
        <f t="shared" si="19"/>
        <v>15</v>
      </c>
      <c r="O418" s="22">
        <f t="shared" si="20"/>
        <v>11178.35</v>
      </c>
    </row>
    <row r="419" spans="1:15" x14ac:dyDescent="0.3">
      <c r="A419" s="12" t="s">
        <v>634</v>
      </c>
      <c r="B419" s="12" t="s">
        <v>74</v>
      </c>
      <c r="C419" s="12" t="s">
        <v>30</v>
      </c>
      <c r="D419" s="12" t="s">
        <v>31</v>
      </c>
      <c r="E419" s="12" t="s">
        <v>46</v>
      </c>
      <c r="F419" s="12" t="s">
        <v>39</v>
      </c>
      <c r="G419" s="12" t="s">
        <v>36</v>
      </c>
      <c r="H419" s="12">
        <v>18901</v>
      </c>
      <c r="I419" s="12" t="s">
        <v>27</v>
      </c>
      <c r="J419" s="26"/>
      <c r="K419" s="12">
        <v>17000</v>
      </c>
      <c r="L419" s="14">
        <v>45349</v>
      </c>
      <c r="M419" s="8" t="str">
        <f t="shared" si="18"/>
        <v>Below Target</v>
      </c>
      <c r="N419" s="20">
        <f t="shared" si="19"/>
        <v>15</v>
      </c>
      <c r="O419" s="22">
        <f t="shared" si="20"/>
        <v>16065.85</v>
      </c>
    </row>
    <row r="420" spans="1:15" x14ac:dyDescent="0.3">
      <c r="A420" s="12" t="s">
        <v>635</v>
      </c>
      <c r="B420" s="12" t="s">
        <v>204</v>
      </c>
      <c r="C420" s="12" t="s">
        <v>14</v>
      </c>
      <c r="D420" s="12" t="s">
        <v>15</v>
      </c>
      <c r="E420" s="12" t="s">
        <v>32</v>
      </c>
      <c r="F420" s="12" t="s">
        <v>17</v>
      </c>
      <c r="G420" s="12" t="s">
        <v>18</v>
      </c>
      <c r="H420" s="12">
        <v>13135</v>
      </c>
      <c r="I420" s="12" t="s">
        <v>19</v>
      </c>
      <c r="J420" s="26">
        <v>0.2</v>
      </c>
      <c r="K420" s="12">
        <v>14000</v>
      </c>
      <c r="L420" s="14">
        <v>45336</v>
      </c>
      <c r="M420" s="8" t="str">
        <f t="shared" si="18"/>
        <v>Below Target</v>
      </c>
      <c r="N420" s="20">
        <f t="shared" si="19"/>
        <v>20</v>
      </c>
      <c r="O420" s="22">
        <f t="shared" si="20"/>
        <v>10508</v>
      </c>
    </row>
    <row r="421" spans="1:15" x14ac:dyDescent="0.3">
      <c r="A421" s="12" t="s">
        <v>636</v>
      </c>
      <c r="B421" s="12" t="s">
        <v>412</v>
      </c>
      <c r="C421" s="12" t="s">
        <v>44</v>
      </c>
      <c r="D421" s="12" t="s">
        <v>45</v>
      </c>
      <c r="E421" s="12" t="s">
        <v>32</v>
      </c>
      <c r="F421" s="12" t="s">
        <v>39</v>
      </c>
      <c r="G421" s="12" t="s">
        <v>36</v>
      </c>
      <c r="H421" s="12">
        <v>14393</v>
      </c>
      <c r="I421" s="12" t="s">
        <v>19</v>
      </c>
      <c r="J421" s="26">
        <v>0.2</v>
      </c>
      <c r="K421" s="12">
        <v>13000</v>
      </c>
      <c r="L421" s="14">
        <v>45340</v>
      </c>
      <c r="M421" s="8" t="str">
        <f t="shared" si="18"/>
        <v>Below Target</v>
      </c>
      <c r="N421" s="20">
        <f t="shared" si="19"/>
        <v>20</v>
      </c>
      <c r="O421" s="22">
        <f t="shared" si="20"/>
        <v>11514.4</v>
      </c>
    </row>
    <row r="422" spans="1:15" x14ac:dyDescent="0.3">
      <c r="A422" s="12" t="s">
        <v>637</v>
      </c>
      <c r="B422" s="12" t="s">
        <v>198</v>
      </c>
      <c r="C422" s="12" t="s">
        <v>61</v>
      </c>
      <c r="D422" s="12" t="s">
        <v>62</v>
      </c>
      <c r="E422" s="12" t="s">
        <v>46</v>
      </c>
      <c r="F422" s="12" t="s">
        <v>25</v>
      </c>
      <c r="G422" s="12" t="s">
        <v>26</v>
      </c>
      <c r="H422" s="12">
        <v>9590</v>
      </c>
      <c r="I422" s="12" t="s">
        <v>33</v>
      </c>
      <c r="J422" s="26">
        <v>0.3</v>
      </c>
      <c r="K422" s="12">
        <v>9000</v>
      </c>
      <c r="L422" s="14">
        <v>45332</v>
      </c>
      <c r="M422" s="8" t="str">
        <f t="shared" si="18"/>
        <v>Below Target</v>
      </c>
      <c r="N422" s="20">
        <f t="shared" si="19"/>
        <v>30</v>
      </c>
      <c r="O422" s="22">
        <f t="shared" si="20"/>
        <v>6713</v>
      </c>
    </row>
    <row r="423" spans="1:15" x14ac:dyDescent="0.3">
      <c r="A423" s="12" t="s">
        <v>638</v>
      </c>
      <c r="B423" s="12" t="s">
        <v>177</v>
      </c>
      <c r="C423" s="12" t="s">
        <v>61</v>
      </c>
      <c r="D423" s="12" t="s">
        <v>62</v>
      </c>
      <c r="E423" s="12" t="s">
        <v>32</v>
      </c>
      <c r="F423" s="12" t="s">
        <v>39</v>
      </c>
      <c r="G423" s="12" t="s">
        <v>18</v>
      </c>
      <c r="H423" s="12">
        <v>8650</v>
      </c>
      <c r="I423" s="12" t="s">
        <v>27</v>
      </c>
      <c r="J423" s="26"/>
      <c r="K423" s="12">
        <v>9000</v>
      </c>
      <c r="L423" s="14">
        <v>45339</v>
      </c>
      <c r="M423" s="8" t="str">
        <f t="shared" si="18"/>
        <v>Below Target</v>
      </c>
      <c r="N423" s="20">
        <f t="shared" si="19"/>
        <v>15</v>
      </c>
      <c r="O423" s="22">
        <f t="shared" si="20"/>
        <v>7352.5</v>
      </c>
    </row>
    <row r="424" spans="1:15" x14ac:dyDescent="0.3">
      <c r="A424" s="12" t="s">
        <v>639</v>
      </c>
      <c r="B424" s="12" t="s">
        <v>350</v>
      </c>
      <c r="C424" s="12" t="s">
        <v>30</v>
      </c>
      <c r="D424" s="12" t="s">
        <v>31</v>
      </c>
      <c r="E424" s="12" t="s">
        <v>46</v>
      </c>
      <c r="F424" s="12" t="s">
        <v>17</v>
      </c>
      <c r="G424" s="12" t="s">
        <v>36</v>
      </c>
      <c r="H424" s="12">
        <v>17383</v>
      </c>
      <c r="I424" s="12" t="s">
        <v>22</v>
      </c>
      <c r="J424" s="26">
        <v>0.1</v>
      </c>
      <c r="K424" s="12">
        <v>17000</v>
      </c>
      <c r="L424" s="14">
        <v>45347</v>
      </c>
      <c r="M424" s="8" t="str">
        <f t="shared" si="18"/>
        <v>Below Target</v>
      </c>
      <c r="N424" s="20">
        <f t="shared" si="19"/>
        <v>10</v>
      </c>
      <c r="O424" s="22">
        <f t="shared" si="20"/>
        <v>15644.7</v>
      </c>
    </row>
    <row r="425" spans="1:15" x14ac:dyDescent="0.3">
      <c r="A425" s="12" t="s">
        <v>640</v>
      </c>
      <c r="B425" s="12" t="s">
        <v>140</v>
      </c>
      <c r="C425" s="12" t="s">
        <v>14</v>
      </c>
      <c r="D425" s="12" t="s">
        <v>15</v>
      </c>
      <c r="E425" s="12" t="s">
        <v>16</v>
      </c>
      <c r="F425" s="12" t="s">
        <v>17</v>
      </c>
      <c r="G425" s="12" t="s">
        <v>26</v>
      </c>
      <c r="H425" s="12">
        <v>14720</v>
      </c>
      <c r="I425" s="12" t="s">
        <v>33</v>
      </c>
      <c r="J425" s="26">
        <v>0.3</v>
      </c>
      <c r="K425" s="12">
        <v>14000</v>
      </c>
      <c r="L425" s="14">
        <v>45346</v>
      </c>
      <c r="M425" s="8" t="str">
        <f t="shared" si="18"/>
        <v>Below Target</v>
      </c>
      <c r="N425" s="20">
        <f t="shared" si="19"/>
        <v>30</v>
      </c>
      <c r="O425" s="22">
        <f t="shared" si="20"/>
        <v>10304</v>
      </c>
    </row>
    <row r="426" spans="1:15" x14ac:dyDescent="0.3">
      <c r="A426" s="12" t="s">
        <v>641</v>
      </c>
      <c r="B426" s="12" t="s">
        <v>200</v>
      </c>
      <c r="C426" s="12" t="s">
        <v>61</v>
      </c>
      <c r="D426" s="12" t="s">
        <v>62</v>
      </c>
      <c r="E426" s="12" t="s">
        <v>32</v>
      </c>
      <c r="F426" s="12" t="s">
        <v>17</v>
      </c>
      <c r="G426" s="12" t="s">
        <v>18</v>
      </c>
      <c r="H426" s="12">
        <v>9026</v>
      </c>
      <c r="I426" s="12" t="s">
        <v>33</v>
      </c>
      <c r="J426" s="26">
        <v>0.3</v>
      </c>
      <c r="K426" s="12">
        <v>9000</v>
      </c>
      <c r="L426" s="14">
        <v>45312</v>
      </c>
      <c r="M426" s="8" t="str">
        <f t="shared" si="18"/>
        <v>Below Target</v>
      </c>
      <c r="N426" s="20">
        <f t="shared" si="19"/>
        <v>30</v>
      </c>
      <c r="O426" s="22">
        <f t="shared" si="20"/>
        <v>6318.2</v>
      </c>
    </row>
    <row r="427" spans="1:15" x14ac:dyDescent="0.3">
      <c r="A427" s="12" t="s">
        <v>642</v>
      </c>
      <c r="B427" s="12" t="s">
        <v>643</v>
      </c>
      <c r="C427" s="12" t="s">
        <v>30</v>
      </c>
      <c r="D427" s="12" t="s">
        <v>31</v>
      </c>
      <c r="E427" s="12" t="s">
        <v>16</v>
      </c>
      <c r="F427" s="12" t="s">
        <v>39</v>
      </c>
      <c r="G427" s="12" t="s">
        <v>18</v>
      </c>
      <c r="H427" s="12">
        <v>17318</v>
      </c>
      <c r="I427" s="12"/>
      <c r="J427" s="26"/>
      <c r="K427" s="12">
        <v>17000</v>
      </c>
      <c r="L427" s="14">
        <v>45342</v>
      </c>
      <c r="M427" s="8" t="str">
        <f t="shared" si="18"/>
        <v>Target Achieved</v>
      </c>
      <c r="N427" s="20">
        <f t="shared" si="19"/>
        <v>0</v>
      </c>
      <c r="O427" s="22">
        <f t="shared" si="20"/>
        <v>17318</v>
      </c>
    </row>
    <row r="428" spans="1:15" x14ac:dyDescent="0.3">
      <c r="A428" s="12" t="s">
        <v>644</v>
      </c>
      <c r="B428" s="12" t="s">
        <v>150</v>
      </c>
      <c r="C428" s="12" t="s">
        <v>14</v>
      </c>
      <c r="D428" s="12" t="s">
        <v>15</v>
      </c>
      <c r="E428" s="12" t="s">
        <v>32</v>
      </c>
      <c r="F428" s="12" t="s">
        <v>25</v>
      </c>
      <c r="G428" s="12" t="s">
        <v>26</v>
      </c>
      <c r="H428" s="12">
        <v>15210</v>
      </c>
      <c r="I428" s="12"/>
      <c r="J428" s="26"/>
      <c r="K428" s="12">
        <v>14000</v>
      </c>
      <c r="L428" s="14">
        <v>45293</v>
      </c>
      <c r="M428" s="8" t="str">
        <f t="shared" si="18"/>
        <v>Target Achieved</v>
      </c>
      <c r="N428" s="20">
        <f t="shared" si="19"/>
        <v>0</v>
      </c>
      <c r="O428" s="22">
        <f t="shared" si="20"/>
        <v>15210</v>
      </c>
    </row>
    <row r="429" spans="1:15" x14ac:dyDescent="0.3">
      <c r="A429" s="12" t="s">
        <v>645</v>
      </c>
      <c r="B429" s="12" t="s">
        <v>159</v>
      </c>
      <c r="C429" s="12" t="s">
        <v>44</v>
      </c>
      <c r="D429" s="12" t="s">
        <v>45</v>
      </c>
      <c r="E429" s="12" t="s">
        <v>46</v>
      </c>
      <c r="F429" s="12" t="s">
        <v>17</v>
      </c>
      <c r="G429" s="12" t="s">
        <v>18</v>
      </c>
      <c r="H429" s="12">
        <v>14924</v>
      </c>
      <c r="I429" s="12"/>
      <c r="J429" s="26"/>
      <c r="K429" s="12">
        <v>13000</v>
      </c>
      <c r="L429" s="14">
        <v>45304</v>
      </c>
      <c r="M429" s="8" t="str">
        <f t="shared" si="18"/>
        <v>Target Achieved</v>
      </c>
      <c r="N429" s="20">
        <f t="shared" si="19"/>
        <v>0</v>
      </c>
      <c r="O429" s="22">
        <f t="shared" si="20"/>
        <v>14924</v>
      </c>
    </row>
    <row r="430" spans="1:15" x14ac:dyDescent="0.3">
      <c r="A430" s="12" t="s">
        <v>646</v>
      </c>
      <c r="B430" s="12" t="s">
        <v>153</v>
      </c>
      <c r="C430" s="12" t="s">
        <v>30</v>
      </c>
      <c r="D430" s="12" t="s">
        <v>31</v>
      </c>
      <c r="E430" s="12" t="s">
        <v>32</v>
      </c>
      <c r="F430" s="12" t="s">
        <v>17</v>
      </c>
      <c r="G430" s="12" t="s">
        <v>18</v>
      </c>
      <c r="H430" s="12">
        <v>17681</v>
      </c>
      <c r="I430" s="12" t="s">
        <v>33</v>
      </c>
      <c r="J430" s="26">
        <v>0.3</v>
      </c>
      <c r="K430" s="12">
        <v>17000</v>
      </c>
      <c r="L430" s="14">
        <v>45308</v>
      </c>
      <c r="M430" s="8" t="str">
        <f t="shared" si="18"/>
        <v>Below Target</v>
      </c>
      <c r="N430" s="20">
        <f t="shared" si="19"/>
        <v>30</v>
      </c>
      <c r="O430" s="22">
        <f t="shared" si="20"/>
        <v>12376.7</v>
      </c>
    </row>
    <row r="431" spans="1:15" x14ac:dyDescent="0.3">
      <c r="A431" s="12" t="s">
        <v>647</v>
      </c>
      <c r="B431" s="12" t="s">
        <v>432</v>
      </c>
      <c r="C431" s="12" t="s">
        <v>44</v>
      </c>
      <c r="D431" s="12" t="s">
        <v>45</v>
      </c>
      <c r="E431" s="12" t="s">
        <v>32</v>
      </c>
      <c r="F431" s="12" t="s">
        <v>17</v>
      </c>
      <c r="G431" s="12" t="s">
        <v>26</v>
      </c>
      <c r="H431" s="12">
        <v>12251</v>
      </c>
      <c r="I431" s="12" t="s">
        <v>19</v>
      </c>
      <c r="J431" s="26">
        <v>0.2</v>
      </c>
      <c r="K431" s="12">
        <v>13000</v>
      </c>
      <c r="L431" s="14">
        <v>45319</v>
      </c>
      <c r="M431" s="8" t="str">
        <f t="shared" si="18"/>
        <v>Below Target</v>
      </c>
      <c r="N431" s="20">
        <f t="shared" si="19"/>
        <v>20</v>
      </c>
      <c r="O431" s="22">
        <f t="shared" si="20"/>
        <v>9800.7999999999993</v>
      </c>
    </row>
    <row r="432" spans="1:15" x14ac:dyDescent="0.3">
      <c r="A432" s="12" t="s">
        <v>648</v>
      </c>
      <c r="B432" s="12" t="s">
        <v>13</v>
      </c>
      <c r="C432" s="12" t="s">
        <v>14</v>
      </c>
      <c r="D432" s="12" t="s">
        <v>15</v>
      </c>
      <c r="E432" s="12" t="s">
        <v>32</v>
      </c>
      <c r="F432" s="12" t="s">
        <v>25</v>
      </c>
      <c r="G432" s="12" t="s">
        <v>36</v>
      </c>
      <c r="H432" s="12">
        <v>12319</v>
      </c>
      <c r="I432" s="12" t="s">
        <v>19</v>
      </c>
      <c r="J432" s="26">
        <v>0.2</v>
      </c>
      <c r="K432" s="12">
        <v>14000</v>
      </c>
      <c r="L432" s="14">
        <v>45329</v>
      </c>
      <c r="M432" s="8" t="str">
        <f t="shared" si="18"/>
        <v>Below Target</v>
      </c>
      <c r="N432" s="20">
        <f t="shared" si="19"/>
        <v>20</v>
      </c>
      <c r="O432" s="22">
        <f t="shared" si="20"/>
        <v>9855.2000000000007</v>
      </c>
    </row>
    <row r="433" spans="1:15" x14ac:dyDescent="0.3">
      <c r="A433" s="12" t="s">
        <v>649</v>
      </c>
      <c r="B433" s="12" t="s">
        <v>24</v>
      </c>
      <c r="C433" s="12" t="s">
        <v>61</v>
      </c>
      <c r="D433" s="12" t="s">
        <v>62</v>
      </c>
      <c r="E433" s="12" t="s">
        <v>32</v>
      </c>
      <c r="F433" s="12" t="s">
        <v>25</v>
      </c>
      <c r="G433" s="12" t="s">
        <v>26</v>
      </c>
      <c r="H433" s="12">
        <v>8407</v>
      </c>
      <c r="I433" s="12" t="s">
        <v>22</v>
      </c>
      <c r="J433" s="26">
        <v>0.1</v>
      </c>
      <c r="K433" s="12">
        <v>9000</v>
      </c>
      <c r="L433" s="14">
        <v>45347</v>
      </c>
      <c r="M433" s="8" t="str">
        <f t="shared" si="18"/>
        <v>Below Target</v>
      </c>
      <c r="N433" s="20">
        <f t="shared" si="19"/>
        <v>10</v>
      </c>
      <c r="O433" s="22">
        <f t="shared" si="20"/>
        <v>7566.3</v>
      </c>
    </row>
    <row r="434" spans="1:15" x14ac:dyDescent="0.3">
      <c r="A434" s="12" t="s">
        <v>650</v>
      </c>
      <c r="B434" s="12" t="s">
        <v>101</v>
      </c>
      <c r="C434" s="12" t="s">
        <v>44</v>
      </c>
      <c r="D434" s="12" t="s">
        <v>45</v>
      </c>
      <c r="E434" s="12" t="s">
        <v>46</v>
      </c>
      <c r="F434" s="12" t="s">
        <v>25</v>
      </c>
      <c r="G434" s="12" t="s">
        <v>18</v>
      </c>
      <c r="H434" s="12">
        <v>12569</v>
      </c>
      <c r="I434" s="12" t="s">
        <v>22</v>
      </c>
      <c r="J434" s="26">
        <v>0.1</v>
      </c>
      <c r="K434" s="12">
        <v>13000</v>
      </c>
      <c r="L434" s="14">
        <v>45338</v>
      </c>
      <c r="M434" s="8" t="str">
        <f t="shared" si="18"/>
        <v>Below Target</v>
      </c>
      <c r="N434" s="20">
        <f t="shared" si="19"/>
        <v>10</v>
      </c>
      <c r="O434" s="22">
        <f t="shared" si="20"/>
        <v>11312.1</v>
      </c>
    </row>
    <row r="435" spans="1:15" x14ac:dyDescent="0.3">
      <c r="A435" s="12" t="s">
        <v>651</v>
      </c>
      <c r="B435" s="12" t="s">
        <v>652</v>
      </c>
      <c r="C435" s="12" t="s">
        <v>14</v>
      </c>
      <c r="D435" s="12" t="s">
        <v>15</v>
      </c>
      <c r="E435" s="12" t="s">
        <v>46</v>
      </c>
      <c r="F435" s="12" t="s">
        <v>17</v>
      </c>
      <c r="G435" s="12" t="s">
        <v>36</v>
      </c>
      <c r="H435" s="12">
        <v>12561</v>
      </c>
      <c r="I435" s="12"/>
      <c r="J435" s="26"/>
      <c r="K435" s="12">
        <v>14000</v>
      </c>
      <c r="L435" s="14">
        <v>45341</v>
      </c>
      <c r="M435" s="8" t="str">
        <f t="shared" si="18"/>
        <v>Target Achieved</v>
      </c>
      <c r="N435" s="20">
        <f t="shared" si="19"/>
        <v>0</v>
      </c>
      <c r="O435" s="22">
        <f t="shared" si="20"/>
        <v>12561</v>
      </c>
    </row>
    <row r="436" spans="1:15" x14ac:dyDescent="0.3">
      <c r="A436" s="12" t="s">
        <v>653</v>
      </c>
      <c r="B436" s="12" t="s">
        <v>393</v>
      </c>
      <c r="C436" s="12" t="s">
        <v>44</v>
      </c>
      <c r="D436" s="12" t="s">
        <v>45</v>
      </c>
      <c r="E436" s="12" t="s">
        <v>16</v>
      </c>
      <c r="F436" s="12" t="s">
        <v>39</v>
      </c>
      <c r="G436" s="12" t="s">
        <v>18</v>
      </c>
      <c r="H436" s="12">
        <v>11280</v>
      </c>
      <c r="I436" s="12" t="s">
        <v>27</v>
      </c>
      <c r="J436" s="26"/>
      <c r="K436" s="12">
        <v>13000</v>
      </c>
      <c r="L436" s="14">
        <v>45328</v>
      </c>
      <c r="M436" s="8" t="str">
        <f t="shared" si="18"/>
        <v>Below Target</v>
      </c>
      <c r="N436" s="20">
        <f t="shared" si="19"/>
        <v>15</v>
      </c>
      <c r="O436" s="22">
        <f t="shared" si="20"/>
        <v>9588</v>
      </c>
    </row>
    <row r="437" spans="1:15" x14ac:dyDescent="0.3">
      <c r="A437" s="12" t="s">
        <v>654</v>
      </c>
      <c r="B437" s="12" t="s">
        <v>109</v>
      </c>
      <c r="C437" s="12" t="s">
        <v>44</v>
      </c>
      <c r="D437" s="12" t="s">
        <v>45</v>
      </c>
      <c r="E437" s="12" t="s">
        <v>46</v>
      </c>
      <c r="F437" s="12" t="s">
        <v>17</v>
      </c>
      <c r="G437" s="12" t="s">
        <v>26</v>
      </c>
      <c r="H437" s="12">
        <v>11872</v>
      </c>
      <c r="I437" s="12" t="s">
        <v>19</v>
      </c>
      <c r="J437" s="26">
        <v>0.2</v>
      </c>
      <c r="K437" s="12">
        <v>13000</v>
      </c>
      <c r="L437" s="14">
        <v>45350</v>
      </c>
      <c r="M437" s="8" t="str">
        <f t="shared" si="18"/>
        <v>Below Target</v>
      </c>
      <c r="N437" s="20">
        <f t="shared" si="19"/>
        <v>20</v>
      </c>
      <c r="O437" s="22">
        <f t="shared" si="20"/>
        <v>9497.6</v>
      </c>
    </row>
    <row r="438" spans="1:15" x14ac:dyDescent="0.3">
      <c r="A438" s="12" t="s">
        <v>655</v>
      </c>
      <c r="B438" s="12" t="s">
        <v>617</v>
      </c>
      <c r="C438" s="12" t="s">
        <v>61</v>
      </c>
      <c r="D438" s="12" t="s">
        <v>62</v>
      </c>
      <c r="E438" s="12" t="s">
        <v>32</v>
      </c>
      <c r="F438" s="12" t="s">
        <v>25</v>
      </c>
      <c r="G438" s="12" t="s">
        <v>18</v>
      </c>
      <c r="H438" s="12">
        <v>7573</v>
      </c>
      <c r="I438" s="12" t="s">
        <v>22</v>
      </c>
      <c r="J438" s="26">
        <v>0.1</v>
      </c>
      <c r="K438" s="12">
        <v>9000</v>
      </c>
      <c r="L438" s="14">
        <v>45329</v>
      </c>
      <c r="M438" s="8" t="str">
        <f t="shared" si="18"/>
        <v>Below Target</v>
      </c>
      <c r="N438" s="20">
        <f t="shared" si="19"/>
        <v>10</v>
      </c>
      <c r="O438" s="22">
        <f t="shared" si="20"/>
        <v>6815.7</v>
      </c>
    </row>
    <row r="439" spans="1:15" x14ac:dyDescent="0.3">
      <c r="A439" s="12" t="s">
        <v>656</v>
      </c>
      <c r="B439" s="12" t="s">
        <v>127</v>
      </c>
      <c r="C439" s="12" t="s">
        <v>30</v>
      </c>
      <c r="D439" s="12" t="s">
        <v>31</v>
      </c>
      <c r="E439" s="12" t="s">
        <v>46</v>
      </c>
      <c r="F439" s="12" t="s">
        <v>17</v>
      </c>
      <c r="G439" s="12" t="s">
        <v>18</v>
      </c>
      <c r="H439" s="12">
        <v>16014</v>
      </c>
      <c r="I439" s="12" t="s">
        <v>33</v>
      </c>
      <c r="J439" s="26">
        <v>0.3</v>
      </c>
      <c r="K439" s="12">
        <v>17000</v>
      </c>
      <c r="L439" s="14">
        <v>45333</v>
      </c>
      <c r="M439" s="8" t="str">
        <f t="shared" si="18"/>
        <v>Below Target</v>
      </c>
      <c r="N439" s="20">
        <f t="shared" si="19"/>
        <v>30</v>
      </c>
      <c r="O439" s="22">
        <f t="shared" si="20"/>
        <v>11209.8</v>
      </c>
    </row>
    <row r="440" spans="1:15" x14ac:dyDescent="0.3">
      <c r="A440" s="12" t="s">
        <v>657</v>
      </c>
      <c r="B440" s="12" t="s">
        <v>248</v>
      </c>
      <c r="C440" s="12" t="s">
        <v>30</v>
      </c>
      <c r="D440" s="12" t="s">
        <v>31</v>
      </c>
      <c r="E440" s="12" t="s">
        <v>16</v>
      </c>
      <c r="F440" s="12" t="s">
        <v>25</v>
      </c>
      <c r="G440" s="12" t="s">
        <v>26</v>
      </c>
      <c r="H440" s="12">
        <v>18587</v>
      </c>
      <c r="I440" s="12" t="s">
        <v>33</v>
      </c>
      <c r="J440" s="26">
        <v>0.3</v>
      </c>
      <c r="K440" s="12">
        <v>17000</v>
      </c>
      <c r="L440" s="14">
        <v>45305</v>
      </c>
      <c r="M440" s="8" t="str">
        <f t="shared" si="18"/>
        <v>Below Target</v>
      </c>
      <c r="N440" s="20">
        <f t="shared" si="19"/>
        <v>30</v>
      </c>
      <c r="O440" s="22">
        <f t="shared" si="20"/>
        <v>13010.9</v>
      </c>
    </row>
    <row r="441" spans="1:15" x14ac:dyDescent="0.3">
      <c r="A441" s="12" t="s">
        <v>658</v>
      </c>
      <c r="B441" s="12" t="s">
        <v>382</v>
      </c>
      <c r="C441" s="12" t="s">
        <v>44</v>
      </c>
      <c r="D441" s="12" t="s">
        <v>45</v>
      </c>
      <c r="E441" s="12" t="s">
        <v>16</v>
      </c>
      <c r="F441" s="12" t="s">
        <v>17</v>
      </c>
      <c r="G441" s="12" t="s">
        <v>36</v>
      </c>
      <c r="H441" s="12">
        <v>13646</v>
      </c>
      <c r="I441" s="12" t="s">
        <v>22</v>
      </c>
      <c r="J441" s="26">
        <v>0.1</v>
      </c>
      <c r="K441" s="12">
        <v>13000</v>
      </c>
      <c r="L441" s="14">
        <v>45342</v>
      </c>
      <c r="M441" s="8" t="str">
        <f t="shared" si="18"/>
        <v>Below Target</v>
      </c>
      <c r="N441" s="20">
        <f t="shared" si="19"/>
        <v>10</v>
      </c>
      <c r="O441" s="22">
        <f t="shared" si="20"/>
        <v>12281.4</v>
      </c>
    </row>
    <row r="442" spans="1:15" x14ac:dyDescent="0.3">
      <c r="A442" s="12" t="s">
        <v>659</v>
      </c>
      <c r="B442" s="12" t="s">
        <v>148</v>
      </c>
      <c r="C442" s="12" t="s">
        <v>44</v>
      </c>
      <c r="D442" s="12" t="s">
        <v>45</v>
      </c>
      <c r="E442" s="12" t="s">
        <v>46</v>
      </c>
      <c r="F442" s="12" t="s">
        <v>17</v>
      </c>
      <c r="G442" s="12" t="s">
        <v>18</v>
      </c>
      <c r="H442" s="12">
        <v>11987</v>
      </c>
      <c r="I442" s="12"/>
      <c r="J442" s="26"/>
      <c r="K442" s="12">
        <v>13000</v>
      </c>
      <c r="L442" s="14">
        <v>45332</v>
      </c>
      <c r="M442" s="8" t="str">
        <f t="shared" si="18"/>
        <v>Target Achieved</v>
      </c>
      <c r="N442" s="20">
        <f t="shared" si="19"/>
        <v>0</v>
      </c>
      <c r="O442" s="22">
        <f t="shared" si="20"/>
        <v>11987</v>
      </c>
    </row>
    <row r="443" spans="1:15" x14ac:dyDescent="0.3">
      <c r="A443" s="12" t="s">
        <v>660</v>
      </c>
      <c r="B443" s="12" t="s">
        <v>107</v>
      </c>
      <c r="C443" s="12" t="s">
        <v>14</v>
      </c>
      <c r="D443" s="12" t="s">
        <v>15</v>
      </c>
      <c r="E443" s="12" t="s">
        <v>46</v>
      </c>
      <c r="F443" s="12" t="s">
        <v>17</v>
      </c>
      <c r="G443" s="12" t="s">
        <v>18</v>
      </c>
      <c r="H443" s="12">
        <v>13584</v>
      </c>
      <c r="I443" s="12" t="s">
        <v>27</v>
      </c>
      <c r="J443" s="26"/>
      <c r="K443" s="12">
        <v>14000</v>
      </c>
      <c r="L443" s="14">
        <v>45318</v>
      </c>
      <c r="M443" s="8" t="str">
        <f t="shared" si="18"/>
        <v>Below Target</v>
      </c>
      <c r="N443" s="20">
        <f t="shared" si="19"/>
        <v>15</v>
      </c>
      <c r="O443" s="22">
        <f t="shared" si="20"/>
        <v>11546.4</v>
      </c>
    </row>
    <row r="444" spans="1:15" x14ac:dyDescent="0.3">
      <c r="A444" s="12" t="s">
        <v>661</v>
      </c>
      <c r="B444" s="12" t="s">
        <v>301</v>
      </c>
      <c r="C444" s="12" t="s">
        <v>44</v>
      </c>
      <c r="D444" s="12" t="s">
        <v>45</v>
      </c>
      <c r="E444" s="12" t="s">
        <v>46</v>
      </c>
      <c r="F444" s="12" t="s">
        <v>25</v>
      </c>
      <c r="G444" s="12" t="s">
        <v>18</v>
      </c>
      <c r="H444" s="12">
        <v>13405</v>
      </c>
      <c r="I444" s="12" t="s">
        <v>22</v>
      </c>
      <c r="J444" s="26">
        <v>0.1</v>
      </c>
      <c r="K444" s="12">
        <v>13000</v>
      </c>
      <c r="L444" s="14">
        <v>45292</v>
      </c>
      <c r="M444" s="8" t="str">
        <f t="shared" si="18"/>
        <v>Below Target</v>
      </c>
      <c r="N444" s="20">
        <f t="shared" si="19"/>
        <v>10</v>
      </c>
      <c r="O444" s="22">
        <f t="shared" si="20"/>
        <v>12064.5</v>
      </c>
    </row>
    <row r="445" spans="1:15" x14ac:dyDescent="0.3">
      <c r="A445" s="12" t="s">
        <v>662</v>
      </c>
      <c r="B445" s="12" t="s">
        <v>289</v>
      </c>
      <c r="C445" s="12" t="s">
        <v>14</v>
      </c>
      <c r="D445" s="12" t="s">
        <v>15</v>
      </c>
      <c r="E445" s="12" t="s">
        <v>32</v>
      </c>
      <c r="F445" s="12" t="s">
        <v>17</v>
      </c>
      <c r="G445" s="12" t="s">
        <v>26</v>
      </c>
      <c r="H445" s="12">
        <v>13173</v>
      </c>
      <c r="I445" s="12" t="s">
        <v>27</v>
      </c>
      <c r="J445" s="26"/>
      <c r="K445" s="12">
        <v>14000</v>
      </c>
      <c r="L445" s="14">
        <v>45341</v>
      </c>
      <c r="M445" s="8" t="str">
        <f t="shared" si="18"/>
        <v>Below Target</v>
      </c>
      <c r="N445" s="20">
        <f t="shared" si="19"/>
        <v>15</v>
      </c>
      <c r="O445" s="22">
        <f t="shared" si="20"/>
        <v>11197.05</v>
      </c>
    </row>
    <row r="446" spans="1:15" x14ac:dyDescent="0.3">
      <c r="A446" s="12" t="s">
        <v>663</v>
      </c>
      <c r="B446" s="12" t="s">
        <v>177</v>
      </c>
      <c r="C446" s="12" t="s">
        <v>61</v>
      </c>
      <c r="D446" s="12" t="s">
        <v>62</v>
      </c>
      <c r="E446" s="12" t="s">
        <v>32</v>
      </c>
      <c r="F446" s="12" t="s">
        <v>39</v>
      </c>
      <c r="G446" s="12" t="s">
        <v>26</v>
      </c>
      <c r="H446" s="12">
        <v>9202</v>
      </c>
      <c r="I446" s="12" t="s">
        <v>27</v>
      </c>
      <c r="J446" s="26"/>
      <c r="K446" s="12">
        <v>9000</v>
      </c>
      <c r="L446" s="14">
        <v>45301</v>
      </c>
      <c r="M446" s="8" t="str">
        <f t="shared" si="18"/>
        <v>Below Target</v>
      </c>
      <c r="N446" s="20">
        <f t="shared" si="19"/>
        <v>15</v>
      </c>
      <c r="O446" s="22">
        <f t="shared" si="20"/>
        <v>7821.7</v>
      </c>
    </row>
    <row r="447" spans="1:15" x14ac:dyDescent="0.3">
      <c r="A447" s="12" t="s">
        <v>664</v>
      </c>
      <c r="B447" s="12" t="s">
        <v>222</v>
      </c>
      <c r="C447" s="12" t="s">
        <v>30</v>
      </c>
      <c r="D447" s="12" t="s">
        <v>31</v>
      </c>
      <c r="E447" s="12" t="s">
        <v>32</v>
      </c>
      <c r="F447" s="12" t="s">
        <v>39</v>
      </c>
      <c r="G447" s="12" t="s">
        <v>18</v>
      </c>
      <c r="H447" s="12">
        <v>18990</v>
      </c>
      <c r="I447" s="12" t="s">
        <v>19</v>
      </c>
      <c r="J447" s="26">
        <v>0.2</v>
      </c>
      <c r="K447" s="12">
        <v>17000</v>
      </c>
      <c r="L447" s="14">
        <v>45326</v>
      </c>
      <c r="M447" s="8" t="str">
        <f t="shared" si="18"/>
        <v>Below Target</v>
      </c>
      <c r="N447" s="20">
        <f t="shared" si="19"/>
        <v>20</v>
      </c>
      <c r="O447" s="22">
        <f t="shared" si="20"/>
        <v>15192</v>
      </c>
    </row>
    <row r="448" spans="1:15" x14ac:dyDescent="0.3">
      <c r="A448" s="12" t="s">
        <v>665</v>
      </c>
      <c r="B448" s="12" t="s">
        <v>666</v>
      </c>
      <c r="C448" s="12" t="s">
        <v>14</v>
      </c>
      <c r="D448" s="12" t="s">
        <v>15</v>
      </c>
      <c r="E448" s="12" t="s">
        <v>46</v>
      </c>
      <c r="F448" s="12" t="s">
        <v>39</v>
      </c>
      <c r="G448" s="12" t="s">
        <v>36</v>
      </c>
      <c r="H448" s="12">
        <v>14989</v>
      </c>
      <c r="I448" s="12" t="s">
        <v>19</v>
      </c>
      <c r="J448" s="26">
        <v>0.2</v>
      </c>
      <c r="K448" s="12">
        <v>14000</v>
      </c>
      <c r="L448" s="14">
        <v>45295</v>
      </c>
      <c r="M448" s="8" t="str">
        <f t="shared" si="18"/>
        <v>Below Target</v>
      </c>
      <c r="N448" s="20">
        <f t="shared" si="19"/>
        <v>20</v>
      </c>
      <c r="O448" s="22">
        <f t="shared" si="20"/>
        <v>11991.2</v>
      </c>
    </row>
    <row r="449" spans="1:15" x14ac:dyDescent="0.3">
      <c r="A449" s="12" t="s">
        <v>667</v>
      </c>
      <c r="B449" s="12" t="s">
        <v>229</v>
      </c>
      <c r="C449" s="12" t="s">
        <v>61</v>
      </c>
      <c r="D449" s="12" t="s">
        <v>62</v>
      </c>
      <c r="E449" s="12" t="s">
        <v>32</v>
      </c>
      <c r="F449" s="12" t="s">
        <v>17</v>
      </c>
      <c r="G449" s="12" t="s">
        <v>26</v>
      </c>
      <c r="H449" s="12">
        <v>9493</v>
      </c>
      <c r="I449" s="12" t="s">
        <v>22</v>
      </c>
      <c r="J449" s="26">
        <v>0.1</v>
      </c>
      <c r="K449" s="12">
        <v>9000</v>
      </c>
      <c r="L449" s="14">
        <v>45311</v>
      </c>
      <c r="M449" s="8" t="str">
        <f t="shared" si="18"/>
        <v>Below Target</v>
      </c>
      <c r="N449" s="20">
        <f t="shared" si="19"/>
        <v>10</v>
      </c>
      <c r="O449" s="22">
        <f t="shared" si="20"/>
        <v>8543.7000000000007</v>
      </c>
    </row>
    <row r="450" spans="1:15" x14ac:dyDescent="0.3">
      <c r="A450" s="12" t="s">
        <v>668</v>
      </c>
      <c r="B450" s="12" t="s">
        <v>305</v>
      </c>
      <c r="C450" s="12" t="s">
        <v>44</v>
      </c>
      <c r="D450" s="12" t="s">
        <v>45</v>
      </c>
      <c r="E450" s="12" t="s">
        <v>32</v>
      </c>
      <c r="F450" s="12" t="s">
        <v>25</v>
      </c>
      <c r="G450" s="12" t="s">
        <v>26</v>
      </c>
      <c r="H450" s="12">
        <v>11562</v>
      </c>
      <c r="I450" s="12" t="s">
        <v>22</v>
      </c>
      <c r="J450" s="26">
        <v>0.1</v>
      </c>
      <c r="K450" s="12">
        <v>13000</v>
      </c>
      <c r="L450" s="14">
        <v>45302</v>
      </c>
      <c r="M450" s="8" t="str">
        <f t="shared" ref="M450:M513" si="21">IF(J450&gt;=N450,"Target Achieved","Below Target")</f>
        <v>Below Target</v>
      </c>
      <c r="N450" s="20">
        <f t="shared" si="19"/>
        <v>10</v>
      </c>
      <c r="O450" s="22">
        <f t="shared" si="20"/>
        <v>10405.799999999999</v>
      </c>
    </row>
    <row r="451" spans="1:15" x14ac:dyDescent="0.3">
      <c r="A451" s="12" t="s">
        <v>669</v>
      </c>
      <c r="B451" s="12" t="s">
        <v>188</v>
      </c>
      <c r="C451" s="12" t="s">
        <v>30</v>
      </c>
      <c r="D451" s="12" t="s">
        <v>31</v>
      </c>
      <c r="E451" s="12" t="s">
        <v>32</v>
      </c>
      <c r="F451" s="12" t="s">
        <v>17</v>
      </c>
      <c r="G451" s="12" t="s">
        <v>18</v>
      </c>
      <c r="H451" s="12">
        <v>18071</v>
      </c>
      <c r="I451" s="12" t="s">
        <v>33</v>
      </c>
      <c r="J451" s="26">
        <v>0.3</v>
      </c>
      <c r="K451" s="12">
        <v>17000</v>
      </c>
      <c r="L451" s="14">
        <v>45338</v>
      </c>
      <c r="M451" s="8" t="str">
        <f t="shared" si="21"/>
        <v>Below Target</v>
      </c>
      <c r="N451" s="20">
        <f t="shared" ref="N451:N514" si="22">IFERROR(VALUE(RIGHT(I451,2)),0)</f>
        <v>30</v>
      </c>
      <c r="O451" s="22">
        <f t="shared" ref="O451:O514" si="23">H451-H451*N451/100</f>
        <v>12649.7</v>
      </c>
    </row>
    <row r="452" spans="1:15" x14ac:dyDescent="0.3">
      <c r="A452" s="12" t="s">
        <v>670</v>
      </c>
      <c r="B452" s="12" t="s">
        <v>403</v>
      </c>
      <c r="C452" s="12" t="s">
        <v>14</v>
      </c>
      <c r="D452" s="12" t="s">
        <v>15</v>
      </c>
      <c r="E452" s="12" t="s">
        <v>46</v>
      </c>
      <c r="F452" s="12" t="s">
        <v>17</v>
      </c>
      <c r="G452" s="12" t="s">
        <v>36</v>
      </c>
      <c r="H452" s="12">
        <v>14145</v>
      </c>
      <c r="I452" s="12" t="s">
        <v>22</v>
      </c>
      <c r="J452" s="26">
        <v>0.1</v>
      </c>
      <c r="K452" s="12">
        <v>14000</v>
      </c>
      <c r="L452" s="14">
        <v>45308</v>
      </c>
      <c r="M452" s="8" t="str">
        <f t="shared" si="21"/>
        <v>Below Target</v>
      </c>
      <c r="N452" s="20">
        <f t="shared" si="22"/>
        <v>10</v>
      </c>
      <c r="O452" s="22">
        <f t="shared" si="23"/>
        <v>12730.5</v>
      </c>
    </row>
    <row r="453" spans="1:15" x14ac:dyDescent="0.3">
      <c r="A453" s="12" t="s">
        <v>671</v>
      </c>
      <c r="B453" s="12" t="s">
        <v>672</v>
      </c>
      <c r="C453" s="12" t="s">
        <v>14</v>
      </c>
      <c r="D453" s="12" t="s">
        <v>15</v>
      </c>
      <c r="E453" s="12" t="s">
        <v>46</v>
      </c>
      <c r="F453" s="12" t="s">
        <v>17</v>
      </c>
      <c r="G453" s="12" t="s">
        <v>26</v>
      </c>
      <c r="H453" s="12">
        <v>13475</v>
      </c>
      <c r="I453" s="12" t="s">
        <v>22</v>
      </c>
      <c r="J453" s="26">
        <v>0.1</v>
      </c>
      <c r="K453" s="12">
        <v>14000</v>
      </c>
      <c r="L453" s="14">
        <v>45323</v>
      </c>
      <c r="M453" s="8" t="str">
        <f t="shared" si="21"/>
        <v>Below Target</v>
      </c>
      <c r="N453" s="20">
        <f t="shared" si="22"/>
        <v>10</v>
      </c>
      <c r="O453" s="22">
        <f t="shared" si="23"/>
        <v>12127.5</v>
      </c>
    </row>
    <row r="454" spans="1:15" x14ac:dyDescent="0.3">
      <c r="A454" s="12" t="s">
        <v>673</v>
      </c>
      <c r="B454" s="12" t="s">
        <v>460</v>
      </c>
      <c r="C454" s="12" t="s">
        <v>44</v>
      </c>
      <c r="D454" s="12" t="s">
        <v>45</v>
      </c>
      <c r="E454" s="12" t="s">
        <v>46</v>
      </c>
      <c r="F454" s="12" t="s">
        <v>25</v>
      </c>
      <c r="G454" s="12" t="s">
        <v>36</v>
      </c>
      <c r="H454" s="12">
        <v>14167</v>
      </c>
      <c r="I454" s="12" t="s">
        <v>22</v>
      </c>
      <c r="J454" s="26">
        <v>0.1</v>
      </c>
      <c r="K454" s="12">
        <v>13000</v>
      </c>
      <c r="L454" s="14">
        <v>45349</v>
      </c>
      <c r="M454" s="8" t="str">
        <f t="shared" si="21"/>
        <v>Below Target</v>
      </c>
      <c r="N454" s="20">
        <f t="shared" si="22"/>
        <v>10</v>
      </c>
      <c r="O454" s="22">
        <f t="shared" si="23"/>
        <v>12750.3</v>
      </c>
    </row>
    <row r="455" spans="1:15" x14ac:dyDescent="0.3">
      <c r="A455" s="12" t="s">
        <v>674</v>
      </c>
      <c r="B455" s="12" t="s">
        <v>209</v>
      </c>
      <c r="C455" s="12" t="s">
        <v>14</v>
      </c>
      <c r="D455" s="12" t="s">
        <v>15</v>
      </c>
      <c r="E455" s="12" t="s">
        <v>32</v>
      </c>
      <c r="F455" s="12" t="s">
        <v>39</v>
      </c>
      <c r="G455" s="12" t="s">
        <v>26</v>
      </c>
      <c r="H455" s="12">
        <v>12010</v>
      </c>
      <c r="I455" s="12" t="s">
        <v>22</v>
      </c>
      <c r="J455" s="26">
        <v>0.1</v>
      </c>
      <c r="K455" s="12">
        <v>14000</v>
      </c>
      <c r="L455" s="14">
        <v>45346</v>
      </c>
      <c r="M455" s="8" t="str">
        <f t="shared" si="21"/>
        <v>Below Target</v>
      </c>
      <c r="N455" s="20">
        <f t="shared" si="22"/>
        <v>10</v>
      </c>
      <c r="O455" s="22">
        <f t="shared" si="23"/>
        <v>10809</v>
      </c>
    </row>
    <row r="456" spans="1:15" x14ac:dyDescent="0.3">
      <c r="A456" s="12" t="s">
        <v>675</v>
      </c>
      <c r="B456" s="12" t="s">
        <v>676</v>
      </c>
      <c r="C456" s="12" t="s">
        <v>44</v>
      </c>
      <c r="D456" s="12" t="s">
        <v>45</v>
      </c>
      <c r="E456" s="12" t="s">
        <v>32</v>
      </c>
      <c r="F456" s="12" t="s">
        <v>17</v>
      </c>
      <c r="G456" s="12" t="s">
        <v>36</v>
      </c>
      <c r="H456" s="12">
        <v>12568</v>
      </c>
      <c r="I456" s="12" t="s">
        <v>19</v>
      </c>
      <c r="J456" s="26">
        <v>0.2</v>
      </c>
      <c r="K456" s="12">
        <v>13000</v>
      </c>
      <c r="L456" s="14">
        <v>45303</v>
      </c>
      <c r="M456" s="8" t="str">
        <f t="shared" si="21"/>
        <v>Below Target</v>
      </c>
      <c r="N456" s="20">
        <f t="shared" si="22"/>
        <v>20</v>
      </c>
      <c r="O456" s="22">
        <f t="shared" si="23"/>
        <v>10054.4</v>
      </c>
    </row>
    <row r="457" spans="1:15" x14ac:dyDescent="0.3">
      <c r="A457" s="12" t="s">
        <v>677</v>
      </c>
      <c r="B457" s="12" t="s">
        <v>454</v>
      </c>
      <c r="C457" s="12" t="s">
        <v>14</v>
      </c>
      <c r="D457" s="12" t="s">
        <v>15</v>
      </c>
      <c r="E457" s="12" t="s">
        <v>16</v>
      </c>
      <c r="F457" s="12" t="s">
        <v>39</v>
      </c>
      <c r="G457" s="12" t="s">
        <v>26</v>
      </c>
      <c r="H457" s="12">
        <v>14685</v>
      </c>
      <c r="I457" s="12"/>
      <c r="J457" s="26"/>
      <c r="K457" s="12">
        <v>14000</v>
      </c>
      <c r="L457" s="14">
        <v>45306</v>
      </c>
      <c r="M457" s="8" t="str">
        <f t="shared" si="21"/>
        <v>Target Achieved</v>
      </c>
      <c r="N457" s="20">
        <f t="shared" si="22"/>
        <v>0</v>
      </c>
      <c r="O457" s="22">
        <f t="shared" si="23"/>
        <v>14685</v>
      </c>
    </row>
    <row r="458" spans="1:15" x14ac:dyDescent="0.3">
      <c r="A458" s="12" t="s">
        <v>678</v>
      </c>
      <c r="B458" s="12" t="s">
        <v>408</v>
      </c>
      <c r="C458" s="12" t="s">
        <v>61</v>
      </c>
      <c r="D458" s="12" t="s">
        <v>62</v>
      </c>
      <c r="E458" s="12" t="s">
        <v>16</v>
      </c>
      <c r="F458" s="12" t="s">
        <v>17</v>
      </c>
      <c r="G458" s="12" t="s">
        <v>36</v>
      </c>
      <c r="H458" s="12">
        <v>10383</v>
      </c>
      <c r="I458" s="12" t="s">
        <v>22</v>
      </c>
      <c r="J458" s="26">
        <v>0.1</v>
      </c>
      <c r="K458" s="12">
        <v>9000</v>
      </c>
      <c r="L458" s="14">
        <v>45328</v>
      </c>
      <c r="M458" s="8" t="str">
        <f t="shared" si="21"/>
        <v>Below Target</v>
      </c>
      <c r="N458" s="20">
        <f t="shared" si="22"/>
        <v>10</v>
      </c>
      <c r="O458" s="22">
        <f t="shared" si="23"/>
        <v>9344.7000000000007</v>
      </c>
    </row>
    <row r="459" spans="1:15" x14ac:dyDescent="0.3">
      <c r="A459" s="12" t="s">
        <v>679</v>
      </c>
      <c r="B459" s="12" t="s">
        <v>116</v>
      </c>
      <c r="C459" s="12" t="s">
        <v>14</v>
      </c>
      <c r="D459" s="12" t="s">
        <v>15</v>
      </c>
      <c r="E459" s="12" t="s">
        <v>32</v>
      </c>
      <c r="F459" s="12" t="s">
        <v>25</v>
      </c>
      <c r="G459" s="12" t="s">
        <v>26</v>
      </c>
      <c r="H459" s="12">
        <v>12188</v>
      </c>
      <c r="I459" s="12"/>
      <c r="J459" s="26"/>
      <c r="K459" s="12">
        <v>14000</v>
      </c>
      <c r="L459" s="14">
        <v>45296</v>
      </c>
      <c r="M459" s="8" t="str">
        <f t="shared" si="21"/>
        <v>Target Achieved</v>
      </c>
      <c r="N459" s="20">
        <f t="shared" si="22"/>
        <v>0</v>
      </c>
      <c r="O459" s="22">
        <f t="shared" si="23"/>
        <v>12188</v>
      </c>
    </row>
    <row r="460" spans="1:15" x14ac:dyDescent="0.3">
      <c r="A460" s="12" t="s">
        <v>680</v>
      </c>
      <c r="B460" s="12" t="s">
        <v>445</v>
      </c>
      <c r="C460" s="12" t="s">
        <v>30</v>
      </c>
      <c r="D460" s="12" t="s">
        <v>31</v>
      </c>
      <c r="E460" s="12" t="s">
        <v>46</v>
      </c>
      <c r="F460" s="12" t="s">
        <v>17</v>
      </c>
      <c r="G460" s="12" t="s">
        <v>18</v>
      </c>
      <c r="H460" s="12">
        <v>17265</v>
      </c>
      <c r="I460" s="12"/>
      <c r="J460" s="26"/>
      <c r="K460" s="12">
        <v>17000</v>
      </c>
      <c r="L460" s="14">
        <v>45292</v>
      </c>
      <c r="M460" s="8" t="str">
        <f t="shared" si="21"/>
        <v>Target Achieved</v>
      </c>
      <c r="N460" s="20">
        <f t="shared" si="22"/>
        <v>0</v>
      </c>
      <c r="O460" s="22">
        <f t="shared" si="23"/>
        <v>17265</v>
      </c>
    </row>
    <row r="461" spans="1:15" x14ac:dyDescent="0.3">
      <c r="A461" s="12" t="s">
        <v>681</v>
      </c>
      <c r="B461" s="12" t="s">
        <v>408</v>
      </c>
      <c r="C461" s="12" t="s">
        <v>30</v>
      </c>
      <c r="D461" s="12" t="s">
        <v>31</v>
      </c>
      <c r="E461" s="12" t="s">
        <v>16</v>
      </c>
      <c r="F461" s="12" t="s">
        <v>17</v>
      </c>
      <c r="G461" s="12" t="s">
        <v>26</v>
      </c>
      <c r="H461" s="12">
        <v>17550</v>
      </c>
      <c r="I461" s="12" t="s">
        <v>19</v>
      </c>
      <c r="J461" s="26">
        <v>0.2</v>
      </c>
      <c r="K461" s="12">
        <v>17000</v>
      </c>
      <c r="L461" s="14">
        <v>45321</v>
      </c>
      <c r="M461" s="8" t="str">
        <f t="shared" si="21"/>
        <v>Below Target</v>
      </c>
      <c r="N461" s="20">
        <f t="shared" si="22"/>
        <v>20</v>
      </c>
      <c r="O461" s="22">
        <f t="shared" si="23"/>
        <v>14040</v>
      </c>
    </row>
    <row r="462" spans="1:15" x14ac:dyDescent="0.3">
      <c r="A462" s="12" t="s">
        <v>682</v>
      </c>
      <c r="B462" s="12" t="s">
        <v>38</v>
      </c>
      <c r="C462" s="12" t="s">
        <v>61</v>
      </c>
      <c r="D462" s="12" t="s">
        <v>62</v>
      </c>
      <c r="E462" s="12" t="s">
        <v>32</v>
      </c>
      <c r="F462" s="12" t="s">
        <v>39</v>
      </c>
      <c r="G462" s="12" t="s">
        <v>26</v>
      </c>
      <c r="H462" s="12">
        <v>10114</v>
      </c>
      <c r="I462" s="12" t="s">
        <v>19</v>
      </c>
      <c r="J462" s="26">
        <v>0.2</v>
      </c>
      <c r="K462" s="12">
        <v>9000</v>
      </c>
      <c r="L462" s="14">
        <v>45301</v>
      </c>
      <c r="M462" s="8" t="str">
        <f t="shared" si="21"/>
        <v>Below Target</v>
      </c>
      <c r="N462" s="20">
        <f t="shared" si="22"/>
        <v>20</v>
      </c>
      <c r="O462" s="22">
        <f t="shared" si="23"/>
        <v>8091.2</v>
      </c>
    </row>
    <row r="463" spans="1:15" x14ac:dyDescent="0.3">
      <c r="A463" s="12" t="s">
        <v>683</v>
      </c>
      <c r="B463" s="12" t="s">
        <v>406</v>
      </c>
      <c r="C463" s="12" t="s">
        <v>14</v>
      </c>
      <c r="D463" s="12" t="s">
        <v>15</v>
      </c>
      <c r="E463" s="12" t="s">
        <v>32</v>
      </c>
      <c r="F463" s="12" t="s">
        <v>39</v>
      </c>
      <c r="G463" s="12" t="s">
        <v>36</v>
      </c>
      <c r="H463" s="12">
        <v>14604</v>
      </c>
      <c r="I463" s="12" t="s">
        <v>22</v>
      </c>
      <c r="J463" s="26">
        <v>0.1</v>
      </c>
      <c r="K463" s="12">
        <v>14000</v>
      </c>
      <c r="L463" s="14">
        <v>45352</v>
      </c>
      <c r="M463" s="8" t="str">
        <f t="shared" si="21"/>
        <v>Below Target</v>
      </c>
      <c r="N463" s="20">
        <f t="shared" si="22"/>
        <v>10</v>
      </c>
      <c r="O463" s="22">
        <f t="shared" si="23"/>
        <v>13143.6</v>
      </c>
    </row>
    <row r="464" spans="1:15" x14ac:dyDescent="0.3">
      <c r="A464" s="12" t="s">
        <v>684</v>
      </c>
      <c r="B464" s="12" t="s">
        <v>327</v>
      </c>
      <c r="C464" s="12" t="s">
        <v>61</v>
      </c>
      <c r="D464" s="12" t="s">
        <v>62</v>
      </c>
      <c r="E464" s="12" t="s">
        <v>16</v>
      </c>
      <c r="F464" s="12" t="s">
        <v>39</v>
      </c>
      <c r="G464" s="12" t="s">
        <v>36</v>
      </c>
      <c r="H464" s="12">
        <v>7425</v>
      </c>
      <c r="I464" s="12" t="s">
        <v>19</v>
      </c>
      <c r="J464" s="26">
        <v>0.2</v>
      </c>
      <c r="K464" s="12">
        <v>9000</v>
      </c>
      <c r="L464" s="14">
        <v>45325</v>
      </c>
      <c r="M464" s="8" t="str">
        <f t="shared" si="21"/>
        <v>Below Target</v>
      </c>
      <c r="N464" s="20">
        <f t="shared" si="22"/>
        <v>20</v>
      </c>
      <c r="O464" s="22">
        <f t="shared" si="23"/>
        <v>5940</v>
      </c>
    </row>
    <row r="465" spans="1:15" x14ac:dyDescent="0.3">
      <c r="A465" s="12" t="s">
        <v>685</v>
      </c>
      <c r="B465" s="12" t="s">
        <v>414</v>
      </c>
      <c r="C465" s="12" t="s">
        <v>61</v>
      </c>
      <c r="D465" s="12" t="s">
        <v>62</v>
      </c>
      <c r="E465" s="12" t="s">
        <v>32</v>
      </c>
      <c r="F465" s="12" t="s">
        <v>25</v>
      </c>
      <c r="G465" s="12" t="s">
        <v>26</v>
      </c>
      <c r="H465" s="12">
        <v>8146</v>
      </c>
      <c r="I465" s="12" t="s">
        <v>22</v>
      </c>
      <c r="J465" s="26">
        <v>0.1</v>
      </c>
      <c r="K465" s="12">
        <v>9000</v>
      </c>
      <c r="L465" s="14">
        <v>45294</v>
      </c>
      <c r="M465" s="8" t="str">
        <f t="shared" si="21"/>
        <v>Below Target</v>
      </c>
      <c r="N465" s="20">
        <f t="shared" si="22"/>
        <v>10</v>
      </c>
      <c r="O465" s="22">
        <f t="shared" si="23"/>
        <v>7331.4</v>
      </c>
    </row>
    <row r="466" spans="1:15" x14ac:dyDescent="0.3">
      <c r="A466" s="12" t="s">
        <v>686</v>
      </c>
      <c r="B466" s="12" t="s">
        <v>553</v>
      </c>
      <c r="C466" s="12" t="s">
        <v>61</v>
      </c>
      <c r="D466" s="12" t="s">
        <v>62</v>
      </c>
      <c r="E466" s="12" t="s">
        <v>16</v>
      </c>
      <c r="F466" s="12" t="s">
        <v>17</v>
      </c>
      <c r="G466" s="12" t="s">
        <v>36</v>
      </c>
      <c r="H466" s="12">
        <v>10991</v>
      </c>
      <c r="I466" s="12" t="s">
        <v>22</v>
      </c>
      <c r="J466" s="26">
        <v>0.1</v>
      </c>
      <c r="K466" s="12">
        <v>9000</v>
      </c>
      <c r="L466" s="14">
        <v>45329</v>
      </c>
      <c r="M466" s="8" t="str">
        <f t="shared" si="21"/>
        <v>Below Target</v>
      </c>
      <c r="N466" s="20">
        <f t="shared" si="22"/>
        <v>10</v>
      </c>
      <c r="O466" s="22">
        <f t="shared" si="23"/>
        <v>9891.9</v>
      </c>
    </row>
    <row r="467" spans="1:15" x14ac:dyDescent="0.3">
      <c r="A467" s="12" t="s">
        <v>687</v>
      </c>
      <c r="B467" s="12" t="s">
        <v>241</v>
      </c>
      <c r="C467" s="12" t="s">
        <v>44</v>
      </c>
      <c r="D467" s="12" t="s">
        <v>45</v>
      </c>
      <c r="E467" s="12" t="s">
        <v>16</v>
      </c>
      <c r="F467" s="12" t="s">
        <v>17</v>
      </c>
      <c r="G467" s="12" t="s">
        <v>18</v>
      </c>
      <c r="H467" s="12">
        <v>13424</v>
      </c>
      <c r="I467" s="12" t="s">
        <v>27</v>
      </c>
      <c r="J467" s="26"/>
      <c r="K467" s="12">
        <v>13000</v>
      </c>
      <c r="L467" s="14">
        <v>45295</v>
      </c>
      <c r="M467" s="8" t="str">
        <f t="shared" si="21"/>
        <v>Below Target</v>
      </c>
      <c r="N467" s="20">
        <f t="shared" si="22"/>
        <v>15</v>
      </c>
      <c r="O467" s="22">
        <f t="shared" si="23"/>
        <v>11410.4</v>
      </c>
    </row>
    <row r="468" spans="1:15" x14ac:dyDescent="0.3">
      <c r="A468" s="12" t="s">
        <v>688</v>
      </c>
      <c r="B468" s="12" t="s">
        <v>274</v>
      </c>
      <c r="C468" s="12" t="s">
        <v>44</v>
      </c>
      <c r="D468" s="12" t="s">
        <v>45</v>
      </c>
      <c r="E468" s="12" t="s">
        <v>32</v>
      </c>
      <c r="F468" s="12" t="s">
        <v>17</v>
      </c>
      <c r="G468" s="12" t="s">
        <v>36</v>
      </c>
      <c r="H468" s="12">
        <v>14485</v>
      </c>
      <c r="I468" s="12" t="s">
        <v>33</v>
      </c>
      <c r="J468" s="26">
        <v>0.3</v>
      </c>
      <c r="K468" s="12">
        <v>13000</v>
      </c>
      <c r="L468" s="14">
        <v>45351</v>
      </c>
      <c r="M468" s="8" t="str">
        <f t="shared" si="21"/>
        <v>Below Target</v>
      </c>
      <c r="N468" s="20">
        <f t="shared" si="22"/>
        <v>30</v>
      </c>
      <c r="O468" s="22">
        <f t="shared" si="23"/>
        <v>10139.5</v>
      </c>
    </row>
    <row r="469" spans="1:15" x14ac:dyDescent="0.3">
      <c r="A469" s="12" t="s">
        <v>689</v>
      </c>
      <c r="B469" s="12" t="s">
        <v>180</v>
      </c>
      <c r="C469" s="12" t="s">
        <v>30</v>
      </c>
      <c r="D469" s="12" t="s">
        <v>31</v>
      </c>
      <c r="E469" s="12" t="s">
        <v>46</v>
      </c>
      <c r="F469" s="12" t="s">
        <v>17</v>
      </c>
      <c r="G469" s="12" t="s">
        <v>36</v>
      </c>
      <c r="H469" s="12">
        <v>15956</v>
      </c>
      <c r="I469" s="12" t="s">
        <v>22</v>
      </c>
      <c r="J469" s="26">
        <v>0.1</v>
      </c>
      <c r="K469" s="12">
        <v>17000</v>
      </c>
      <c r="L469" s="14">
        <v>45352</v>
      </c>
      <c r="M469" s="8" t="str">
        <f t="shared" si="21"/>
        <v>Below Target</v>
      </c>
      <c r="N469" s="20">
        <f t="shared" si="22"/>
        <v>10</v>
      </c>
      <c r="O469" s="22">
        <f t="shared" si="23"/>
        <v>14360.4</v>
      </c>
    </row>
    <row r="470" spans="1:15" x14ac:dyDescent="0.3">
      <c r="A470" s="12" t="s">
        <v>690</v>
      </c>
      <c r="B470" s="12" t="s">
        <v>235</v>
      </c>
      <c r="C470" s="12" t="s">
        <v>14</v>
      </c>
      <c r="D470" s="12" t="s">
        <v>15</v>
      </c>
      <c r="E470" s="12" t="s">
        <v>32</v>
      </c>
      <c r="F470" s="12" t="s">
        <v>25</v>
      </c>
      <c r="G470" s="12" t="s">
        <v>18</v>
      </c>
      <c r="H470" s="12">
        <v>13841</v>
      </c>
      <c r="I470" s="12"/>
      <c r="J470" s="26"/>
      <c r="K470" s="12">
        <v>14000</v>
      </c>
      <c r="L470" s="14">
        <v>45312</v>
      </c>
      <c r="M470" s="8" t="str">
        <f t="shared" si="21"/>
        <v>Target Achieved</v>
      </c>
      <c r="N470" s="20">
        <f t="shared" si="22"/>
        <v>0</v>
      </c>
      <c r="O470" s="22">
        <f t="shared" si="23"/>
        <v>13841</v>
      </c>
    </row>
    <row r="471" spans="1:15" x14ac:dyDescent="0.3">
      <c r="A471" s="12" t="s">
        <v>691</v>
      </c>
      <c r="B471" s="12" t="s">
        <v>41</v>
      </c>
      <c r="C471" s="12" t="s">
        <v>30</v>
      </c>
      <c r="D471" s="12" t="s">
        <v>31</v>
      </c>
      <c r="E471" s="12" t="s">
        <v>32</v>
      </c>
      <c r="F471" s="12" t="s">
        <v>17</v>
      </c>
      <c r="G471" s="12" t="s">
        <v>36</v>
      </c>
      <c r="H471" s="12">
        <v>16897</v>
      </c>
      <c r="I471" s="12" t="s">
        <v>33</v>
      </c>
      <c r="J471" s="26">
        <v>0.3</v>
      </c>
      <c r="K471" s="12">
        <v>17000</v>
      </c>
      <c r="L471" s="14">
        <v>45346</v>
      </c>
      <c r="M471" s="8" t="str">
        <f t="shared" si="21"/>
        <v>Below Target</v>
      </c>
      <c r="N471" s="20">
        <f t="shared" si="22"/>
        <v>30</v>
      </c>
      <c r="O471" s="22">
        <f t="shared" si="23"/>
        <v>11827.9</v>
      </c>
    </row>
    <row r="472" spans="1:15" x14ac:dyDescent="0.3">
      <c r="A472" s="12" t="s">
        <v>692</v>
      </c>
      <c r="B472" s="12" t="s">
        <v>78</v>
      </c>
      <c r="C472" s="12" t="s">
        <v>44</v>
      </c>
      <c r="D472" s="12" t="s">
        <v>45</v>
      </c>
      <c r="E472" s="12" t="s">
        <v>16</v>
      </c>
      <c r="F472" s="12" t="s">
        <v>17</v>
      </c>
      <c r="G472" s="12" t="s">
        <v>26</v>
      </c>
      <c r="H472" s="12">
        <v>13854</v>
      </c>
      <c r="I472" s="12" t="s">
        <v>27</v>
      </c>
      <c r="J472" s="26"/>
      <c r="K472" s="12">
        <v>13000</v>
      </c>
      <c r="L472" s="14">
        <v>45294</v>
      </c>
      <c r="M472" s="8" t="str">
        <f t="shared" si="21"/>
        <v>Below Target</v>
      </c>
      <c r="N472" s="20">
        <f t="shared" si="22"/>
        <v>15</v>
      </c>
      <c r="O472" s="22">
        <f t="shared" si="23"/>
        <v>11775.9</v>
      </c>
    </row>
    <row r="473" spans="1:15" x14ac:dyDescent="0.3">
      <c r="A473" s="12" t="s">
        <v>693</v>
      </c>
      <c r="B473" s="12" t="s">
        <v>171</v>
      </c>
      <c r="C473" s="12" t="s">
        <v>30</v>
      </c>
      <c r="D473" s="12" t="s">
        <v>31</v>
      </c>
      <c r="E473" s="12" t="s">
        <v>32</v>
      </c>
      <c r="F473" s="12" t="s">
        <v>25</v>
      </c>
      <c r="G473" s="12" t="s">
        <v>26</v>
      </c>
      <c r="H473" s="12">
        <v>16016</v>
      </c>
      <c r="I473" s="12" t="s">
        <v>33</v>
      </c>
      <c r="J473" s="26">
        <v>0.3</v>
      </c>
      <c r="K473" s="12">
        <v>17000</v>
      </c>
      <c r="L473" s="14">
        <v>45317</v>
      </c>
      <c r="M473" s="8" t="str">
        <f t="shared" si="21"/>
        <v>Below Target</v>
      </c>
      <c r="N473" s="20">
        <f t="shared" si="22"/>
        <v>30</v>
      </c>
      <c r="O473" s="22">
        <f t="shared" si="23"/>
        <v>11211.2</v>
      </c>
    </row>
    <row r="474" spans="1:15" x14ac:dyDescent="0.3">
      <c r="A474" s="12" t="s">
        <v>694</v>
      </c>
      <c r="B474" s="12" t="s">
        <v>184</v>
      </c>
      <c r="C474" s="12" t="s">
        <v>30</v>
      </c>
      <c r="D474" s="12" t="s">
        <v>31</v>
      </c>
      <c r="E474" s="12" t="s">
        <v>46</v>
      </c>
      <c r="F474" s="12" t="s">
        <v>25</v>
      </c>
      <c r="G474" s="12" t="s">
        <v>18</v>
      </c>
      <c r="H474" s="12">
        <v>18899</v>
      </c>
      <c r="I474" s="12"/>
      <c r="J474" s="26"/>
      <c r="K474" s="12">
        <v>17000</v>
      </c>
      <c r="L474" s="14">
        <v>45346</v>
      </c>
      <c r="M474" s="8" t="str">
        <f t="shared" si="21"/>
        <v>Target Achieved</v>
      </c>
      <c r="N474" s="20">
        <f t="shared" si="22"/>
        <v>0</v>
      </c>
      <c r="O474" s="22">
        <f t="shared" si="23"/>
        <v>18899</v>
      </c>
    </row>
    <row r="475" spans="1:15" x14ac:dyDescent="0.3">
      <c r="A475" s="12" t="s">
        <v>695</v>
      </c>
      <c r="B475" s="12" t="s">
        <v>330</v>
      </c>
      <c r="C475" s="12" t="s">
        <v>44</v>
      </c>
      <c r="D475" s="12" t="s">
        <v>45</v>
      </c>
      <c r="E475" s="12" t="s">
        <v>32</v>
      </c>
      <c r="F475" s="12" t="s">
        <v>17</v>
      </c>
      <c r="G475" s="12" t="s">
        <v>18</v>
      </c>
      <c r="H475" s="12">
        <v>14292</v>
      </c>
      <c r="I475" s="12" t="s">
        <v>19</v>
      </c>
      <c r="J475" s="26">
        <v>0.2</v>
      </c>
      <c r="K475" s="12">
        <v>13000</v>
      </c>
      <c r="L475" s="14">
        <v>45299</v>
      </c>
      <c r="M475" s="8" t="str">
        <f t="shared" si="21"/>
        <v>Below Target</v>
      </c>
      <c r="N475" s="20">
        <f t="shared" si="22"/>
        <v>20</v>
      </c>
      <c r="O475" s="22">
        <f t="shared" si="23"/>
        <v>11433.6</v>
      </c>
    </row>
    <row r="476" spans="1:15" x14ac:dyDescent="0.3">
      <c r="A476" s="12" t="s">
        <v>696</v>
      </c>
      <c r="B476" s="12" t="s">
        <v>161</v>
      </c>
      <c r="C476" s="12" t="s">
        <v>44</v>
      </c>
      <c r="D476" s="12" t="s">
        <v>45</v>
      </c>
      <c r="E476" s="12" t="s">
        <v>32</v>
      </c>
      <c r="F476" s="12" t="s">
        <v>25</v>
      </c>
      <c r="G476" s="12" t="s">
        <v>36</v>
      </c>
      <c r="H476" s="12">
        <v>12524</v>
      </c>
      <c r="I476" s="12" t="s">
        <v>22</v>
      </c>
      <c r="J476" s="26">
        <v>0.1</v>
      </c>
      <c r="K476" s="12">
        <v>13000</v>
      </c>
      <c r="L476" s="14">
        <v>45329</v>
      </c>
      <c r="M476" s="8" t="str">
        <f t="shared" si="21"/>
        <v>Below Target</v>
      </c>
      <c r="N476" s="20">
        <f t="shared" si="22"/>
        <v>10</v>
      </c>
      <c r="O476" s="22">
        <f t="shared" si="23"/>
        <v>11271.6</v>
      </c>
    </row>
    <row r="477" spans="1:15" x14ac:dyDescent="0.3">
      <c r="A477" s="12" t="s">
        <v>697</v>
      </c>
      <c r="B477" s="12" t="s">
        <v>291</v>
      </c>
      <c r="C477" s="12" t="s">
        <v>14</v>
      </c>
      <c r="D477" s="12" t="s">
        <v>15</v>
      </c>
      <c r="E477" s="12" t="s">
        <v>32</v>
      </c>
      <c r="F477" s="12" t="s">
        <v>25</v>
      </c>
      <c r="G477" s="12" t="s">
        <v>18</v>
      </c>
      <c r="H477" s="12">
        <v>15696</v>
      </c>
      <c r="I477" s="12"/>
      <c r="J477" s="26"/>
      <c r="K477" s="12">
        <v>14000</v>
      </c>
      <c r="L477" s="14">
        <v>45343</v>
      </c>
      <c r="M477" s="8" t="str">
        <f t="shared" si="21"/>
        <v>Target Achieved</v>
      </c>
      <c r="N477" s="20">
        <f t="shared" si="22"/>
        <v>0</v>
      </c>
      <c r="O477" s="22">
        <f t="shared" si="23"/>
        <v>15696</v>
      </c>
    </row>
    <row r="478" spans="1:15" x14ac:dyDescent="0.3">
      <c r="A478" s="12" t="s">
        <v>698</v>
      </c>
      <c r="B478" s="12" t="s">
        <v>325</v>
      </c>
      <c r="C478" s="12" t="s">
        <v>30</v>
      </c>
      <c r="D478" s="12" t="s">
        <v>31</v>
      </c>
      <c r="E478" s="12" t="s">
        <v>32</v>
      </c>
      <c r="F478" s="12" t="s">
        <v>25</v>
      </c>
      <c r="G478" s="12" t="s">
        <v>36</v>
      </c>
      <c r="H478" s="12">
        <v>15207</v>
      </c>
      <c r="I478" s="12" t="s">
        <v>19</v>
      </c>
      <c r="J478" s="26">
        <v>0.2</v>
      </c>
      <c r="K478" s="12">
        <v>17000</v>
      </c>
      <c r="L478" s="14">
        <v>45351</v>
      </c>
      <c r="M478" s="8" t="str">
        <f t="shared" si="21"/>
        <v>Below Target</v>
      </c>
      <c r="N478" s="20">
        <f t="shared" si="22"/>
        <v>20</v>
      </c>
      <c r="O478" s="22">
        <f t="shared" si="23"/>
        <v>12165.6</v>
      </c>
    </row>
    <row r="479" spans="1:15" x14ac:dyDescent="0.3">
      <c r="A479" s="12" t="s">
        <v>699</v>
      </c>
      <c r="B479" s="12" t="s">
        <v>337</v>
      </c>
      <c r="C479" s="12" t="s">
        <v>61</v>
      </c>
      <c r="D479" s="12" t="s">
        <v>62</v>
      </c>
      <c r="E479" s="12" t="s">
        <v>46</v>
      </c>
      <c r="F479" s="12" t="s">
        <v>25</v>
      </c>
      <c r="G479" s="12" t="s">
        <v>36</v>
      </c>
      <c r="H479" s="12">
        <v>9798</v>
      </c>
      <c r="I479" s="12"/>
      <c r="J479" s="26"/>
      <c r="K479" s="12">
        <v>9000</v>
      </c>
      <c r="L479" s="14">
        <v>45303</v>
      </c>
      <c r="M479" s="8" t="str">
        <f t="shared" si="21"/>
        <v>Target Achieved</v>
      </c>
      <c r="N479" s="20">
        <f t="shared" si="22"/>
        <v>0</v>
      </c>
      <c r="O479" s="22">
        <f t="shared" si="23"/>
        <v>9798</v>
      </c>
    </row>
    <row r="480" spans="1:15" x14ac:dyDescent="0.3">
      <c r="A480" s="12" t="s">
        <v>700</v>
      </c>
      <c r="B480" s="12" t="s">
        <v>408</v>
      </c>
      <c r="C480" s="12" t="s">
        <v>44</v>
      </c>
      <c r="D480" s="12" t="s">
        <v>45</v>
      </c>
      <c r="E480" s="12" t="s">
        <v>46</v>
      </c>
      <c r="F480" s="12" t="s">
        <v>17</v>
      </c>
      <c r="G480" s="12" t="s">
        <v>36</v>
      </c>
      <c r="H480" s="12">
        <v>14618</v>
      </c>
      <c r="I480" s="12" t="s">
        <v>19</v>
      </c>
      <c r="J480" s="26">
        <v>0.2</v>
      </c>
      <c r="K480" s="12">
        <v>13000</v>
      </c>
      <c r="L480" s="14">
        <v>45294</v>
      </c>
      <c r="M480" s="8" t="str">
        <f t="shared" si="21"/>
        <v>Below Target</v>
      </c>
      <c r="N480" s="20">
        <f t="shared" si="22"/>
        <v>20</v>
      </c>
      <c r="O480" s="22">
        <f t="shared" si="23"/>
        <v>11694.4</v>
      </c>
    </row>
    <row r="481" spans="1:15" x14ac:dyDescent="0.3">
      <c r="A481" s="12" t="s">
        <v>701</v>
      </c>
      <c r="B481" s="12" t="s">
        <v>195</v>
      </c>
      <c r="C481" s="12" t="s">
        <v>44</v>
      </c>
      <c r="D481" s="12" t="s">
        <v>45</v>
      </c>
      <c r="E481" s="12" t="s">
        <v>16</v>
      </c>
      <c r="F481" s="12" t="s">
        <v>17</v>
      </c>
      <c r="G481" s="12" t="s">
        <v>36</v>
      </c>
      <c r="H481" s="12">
        <v>12687</v>
      </c>
      <c r="I481" s="12" t="s">
        <v>27</v>
      </c>
      <c r="J481" s="26"/>
      <c r="K481" s="12">
        <v>13000</v>
      </c>
      <c r="L481" s="14">
        <v>45322</v>
      </c>
      <c r="M481" s="8" t="str">
        <f t="shared" si="21"/>
        <v>Below Target</v>
      </c>
      <c r="N481" s="20">
        <f t="shared" si="22"/>
        <v>15</v>
      </c>
      <c r="O481" s="22">
        <f t="shared" si="23"/>
        <v>10783.95</v>
      </c>
    </row>
    <row r="482" spans="1:15" x14ac:dyDescent="0.3">
      <c r="A482" s="12" t="s">
        <v>702</v>
      </c>
      <c r="B482" s="12" t="s">
        <v>76</v>
      </c>
      <c r="C482" s="12" t="s">
        <v>30</v>
      </c>
      <c r="D482" s="12" t="s">
        <v>31</v>
      </c>
      <c r="E482" s="12" t="s">
        <v>46</v>
      </c>
      <c r="F482" s="12" t="s">
        <v>25</v>
      </c>
      <c r="G482" s="12" t="s">
        <v>36</v>
      </c>
      <c r="H482" s="12">
        <v>15816</v>
      </c>
      <c r="I482" s="12" t="s">
        <v>27</v>
      </c>
      <c r="J482" s="26"/>
      <c r="K482" s="12">
        <v>17000</v>
      </c>
      <c r="L482" s="14">
        <v>45307</v>
      </c>
      <c r="M482" s="8" t="str">
        <f t="shared" si="21"/>
        <v>Below Target</v>
      </c>
      <c r="N482" s="20">
        <f t="shared" si="22"/>
        <v>15</v>
      </c>
      <c r="O482" s="22">
        <f t="shared" si="23"/>
        <v>13443.6</v>
      </c>
    </row>
    <row r="483" spans="1:15" x14ac:dyDescent="0.3">
      <c r="A483" s="12" t="s">
        <v>703</v>
      </c>
      <c r="B483" s="12" t="s">
        <v>270</v>
      </c>
      <c r="C483" s="12" t="s">
        <v>14</v>
      </c>
      <c r="D483" s="12" t="s">
        <v>15</v>
      </c>
      <c r="E483" s="12" t="s">
        <v>46</v>
      </c>
      <c r="F483" s="12" t="s">
        <v>39</v>
      </c>
      <c r="G483" s="12" t="s">
        <v>36</v>
      </c>
      <c r="H483" s="12">
        <v>13964</v>
      </c>
      <c r="I483" s="12" t="s">
        <v>27</v>
      </c>
      <c r="J483" s="26"/>
      <c r="K483" s="12">
        <v>14000</v>
      </c>
      <c r="L483" s="14">
        <v>45342</v>
      </c>
      <c r="M483" s="8" t="str">
        <f t="shared" si="21"/>
        <v>Below Target</v>
      </c>
      <c r="N483" s="20">
        <f t="shared" si="22"/>
        <v>15</v>
      </c>
      <c r="O483" s="22">
        <f t="shared" si="23"/>
        <v>11869.4</v>
      </c>
    </row>
    <row r="484" spans="1:15" x14ac:dyDescent="0.3">
      <c r="A484" s="12" t="s">
        <v>704</v>
      </c>
      <c r="B484" s="12" t="s">
        <v>188</v>
      </c>
      <c r="C484" s="12" t="s">
        <v>30</v>
      </c>
      <c r="D484" s="12" t="s">
        <v>31</v>
      </c>
      <c r="E484" s="12" t="s">
        <v>46</v>
      </c>
      <c r="F484" s="12" t="s">
        <v>17</v>
      </c>
      <c r="G484" s="12" t="s">
        <v>18</v>
      </c>
      <c r="H484" s="12">
        <v>15106</v>
      </c>
      <c r="I484" s="12" t="s">
        <v>33</v>
      </c>
      <c r="J484" s="26">
        <v>0.3</v>
      </c>
      <c r="K484" s="12">
        <v>17000</v>
      </c>
      <c r="L484" s="14">
        <v>45330</v>
      </c>
      <c r="M484" s="8" t="str">
        <f t="shared" si="21"/>
        <v>Below Target</v>
      </c>
      <c r="N484" s="20">
        <f t="shared" si="22"/>
        <v>30</v>
      </c>
      <c r="O484" s="22">
        <f t="shared" si="23"/>
        <v>10574.2</v>
      </c>
    </row>
    <row r="485" spans="1:15" x14ac:dyDescent="0.3">
      <c r="A485" s="12" t="s">
        <v>705</v>
      </c>
      <c r="B485" s="12" t="s">
        <v>500</v>
      </c>
      <c r="C485" s="12" t="s">
        <v>30</v>
      </c>
      <c r="D485" s="12" t="s">
        <v>31</v>
      </c>
      <c r="E485" s="12" t="s">
        <v>32</v>
      </c>
      <c r="F485" s="12" t="s">
        <v>17</v>
      </c>
      <c r="G485" s="12" t="s">
        <v>26</v>
      </c>
      <c r="H485" s="12">
        <v>16464</v>
      </c>
      <c r="I485" s="12" t="s">
        <v>27</v>
      </c>
      <c r="J485" s="26"/>
      <c r="K485" s="12">
        <v>17000</v>
      </c>
      <c r="L485" s="14">
        <v>45306</v>
      </c>
      <c r="M485" s="8" t="str">
        <f t="shared" si="21"/>
        <v>Below Target</v>
      </c>
      <c r="N485" s="20">
        <f t="shared" si="22"/>
        <v>15</v>
      </c>
      <c r="O485" s="22">
        <f t="shared" si="23"/>
        <v>13994.4</v>
      </c>
    </row>
    <row r="486" spans="1:15" x14ac:dyDescent="0.3">
      <c r="A486" s="12" t="s">
        <v>706</v>
      </c>
      <c r="B486" s="12" t="s">
        <v>325</v>
      </c>
      <c r="C486" s="12" t="s">
        <v>44</v>
      </c>
      <c r="D486" s="12" t="s">
        <v>45</v>
      </c>
      <c r="E486" s="12" t="s">
        <v>16</v>
      </c>
      <c r="F486" s="12" t="s">
        <v>25</v>
      </c>
      <c r="G486" s="12" t="s">
        <v>36</v>
      </c>
      <c r="H486" s="12">
        <v>13185</v>
      </c>
      <c r="I486" s="12" t="s">
        <v>22</v>
      </c>
      <c r="J486" s="26">
        <v>0.1</v>
      </c>
      <c r="K486" s="12">
        <v>13000</v>
      </c>
      <c r="L486" s="14">
        <v>45340</v>
      </c>
      <c r="M486" s="8" t="str">
        <f t="shared" si="21"/>
        <v>Below Target</v>
      </c>
      <c r="N486" s="20">
        <f t="shared" si="22"/>
        <v>10</v>
      </c>
      <c r="O486" s="22">
        <f t="shared" si="23"/>
        <v>11866.5</v>
      </c>
    </row>
    <row r="487" spans="1:15" x14ac:dyDescent="0.3">
      <c r="A487" s="12" t="s">
        <v>707</v>
      </c>
      <c r="B487" s="12" t="s">
        <v>56</v>
      </c>
      <c r="C487" s="12" t="s">
        <v>61</v>
      </c>
      <c r="D487" s="12" t="s">
        <v>62</v>
      </c>
      <c r="E487" s="12" t="s">
        <v>46</v>
      </c>
      <c r="F487" s="12" t="s">
        <v>25</v>
      </c>
      <c r="G487" s="12" t="s">
        <v>18</v>
      </c>
      <c r="H487" s="12">
        <v>7968</v>
      </c>
      <c r="I487" s="12" t="s">
        <v>27</v>
      </c>
      <c r="J487" s="26"/>
      <c r="K487" s="12">
        <v>9000</v>
      </c>
      <c r="L487" s="14">
        <v>45312</v>
      </c>
      <c r="M487" s="8" t="str">
        <f t="shared" si="21"/>
        <v>Below Target</v>
      </c>
      <c r="N487" s="20">
        <f t="shared" si="22"/>
        <v>15</v>
      </c>
      <c r="O487" s="22">
        <f t="shared" si="23"/>
        <v>6772.8</v>
      </c>
    </row>
    <row r="488" spans="1:15" x14ac:dyDescent="0.3">
      <c r="A488" s="12" t="s">
        <v>708</v>
      </c>
      <c r="B488" s="12" t="s">
        <v>296</v>
      </c>
      <c r="C488" s="12" t="s">
        <v>30</v>
      </c>
      <c r="D488" s="12" t="s">
        <v>31</v>
      </c>
      <c r="E488" s="12" t="s">
        <v>16</v>
      </c>
      <c r="F488" s="12" t="s">
        <v>25</v>
      </c>
      <c r="G488" s="12" t="s">
        <v>26</v>
      </c>
      <c r="H488" s="12">
        <v>17869</v>
      </c>
      <c r="I488" s="12" t="s">
        <v>33</v>
      </c>
      <c r="J488" s="26">
        <v>0.3</v>
      </c>
      <c r="K488" s="12">
        <v>17000</v>
      </c>
      <c r="L488" s="14">
        <v>45352</v>
      </c>
      <c r="M488" s="8" t="str">
        <f t="shared" si="21"/>
        <v>Below Target</v>
      </c>
      <c r="N488" s="20">
        <f t="shared" si="22"/>
        <v>30</v>
      </c>
      <c r="O488" s="22">
        <f t="shared" si="23"/>
        <v>12508.3</v>
      </c>
    </row>
    <row r="489" spans="1:15" x14ac:dyDescent="0.3">
      <c r="A489" s="12" t="s">
        <v>709</v>
      </c>
      <c r="B489" s="12" t="s">
        <v>195</v>
      </c>
      <c r="C489" s="12" t="s">
        <v>44</v>
      </c>
      <c r="D489" s="12" t="s">
        <v>45</v>
      </c>
      <c r="E489" s="12" t="s">
        <v>16</v>
      </c>
      <c r="F489" s="12" t="s">
        <v>25</v>
      </c>
      <c r="G489" s="12" t="s">
        <v>36</v>
      </c>
      <c r="H489" s="12">
        <v>13220</v>
      </c>
      <c r="I489" s="12" t="s">
        <v>33</v>
      </c>
      <c r="J489" s="26">
        <v>0.3</v>
      </c>
      <c r="K489" s="12">
        <v>13000</v>
      </c>
      <c r="L489" s="14">
        <v>45303</v>
      </c>
      <c r="M489" s="8" t="str">
        <f t="shared" si="21"/>
        <v>Below Target</v>
      </c>
      <c r="N489" s="20">
        <f t="shared" si="22"/>
        <v>30</v>
      </c>
      <c r="O489" s="22">
        <f t="shared" si="23"/>
        <v>9254</v>
      </c>
    </row>
    <row r="490" spans="1:15" x14ac:dyDescent="0.3">
      <c r="A490" s="12" t="s">
        <v>710</v>
      </c>
      <c r="B490" s="12" t="s">
        <v>711</v>
      </c>
      <c r="C490" s="12" t="s">
        <v>14</v>
      </c>
      <c r="D490" s="12" t="s">
        <v>15</v>
      </c>
      <c r="E490" s="12" t="s">
        <v>32</v>
      </c>
      <c r="F490" s="12" t="s">
        <v>25</v>
      </c>
      <c r="G490" s="12" t="s">
        <v>26</v>
      </c>
      <c r="H490" s="12">
        <v>12896</v>
      </c>
      <c r="I490" s="12" t="s">
        <v>22</v>
      </c>
      <c r="J490" s="26">
        <v>0.1</v>
      </c>
      <c r="K490" s="12">
        <v>14000</v>
      </c>
      <c r="L490" s="14">
        <v>45325</v>
      </c>
      <c r="M490" s="8" t="str">
        <f t="shared" si="21"/>
        <v>Below Target</v>
      </c>
      <c r="N490" s="20">
        <f t="shared" si="22"/>
        <v>10</v>
      </c>
      <c r="O490" s="22">
        <f t="shared" si="23"/>
        <v>11606.4</v>
      </c>
    </row>
    <row r="491" spans="1:15" x14ac:dyDescent="0.3">
      <c r="A491" s="12" t="s">
        <v>712</v>
      </c>
      <c r="B491" s="12" t="s">
        <v>711</v>
      </c>
      <c r="C491" s="12" t="s">
        <v>30</v>
      </c>
      <c r="D491" s="12" t="s">
        <v>31</v>
      </c>
      <c r="E491" s="12" t="s">
        <v>16</v>
      </c>
      <c r="F491" s="12" t="s">
        <v>25</v>
      </c>
      <c r="G491" s="12" t="s">
        <v>18</v>
      </c>
      <c r="H491" s="12">
        <v>16395</v>
      </c>
      <c r="I491" s="12" t="s">
        <v>19</v>
      </c>
      <c r="J491" s="26">
        <v>0.2</v>
      </c>
      <c r="K491" s="12">
        <v>17000</v>
      </c>
      <c r="L491" s="14">
        <v>45350</v>
      </c>
      <c r="M491" s="8" t="str">
        <f t="shared" si="21"/>
        <v>Below Target</v>
      </c>
      <c r="N491" s="20">
        <f t="shared" si="22"/>
        <v>20</v>
      </c>
      <c r="O491" s="22">
        <f t="shared" si="23"/>
        <v>13116</v>
      </c>
    </row>
    <row r="492" spans="1:15" x14ac:dyDescent="0.3">
      <c r="A492" s="12" t="s">
        <v>713</v>
      </c>
      <c r="B492" s="12" t="s">
        <v>140</v>
      </c>
      <c r="C492" s="12" t="s">
        <v>30</v>
      </c>
      <c r="D492" s="12" t="s">
        <v>31</v>
      </c>
      <c r="E492" s="12" t="s">
        <v>32</v>
      </c>
      <c r="F492" s="12" t="s">
        <v>25</v>
      </c>
      <c r="G492" s="12" t="s">
        <v>18</v>
      </c>
      <c r="H492" s="12">
        <v>17402</v>
      </c>
      <c r="I492" s="12" t="s">
        <v>19</v>
      </c>
      <c r="J492" s="26">
        <v>0.2</v>
      </c>
      <c r="K492" s="12">
        <v>17000</v>
      </c>
      <c r="L492" s="14">
        <v>45341</v>
      </c>
      <c r="M492" s="8" t="str">
        <f t="shared" si="21"/>
        <v>Below Target</v>
      </c>
      <c r="N492" s="20">
        <f t="shared" si="22"/>
        <v>20</v>
      </c>
      <c r="O492" s="22">
        <f t="shared" si="23"/>
        <v>13921.6</v>
      </c>
    </row>
    <row r="493" spans="1:15" x14ac:dyDescent="0.3">
      <c r="A493" s="12" t="s">
        <v>714</v>
      </c>
      <c r="B493" s="12" t="s">
        <v>159</v>
      </c>
      <c r="C493" s="12" t="s">
        <v>30</v>
      </c>
      <c r="D493" s="12" t="s">
        <v>31</v>
      </c>
      <c r="E493" s="12" t="s">
        <v>32</v>
      </c>
      <c r="F493" s="12" t="s">
        <v>17</v>
      </c>
      <c r="G493" s="12" t="s">
        <v>26</v>
      </c>
      <c r="H493" s="12">
        <v>18858</v>
      </c>
      <c r="I493" s="12"/>
      <c r="J493" s="26"/>
      <c r="K493" s="12">
        <v>17000</v>
      </c>
      <c r="L493" s="14">
        <v>45329</v>
      </c>
      <c r="M493" s="8" t="str">
        <f t="shared" si="21"/>
        <v>Target Achieved</v>
      </c>
      <c r="N493" s="20">
        <f t="shared" si="22"/>
        <v>0</v>
      </c>
      <c r="O493" s="22">
        <f t="shared" si="23"/>
        <v>18858</v>
      </c>
    </row>
    <row r="494" spans="1:15" x14ac:dyDescent="0.3">
      <c r="A494" s="12" t="s">
        <v>715</v>
      </c>
      <c r="B494" s="12" t="s">
        <v>432</v>
      </c>
      <c r="C494" s="12" t="s">
        <v>30</v>
      </c>
      <c r="D494" s="12" t="s">
        <v>31</v>
      </c>
      <c r="E494" s="12" t="s">
        <v>46</v>
      </c>
      <c r="F494" s="12" t="s">
        <v>25</v>
      </c>
      <c r="G494" s="12" t="s">
        <v>18</v>
      </c>
      <c r="H494" s="12">
        <v>17999</v>
      </c>
      <c r="I494" s="12"/>
      <c r="J494" s="26"/>
      <c r="K494" s="12">
        <v>17000</v>
      </c>
      <c r="L494" s="14">
        <v>45342</v>
      </c>
      <c r="M494" s="8" t="str">
        <f t="shared" si="21"/>
        <v>Target Achieved</v>
      </c>
      <c r="N494" s="20">
        <f t="shared" si="22"/>
        <v>0</v>
      </c>
      <c r="O494" s="22">
        <f t="shared" si="23"/>
        <v>17999</v>
      </c>
    </row>
    <row r="495" spans="1:15" x14ac:dyDescent="0.3">
      <c r="A495" s="12" t="s">
        <v>716</v>
      </c>
      <c r="B495" s="12" t="s">
        <v>591</v>
      </c>
      <c r="C495" s="12" t="s">
        <v>30</v>
      </c>
      <c r="D495" s="12" t="s">
        <v>31</v>
      </c>
      <c r="E495" s="12" t="s">
        <v>32</v>
      </c>
      <c r="F495" s="12" t="s">
        <v>39</v>
      </c>
      <c r="G495" s="12" t="s">
        <v>26</v>
      </c>
      <c r="H495" s="12">
        <v>17840</v>
      </c>
      <c r="I495" s="12" t="s">
        <v>27</v>
      </c>
      <c r="J495" s="26"/>
      <c r="K495" s="12">
        <v>17000</v>
      </c>
      <c r="L495" s="14">
        <v>45342</v>
      </c>
      <c r="M495" s="8" t="str">
        <f t="shared" si="21"/>
        <v>Below Target</v>
      </c>
      <c r="N495" s="20">
        <f t="shared" si="22"/>
        <v>15</v>
      </c>
      <c r="O495" s="22">
        <f t="shared" si="23"/>
        <v>15164</v>
      </c>
    </row>
    <row r="496" spans="1:15" x14ac:dyDescent="0.3">
      <c r="A496" s="12" t="s">
        <v>717</v>
      </c>
      <c r="B496" s="12" t="s">
        <v>408</v>
      </c>
      <c r="C496" s="12" t="s">
        <v>44</v>
      </c>
      <c r="D496" s="12" t="s">
        <v>45</v>
      </c>
      <c r="E496" s="12" t="s">
        <v>46</v>
      </c>
      <c r="F496" s="12" t="s">
        <v>17</v>
      </c>
      <c r="G496" s="12" t="s">
        <v>26</v>
      </c>
      <c r="H496" s="12">
        <v>13820</v>
      </c>
      <c r="I496" s="12" t="s">
        <v>33</v>
      </c>
      <c r="J496" s="26">
        <v>0.3</v>
      </c>
      <c r="K496" s="12">
        <v>13000</v>
      </c>
      <c r="L496" s="14">
        <v>45300</v>
      </c>
      <c r="M496" s="8" t="str">
        <f t="shared" si="21"/>
        <v>Below Target</v>
      </c>
      <c r="N496" s="20">
        <f t="shared" si="22"/>
        <v>30</v>
      </c>
      <c r="O496" s="22">
        <f t="shared" si="23"/>
        <v>9674</v>
      </c>
    </row>
    <row r="497" spans="1:15" x14ac:dyDescent="0.3">
      <c r="A497" s="12" t="s">
        <v>718</v>
      </c>
      <c r="B497" s="12" t="s">
        <v>280</v>
      </c>
      <c r="C497" s="12" t="s">
        <v>14</v>
      </c>
      <c r="D497" s="12" t="s">
        <v>15</v>
      </c>
      <c r="E497" s="12" t="s">
        <v>16</v>
      </c>
      <c r="F497" s="12" t="s">
        <v>39</v>
      </c>
      <c r="G497" s="12" t="s">
        <v>36</v>
      </c>
      <c r="H497" s="12">
        <v>15484</v>
      </c>
      <c r="I497" s="12" t="s">
        <v>27</v>
      </c>
      <c r="J497" s="26"/>
      <c r="K497" s="12">
        <v>14000</v>
      </c>
      <c r="L497" s="14">
        <v>45294</v>
      </c>
      <c r="M497" s="8" t="str">
        <f t="shared" si="21"/>
        <v>Below Target</v>
      </c>
      <c r="N497" s="20">
        <f t="shared" si="22"/>
        <v>15</v>
      </c>
      <c r="O497" s="22">
        <f t="shared" si="23"/>
        <v>13161.4</v>
      </c>
    </row>
    <row r="498" spans="1:15" x14ac:dyDescent="0.3">
      <c r="A498" s="12" t="s">
        <v>719</v>
      </c>
      <c r="B498" s="12" t="s">
        <v>720</v>
      </c>
      <c r="C498" s="12" t="s">
        <v>30</v>
      </c>
      <c r="D498" s="12" t="s">
        <v>31</v>
      </c>
      <c r="E498" s="12" t="s">
        <v>16</v>
      </c>
      <c r="F498" s="12" t="s">
        <v>25</v>
      </c>
      <c r="G498" s="12" t="s">
        <v>26</v>
      </c>
      <c r="H498" s="12">
        <v>17316</v>
      </c>
      <c r="I498" s="12" t="s">
        <v>22</v>
      </c>
      <c r="J498" s="26">
        <v>0.1</v>
      </c>
      <c r="K498" s="12">
        <v>17000</v>
      </c>
      <c r="L498" s="14">
        <v>45351</v>
      </c>
      <c r="M498" s="8" t="str">
        <f t="shared" si="21"/>
        <v>Below Target</v>
      </c>
      <c r="N498" s="20">
        <f t="shared" si="22"/>
        <v>10</v>
      </c>
      <c r="O498" s="22">
        <f t="shared" si="23"/>
        <v>15584.4</v>
      </c>
    </row>
    <row r="499" spans="1:15" x14ac:dyDescent="0.3">
      <c r="A499" s="12" t="s">
        <v>721</v>
      </c>
      <c r="B499" s="12" t="s">
        <v>508</v>
      </c>
      <c r="C499" s="12" t="s">
        <v>30</v>
      </c>
      <c r="D499" s="12" t="s">
        <v>31</v>
      </c>
      <c r="E499" s="12" t="s">
        <v>16</v>
      </c>
      <c r="F499" s="12" t="s">
        <v>25</v>
      </c>
      <c r="G499" s="12" t="s">
        <v>18</v>
      </c>
      <c r="H499" s="12">
        <v>16420</v>
      </c>
      <c r="I499" s="12" t="s">
        <v>33</v>
      </c>
      <c r="J499" s="26">
        <v>0.3</v>
      </c>
      <c r="K499" s="12">
        <v>17000</v>
      </c>
      <c r="L499" s="14">
        <v>45302</v>
      </c>
      <c r="M499" s="8" t="str">
        <f t="shared" si="21"/>
        <v>Below Target</v>
      </c>
      <c r="N499" s="20">
        <f t="shared" si="22"/>
        <v>30</v>
      </c>
      <c r="O499" s="22">
        <f t="shared" si="23"/>
        <v>11494</v>
      </c>
    </row>
    <row r="500" spans="1:15" x14ac:dyDescent="0.3">
      <c r="A500" s="12" t="s">
        <v>722</v>
      </c>
      <c r="B500" s="12" t="s">
        <v>13</v>
      </c>
      <c r="C500" s="12" t="s">
        <v>30</v>
      </c>
      <c r="D500" s="12" t="s">
        <v>31</v>
      </c>
      <c r="E500" s="12" t="s">
        <v>46</v>
      </c>
      <c r="F500" s="12" t="s">
        <v>25</v>
      </c>
      <c r="G500" s="12" t="s">
        <v>36</v>
      </c>
      <c r="H500" s="12">
        <v>15858</v>
      </c>
      <c r="I500" s="12" t="s">
        <v>19</v>
      </c>
      <c r="J500" s="26">
        <v>0.2</v>
      </c>
      <c r="K500" s="12">
        <v>17000</v>
      </c>
      <c r="L500" s="14">
        <v>45336</v>
      </c>
      <c r="M500" s="8" t="str">
        <f t="shared" si="21"/>
        <v>Below Target</v>
      </c>
      <c r="N500" s="20">
        <f t="shared" si="22"/>
        <v>20</v>
      </c>
      <c r="O500" s="22">
        <f t="shared" si="23"/>
        <v>12686.4</v>
      </c>
    </row>
    <row r="501" spans="1:15" x14ac:dyDescent="0.3">
      <c r="A501" s="12" t="s">
        <v>723</v>
      </c>
      <c r="B501" s="12" t="s">
        <v>432</v>
      </c>
      <c r="C501" s="12" t="s">
        <v>30</v>
      </c>
      <c r="D501" s="12" t="s">
        <v>31</v>
      </c>
      <c r="E501" s="12" t="s">
        <v>32</v>
      </c>
      <c r="F501" s="12" t="s">
        <v>39</v>
      </c>
      <c r="G501" s="12" t="s">
        <v>18</v>
      </c>
      <c r="H501" s="12">
        <v>15197</v>
      </c>
      <c r="I501" s="12"/>
      <c r="J501" s="26"/>
      <c r="K501" s="12">
        <v>17000</v>
      </c>
      <c r="L501" s="14">
        <v>45320</v>
      </c>
      <c r="M501" s="8" t="str">
        <f t="shared" si="21"/>
        <v>Target Achieved</v>
      </c>
      <c r="N501" s="20">
        <f t="shared" si="22"/>
        <v>0</v>
      </c>
      <c r="O501" s="22">
        <f t="shared" si="23"/>
        <v>15197</v>
      </c>
    </row>
    <row r="502" spans="1:15" x14ac:dyDescent="0.3">
      <c r="A502" s="12" t="s">
        <v>724</v>
      </c>
      <c r="B502" s="12" t="s">
        <v>127</v>
      </c>
      <c r="C502" s="12" t="s">
        <v>44</v>
      </c>
      <c r="D502" s="12" t="s">
        <v>45</v>
      </c>
      <c r="E502" s="12" t="s">
        <v>46</v>
      </c>
      <c r="F502" s="12" t="s">
        <v>17</v>
      </c>
      <c r="G502" s="12" t="s">
        <v>36</v>
      </c>
      <c r="H502" s="12">
        <v>12438</v>
      </c>
      <c r="I502" s="12" t="s">
        <v>27</v>
      </c>
      <c r="J502" s="26"/>
      <c r="K502" s="12">
        <v>13000</v>
      </c>
      <c r="L502" s="14">
        <v>45316</v>
      </c>
      <c r="M502" s="8" t="str">
        <f t="shared" si="21"/>
        <v>Below Target</v>
      </c>
      <c r="N502" s="20">
        <f t="shared" si="22"/>
        <v>15</v>
      </c>
      <c r="O502" s="22">
        <f t="shared" si="23"/>
        <v>10572.3</v>
      </c>
    </row>
    <row r="503" spans="1:15" x14ac:dyDescent="0.3">
      <c r="A503" s="12" t="s">
        <v>725</v>
      </c>
      <c r="B503" s="12" t="s">
        <v>159</v>
      </c>
      <c r="C503" s="12" t="s">
        <v>61</v>
      </c>
      <c r="D503" s="12" t="s">
        <v>62</v>
      </c>
      <c r="E503" s="12" t="s">
        <v>16</v>
      </c>
      <c r="F503" s="12" t="s">
        <v>39</v>
      </c>
      <c r="G503" s="12" t="s">
        <v>26</v>
      </c>
      <c r="H503" s="12">
        <v>7923</v>
      </c>
      <c r="I503" s="12" t="s">
        <v>19</v>
      </c>
      <c r="J503" s="26">
        <v>0.2</v>
      </c>
      <c r="K503" s="12">
        <v>9000</v>
      </c>
      <c r="L503" s="14">
        <v>45320</v>
      </c>
      <c r="M503" s="8" t="str">
        <f t="shared" si="21"/>
        <v>Below Target</v>
      </c>
      <c r="N503" s="20">
        <f t="shared" si="22"/>
        <v>20</v>
      </c>
      <c r="O503" s="22">
        <f t="shared" si="23"/>
        <v>6338.4</v>
      </c>
    </row>
    <row r="504" spans="1:15" x14ac:dyDescent="0.3">
      <c r="A504" s="12" t="s">
        <v>726</v>
      </c>
      <c r="B504" s="12" t="s">
        <v>200</v>
      </c>
      <c r="C504" s="12" t="s">
        <v>14</v>
      </c>
      <c r="D504" s="12" t="s">
        <v>15</v>
      </c>
      <c r="E504" s="12" t="s">
        <v>46</v>
      </c>
      <c r="F504" s="12" t="s">
        <v>25</v>
      </c>
      <c r="G504" s="12" t="s">
        <v>36</v>
      </c>
      <c r="H504" s="12">
        <v>13069</v>
      </c>
      <c r="I504" s="12" t="s">
        <v>22</v>
      </c>
      <c r="J504" s="26">
        <v>0.1</v>
      </c>
      <c r="K504" s="12">
        <v>14000</v>
      </c>
      <c r="L504" s="14">
        <v>45296</v>
      </c>
      <c r="M504" s="8" t="str">
        <f t="shared" si="21"/>
        <v>Below Target</v>
      </c>
      <c r="N504" s="20">
        <f t="shared" si="22"/>
        <v>10</v>
      </c>
      <c r="O504" s="22">
        <f t="shared" si="23"/>
        <v>11762.1</v>
      </c>
    </row>
    <row r="505" spans="1:15" x14ac:dyDescent="0.3">
      <c r="A505" s="12" t="s">
        <v>727</v>
      </c>
      <c r="B505" s="12" t="s">
        <v>728</v>
      </c>
      <c r="C505" s="12" t="s">
        <v>61</v>
      </c>
      <c r="D505" s="12" t="s">
        <v>62</v>
      </c>
      <c r="E505" s="12" t="s">
        <v>32</v>
      </c>
      <c r="F505" s="12" t="s">
        <v>39</v>
      </c>
      <c r="G505" s="12" t="s">
        <v>18</v>
      </c>
      <c r="H505" s="12">
        <v>9240</v>
      </c>
      <c r="I505" s="12" t="s">
        <v>22</v>
      </c>
      <c r="J505" s="26">
        <v>0.1</v>
      </c>
      <c r="K505" s="12">
        <v>9000</v>
      </c>
      <c r="L505" s="14">
        <v>45313</v>
      </c>
      <c r="M505" s="8" t="str">
        <f t="shared" si="21"/>
        <v>Below Target</v>
      </c>
      <c r="N505" s="20">
        <f t="shared" si="22"/>
        <v>10</v>
      </c>
      <c r="O505" s="22">
        <f t="shared" si="23"/>
        <v>8316</v>
      </c>
    </row>
    <row r="506" spans="1:15" x14ac:dyDescent="0.3">
      <c r="A506" s="12" t="s">
        <v>729</v>
      </c>
      <c r="B506" s="12" t="s">
        <v>195</v>
      </c>
      <c r="C506" s="12" t="s">
        <v>61</v>
      </c>
      <c r="D506" s="12" t="s">
        <v>62</v>
      </c>
      <c r="E506" s="12" t="s">
        <v>16</v>
      </c>
      <c r="F506" s="12" t="s">
        <v>25</v>
      </c>
      <c r="G506" s="12" t="s">
        <v>36</v>
      </c>
      <c r="H506" s="12">
        <v>10860</v>
      </c>
      <c r="I506" s="12" t="s">
        <v>19</v>
      </c>
      <c r="J506" s="26">
        <v>0.2</v>
      </c>
      <c r="K506" s="12">
        <v>9000</v>
      </c>
      <c r="L506" s="14">
        <v>45330</v>
      </c>
      <c r="M506" s="8" t="str">
        <f t="shared" si="21"/>
        <v>Below Target</v>
      </c>
      <c r="N506" s="20">
        <f t="shared" si="22"/>
        <v>20</v>
      </c>
      <c r="O506" s="22">
        <f t="shared" si="23"/>
        <v>8688</v>
      </c>
    </row>
    <row r="507" spans="1:15" x14ac:dyDescent="0.3">
      <c r="A507" s="12" t="s">
        <v>730</v>
      </c>
      <c r="B507" s="12" t="s">
        <v>137</v>
      </c>
      <c r="C507" s="12" t="s">
        <v>44</v>
      </c>
      <c r="D507" s="12" t="s">
        <v>45</v>
      </c>
      <c r="E507" s="12" t="s">
        <v>32</v>
      </c>
      <c r="F507" s="12" t="s">
        <v>25</v>
      </c>
      <c r="G507" s="12" t="s">
        <v>36</v>
      </c>
      <c r="H507" s="12">
        <v>11841</v>
      </c>
      <c r="I507" s="12" t="s">
        <v>19</v>
      </c>
      <c r="J507" s="26">
        <v>0.2</v>
      </c>
      <c r="K507" s="12">
        <v>13000</v>
      </c>
      <c r="L507" s="14">
        <v>45318</v>
      </c>
      <c r="M507" s="8" t="str">
        <f t="shared" si="21"/>
        <v>Below Target</v>
      </c>
      <c r="N507" s="20">
        <f t="shared" si="22"/>
        <v>20</v>
      </c>
      <c r="O507" s="22">
        <f t="shared" si="23"/>
        <v>9472.7999999999993</v>
      </c>
    </row>
    <row r="508" spans="1:15" x14ac:dyDescent="0.3">
      <c r="A508" s="12" t="s">
        <v>731</v>
      </c>
      <c r="B508" s="12" t="s">
        <v>103</v>
      </c>
      <c r="C508" s="12" t="s">
        <v>30</v>
      </c>
      <c r="D508" s="12" t="s">
        <v>31</v>
      </c>
      <c r="E508" s="12" t="s">
        <v>16</v>
      </c>
      <c r="F508" s="12" t="s">
        <v>17</v>
      </c>
      <c r="G508" s="12" t="s">
        <v>36</v>
      </c>
      <c r="H508" s="12">
        <v>15972</v>
      </c>
      <c r="I508" s="12" t="s">
        <v>22</v>
      </c>
      <c r="J508" s="26">
        <v>0.1</v>
      </c>
      <c r="K508" s="12">
        <v>17000</v>
      </c>
      <c r="L508" s="14">
        <v>45295</v>
      </c>
      <c r="M508" s="8" t="str">
        <f t="shared" si="21"/>
        <v>Below Target</v>
      </c>
      <c r="N508" s="20">
        <f t="shared" si="22"/>
        <v>10</v>
      </c>
      <c r="O508" s="22">
        <f t="shared" si="23"/>
        <v>14374.8</v>
      </c>
    </row>
    <row r="509" spans="1:15" x14ac:dyDescent="0.3">
      <c r="A509" s="12" t="s">
        <v>732</v>
      </c>
      <c r="B509" s="12" t="s">
        <v>617</v>
      </c>
      <c r="C509" s="12" t="s">
        <v>61</v>
      </c>
      <c r="D509" s="12" t="s">
        <v>62</v>
      </c>
      <c r="E509" s="12" t="s">
        <v>32</v>
      </c>
      <c r="F509" s="12" t="s">
        <v>25</v>
      </c>
      <c r="G509" s="12" t="s">
        <v>36</v>
      </c>
      <c r="H509" s="12">
        <v>7015</v>
      </c>
      <c r="I509" s="12"/>
      <c r="J509" s="26"/>
      <c r="K509" s="12">
        <v>9000</v>
      </c>
      <c r="L509" s="14">
        <v>45297</v>
      </c>
      <c r="M509" s="8" t="str">
        <f t="shared" si="21"/>
        <v>Target Achieved</v>
      </c>
      <c r="N509" s="20">
        <f t="shared" si="22"/>
        <v>0</v>
      </c>
      <c r="O509" s="22">
        <f t="shared" si="23"/>
        <v>7015</v>
      </c>
    </row>
    <row r="510" spans="1:15" x14ac:dyDescent="0.3">
      <c r="A510" s="12" t="s">
        <v>733</v>
      </c>
      <c r="B510" s="12" t="s">
        <v>142</v>
      </c>
      <c r="C510" s="12" t="s">
        <v>61</v>
      </c>
      <c r="D510" s="12" t="s">
        <v>62</v>
      </c>
      <c r="E510" s="12" t="s">
        <v>32</v>
      </c>
      <c r="F510" s="12" t="s">
        <v>25</v>
      </c>
      <c r="G510" s="12" t="s">
        <v>18</v>
      </c>
      <c r="H510" s="12">
        <v>7847</v>
      </c>
      <c r="I510" s="12" t="s">
        <v>19</v>
      </c>
      <c r="J510" s="26">
        <v>0.2</v>
      </c>
      <c r="K510" s="12">
        <v>9000</v>
      </c>
      <c r="L510" s="14">
        <v>45332</v>
      </c>
      <c r="M510" s="8" t="str">
        <f t="shared" si="21"/>
        <v>Below Target</v>
      </c>
      <c r="N510" s="20">
        <f t="shared" si="22"/>
        <v>20</v>
      </c>
      <c r="O510" s="22">
        <f t="shared" si="23"/>
        <v>6277.6</v>
      </c>
    </row>
    <row r="511" spans="1:15" x14ac:dyDescent="0.3">
      <c r="A511" s="12" t="s">
        <v>734</v>
      </c>
      <c r="B511" s="12" t="s">
        <v>222</v>
      </c>
      <c r="C511" s="12" t="s">
        <v>61</v>
      </c>
      <c r="D511" s="12" t="s">
        <v>62</v>
      </c>
      <c r="E511" s="12" t="s">
        <v>32</v>
      </c>
      <c r="F511" s="12" t="s">
        <v>17</v>
      </c>
      <c r="G511" s="12" t="s">
        <v>36</v>
      </c>
      <c r="H511" s="12">
        <v>8928</v>
      </c>
      <c r="I511" s="12"/>
      <c r="J511" s="26"/>
      <c r="K511" s="12">
        <v>9000</v>
      </c>
      <c r="L511" s="14">
        <v>45349</v>
      </c>
      <c r="M511" s="8" t="str">
        <f t="shared" si="21"/>
        <v>Target Achieved</v>
      </c>
      <c r="N511" s="20">
        <f t="shared" si="22"/>
        <v>0</v>
      </c>
      <c r="O511" s="22">
        <f t="shared" si="23"/>
        <v>8928</v>
      </c>
    </row>
    <row r="512" spans="1:15" x14ac:dyDescent="0.3">
      <c r="A512" s="12" t="s">
        <v>735</v>
      </c>
      <c r="B512" s="12" t="s">
        <v>278</v>
      </c>
      <c r="C512" s="12" t="s">
        <v>14</v>
      </c>
      <c r="D512" s="12" t="s">
        <v>15</v>
      </c>
      <c r="E512" s="12" t="s">
        <v>16</v>
      </c>
      <c r="F512" s="12" t="s">
        <v>39</v>
      </c>
      <c r="G512" s="12" t="s">
        <v>36</v>
      </c>
      <c r="H512" s="12">
        <v>12757</v>
      </c>
      <c r="I512" s="12" t="s">
        <v>33</v>
      </c>
      <c r="J512" s="26">
        <v>0.3</v>
      </c>
      <c r="K512" s="12">
        <v>14000</v>
      </c>
      <c r="L512" s="14">
        <v>45348</v>
      </c>
      <c r="M512" s="8" t="str">
        <f t="shared" si="21"/>
        <v>Below Target</v>
      </c>
      <c r="N512" s="20">
        <f t="shared" si="22"/>
        <v>30</v>
      </c>
      <c r="O512" s="22">
        <f t="shared" si="23"/>
        <v>8929.9</v>
      </c>
    </row>
    <row r="513" spans="1:15" x14ac:dyDescent="0.3">
      <c r="A513" s="12" t="s">
        <v>736</v>
      </c>
      <c r="B513" s="12" t="s">
        <v>474</v>
      </c>
      <c r="C513" s="12" t="s">
        <v>44</v>
      </c>
      <c r="D513" s="12" t="s">
        <v>45</v>
      </c>
      <c r="E513" s="12" t="s">
        <v>46</v>
      </c>
      <c r="F513" s="12" t="s">
        <v>25</v>
      </c>
      <c r="G513" s="12" t="s">
        <v>36</v>
      </c>
      <c r="H513" s="12">
        <v>12801</v>
      </c>
      <c r="I513" s="12"/>
      <c r="J513" s="26"/>
      <c r="K513" s="12">
        <v>13000</v>
      </c>
      <c r="L513" s="14">
        <v>45308</v>
      </c>
      <c r="M513" s="8" t="str">
        <f t="shared" si="21"/>
        <v>Target Achieved</v>
      </c>
      <c r="N513" s="20">
        <f t="shared" si="22"/>
        <v>0</v>
      </c>
      <c r="O513" s="22">
        <f t="shared" si="23"/>
        <v>12801</v>
      </c>
    </row>
    <row r="514" spans="1:15" x14ac:dyDescent="0.3">
      <c r="A514" s="12" t="s">
        <v>737</v>
      </c>
      <c r="B514" s="12" t="s">
        <v>171</v>
      </c>
      <c r="C514" s="12" t="s">
        <v>30</v>
      </c>
      <c r="D514" s="12" t="s">
        <v>31</v>
      </c>
      <c r="E514" s="12" t="s">
        <v>16</v>
      </c>
      <c r="F514" s="12" t="s">
        <v>25</v>
      </c>
      <c r="G514" s="12" t="s">
        <v>18</v>
      </c>
      <c r="H514" s="12">
        <v>18081</v>
      </c>
      <c r="I514" s="12" t="s">
        <v>22</v>
      </c>
      <c r="J514" s="26">
        <v>0.1</v>
      </c>
      <c r="K514" s="12">
        <v>17000</v>
      </c>
      <c r="L514" s="14">
        <v>45297</v>
      </c>
      <c r="M514" s="8" t="str">
        <f t="shared" ref="M514:M577" si="24">IF(J514&gt;=N514,"Target Achieved","Below Target")</f>
        <v>Below Target</v>
      </c>
      <c r="N514" s="20">
        <f t="shared" si="22"/>
        <v>10</v>
      </c>
      <c r="O514" s="22">
        <f t="shared" si="23"/>
        <v>16272.9</v>
      </c>
    </row>
    <row r="515" spans="1:15" x14ac:dyDescent="0.3">
      <c r="A515" s="12" t="s">
        <v>738</v>
      </c>
      <c r="B515" s="12" t="s">
        <v>317</v>
      </c>
      <c r="C515" s="12" t="s">
        <v>61</v>
      </c>
      <c r="D515" s="12" t="s">
        <v>62</v>
      </c>
      <c r="E515" s="12" t="s">
        <v>16</v>
      </c>
      <c r="F515" s="12" t="s">
        <v>25</v>
      </c>
      <c r="G515" s="12" t="s">
        <v>26</v>
      </c>
      <c r="H515" s="12">
        <v>7249</v>
      </c>
      <c r="I515" s="12"/>
      <c r="J515" s="26"/>
      <c r="K515" s="12">
        <v>9000</v>
      </c>
      <c r="L515" s="14">
        <v>45344</v>
      </c>
      <c r="M515" s="8" t="str">
        <f t="shared" si="24"/>
        <v>Target Achieved</v>
      </c>
      <c r="N515" s="20">
        <f t="shared" ref="N515:N578" si="25">IFERROR(VALUE(RIGHT(I515,2)),0)</f>
        <v>0</v>
      </c>
      <c r="O515" s="22">
        <f t="shared" ref="O515:O578" si="26">H515-H515*N515/100</f>
        <v>7249</v>
      </c>
    </row>
    <row r="516" spans="1:15" x14ac:dyDescent="0.3">
      <c r="A516" s="12" t="s">
        <v>739</v>
      </c>
      <c r="B516" s="12" t="s">
        <v>388</v>
      </c>
      <c r="C516" s="12" t="s">
        <v>61</v>
      </c>
      <c r="D516" s="12" t="s">
        <v>62</v>
      </c>
      <c r="E516" s="12" t="s">
        <v>16</v>
      </c>
      <c r="F516" s="12" t="s">
        <v>25</v>
      </c>
      <c r="G516" s="12" t="s">
        <v>36</v>
      </c>
      <c r="H516" s="12">
        <v>8224</v>
      </c>
      <c r="I516" s="12" t="s">
        <v>22</v>
      </c>
      <c r="J516" s="26">
        <v>0.1</v>
      </c>
      <c r="K516" s="12">
        <v>9000</v>
      </c>
      <c r="L516" s="14">
        <v>45317</v>
      </c>
      <c r="M516" s="8" t="str">
        <f t="shared" si="24"/>
        <v>Below Target</v>
      </c>
      <c r="N516" s="20">
        <f t="shared" si="25"/>
        <v>10</v>
      </c>
      <c r="O516" s="22">
        <f t="shared" si="26"/>
        <v>7401.6</v>
      </c>
    </row>
    <row r="517" spans="1:15" x14ac:dyDescent="0.3">
      <c r="A517" s="12" t="s">
        <v>740</v>
      </c>
      <c r="B517" s="12" t="s">
        <v>454</v>
      </c>
      <c r="C517" s="12" t="s">
        <v>14</v>
      </c>
      <c r="D517" s="12" t="s">
        <v>15</v>
      </c>
      <c r="E517" s="12" t="s">
        <v>16</v>
      </c>
      <c r="F517" s="12" t="s">
        <v>39</v>
      </c>
      <c r="G517" s="12" t="s">
        <v>26</v>
      </c>
      <c r="H517" s="12">
        <v>15278</v>
      </c>
      <c r="I517" s="12" t="s">
        <v>27</v>
      </c>
      <c r="J517" s="26"/>
      <c r="K517" s="12">
        <v>14000</v>
      </c>
      <c r="L517" s="14">
        <v>45335</v>
      </c>
      <c r="M517" s="8" t="str">
        <f t="shared" si="24"/>
        <v>Below Target</v>
      </c>
      <c r="N517" s="20">
        <f t="shared" si="25"/>
        <v>15</v>
      </c>
      <c r="O517" s="22">
        <f t="shared" si="26"/>
        <v>12986.3</v>
      </c>
    </row>
    <row r="518" spans="1:15" x14ac:dyDescent="0.3">
      <c r="A518" s="12" t="s">
        <v>741</v>
      </c>
      <c r="B518" s="12" t="s">
        <v>373</v>
      </c>
      <c r="C518" s="12" t="s">
        <v>14</v>
      </c>
      <c r="D518" s="12" t="s">
        <v>15</v>
      </c>
      <c r="E518" s="12" t="s">
        <v>46</v>
      </c>
      <c r="F518" s="12" t="s">
        <v>25</v>
      </c>
      <c r="G518" s="12" t="s">
        <v>18</v>
      </c>
      <c r="H518" s="12">
        <v>15981</v>
      </c>
      <c r="I518" s="12" t="s">
        <v>19</v>
      </c>
      <c r="J518" s="26">
        <v>0.2</v>
      </c>
      <c r="K518" s="12">
        <v>14000</v>
      </c>
      <c r="L518" s="14">
        <v>45343</v>
      </c>
      <c r="M518" s="8" t="str">
        <f t="shared" si="24"/>
        <v>Below Target</v>
      </c>
      <c r="N518" s="20">
        <f t="shared" si="25"/>
        <v>20</v>
      </c>
      <c r="O518" s="22">
        <f t="shared" si="26"/>
        <v>12784.8</v>
      </c>
    </row>
    <row r="519" spans="1:15" x14ac:dyDescent="0.3">
      <c r="A519" s="12" t="s">
        <v>742</v>
      </c>
      <c r="B519" s="12" t="s">
        <v>235</v>
      </c>
      <c r="C519" s="12" t="s">
        <v>14</v>
      </c>
      <c r="D519" s="12" t="s">
        <v>15</v>
      </c>
      <c r="E519" s="12" t="s">
        <v>46</v>
      </c>
      <c r="F519" s="12" t="s">
        <v>25</v>
      </c>
      <c r="G519" s="12" t="s">
        <v>26</v>
      </c>
      <c r="H519" s="12">
        <v>13783</v>
      </c>
      <c r="I519" s="12" t="s">
        <v>19</v>
      </c>
      <c r="J519" s="26">
        <v>0.2</v>
      </c>
      <c r="K519" s="12">
        <v>14000</v>
      </c>
      <c r="L519" s="14">
        <v>45344</v>
      </c>
      <c r="M519" s="8" t="str">
        <f t="shared" si="24"/>
        <v>Below Target</v>
      </c>
      <c r="N519" s="20">
        <f t="shared" si="25"/>
        <v>20</v>
      </c>
      <c r="O519" s="22">
        <f t="shared" si="26"/>
        <v>11026.4</v>
      </c>
    </row>
    <row r="520" spans="1:15" x14ac:dyDescent="0.3">
      <c r="A520" s="12" t="s">
        <v>743</v>
      </c>
      <c r="B520" s="12" t="s">
        <v>422</v>
      </c>
      <c r="C520" s="12" t="s">
        <v>30</v>
      </c>
      <c r="D520" s="12" t="s">
        <v>31</v>
      </c>
      <c r="E520" s="12" t="s">
        <v>46</v>
      </c>
      <c r="F520" s="12" t="s">
        <v>39</v>
      </c>
      <c r="G520" s="12" t="s">
        <v>18</v>
      </c>
      <c r="H520" s="12">
        <v>15356</v>
      </c>
      <c r="I520" s="12"/>
      <c r="J520" s="26"/>
      <c r="K520" s="12">
        <v>17000</v>
      </c>
      <c r="L520" s="14">
        <v>45327</v>
      </c>
      <c r="M520" s="8" t="str">
        <f t="shared" si="24"/>
        <v>Target Achieved</v>
      </c>
      <c r="N520" s="20">
        <f t="shared" si="25"/>
        <v>0</v>
      </c>
      <c r="O520" s="22">
        <f t="shared" si="26"/>
        <v>15356</v>
      </c>
    </row>
    <row r="521" spans="1:15" x14ac:dyDescent="0.3">
      <c r="A521" s="12" t="s">
        <v>744</v>
      </c>
      <c r="B521" s="12" t="s">
        <v>512</v>
      </c>
      <c r="C521" s="12" t="s">
        <v>30</v>
      </c>
      <c r="D521" s="12" t="s">
        <v>31</v>
      </c>
      <c r="E521" s="12" t="s">
        <v>46</v>
      </c>
      <c r="F521" s="12" t="s">
        <v>39</v>
      </c>
      <c r="G521" s="12" t="s">
        <v>36</v>
      </c>
      <c r="H521" s="12">
        <v>18756</v>
      </c>
      <c r="I521" s="12" t="s">
        <v>22</v>
      </c>
      <c r="J521" s="26">
        <v>0.1</v>
      </c>
      <c r="K521" s="12">
        <v>17000</v>
      </c>
      <c r="L521" s="14">
        <v>45342</v>
      </c>
      <c r="M521" s="8" t="str">
        <f t="shared" si="24"/>
        <v>Below Target</v>
      </c>
      <c r="N521" s="20">
        <f t="shared" si="25"/>
        <v>10</v>
      </c>
      <c r="O521" s="22">
        <f t="shared" si="26"/>
        <v>16880.400000000001</v>
      </c>
    </row>
    <row r="522" spans="1:15" x14ac:dyDescent="0.3">
      <c r="A522" s="12" t="s">
        <v>745</v>
      </c>
      <c r="B522" s="12" t="s">
        <v>672</v>
      </c>
      <c r="C522" s="12" t="s">
        <v>61</v>
      </c>
      <c r="D522" s="12" t="s">
        <v>62</v>
      </c>
      <c r="E522" s="12" t="s">
        <v>32</v>
      </c>
      <c r="F522" s="12" t="s">
        <v>17</v>
      </c>
      <c r="G522" s="12" t="s">
        <v>18</v>
      </c>
      <c r="H522" s="12">
        <v>7607</v>
      </c>
      <c r="I522" s="12" t="s">
        <v>27</v>
      </c>
      <c r="J522" s="26"/>
      <c r="K522" s="12">
        <v>9000</v>
      </c>
      <c r="L522" s="14">
        <v>45329</v>
      </c>
      <c r="M522" s="8" t="str">
        <f t="shared" si="24"/>
        <v>Below Target</v>
      </c>
      <c r="N522" s="20">
        <f t="shared" si="25"/>
        <v>15</v>
      </c>
      <c r="O522" s="22">
        <f t="shared" si="26"/>
        <v>6465.95</v>
      </c>
    </row>
    <row r="523" spans="1:15" x14ac:dyDescent="0.3">
      <c r="A523" s="12" t="s">
        <v>746</v>
      </c>
      <c r="B523" s="12" t="s">
        <v>579</v>
      </c>
      <c r="C523" s="12" t="s">
        <v>14</v>
      </c>
      <c r="D523" s="12" t="s">
        <v>15</v>
      </c>
      <c r="E523" s="12" t="s">
        <v>32</v>
      </c>
      <c r="F523" s="12" t="s">
        <v>39</v>
      </c>
      <c r="G523" s="12" t="s">
        <v>18</v>
      </c>
      <c r="H523" s="12">
        <v>15218</v>
      </c>
      <c r="I523" s="12" t="s">
        <v>33</v>
      </c>
      <c r="J523" s="26">
        <v>0.3</v>
      </c>
      <c r="K523" s="12">
        <v>14000</v>
      </c>
      <c r="L523" s="14">
        <v>45347</v>
      </c>
      <c r="M523" s="8" t="str">
        <f t="shared" si="24"/>
        <v>Below Target</v>
      </c>
      <c r="N523" s="20">
        <f t="shared" si="25"/>
        <v>30</v>
      </c>
      <c r="O523" s="22">
        <f t="shared" si="26"/>
        <v>10652.6</v>
      </c>
    </row>
    <row r="524" spans="1:15" x14ac:dyDescent="0.3">
      <c r="A524" s="12" t="s">
        <v>747</v>
      </c>
      <c r="B524" s="12" t="s">
        <v>217</v>
      </c>
      <c r="C524" s="12" t="s">
        <v>61</v>
      </c>
      <c r="D524" s="12" t="s">
        <v>62</v>
      </c>
      <c r="E524" s="12" t="s">
        <v>46</v>
      </c>
      <c r="F524" s="12" t="s">
        <v>17</v>
      </c>
      <c r="G524" s="12" t="s">
        <v>26</v>
      </c>
      <c r="H524" s="12">
        <v>8988</v>
      </c>
      <c r="I524" s="12" t="s">
        <v>27</v>
      </c>
      <c r="J524" s="26"/>
      <c r="K524" s="12">
        <v>9000</v>
      </c>
      <c r="L524" s="14">
        <v>45330</v>
      </c>
      <c r="M524" s="8" t="str">
        <f t="shared" si="24"/>
        <v>Below Target</v>
      </c>
      <c r="N524" s="20">
        <f t="shared" si="25"/>
        <v>15</v>
      </c>
      <c r="O524" s="22">
        <f t="shared" si="26"/>
        <v>7639.8</v>
      </c>
    </row>
    <row r="525" spans="1:15" x14ac:dyDescent="0.3">
      <c r="A525" s="12" t="s">
        <v>748</v>
      </c>
      <c r="B525" s="12" t="s">
        <v>711</v>
      </c>
      <c r="C525" s="12" t="s">
        <v>44</v>
      </c>
      <c r="D525" s="12" t="s">
        <v>45</v>
      </c>
      <c r="E525" s="12" t="s">
        <v>46</v>
      </c>
      <c r="F525" s="12" t="s">
        <v>17</v>
      </c>
      <c r="G525" s="12" t="s">
        <v>18</v>
      </c>
      <c r="H525" s="12">
        <v>13532</v>
      </c>
      <c r="I525" s="12" t="s">
        <v>27</v>
      </c>
      <c r="J525" s="26"/>
      <c r="K525" s="12">
        <v>13000</v>
      </c>
      <c r="L525" s="14">
        <v>45335</v>
      </c>
      <c r="M525" s="8" t="str">
        <f t="shared" si="24"/>
        <v>Below Target</v>
      </c>
      <c r="N525" s="20">
        <f t="shared" si="25"/>
        <v>15</v>
      </c>
      <c r="O525" s="22">
        <f t="shared" si="26"/>
        <v>11502.2</v>
      </c>
    </row>
    <row r="526" spans="1:15" x14ac:dyDescent="0.3">
      <c r="A526" s="12" t="s">
        <v>749</v>
      </c>
      <c r="B526" s="12" t="s">
        <v>127</v>
      </c>
      <c r="C526" s="12" t="s">
        <v>14</v>
      </c>
      <c r="D526" s="12" t="s">
        <v>15</v>
      </c>
      <c r="E526" s="12" t="s">
        <v>46</v>
      </c>
      <c r="F526" s="12" t="s">
        <v>17</v>
      </c>
      <c r="G526" s="12" t="s">
        <v>26</v>
      </c>
      <c r="H526" s="12">
        <v>12973</v>
      </c>
      <c r="I526" s="12" t="s">
        <v>22</v>
      </c>
      <c r="J526" s="26">
        <v>0.1</v>
      </c>
      <c r="K526" s="12">
        <v>14000</v>
      </c>
      <c r="L526" s="14">
        <v>45339</v>
      </c>
      <c r="M526" s="8" t="str">
        <f t="shared" si="24"/>
        <v>Below Target</v>
      </c>
      <c r="N526" s="20">
        <f t="shared" si="25"/>
        <v>10</v>
      </c>
      <c r="O526" s="22">
        <f t="shared" si="26"/>
        <v>11675.7</v>
      </c>
    </row>
    <row r="527" spans="1:15" x14ac:dyDescent="0.3">
      <c r="A527" s="12" t="s">
        <v>750</v>
      </c>
      <c r="B527" s="12" t="s">
        <v>123</v>
      </c>
      <c r="C527" s="12" t="s">
        <v>30</v>
      </c>
      <c r="D527" s="12" t="s">
        <v>31</v>
      </c>
      <c r="E527" s="12" t="s">
        <v>32</v>
      </c>
      <c r="F527" s="12" t="s">
        <v>17</v>
      </c>
      <c r="G527" s="12" t="s">
        <v>36</v>
      </c>
      <c r="H527" s="12">
        <v>16273</v>
      </c>
      <c r="I527" s="12" t="s">
        <v>33</v>
      </c>
      <c r="J527" s="26">
        <v>0.3</v>
      </c>
      <c r="K527" s="12">
        <v>17000</v>
      </c>
      <c r="L527" s="14">
        <v>45345</v>
      </c>
      <c r="M527" s="8" t="str">
        <f t="shared" si="24"/>
        <v>Below Target</v>
      </c>
      <c r="N527" s="20">
        <f t="shared" si="25"/>
        <v>30</v>
      </c>
      <c r="O527" s="22">
        <f t="shared" si="26"/>
        <v>11391.1</v>
      </c>
    </row>
    <row r="528" spans="1:15" x14ac:dyDescent="0.3">
      <c r="A528" s="12" t="s">
        <v>751</v>
      </c>
      <c r="B528" s="12" t="s">
        <v>752</v>
      </c>
      <c r="C528" s="12" t="s">
        <v>14</v>
      </c>
      <c r="D528" s="12" t="s">
        <v>15</v>
      </c>
      <c r="E528" s="12" t="s">
        <v>32</v>
      </c>
      <c r="F528" s="12" t="s">
        <v>25</v>
      </c>
      <c r="G528" s="12" t="s">
        <v>36</v>
      </c>
      <c r="H528" s="12">
        <v>15990</v>
      </c>
      <c r="I528" s="12"/>
      <c r="J528" s="26"/>
      <c r="K528" s="12">
        <v>14000</v>
      </c>
      <c r="L528" s="14">
        <v>45341</v>
      </c>
      <c r="M528" s="8" t="str">
        <f t="shared" si="24"/>
        <v>Target Achieved</v>
      </c>
      <c r="N528" s="20">
        <f t="shared" si="25"/>
        <v>0</v>
      </c>
      <c r="O528" s="22">
        <f t="shared" si="26"/>
        <v>15990</v>
      </c>
    </row>
    <row r="529" spans="1:15" x14ac:dyDescent="0.3">
      <c r="A529" s="12" t="s">
        <v>753</v>
      </c>
      <c r="B529" s="12" t="s">
        <v>303</v>
      </c>
      <c r="C529" s="12" t="s">
        <v>30</v>
      </c>
      <c r="D529" s="12" t="s">
        <v>31</v>
      </c>
      <c r="E529" s="12" t="s">
        <v>16</v>
      </c>
      <c r="F529" s="12" t="s">
        <v>17</v>
      </c>
      <c r="G529" s="12" t="s">
        <v>26</v>
      </c>
      <c r="H529" s="12">
        <v>17644</v>
      </c>
      <c r="I529" s="12" t="s">
        <v>22</v>
      </c>
      <c r="J529" s="26">
        <v>0.1</v>
      </c>
      <c r="K529" s="12">
        <v>17000</v>
      </c>
      <c r="L529" s="14">
        <v>45304</v>
      </c>
      <c r="M529" s="8" t="str">
        <f t="shared" si="24"/>
        <v>Below Target</v>
      </c>
      <c r="N529" s="20">
        <f t="shared" si="25"/>
        <v>10</v>
      </c>
      <c r="O529" s="22">
        <f t="shared" si="26"/>
        <v>15879.6</v>
      </c>
    </row>
    <row r="530" spans="1:15" x14ac:dyDescent="0.3">
      <c r="A530" s="12" t="s">
        <v>754</v>
      </c>
      <c r="B530" s="12" t="s">
        <v>211</v>
      </c>
      <c r="C530" s="12" t="s">
        <v>61</v>
      </c>
      <c r="D530" s="12" t="s">
        <v>62</v>
      </c>
      <c r="E530" s="12" t="s">
        <v>16</v>
      </c>
      <c r="F530" s="12" t="s">
        <v>17</v>
      </c>
      <c r="G530" s="12" t="s">
        <v>26</v>
      </c>
      <c r="H530" s="12">
        <v>10552</v>
      </c>
      <c r="I530" s="12" t="s">
        <v>33</v>
      </c>
      <c r="J530" s="26">
        <v>0.3</v>
      </c>
      <c r="K530" s="12">
        <v>9000</v>
      </c>
      <c r="L530" s="14">
        <v>45344</v>
      </c>
      <c r="M530" s="8" t="str">
        <f t="shared" si="24"/>
        <v>Below Target</v>
      </c>
      <c r="N530" s="20">
        <f t="shared" si="25"/>
        <v>30</v>
      </c>
      <c r="O530" s="22">
        <f t="shared" si="26"/>
        <v>7386.4</v>
      </c>
    </row>
    <row r="531" spans="1:15" x14ac:dyDescent="0.3">
      <c r="A531" s="12" t="s">
        <v>755</v>
      </c>
      <c r="B531" s="12" t="s">
        <v>166</v>
      </c>
      <c r="C531" s="12" t="s">
        <v>44</v>
      </c>
      <c r="D531" s="12" t="s">
        <v>45</v>
      </c>
      <c r="E531" s="12" t="s">
        <v>32</v>
      </c>
      <c r="F531" s="12" t="s">
        <v>17</v>
      </c>
      <c r="G531" s="12" t="s">
        <v>26</v>
      </c>
      <c r="H531" s="12">
        <v>13075</v>
      </c>
      <c r="I531" s="12"/>
      <c r="J531" s="26"/>
      <c r="K531" s="12">
        <v>13000</v>
      </c>
      <c r="L531" s="14">
        <v>45300</v>
      </c>
      <c r="M531" s="8" t="str">
        <f t="shared" si="24"/>
        <v>Target Achieved</v>
      </c>
      <c r="N531" s="20">
        <f t="shared" si="25"/>
        <v>0</v>
      </c>
      <c r="O531" s="22">
        <f t="shared" si="26"/>
        <v>13075</v>
      </c>
    </row>
    <row r="532" spans="1:15" x14ac:dyDescent="0.3">
      <c r="A532" s="12" t="s">
        <v>756</v>
      </c>
      <c r="B532" s="12" t="s">
        <v>140</v>
      </c>
      <c r="C532" s="12" t="s">
        <v>14</v>
      </c>
      <c r="D532" s="12" t="s">
        <v>15</v>
      </c>
      <c r="E532" s="12" t="s">
        <v>32</v>
      </c>
      <c r="F532" s="12" t="s">
        <v>25</v>
      </c>
      <c r="G532" s="12" t="s">
        <v>18</v>
      </c>
      <c r="H532" s="12">
        <v>15428</v>
      </c>
      <c r="I532" s="12" t="s">
        <v>22</v>
      </c>
      <c r="J532" s="26">
        <v>0.1</v>
      </c>
      <c r="K532" s="12">
        <v>14000</v>
      </c>
      <c r="L532" s="14">
        <v>45307</v>
      </c>
      <c r="M532" s="8" t="str">
        <f t="shared" si="24"/>
        <v>Below Target</v>
      </c>
      <c r="N532" s="20">
        <f t="shared" si="25"/>
        <v>10</v>
      </c>
      <c r="O532" s="22">
        <f t="shared" si="26"/>
        <v>13885.2</v>
      </c>
    </row>
    <row r="533" spans="1:15" x14ac:dyDescent="0.3">
      <c r="A533" s="12" t="s">
        <v>757</v>
      </c>
      <c r="B533" s="12" t="s">
        <v>489</v>
      </c>
      <c r="C533" s="12" t="s">
        <v>14</v>
      </c>
      <c r="D533" s="12" t="s">
        <v>15</v>
      </c>
      <c r="E533" s="12" t="s">
        <v>46</v>
      </c>
      <c r="F533" s="12" t="s">
        <v>39</v>
      </c>
      <c r="G533" s="12" t="s">
        <v>18</v>
      </c>
      <c r="H533" s="12">
        <v>13122</v>
      </c>
      <c r="I533" s="12" t="s">
        <v>33</v>
      </c>
      <c r="J533" s="26">
        <v>0.3</v>
      </c>
      <c r="K533" s="12">
        <v>14000</v>
      </c>
      <c r="L533" s="14">
        <v>45344</v>
      </c>
      <c r="M533" s="8" t="str">
        <f t="shared" si="24"/>
        <v>Below Target</v>
      </c>
      <c r="N533" s="20">
        <f t="shared" si="25"/>
        <v>30</v>
      </c>
      <c r="O533" s="22">
        <f t="shared" si="26"/>
        <v>9185.4</v>
      </c>
    </row>
    <row r="534" spans="1:15" x14ac:dyDescent="0.3">
      <c r="A534" s="12" t="s">
        <v>758</v>
      </c>
      <c r="B534" s="12" t="s">
        <v>330</v>
      </c>
      <c r="C534" s="12" t="s">
        <v>61</v>
      </c>
      <c r="D534" s="12" t="s">
        <v>62</v>
      </c>
      <c r="E534" s="12" t="s">
        <v>16</v>
      </c>
      <c r="F534" s="12" t="s">
        <v>25</v>
      </c>
      <c r="G534" s="12" t="s">
        <v>26</v>
      </c>
      <c r="H534" s="12">
        <v>7125</v>
      </c>
      <c r="I534" s="12" t="s">
        <v>19</v>
      </c>
      <c r="J534" s="26">
        <v>0.2</v>
      </c>
      <c r="K534" s="12">
        <v>9000</v>
      </c>
      <c r="L534" s="14">
        <v>45315</v>
      </c>
      <c r="M534" s="8" t="str">
        <f t="shared" si="24"/>
        <v>Below Target</v>
      </c>
      <c r="N534" s="20">
        <f t="shared" si="25"/>
        <v>20</v>
      </c>
      <c r="O534" s="22">
        <f t="shared" si="26"/>
        <v>5700</v>
      </c>
    </row>
    <row r="535" spans="1:15" x14ac:dyDescent="0.3">
      <c r="A535" s="12" t="s">
        <v>759</v>
      </c>
      <c r="B535" s="12" t="s">
        <v>600</v>
      </c>
      <c r="C535" s="12" t="s">
        <v>61</v>
      </c>
      <c r="D535" s="12" t="s">
        <v>62</v>
      </c>
      <c r="E535" s="12" t="s">
        <v>32</v>
      </c>
      <c r="F535" s="12" t="s">
        <v>17</v>
      </c>
      <c r="G535" s="12" t="s">
        <v>26</v>
      </c>
      <c r="H535" s="12">
        <v>9258</v>
      </c>
      <c r="I535" s="12" t="s">
        <v>33</v>
      </c>
      <c r="J535" s="26">
        <v>0.3</v>
      </c>
      <c r="K535" s="12">
        <v>9000</v>
      </c>
      <c r="L535" s="14">
        <v>45314</v>
      </c>
      <c r="M535" s="8" t="str">
        <f t="shared" si="24"/>
        <v>Below Target</v>
      </c>
      <c r="N535" s="20">
        <f t="shared" si="25"/>
        <v>30</v>
      </c>
      <c r="O535" s="22">
        <f t="shared" si="26"/>
        <v>6480.6</v>
      </c>
    </row>
    <row r="536" spans="1:15" x14ac:dyDescent="0.3">
      <c r="A536" s="12" t="s">
        <v>760</v>
      </c>
      <c r="B536" s="12" t="s">
        <v>619</v>
      </c>
      <c r="C536" s="12" t="s">
        <v>30</v>
      </c>
      <c r="D536" s="12" t="s">
        <v>31</v>
      </c>
      <c r="E536" s="12" t="s">
        <v>16</v>
      </c>
      <c r="F536" s="12" t="s">
        <v>39</v>
      </c>
      <c r="G536" s="12" t="s">
        <v>18</v>
      </c>
      <c r="H536" s="12">
        <v>16167</v>
      </c>
      <c r="I536" s="12" t="s">
        <v>22</v>
      </c>
      <c r="J536" s="26">
        <v>0.1</v>
      </c>
      <c r="K536" s="12">
        <v>17000</v>
      </c>
      <c r="L536" s="14">
        <v>45316</v>
      </c>
      <c r="M536" s="8" t="str">
        <f t="shared" si="24"/>
        <v>Below Target</v>
      </c>
      <c r="N536" s="20">
        <f t="shared" si="25"/>
        <v>10</v>
      </c>
      <c r="O536" s="22">
        <f t="shared" si="26"/>
        <v>14550.3</v>
      </c>
    </row>
    <row r="537" spans="1:15" x14ac:dyDescent="0.3">
      <c r="A537" s="12" t="s">
        <v>761</v>
      </c>
      <c r="B537" s="12" t="s">
        <v>243</v>
      </c>
      <c r="C537" s="12" t="s">
        <v>44</v>
      </c>
      <c r="D537" s="12" t="s">
        <v>45</v>
      </c>
      <c r="E537" s="12" t="s">
        <v>32</v>
      </c>
      <c r="F537" s="12" t="s">
        <v>39</v>
      </c>
      <c r="G537" s="12" t="s">
        <v>18</v>
      </c>
      <c r="H537" s="12">
        <v>13775</v>
      </c>
      <c r="I537" s="12" t="s">
        <v>19</v>
      </c>
      <c r="J537" s="26">
        <v>0.2</v>
      </c>
      <c r="K537" s="12">
        <v>13000</v>
      </c>
      <c r="L537" s="14">
        <v>45309</v>
      </c>
      <c r="M537" s="8" t="str">
        <f t="shared" si="24"/>
        <v>Below Target</v>
      </c>
      <c r="N537" s="20">
        <f t="shared" si="25"/>
        <v>20</v>
      </c>
      <c r="O537" s="22">
        <f t="shared" si="26"/>
        <v>11020</v>
      </c>
    </row>
    <row r="538" spans="1:15" x14ac:dyDescent="0.3">
      <c r="A538" s="12" t="s">
        <v>762</v>
      </c>
      <c r="B538" s="12" t="s">
        <v>90</v>
      </c>
      <c r="C538" s="12" t="s">
        <v>14</v>
      </c>
      <c r="D538" s="12" t="s">
        <v>15</v>
      </c>
      <c r="E538" s="12" t="s">
        <v>16</v>
      </c>
      <c r="F538" s="12" t="s">
        <v>25</v>
      </c>
      <c r="G538" s="12" t="s">
        <v>36</v>
      </c>
      <c r="H538" s="12">
        <v>15733</v>
      </c>
      <c r="I538" s="12" t="s">
        <v>19</v>
      </c>
      <c r="J538" s="26">
        <v>0.2</v>
      </c>
      <c r="K538" s="12">
        <v>14000</v>
      </c>
      <c r="L538" s="14">
        <v>45333</v>
      </c>
      <c r="M538" s="8" t="str">
        <f t="shared" si="24"/>
        <v>Below Target</v>
      </c>
      <c r="N538" s="20">
        <f t="shared" si="25"/>
        <v>20</v>
      </c>
      <c r="O538" s="22">
        <f t="shared" si="26"/>
        <v>12586.4</v>
      </c>
    </row>
    <row r="539" spans="1:15" x14ac:dyDescent="0.3">
      <c r="A539" s="12" t="s">
        <v>763</v>
      </c>
      <c r="B539" s="12" t="s">
        <v>720</v>
      </c>
      <c r="C539" s="12" t="s">
        <v>14</v>
      </c>
      <c r="D539" s="12" t="s">
        <v>15</v>
      </c>
      <c r="E539" s="12" t="s">
        <v>32</v>
      </c>
      <c r="F539" s="12" t="s">
        <v>17</v>
      </c>
      <c r="G539" s="12" t="s">
        <v>26</v>
      </c>
      <c r="H539" s="12">
        <v>15297</v>
      </c>
      <c r="I539" s="12" t="s">
        <v>33</v>
      </c>
      <c r="J539" s="26">
        <v>0.3</v>
      </c>
      <c r="K539" s="12">
        <v>14000</v>
      </c>
      <c r="L539" s="14">
        <v>45337</v>
      </c>
      <c r="M539" s="8" t="str">
        <f t="shared" si="24"/>
        <v>Below Target</v>
      </c>
      <c r="N539" s="20">
        <f t="shared" si="25"/>
        <v>30</v>
      </c>
      <c r="O539" s="22">
        <f t="shared" si="26"/>
        <v>10707.9</v>
      </c>
    </row>
    <row r="540" spans="1:15" x14ac:dyDescent="0.3">
      <c r="A540" s="12" t="s">
        <v>764</v>
      </c>
      <c r="B540" s="12" t="s">
        <v>765</v>
      </c>
      <c r="C540" s="12" t="s">
        <v>30</v>
      </c>
      <c r="D540" s="12" t="s">
        <v>31</v>
      </c>
      <c r="E540" s="12" t="s">
        <v>46</v>
      </c>
      <c r="F540" s="12" t="s">
        <v>17</v>
      </c>
      <c r="G540" s="12" t="s">
        <v>36</v>
      </c>
      <c r="H540" s="12">
        <v>16880</v>
      </c>
      <c r="I540" s="12" t="s">
        <v>33</v>
      </c>
      <c r="J540" s="26">
        <v>0.3</v>
      </c>
      <c r="K540" s="12">
        <v>17000</v>
      </c>
      <c r="L540" s="14">
        <v>45305</v>
      </c>
      <c r="M540" s="8" t="str">
        <f t="shared" si="24"/>
        <v>Below Target</v>
      </c>
      <c r="N540" s="20">
        <f t="shared" si="25"/>
        <v>30</v>
      </c>
      <c r="O540" s="22">
        <f t="shared" si="26"/>
        <v>11816</v>
      </c>
    </row>
    <row r="541" spans="1:15" x14ac:dyDescent="0.3">
      <c r="A541" s="12" t="s">
        <v>766</v>
      </c>
      <c r="B541" s="12" t="s">
        <v>123</v>
      </c>
      <c r="C541" s="12" t="s">
        <v>61</v>
      </c>
      <c r="D541" s="12" t="s">
        <v>62</v>
      </c>
      <c r="E541" s="12" t="s">
        <v>16</v>
      </c>
      <c r="F541" s="12" t="s">
        <v>25</v>
      </c>
      <c r="G541" s="12" t="s">
        <v>18</v>
      </c>
      <c r="H541" s="12">
        <v>9095</v>
      </c>
      <c r="I541" s="12" t="s">
        <v>33</v>
      </c>
      <c r="J541" s="26">
        <v>0.3</v>
      </c>
      <c r="K541" s="12">
        <v>9000</v>
      </c>
      <c r="L541" s="14">
        <v>45327</v>
      </c>
      <c r="M541" s="8" t="str">
        <f t="shared" si="24"/>
        <v>Below Target</v>
      </c>
      <c r="N541" s="20">
        <f t="shared" si="25"/>
        <v>30</v>
      </c>
      <c r="O541" s="22">
        <f t="shared" si="26"/>
        <v>6366.5</v>
      </c>
    </row>
    <row r="542" spans="1:15" x14ac:dyDescent="0.3">
      <c r="A542" s="12" t="s">
        <v>767</v>
      </c>
      <c r="B542" s="12" t="s">
        <v>163</v>
      </c>
      <c r="C542" s="12" t="s">
        <v>30</v>
      </c>
      <c r="D542" s="12" t="s">
        <v>31</v>
      </c>
      <c r="E542" s="12" t="s">
        <v>46</v>
      </c>
      <c r="F542" s="12" t="s">
        <v>39</v>
      </c>
      <c r="G542" s="12" t="s">
        <v>18</v>
      </c>
      <c r="H542" s="12">
        <v>16973</v>
      </c>
      <c r="I542" s="12" t="s">
        <v>22</v>
      </c>
      <c r="J542" s="26">
        <v>0.1</v>
      </c>
      <c r="K542" s="12">
        <v>17000</v>
      </c>
      <c r="L542" s="14">
        <v>45313</v>
      </c>
      <c r="M542" s="8" t="str">
        <f t="shared" si="24"/>
        <v>Below Target</v>
      </c>
      <c r="N542" s="20">
        <f t="shared" si="25"/>
        <v>10</v>
      </c>
      <c r="O542" s="22">
        <f t="shared" si="26"/>
        <v>15275.7</v>
      </c>
    </row>
    <row r="543" spans="1:15" x14ac:dyDescent="0.3">
      <c r="A543" s="12" t="s">
        <v>768</v>
      </c>
      <c r="B543" s="12" t="s">
        <v>286</v>
      </c>
      <c r="C543" s="12" t="s">
        <v>30</v>
      </c>
      <c r="D543" s="12" t="s">
        <v>31</v>
      </c>
      <c r="E543" s="12" t="s">
        <v>46</v>
      </c>
      <c r="F543" s="12" t="s">
        <v>17</v>
      </c>
      <c r="G543" s="12" t="s">
        <v>26</v>
      </c>
      <c r="H543" s="12">
        <v>17912</v>
      </c>
      <c r="I543" s="12" t="s">
        <v>33</v>
      </c>
      <c r="J543" s="26">
        <v>0.3</v>
      </c>
      <c r="K543" s="12">
        <v>17000</v>
      </c>
      <c r="L543" s="14">
        <v>45304</v>
      </c>
      <c r="M543" s="8" t="str">
        <f t="shared" si="24"/>
        <v>Below Target</v>
      </c>
      <c r="N543" s="20">
        <f t="shared" si="25"/>
        <v>30</v>
      </c>
      <c r="O543" s="22">
        <f t="shared" si="26"/>
        <v>12538.4</v>
      </c>
    </row>
    <row r="544" spans="1:15" x14ac:dyDescent="0.3">
      <c r="A544" s="12" t="s">
        <v>769</v>
      </c>
      <c r="B544" s="12" t="s">
        <v>440</v>
      </c>
      <c r="C544" s="12" t="s">
        <v>44</v>
      </c>
      <c r="D544" s="12" t="s">
        <v>45</v>
      </c>
      <c r="E544" s="12" t="s">
        <v>32</v>
      </c>
      <c r="F544" s="12" t="s">
        <v>39</v>
      </c>
      <c r="G544" s="12" t="s">
        <v>36</v>
      </c>
      <c r="H544" s="12">
        <v>13705</v>
      </c>
      <c r="I544" s="12" t="s">
        <v>33</v>
      </c>
      <c r="J544" s="26">
        <v>0.3</v>
      </c>
      <c r="K544" s="12">
        <v>13000</v>
      </c>
      <c r="L544" s="14">
        <v>45335</v>
      </c>
      <c r="M544" s="8" t="str">
        <f t="shared" si="24"/>
        <v>Below Target</v>
      </c>
      <c r="N544" s="20">
        <f t="shared" si="25"/>
        <v>30</v>
      </c>
      <c r="O544" s="22">
        <f t="shared" si="26"/>
        <v>9593.5</v>
      </c>
    </row>
    <row r="545" spans="1:15" x14ac:dyDescent="0.3">
      <c r="A545" s="12" t="s">
        <v>770</v>
      </c>
      <c r="B545" s="12" t="s">
        <v>280</v>
      </c>
      <c r="C545" s="12" t="s">
        <v>14</v>
      </c>
      <c r="D545" s="12" t="s">
        <v>15</v>
      </c>
      <c r="E545" s="12" t="s">
        <v>16</v>
      </c>
      <c r="F545" s="12" t="s">
        <v>17</v>
      </c>
      <c r="G545" s="12" t="s">
        <v>36</v>
      </c>
      <c r="H545" s="12">
        <v>13062</v>
      </c>
      <c r="I545" s="12"/>
      <c r="J545" s="26"/>
      <c r="K545" s="12">
        <v>14000</v>
      </c>
      <c r="L545" s="14">
        <v>45317</v>
      </c>
      <c r="M545" s="8" t="str">
        <f t="shared" si="24"/>
        <v>Target Achieved</v>
      </c>
      <c r="N545" s="20">
        <f t="shared" si="25"/>
        <v>0</v>
      </c>
      <c r="O545" s="22">
        <f t="shared" si="26"/>
        <v>13062</v>
      </c>
    </row>
    <row r="546" spans="1:15" x14ac:dyDescent="0.3">
      <c r="A546" s="12" t="s">
        <v>771</v>
      </c>
      <c r="B546" s="12" t="s">
        <v>101</v>
      </c>
      <c r="C546" s="12" t="s">
        <v>14</v>
      </c>
      <c r="D546" s="12" t="s">
        <v>15</v>
      </c>
      <c r="E546" s="12" t="s">
        <v>16</v>
      </c>
      <c r="F546" s="12" t="s">
        <v>39</v>
      </c>
      <c r="G546" s="12" t="s">
        <v>26</v>
      </c>
      <c r="H546" s="12">
        <v>15342</v>
      </c>
      <c r="I546" s="12" t="s">
        <v>19</v>
      </c>
      <c r="J546" s="26">
        <v>0.2</v>
      </c>
      <c r="K546" s="12">
        <v>14000</v>
      </c>
      <c r="L546" s="14">
        <v>45313</v>
      </c>
      <c r="M546" s="8" t="str">
        <f t="shared" si="24"/>
        <v>Below Target</v>
      </c>
      <c r="N546" s="20">
        <f t="shared" si="25"/>
        <v>20</v>
      </c>
      <c r="O546" s="22">
        <f t="shared" si="26"/>
        <v>12273.6</v>
      </c>
    </row>
    <row r="547" spans="1:15" x14ac:dyDescent="0.3">
      <c r="A547" s="12" t="s">
        <v>772</v>
      </c>
      <c r="B547" s="12" t="s">
        <v>342</v>
      </c>
      <c r="C547" s="12" t="s">
        <v>44</v>
      </c>
      <c r="D547" s="12" t="s">
        <v>45</v>
      </c>
      <c r="E547" s="12" t="s">
        <v>16</v>
      </c>
      <c r="F547" s="12" t="s">
        <v>39</v>
      </c>
      <c r="G547" s="12" t="s">
        <v>26</v>
      </c>
      <c r="H547" s="12">
        <v>14214</v>
      </c>
      <c r="I547" s="12"/>
      <c r="J547" s="26"/>
      <c r="K547" s="12">
        <v>13000</v>
      </c>
      <c r="L547" s="14">
        <v>45350</v>
      </c>
      <c r="M547" s="8" t="str">
        <f t="shared" si="24"/>
        <v>Target Achieved</v>
      </c>
      <c r="N547" s="20">
        <f t="shared" si="25"/>
        <v>0</v>
      </c>
      <c r="O547" s="22">
        <f t="shared" si="26"/>
        <v>14214</v>
      </c>
    </row>
    <row r="548" spans="1:15" x14ac:dyDescent="0.3">
      <c r="A548" s="12" t="s">
        <v>773</v>
      </c>
      <c r="B548" s="12" t="s">
        <v>317</v>
      </c>
      <c r="C548" s="12" t="s">
        <v>30</v>
      </c>
      <c r="D548" s="12" t="s">
        <v>31</v>
      </c>
      <c r="E548" s="12" t="s">
        <v>32</v>
      </c>
      <c r="F548" s="12" t="s">
        <v>39</v>
      </c>
      <c r="G548" s="12" t="s">
        <v>26</v>
      </c>
      <c r="H548" s="12">
        <v>15741</v>
      </c>
      <c r="I548" s="12" t="s">
        <v>33</v>
      </c>
      <c r="J548" s="26">
        <v>0.3</v>
      </c>
      <c r="K548" s="12">
        <v>17000</v>
      </c>
      <c r="L548" s="14">
        <v>45298</v>
      </c>
      <c r="M548" s="8" t="str">
        <f t="shared" si="24"/>
        <v>Below Target</v>
      </c>
      <c r="N548" s="20">
        <f t="shared" si="25"/>
        <v>30</v>
      </c>
      <c r="O548" s="22">
        <f t="shared" si="26"/>
        <v>11018.7</v>
      </c>
    </row>
    <row r="549" spans="1:15" x14ac:dyDescent="0.3">
      <c r="A549" s="12" t="s">
        <v>774</v>
      </c>
      <c r="B549" s="12" t="s">
        <v>508</v>
      </c>
      <c r="C549" s="12" t="s">
        <v>30</v>
      </c>
      <c r="D549" s="12" t="s">
        <v>31</v>
      </c>
      <c r="E549" s="12" t="s">
        <v>16</v>
      </c>
      <c r="F549" s="12" t="s">
        <v>39</v>
      </c>
      <c r="G549" s="12" t="s">
        <v>18</v>
      </c>
      <c r="H549" s="12">
        <v>18878</v>
      </c>
      <c r="I549" s="12" t="s">
        <v>33</v>
      </c>
      <c r="J549" s="26">
        <v>0.3</v>
      </c>
      <c r="K549" s="12">
        <v>17000</v>
      </c>
      <c r="L549" s="14">
        <v>45333</v>
      </c>
      <c r="M549" s="8" t="str">
        <f t="shared" si="24"/>
        <v>Below Target</v>
      </c>
      <c r="N549" s="20">
        <f t="shared" si="25"/>
        <v>30</v>
      </c>
      <c r="O549" s="22">
        <f t="shared" si="26"/>
        <v>13214.6</v>
      </c>
    </row>
    <row r="550" spans="1:15" x14ac:dyDescent="0.3">
      <c r="A550" s="12" t="s">
        <v>775</v>
      </c>
      <c r="B550" s="12" t="s">
        <v>248</v>
      </c>
      <c r="C550" s="12" t="s">
        <v>30</v>
      </c>
      <c r="D550" s="12" t="s">
        <v>31</v>
      </c>
      <c r="E550" s="12" t="s">
        <v>32</v>
      </c>
      <c r="F550" s="12" t="s">
        <v>39</v>
      </c>
      <c r="G550" s="12" t="s">
        <v>36</v>
      </c>
      <c r="H550" s="12">
        <v>16722</v>
      </c>
      <c r="I550" s="12" t="s">
        <v>33</v>
      </c>
      <c r="J550" s="26">
        <v>0.3</v>
      </c>
      <c r="K550" s="12">
        <v>17000</v>
      </c>
      <c r="L550" s="14">
        <v>45315</v>
      </c>
      <c r="M550" s="8" t="str">
        <f t="shared" si="24"/>
        <v>Below Target</v>
      </c>
      <c r="N550" s="20">
        <f t="shared" si="25"/>
        <v>30</v>
      </c>
      <c r="O550" s="22">
        <f t="shared" si="26"/>
        <v>11705.4</v>
      </c>
    </row>
    <row r="551" spans="1:15" x14ac:dyDescent="0.3">
      <c r="A551" s="12" t="s">
        <v>776</v>
      </c>
      <c r="B551" s="12" t="s">
        <v>118</v>
      </c>
      <c r="C551" s="12" t="s">
        <v>30</v>
      </c>
      <c r="D551" s="12" t="s">
        <v>31</v>
      </c>
      <c r="E551" s="12" t="s">
        <v>46</v>
      </c>
      <c r="F551" s="12" t="s">
        <v>25</v>
      </c>
      <c r="G551" s="12" t="s">
        <v>36</v>
      </c>
      <c r="H551" s="12">
        <v>15219</v>
      </c>
      <c r="I551" s="12" t="s">
        <v>27</v>
      </c>
      <c r="J551" s="26"/>
      <c r="K551" s="12">
        <v>17000</v>
      </c>
      <c r="L551" s="14">
        <v>45329</v>
      </c>
      <c r="M551" s="8" t="str">
        <f t="shared" si="24"/>
        <v>Below Target</v>
      </c>
      <c r="N551" s="20">
        <f t="shared" si="25"/>
        <v>15</v>
      </c>
      <c r="O551" s="22">
        <f t="shared" si="26"/>
        <v>12936.15</v>
      </c>
    </row>
    <row r="552" spans="1:15" x14ac:dyDescent="0.3">
      <c r="A552" s="12" t="s">
        <v>777</v>
      </c>
      <c r="B552" s="12" t="s">
        <v>107</v>
      </c>
      <c r="C552" s="12" t="s">
        <v>61</v>
      </c>
      <c r="D552" s="12" t="s">
        <v>62</v>
      </c>
      <c r="E552" s="12" t="s">
        <v>32</v>
      </c>
      <c r="F552" s="12" t="s">
        <v>39</v>
      </c>
      <c r="G552" s="12" t="s">
        <v>18</v>
      </c>
      <c r="H552" s="12">
        <v>10553</v>
      </c>
      <c r="I552" s="12"/>
      <c r="J552" s="26"/>
      <c r="K552" s="12">
        <v>9000</v>
      </c>
      <c r="L552" s="14">
        <v>45325</v>
      </c>
      <c r="M552" s="8" t="str">
        <f t="shared" si="24"/>
        <v>Target Achieved</v>
      </c>
      <c r="N552" s="20">
        <f t="shared" si="25"/>
        <v>0</v>
      </c>
      <c r="O552" s="22">
        <f t="shared" si="26"/>
        <v>10553</v>
      </c>
    </row>
    <row r="553" spans="1:15" x14ac:dyDescent="0.3">
      <c r="A553" s="12" t="s">
        <v>778</v>
      </c>
      <c r="B553" s="12" t="s">
        <v>70</v>
      </c>
      <c r="C553" s="12" t="s">
        <v>14</v>
      </c>
      <c r="D553" s="12" t="s">
        <v>15</v>
      </c>
      <c r="E553" s="12" t="s">
        <v>32</v>
      </c>
      <c r="F553" s="12" t="s">
        <v>25</v>
      </c>
      <c r="G553" s="12" t="s">
        <v>18</v>
      </c>
      <c r="H553" s="12">
        <v>13403</v>
      </c>
      <c r="I553" s="12"/>
      <c r="J553" s="26"/>
      <c r="K553" s="12">
        <v>14000</v>
      </c>
      <c r="L553" s="14">
        <v>45328</v>
      </c>
      <c r="M553" s="8" t="str">
        <f t="shared" si="24"/>
        <v>Target Achieved</v>
      </c>
      <c r="N553" s="20">
        <f t="shared" si="25"/>
        <v>0</v>
      </c>
      <c r="O553" s="22">
        <f t="shared" si="26"/>
        <v>13403</v>
      </c>
    </row>
    <row r="554" spans="1:15" x14ac:dyDescent="0.3">
      <c r="A554" s="12" t="s">
        <v>779</v>
      </c>
      <c r="B554" s="12" t="s">
        <v>445</v>
      </c>
      <c r="C554" s="12" t="s">
        <v>44</v>
      </c>
      <c r="D554" s="12" t="s">
        <v>45</v>
      </c>
      <c r="E554" s="12" t="s">
        <v>46</v>
      </c>
      <c r="F554" s="12" t="s">
        <v>39</v>
      </c>
      <c r="G554" s="12" t="s">
        <v>18</v>
      </c>
      <c r="H554" s="12">
        <v>14190</v>
      </c>
      <c r="I554" s="12" t="s">
        <v>22</v>
      </c>
      <c r="J554" s="26">
        <v>0.1</v>
      </c>
      <c r="K554" s="12">
        <v>13000</v>
      </c>
      <c r="L554" s="14">
        <v>45323</v>
      </c>
      <c r="M554" s="8" t="str">
        <f t="shared" si="24"/>
        <v>Below Target</v>
      </c>
      <c r="N554" s="20">
        <f t="shared" si="25"/>
        <v>10</v>
      </c>
      <c r="O554" s="22">
        <f t="shared" si="26"/>
        <v>12771</v>
      </c>
    </row>
    <row r="555" spans="1:15" x14ac:dyDescent="0.3">
      <c r="A555" s="12" t="s">
        <v>780</v>
      </c>
      <c r="B555" s="12" t="s">
        <v>150</v>
      </c>
      <c r="C555" s="12" t="s">
        <v>44</v>
      </c>
      <c r="D555" s="12" t="s">
        <v>45</v>
      </c>
      <c r="E555" s="12" t="s">
        <v>46</v>
      </c>
      <c r="F555" s="12" t="s">
        <v>39</v>
      </c>
      <c r="G555" s="12" t="s">
        <v>18</v>
      </c>
      <c r="H555" s="12">
        <v>11019</v>
      </c>
      <c r="I555" s="12"/>
      <c r="J555" s="26"/>
      <c r="K555" s="12">
        <v>13000</v>
      </c>
      <c r="L555" s="14">
        <v>45309</v>
      </c>
      <c r="M555" s="8" t="str">
        <f t="shared" si="24"/>
        <v>Target Achieved</v>
      </c>
      <c r="N555" s="20">
        <f t="shared" si="25"/>
        <v>0</v>
      </c>
      <c r="O555" s="22">
        <f t="shared" si="26"/>
        <v>11019</v>
      </c>
    </row>
    <row r="556" spans="1:15" x14ac:dyDescent="0.3">
      <c r="A556" s="12" t="s">
        <v>781</v>
      </c>
      <c r="B556" s="12" t="s">
        <v>401</v>
      </c>
      <c r="C556" s="12" t="s">
        <v>44</v>
      </c>
      <c r="D556" s="12" t="s">
        <v>45</v>
      </c>
      <c r="E556" s="12" t="s">
        <v>16</v>
      </c>
      <c r="F556" s="12" t="s">
        <v>25</v>
      </c>
      <c r="G556" s="12" t="s">
        <v>36</v>
      </c>
      <c r="H556" s="12">
        <v>14216</v>
      </c>
      <c r="I556" s="12" t="s">
        <v>22</v>
      </c>
      <c r="J556" s="26">
        <v>0.1</v>
      </c>
      <c r="K556" s="12">
        <v>13000</v>
      </c>
      <c r="L556" s="14">
        <v>45300</v>
      </c>
      <c r="M556" s="8" t="str">
        <f t="shared" si="24"/>
        <v>Below Target</v>
      </c>
      <c r="N556" s="20">
        <f t="shared" si="25"/>
        <v>10</v>
      </c>
      <c r="O556" s="22">
        <f t="shared" si="26"/>
        <v>12794.4</v>
      </c>
    </row>
    <row r="557" spans="1:15" x14ac:dyDescent="0.3">
      <c r="A557" s="12" t="s">
        <v>782</v>
      </c>
      <c r="B557" s="12" t="s">
        <v>337</v>
      </c>
      <c r="C557" s="12" t="s">
        <v>61</v>
      </c>
      <c r="D557" s="12" t="s">
        <v>62</v>
      </c>
      <c r="E557" s="12" t="s">
        <v>46</v>
      </c>
      <c r="F557" s="12" t="s">
        <v>17</v>
      </c>
      <c r="G557" s="12" t="s">
        <v>36</v>
      </c>
      <c r="H557" s="12">
        <v>8570</v>
      </c>
      <c r="I557" s="12" t="s">
        <v>22</v>
      </c>
      <c r="J557" s="26">
        <v>0.1</v>
      </c>
      <c r="K557" s="12">
        <v>9000</v>
      </c>
      <c r="L557" s="14">
        <v>45294</v>
      </c>
      <c r="M557" s="8" t="str">
        <f t="shared" si="24"/>
        <v>Below Target</v>
      </c>
      <c r="N557" s="20">
        <f t="shared" si="25"/>
        <v>10</v>
      </c>
      <c r="O557" s="22">
        <f t="shared" si="26"/>
        <v>7713</v>
      </c>
    </row>
    <row r="558" spans="1:15" x14ac:dyDescent="0.3">
      <c r="A558" s="12" t="s">
        <v>783</v>
      </c>
      <c r="B558" s="12" t="s">
        <v>346</v>
      </c>
      <c r="C558" s="12" t="s">
        <v>30</v>
      </c>
      <c r="D558" s="12" t="s">
        <v>31</v>
      </c>
      <c r="E558" s="12" t="s">
        <v>32</v>
      </c>
      <c r="F558" s="12" t="s">
        <v>17</v>
      </c>
      <c r="G558" s="12" t="s">
        <v>26</v>
      </c>
      <c r="H558" s="12">
        <v>15780</v>
      </c>
      <c r="I558" s="12" t="s">
        <v>22</v>
      </c>
      <c r="J558" s="26">
        <v>0.1</v>
      </c>
      <c r="K558" s="12">
        <v>17000</v>
      </c>
      <c r="L558" s="14">
        <v>45335</v>
      </c>
      <c r="M558" s="8" t="str">
        <f t="shared" si="24"/>
        <v>Below Target</v>
      </c>
      <c r="N558" s="20">
        <f t="shared" si="25"/>
        <v>10</v>
      </c>
      <c r="O558" s="22">
        <f t="shared" si="26"/>
        <v>14202</v>
      </c>
    </row>
    <row r="559" spans="1:15" x14ac:dyDescent="0.3">
      <c r="A559" s="12" t="s">
        <v>784</v>
      </c>
      <c r="B559" s="12" t="s">
        <v>68</v>
      </c>
      <c r="C559" s="12" t="s">
        <v>44</v>
      </c>
      <c r="D559" s="12" t="s">
        <v>45</v>
      </c>
      <c r="E559" s="12" t="s">
        <v>32</v>
      </c>
      <c r="F559" s="12" t="s">
        <v>39</v>
      </c>
      <c r="G559" s="12" t="s">
        <v>36</v>
      </c>
      <c r="H559" s="12">
        <v>12278</v>
      </c>
      <c r="I559" s="12" t="s">
        <v>19</v>
      </c>
      <c r="J559" s="26">
        <v>0.2</v>
      </c>
      <c r="K559" s="12">
        <v>13000</v>
      </c>
      <c r="L559" s="14">
        <v>45298</v>
      </c>
      <c r="M559" s="8" t="str">
        <f t="shared" si="24"/>
        <v>Below Target</v>
      </c>
      <c r="N559" s="20">
        <f t="shared" si="25"/>
        <v>20</v>
      </c>
      <c r="O559" s="22">
        <f t="shared" si="26"/>
        <v>9822.4</v>
      </c>
    </row>
    <row r="560" spans="1:15" x14ac:dyDescent="0.3">
      <c r="A560" s="12" t="s">
        <v>785</v>
      </c>
      <c r="B560" s="12" t="s">
        <v>512</v>
      </c>
      <c r="C560" s="12" t="s">
        <v>30</v>
      </c>
      <c r="D560" s="12" t="s">
        <v>31</v>
      </c>
      <c r="E560" s="12" t="s">
        <v>32</v>
      </c>
      <c r="F560" s="12" t="s">
        <v>25</v>
      </c>
      <c r="G560" s="12" t="s">
        <v>18</v>
      </c>
      <c r="H560" s="12">
        <v>16221</v>
      </c>
      <c r="I560" s="12" t="s">
        <v>33</v>
      </c>
      <c r="J560" s="26">
        <v>0.3</v>
      </c>
      <c r="K560" s="12">
        <v>17000</v>
      </c>
      <c r="L560" s="14">
        <v>45321</v>
      </c>
      <c r="M560" s="8" t="str">
        <f t="shared" si="24"/>
        <v>Below Target</v>
      </c>
      <c r="N560" s="20">
        <f t="shared" si="25"/>
        <v>30</v>
      </c>
      <c r="O560" s="22">
        <f t="shared" si="26"/>
        <v>11354.7</v>
      </c>
    </row>
    <row r="561" spans="1:15" x14ac:dyDescent="0.3">
      <c r="A561" s="12" t="s">
        <v>786</v>
      </c>
      <c r="B561" s="12" t="s">
        <v>103</v>
      </c>
      <c r="C561" s="12" t="s">
        <v>30</v>
      </c>
      <c r="D561" s="12" t="s">
        <v>31</v>
      </c>
      <c r="E561" s="12" t="s">
        <v>46</v>
      </c>
      <c r="F561" s="12" t="s">
        <v>39</v>
      </c>
      <c r="G561" s="12" t="s">
        <v>18</v>
      </c>
      <c r="H561" s="12">
        <v>16403</v>
      </c>
      <c r="I561" s="12"/>
      <c r="J561" s="26"/>
      <c r="K561" s="12">
        <v>17000</v>
      </c>
      <c r="L561" s="14">
        <v>45314</v>
      </c>
      <c r="M561" s="8" t="str">
        <f t="shared" si="24"/>
        <v>Target Achieved</v>
      </c>
      <c r="N561" s="20">
        <f t="shared" si="25"/>
        <v>0</v>
      </c>
      <c r="O561" s="22">
        <f t="shared" si="26"/>
        <v>16403</v>
      </c>
    </row>
    <row r="562" spans="1:15" x14ac:dyDescent="0.3">
      <c r="A562" s="12" t="s">
        <v>787</v>
      </c>
      <c r="B562" s="12" t="s">
        <v>294</v>
      </c>
      <c r="C562" s="12" t="s">
        <v>44</v>
      </c>
      <c r="D562" s="12" t="s">
        <v>45</v>
      </c>
      <c r="E562" s="12" t="s">
        <v>46</v>
      </c>
      <c r="F562" s="12" t="s">
        <v>25</v>
      </c>
      <c r="G562" s="12" t="s">
        <v>18</v>
      </c>
      <c r="H562" s="12">
        <v>11918</v>
      </c>
      <c r="I562" s="12" t="s">
        <v>19</v>
      </c>
      <c r="J562" s="26">
        <v>0.2</v>
      </c>
      <c r="K562" s="12">
        <v>13000</v>
      </c>
      <c r="L562" s="14">
        <v>45305</v>
      </c>
      <c r="M562" s="8" t="str">
        <f t="shared" si="24"/>
        <v>Below Target</v>
      </c>
      <c r="N562" s="20">
        <f t="shared" si="25"/>
        <v>20</v>
      </c>
      <c r="O562" s="22">
        <f t="shared" si="26"/>
        <v>9534.4</v>
      </c>
    </row>
    <row r="563" spans="1:15" x14ac:dyDescent="0.3">
      <c r="A563" s="12" t="s">
        <v>788</v>
      </c>
      <c r="B563" s="12" t="s">
        <v>464</v>
      </c>
      <c r="C563" s="12" t="s">
        <v>44</v>
      </c>
      <c r="D563" s="12" t="s">
        <v>45</v>
      </c>
      <c r="E563" s="12" t="s">
        <v>32</v>
      </c>
      <c r="F563" s="12" t="s">
        <v>17</v>
      </c>
      <c r="G563" s="12" t="s">
        <v>26</v>
      </c>
      <c r="H563" s="12">
        <v>13664</v>
      </c>
      <c r="I563" s="12" t="s">
        <v>22</v>
      </c>
      <c r="J563" s="26">
        <v>0.1</v>
      </c>
      <c r="K563" s="12">
        <v>13000</v>
      </c>
      <c r="L563" s="14">
        <v>45316</v>
      </c>
      <c r="M563" s="8" t="str">
        <f t="shared" si="24"/>
        <v>Below Target</v>
      </c>
      <c r="N563" s="20">
        <f t="shared" si="25"/>
        <v>10</v>
      </c>
      <c r="O563" s="22">
        <f t="shared" si="26"/>
        <v>12297.6</v>
      </c>
    </row>
    <row r="564" spans="1:15" x14ac:dyDescent="0.3">
      <c r="A564" s="12" t="s">
        <v>789</v>
      </c>
      <c r="B564" s="12" t="s">
        <v>50</v>
      </c>
      <c r="C564" s="12" t="s">
        <v>30</v>
      </c>
      <c r="D564" s="12" t="s">
        <v>31</v>
      </c>
      <c r="E564" s="12" t="s">
        <v>16</v>
      </c>
      <c r="F564" s="12" t="s">
        <v>39</v>
      </c>
      <c r="G564" s="12" t="s">
        <v>18</v>
      </c>
      <c r="H564" s="12">
        <v>17432</v>
      </c>
      <c r="I564" s="12" t="s">
        <v>22</v>
      </c>
      <c r="J564" s="26">
        <v>0.1</v>
      </c>
      <c r="K564" s="12">
        <v>17000</v>
      </c>
      <c r="L564" s="14">
        <v>45334</v>
      </c>
      <c r="M564" s="8" t="str">
        <f t="shared" si="24"/>
        <v>Below Target</v>
      </c>
      <c r="N564" s="20">
        <f t="shared" si="25"/>
        <v>10</v>
      </c>
      <c r="O564" s="22">
        <f t="shared" si="26"/>
        <v>15688.8</v>
      </c>
    </row>
    <row r="565" spans="1:15" x14ac:dyDescent="0.3">
      <c r="A565" s="12" t="s">
        <v>790</v>
      </c>
      <c r="B565" s="12" t="s">
        <v>21</v>
      </c>
      <c r="C565" s="12" t="s">
        <v>14</v>
      </c>
      <c r="D565" s="12" t="s">
        <v>15</v>
      </c>
      <c r="E565" s="12" t="s">
        <v>32</v>
      </c>
      <c r="F565" s="12" t="s">
        <v>39</v>
      </c>
      <c r="G565" s="12" t="s">
        <v>18</v>
      </c>
      <c r="H565" s="12">
        <v>13707</v>
      </c>
      <c r="I565" s="12"/>
      <c r="J565" s="26"/>
      <c r="K565" s="12">
        <v>14000</v>
      </c>
      <c r="L565" s="14">
        <v>45316</v>
      </c>
      <c r="M565" s="8" t="str">
        <f t="shared" si="24"/>
        <v>Target Achieved</v>
      </c>
      <c r="N565" s="20">
        <f t="shared" si="25"/>
        <v>0</v>
      </c>
      <c r="O565" s="22">
        <f t="shared" si="26"/>
        <v>13707</v>
      </c>
    </row>
    <row r="566" spans="1:15" x14ac:dyDescent="0.3">
      <c r="A566" s="12" t="s">
        <v>791</v>
      </c>
      <c r="B566" s="12" t="s">
        <v>241</v>
      </c>
      <c r="C566" s="12" t="s">
        <v>30</v>
      </c>
      <c r="D566" s="12" t="s">
        <v>31</v>
      </c>
      <c r="E566" s="12" t="s">
        <v>46</v>
      </c>
      <c r="F566" s="12" t="s">
        <v>39</v>
      </c>
      <c r="G566" s="12" t="s">
        <v>18</v>
      </c>
      <c r="H566" s="12">
        <v>15841</v>
      </c>
      <c r="I566" s="12" t="s">
        <v>22</v>
      </c>
      <c r="J566" s="26">
        <v>0.1</v>
      </c>
      <c r="K566" s="12">
        <v>17000</v>
      </c>
      <c r="L566" s="14">
        <v>45311</v>
      </c>
      <c r="M566" s="8" t="str">
        <f t="shared" si="24"/>
        <v>Below Target</v>
      </c>
      <c r="N566" s="20">
        <f t="shared" si="25"/>
        <v>10</v>
      </c>
      <c r="O566" s="22">
        <f t="shared" si="26"/>
        <v>14256.9</v>
      </c>
    </row>
    <row r="567" spans="1:15" x14ac:dyDescent="0.3">
      <c r="A567" s="12" t="s">
        <v>792</v>
      </c>
      <c r="B567" s="12" t="s">
        <v>274</v>
      </c>
      <c r="C567" s="12" t="s">
        <v>14</v>
      </c>
      <c r="D567" s="12" t="s">
        <v>15</v>
      </c>
      <c r="E567" s="12" t="s">
        <v>16</v>
      </c>
      <c r="F567" s="12" t="s">
        <v>39</v>
      </c>
      <c r="G567" s="12" t="s">
        <v>36</v>
      </c>
      <c r="H567" s="12">
        <v>14550</v>
      </c>
      <c r="I567" s="12" t="s">
        <v>27</v>
      </c>
      <c r="J567" s="26"/>
      <c r="K567" s="12">
        <v>14000</v>
      </c>
      <c r="L567" s="14">
        <v>45336</v>
      </c>
      <c r="M567" s="8" t="str">
        <f t="shared" si="24"/>
        <v>Below Target</v>
      </c>
      <c r="N567" s="20">
        <f t="shared" si="25"/>
        <v>15</v>
      </c>
      <c r="O567" s="22">
        <f t="shared" si="26"/>
        <v>12367.5</v>
      </c>
    </row>
    <row r="568" spans="1:15" x14ac:dyDescent="0.3">
      <c r="A568" s="12" t="s">
        <v>793</v>
      </c>
      <c r="B568" s="12" t="s">
        <v>363</v>
      </c>
      <c r="C568" s="12" t="s">
        <v>14</v>
      </c>
      <c r="D568" s="12" t="s">
        <v>15</v>
      </c>
      <c r="E568" s="12" t="s">
        <v>16</v>
      </c>
      <c r="F568" s="12" t="s">
        <v>39</v>
      </c>
      <c r="G568" s="12" t="s">
        <v>26</v>
      </c>
      <c r="H568" s="12">
        <v>12482</v>
      </c>
      <c r="I568" s="12" t="s">
        <v>33</v>
      </c>
      <c r="J568" s="26">
        <v>0.3</v>
      </c>
      <c r="K568" s="12">
        <v>14000</v>
      </c>
      <c r="L568" s="14">
        <v>45299</v>
      </c>
      <c r="M568" s="8" t="str">
        <f t="shared" si="24"/>
        <v>Below Target</v>
      </c>
      <c r="N568" s="20">
        <f t="shared" si="25"/>
        <v>30</v>
      </c>
      <c r="O568" s="22">
        <f t="shared" si="26"/>
        <v>8737.4</v>
      </c>
    </row>
    <row r="569" spans="1:15" x14ac:dyDescent="0.3">
      <c r="A569" s="12" t="s">
        <v>794</v>
      </c>
      <c r="B569" s="12" t="s">
        <v>652</v>
      </c>
      <c r="C569" s="12" t="s">
        <v>61</v>
      </c>
      <c r="D569" s="12" t="s">
        <v>62</v>
      </c>
      <c r="E569" s="12" t="s">
        <v>32</v>
      </c>
      <c r="F569" s="12" t="s">
        <v>39</v>
      </c>
      <c r="G569" s="12" t="s">
        <v>18</v>
      </c>
      <c r="H569" s="12">
        <v>10186</v>
      </c>
      <c r="I569" s="12" t="s">
        <v>33</v>
      </c>
      <c r="J569" s="26">
        <v>0.3</v>
      </c>
      <c r="K569" s="12">
        <v>9000</v>
      </c>
      <c r="L569" s="14">
        <v>45345</v>
      </c>
      <c r="M569" s="8" t="str">
        <f t="shared" si="24"/>
        <v>Below Target</v>
      </c>
      <c r="N569" s="20">
        <f t="shared" si="25"/>
        <v>30</v>
      </c>
      <c r="O569" s="22">
        <f t="shared" si="26"/>
        <v>7130.2</v>
      </c>
    </row>
    <row r="570" spans="1:15" x14ac:dyDescent="0.3">
      <c r="A570" s="12" t="s">
        <v>795</v>
      </c>
      <c r="B570" s="12" t="s">
        <v>346</v>
      </c>
      <c r="C570" s="12" t="s">
        <v>30</v>
      </c>
      <c r="D570" s="12" t="s">
        <v>31</v>
      </c>
      <c r="E570" s="12" t="s">
        <v>16</v>
      </c>
      <c r="F570" s="12" t="s">
        <v>17</v>
      </c>
      <c r="G570" s="12" t="s">
        <v>36</v>
      </c>
      <c r="H570" s="12">
        <v>15656</v>
      </c>
      <c r="I570" s="12" t="s">
        <v>22</v>
      </c>
      <c r="J570" s="26">
        <v>0.1</v>
      </c>
      <c r="K570" s="12">
        <v>17000</v>
      </c>
      <c r="L570" s="14">
        <v>45327</v>
      </c>
      <c r="M570" s="8" t="str">
        <f t="shared" si="24"/>
        <v>Below Target</v>
      </c>
      <c r="N570" s="20">
        <f t="shared" si="25"/>
        <v>10</v>
      </c>
      <c r="O570" s="22">
        <f t="shared" si="26"/>
        <v>14090.4</v>
      </c>
    </row>
    <row r="571" spans="1:15" x14ac:dyDescent="0.3">
      <c r="A571" s="12" t="s">
        <v>796</v>
      </c>
      <c r="B571" s="12" t="s">
        <v>211</v>
      </c>
      <c r="C571" s="12" t="s">
        <v>61</v>
      </c>
      <c r="D571" s="12" t="s">
        <v>62</v>
      </c>
      <c r="E571" s="12" t="s">
        <v>46</v>
      </c>
      <c r="F571" s="12" t="s">
        <v>25</v>
      </c>
      <c r="G571" s="12" t="s">
        <v>18</v>
      </c>
      <c r="H571" s="12">
        <v>7052</v>
      </c>
      <c r="I571" s="12" t="s">
        <v>22</v>
      </c>
      <c r="J571" s="26">
        <v>0.1</v>
      </c>
      <c r="K571" s="12">
        <v>9000</v>
      </c>
      <c r="L571" s="14">
        <v>45350</v>
      </c>
      <c r="M571" s="8" t="str">
        <f t="shared" si="24"/>
        <v>Below Target</v>
      </c>
      <c r="N571" s="20">
        <f t="shared" si="25"/>
        <v>10</v>
      </c>
      <c r="O571" s="22">
        <f t="shared" si="26"/>
        <v>6346.8</v>
      </c>
    </row>
    <row r="572" spans="1:15" x14ac:dyDescent="0.3">
      <c r="A572" s="12" t="s">
        <v>797</v>
      </c>
      <c r="B572" s="12" t="s">
        <v>159</v>
      </c>
      <c r="C572" s="12" t="s">
        <v>61</v>
      </c>
      <c r="D572" s="12" t="s">
        <v>62</v>
      </c>
      <c r="E572" s="12" t="s">
        <v>32</v>
      </c>
      <c r="F572" s="12" t="s">
        <v>25</v>
      </c>
      <c r="G572" s="12" t="s">
        <v>26</v>
      </c>
      <c r="H572" s="12">
        <v>7307</v>
      </c>
      <c r="I572" s="12" t="s">
        <v>22</v>
      </c>
      <c r="J572" s="26">
        <v>0.1</v>
      </c>
      <c r="K572" s="12">
        <v>9000</v>
      </c>
      <c r="L572" s="14">
        <v>45349</v>
      </c>
      <c r="M572" s="8" t="str">
        <f t="shared" si="24"/>
        <v>Below Target</v>
      </c>
      <c r="N572" s="20">
        <f t="shared" si="25"/>
        <v>10</v>
      </c>
      <c r="O572" s="22">
        <f t="shared" si="26"/>
        <v>6576.3</v>
      </c>
    </row>
    <row r="573" spans="1:15" x14ac:dyDescent="0.3">
      <c r="A573" s="12" t="s">
        <v>798</v>
      </c>
      <c r="B573" s="12" t="s">
        <v>286</v>
      </c>
      <c r="C573" s="12" t="s">
        <v>44</v>
      </c>
      <c r="D573" s="12" t="s">
        <v>45</v>
      </c>
      <c r="E573" s="12" t="s">
        <v>46</v>
      </c>
      <c r="F573" s="12" t="s">
        <v>17</v>
      </c>
      <c r="G573" s="12" t="s">
        <v>36</v>
      </c>
      <c r="H573" s="12">
        <v>12901</v>
      </c>
      <c r="I573" s="12" t="s">
        <v>22</v>
      </c>
      <c r="J573" s="26">
        <v>0.1</v>
      </c>
      <c r="K573" s="12">
        <v>13000</v>
      </c>
      <c r="L573" s="14">
        <v>45298</v>
      </c>
      <c r="M573" s="8" t="str">
        <f t="shared" si="24"/>
        <v>Below Target</v>
      </c>
      <c r="N573" s="20">
        <f t="shared" si="25"/>
        <v>10</v>
      </c>
      <c r="O573" s="22">
        <f t="shared" si="26"/>
        <v>11610.9</v>
      </c>
    </row>
    <row r="574" spans="1:15" x14ac:dyDescent="0.3">
      <c r="A574" s="12" t="s">
        <v>799</v>
      </c>
      <c r="B574" s="12" t="s">
        <v>412</v>
      </c>
      <c r="C574" s="12" t="s">
        <v>14</v>
      </c>
      <c r="D574" s="12" t="s">
        <v>15</v>
      </c>
      <c r="E574" s="12" t="s">
        <v>46</v>
      </c>
      <c r="F574" s="12" t="s">
        <v>17</v>
      </c>
      <c r="G574" s="12" t="s">
        <v>26</v>
      </c>
      <c r="H574" s="12">
        <v>13280</v>
      </c>
      <c r="I574" s="12"/>
      <c r="J574" s="26"/>
      <c r="K574" s="12">
        <v>14000</v>
      </c>
      <c r="L574" s="14">
        <v>45339</v>
      </c>
      <c r="M574" s="8" t="str">
        <f t="shared" si="24"/>
        <v>Target Achieved</v>
      </c>
      <c r="N574" s="20">
        <f t="shared" si="25"/>
        <v>0</v>
      </c>
      <c r="O574" s="22">
        <f t="shared" si="26"/>
        <v>13280</v>
      </c>
    </row>
    <row r="575" spans="1:15" x14ac:dyDescent="0.3">
      <c r="A575" s="12" t="s">
        <v>800</v>
      </c>
      <c r="B575" s="12" t="s">
        <v>78</v>
      </c>
      <c r="C575" s="12" t="s">
        <v>14</v>
      </c>
      <c r="D575" s="12" t="s">
        <v>15</v>
      </c>
      <c r="E575" s="12" t="s">
        <v>32</v>
      </c>
      <c r="F575" s="12" t="s">
        <v>25</v>
      </c>
      <c r="G575" s="12" t="s">
        <v>26</v>
      </c>
      <c r="H575" s="12">
        <v>14650</v>
      </c>
      <c r="I575" s="12" t="s">
        <v>19</v>
      </c>
      <c r="J575" s="26">
        <v>0.2</v>
      </c>
      <c r="K575" s="12">
        <v>14000</v>
      </c>
      <c r="L575" s="14">
        <v>45313</v>
      </c>
      <c r="M575" s="8" t="str">
        <f t="shared" si="24"/>
        <v>Below Target</v>
      </c>
      <c r="N575" s="20">
        <f t="shared" si="25"/>
        <v>20</v>
      </c>
      <c r="O575" s="22">
        <f t="shared" si="26"/>
        <v>11720</v>
      </c>
    </row>
    <row r="576" spans="1:15" x14ac:dyDescent="0.3">
      <c r="A576" s="12" t="s">
        <v>801</v>
      </c>
      <c r="B576" s="12" t="s">
        <v>802</v>
      </c>
      <c r="C576" s="12" t="s">
        <v>30</v>
      </c>
      <c r="D576" s="12" t="s">
        <v>31</v>
      </c>
      <c r="E576" s="12" t="s">
        <v>16</v>
      </c>
      <c r="F576" s="12" t="s">
        <v>25</v>
      </c>
      <c r="G576" s="12" t="s">
        <v>36</v>
      </c>
      <c r="H576" s="12">
        <v>18338</v>
      </c>
      <c r="I576" s="12" t="s">
        <v>33</v>
      </c>
      <c r="J576" s="26">
        <v>0.3</v>
      </c>
      <c r="K576" s="12">
        <v>17000</v>
      </c>
      <c r="L576" s="14">
        <v>45303</v>
      </c>
      <c r="M576" s="8" t="str">
        <f t="shared" si="24"/>
        <v>Below Target</v>
      </c>
      <c r="N576" s="20">
        <f t="shared" si="25"/>
        <v>30</v>
      </c>
      <c r="O576" s="22">
        <f t="shared" si="26"/>
        <v>12836.6</v>
      </c>
    </row>
    <row r="577" spans="1:15" x14ac:dyDescent="0.3">
      <c r="A577" s="12" t="s">
        <v>803</v>
      </c>
      <c r="B577" s="12" t="s">
        <v>66</v>
      </c>
      <c r="C577" s="12" t="s">
        <v>61</v>
      </c>
      <c r="D577" s="12" t="s">
        <v>62</v>
      </c>
      <c r="E577" s="12" t="s">
        <v>46</v>
      </c>
      <c r="F577" s="12" t="s">
        <v>17</v>
      </c>
      <c r="G577" s="12" t="s">
        <v>36</v>
      </c>
      <c r="H577" s="12">
        <v>9825</v>
      </c>
      <c r="I577" s="12"/>
      <c r="J577" s="26"/>
      <c r="K577" s="12">
        <v>9000</v>
      </c>
      <c r="L577" s="14">
        <v>45343</v>
      </c>
      <c r="M577" s="8" t="str">
        <f t="shared" si="24"/>
        <v>Target Achieved</v>
      </c>
      <c r="N577" s="20">
        <f t="shared" si="25"/>
        <v>0</v>
      </c>
      <c r="O577" s="22">
        <f t="shared" si="26"/>
        <v>9825</v>
      </c>
    </row>
    <row r="578" spans="1:15" x14ac:dyDescent="0.3">
      <c r="A578" s="12" t="s">
        <v>804</v>
      </c>
      <c r="B578" s="12" t="s">
        <v>274</v>
      </c>
      <c r="C578" s="12" t="s">
        <v>44</v>
      </c>
      <c r="D578" s="12" t="s">
        <v>45</v>
      </c>
      <c r="E578" s="12" t="s">
        <v>32</v>
      </c>
      <c r="F578" s="12" t="s">
        <v>25</v>
      </c>
      <c r="G578" s="12" t="s">
        <v>26</v>
      </c>
      <c r="H578" s="12">
        <v>13975</v>
      </c>
      <c r="I578" s="12" t="s">
        <v>22</v>
      </c>
      <c r="J578" s="26">
        <v>0.1</v>
      </c>
      <c r="K578" s="12">
        <v>13000</v>
      </c>
      <c r="L578" s="14">
        <v>45352</v>
      </c>
      <c r="M578" s="8" t="str">
        <f t="shared" ref="M578:M641" si="27">IF(J578&gt;=N578,"Target Achieved","Below Target")</f>
        <v>Below Target</v>
      </c>
      <c r="N578" s="20">
        <f t="shared" si="25"/>
        <v>10</v>
      </c>
      <c r="O578" s="22">
        <f t="shared" si="26"/>
        <v>12577.5</v>
      </c>
    </row>
    <row r="579" spans="1:15" x14ac:dyDescent="0.3">
      <c r="A579" s="12" t="s">
        <v>805</v>
      </c>
      <c r="B579" s="12" t="s">
        <v>412</v>
      </c>
      <c r="C579" s="12" t="s">
        <v>14</v>
      </c>
      <c r="D579" s="12" t="s">
        <v>15</v>
      </c>
      <c r="E579" s="12" t="s">
        <v>46</v>
      </c>
      <c r="F579" s="12" t="s">
        <v>39</v>
      </c>
      <c r="G579" s="12" t="s">
        <v>36</v>
      </c>
      <c r="H579" s="12">
        <v>15286</v>
      </c>
      <c r="I579" s="12" t="s">
        <v>27</v>
      </c>
      <c r="J579" s="26"/>
      <c r="K579" s="12">
        <v>14000</v>
      </c>
      <c r="L579" s="14">
        <v>45335</v>
      </c>
      <c r="M579" s="8" t="str">
        <f t="shared" si="27"/>
        <v>Below Target</v>
      </c>
      <c r="N579" s="20">
        <f t="shared" ref="N579:N642" si="28">IFERROR(VALUE(RIGHT(I579,2)),0)</f>
        <v>15</v>
      </c>
      <c r="O579" s="22">
        <f t="shared" ref="O579:O642" si="29">H579-H579*N579/100</f>
        <v>12993.1</v>
      </c>
    </row>
    <row r="580" spans="1:15" x14ac:dyDescent="0.3">
      <c r="A580" s="12" t="s">
        <v>806</v>
      </c>
      <c r="B580" s="12" t="s">
        <v>508</v>
      </c>
      <c r="C580" s="12" t="s">
        <v>61</v>
      </c>
      <c r="D580" s="12" t="s">
        <v>62</v>
      </c>
      <c r="E580" s="12" t="s">
        <v>46</v>
      </c>
      <c r="F580" s="12" t="s">
        <v>39</v>
      </c>
      <c r="G580" s="12" t="s">
        <v>18</v>
      </c>
      <c r="H580" s="12">
        <v>10533</v>
      </c>
      <c r="I580" s="12" t="s">
        <v>19</v>
      </c>
      <c r="J580" s="26">
        <v>0.2</v>
      </c>
      <c r="K580" s="12">
        <v>9000</v>
      </c>
      <c r="L580" s="14">
        <v>45322</v>
      </c>
      <c r="M580" s="8" t="str">
        <f t="shared" si="27"/>
        <v>Below Target</v>
      </c>
      <c r="N580" s="20">
        <f t="shared" si="28"/>
        <v>20</v>
      </c>
      <c r="O580" s="22">
        <f t="shared" si="29"/>
        <v>8426.4</v>
      </c>
    </row>
    <row r="581" spans="1:15" x14ac:dyDescent="0.3">
      <c r="A581" s="12" t="s">
        <v>807</v>
      </c>
      <c r="B581" s="12" t="s">
        <v>445</v>
      </c>
      <c r="C581" s="12" t="s">
        <v>14</v>
      </c>
      <c r="D581" s="12" t="s">
        <v>15</v>
      </c>
      <c r="E581" s="12" t="s">
        <v>46</v>
      </c>
      <c r="F581" s="12" t="s">
        <v>17</v>
      </c>
      <c r="G581" s="12" t="s">
        <v>18</v>
      </c>
      <c r="H581" s="12">
        <v>12259</v>
      </c>
      <c r="I581" s="12" t="s">
        <v>33</v>
      </c>
      <c r="J581" s="26">
        <v>0.3</v>
      </c>
      <c r="K581" s="12">
        <v>14000</v>
      </c>
      <c r="L581" s="14">
        <v>45333</v>
      </c>
      <c r="M581" s="8" t="str">
        <f t="shared" si="27"/>
        <v>Below Target</v>
      </c>
      <c r="N581" s="20">
        <f t="shared" si="28"/>
        <v>30</v>
      </c>
      <c r="O581" s="22">
        <f t="shared" si="29"/>
        <v>8581.2999999999993</v>
      </c>
    </row>
    <row r="582" spans="1:15" x14ac:dyDescent="0.3">
      <c r="A582" s="12" t="s">
        <v>808</v>
      </c>
      <c r="B582" s="12" t="s">
        <v>327</v>
      </c>
      <c r="C582" s="12" t="s">
        <v>44</v>
      </c>
      <c r="D582" s="12" t="s">
        <v>45</v>
      </c>
      <c r="E582" s="12" t="s">
        <v>16</v>
      </c>
      <c r="F582" s="12" t="s">
        <v>17</v>
      </c>
      <c r="G582" s="12" t="s">
        <v>26</v>
      </c>
      <c r="H582" s="12">
        <v>13142</v>
      </c>
      <c r="I582" s="12" t="s">
        <v>27</v>
      </c>
      <c r="J582" s="26"/>
      <c r="K582" s="12">
        <v>13000</v>
      </c>
      <c r="L582" s="14">
        <v>45298</v>
      </c>
      <c r="M582" s="8" t="str">
        <f t="shared" si="27"/>
        <v>Below Target</v>
      </c>
      <c r="N582" s="20">
        <f t="shared" si="28"/>
        <v>15</v>
      </c>
      <c r="O582" s="22">
        <f t="shared" si="29"/>
        <v>11170.7</v>
      </c>
    </row>
    <row r="583" spans="1:15" x14ac:dyDescent="0.3">
      <c r="A583" s="12" t="s">
        <v>809</v>
      </c>
      <c r="B583" s="12" t="s">
        <v>274</v>
      </c>
      <c r="C583" s="12" t="s">
        <v>44</v>
      </c>
      <c r="D583" s="12" t="s">
        <v>45</v>
      </c>
      <c r="E583" s="12" t="s">
        <v>46</v>
      </c>
      <c r="F583" s="12" t="s">
        <v>17</v>
      </c>
      <c r="G583" s="12" t="s">
        <v>26</v>
      </c>
      <c r="H583" s="12">
        <v>13770</v>
      </c>
      <c r="I583" s="12"/>
      <c r="J583" s="26"/>
      <c r="K583" s="12">
        <v>13000</v>
      </c>
      <c r="L583" s="14">
        <v>45301</v>
      </c>
      <c r="M583" s="8" t="str">
        <f t="shared" si="27"/>
        <v>Target Achieved</v>
      </c>
      <c r="N583" s="20">
        <f t="shared" si="28"/>
        <v>0</v>
      </c>
      <c r="O583" s="22">
        <f t="shared" si="29"/>
        <v>13770</v>
      </c>
    </row>
    <row r="584" spans="1:15" x14ac:dyDescent="0.3">
      <c r="A584" s="12" t="s">
        <v>810</v>
      </c>
      <c r="B584" s="12" t="s">
        <v>319</v>
      </c>
      <c r="C584" s="12" t="s">
        <v>14</v>
      </c>
      <c r="D584" s="12" t="s">
        <v>15</v>
      </c>
      <c r="E584" s="12" t="s">
        <v>32</v>
      </c>
      <c r="F584" s="12" t="s">
        <v>39</v>
      </c>
      <c r="G584" s="12" t="s">
        <v>18</v>
      </c>
      <c r="H584" s="12">
        <v>14070</v>
      </c>
      <c r="I584" s="12"/>
      <c r="J584" s="26"/>
      <c r="K584" s="12">
        <v>14000</v>
      </c>
      <c r="L584" s="14">
        <v>45346</v>
      </c>
      <c r="M584" s="8" t="str">
        <f t="shared" si="27"/>
        <v>Target Achieved</v>
      </c>
      <c r="N584" s="20">
        <f t="shared" si="28"/>
        <v>0</v>
      </c>
      <c r="O584" s="22">
        <f t="shared" si="29"/>
        <v>14070</v>
      </c>
    </row>
    <row r="585" spans="1:15" x14ac:dyDescent="0.3">
      <c r="A585" s="12" t="s">
        <v>811</v>
      </c>
      <c r="B585" s="12" t="s">
        <v>752</v>
      </c>
      <c r="C585" s="12" t="s">
        <v>44</v>
      </c>
      <c r="D585" s="12" t="s">
        <v>45</v>
      </c>
      <c r="E585" s="12" t="s">
        <v>32</v>
      </c>
      <c r="F585" s="12" t="s">
        <v>17</v>
      </c>
      <c r="G585" s="12" t="s">
        <v>36</v>
      </c>
      <c r="H585" s="12">
        <v>11986</v>
      </c>
      <c r="I585" s="12" t="s">
        <v>33</v>
      </c>
      <c r="J585" s="26">
        <v>0.3</v>
      </c>
      <c r="K585" s="12">
        <v>13000</v>
      </c>
      <c r="L585" s="14">
        <v>45309</v>
      </c>
      <c r="M585" s="8" t="str">
        <f t="shared" si="27"/>
        <v>Below Target</v>
      </c>
      <c r="N585" s="20">
        <f t="shared" si="28"/>
        <v>30</v>
      </c>
      <c r="O585" s="22">
        <f t="shared" si="29"/>
        <v>8390.2000000000007</v>
      </c>
    </row>
    <row r="586" spans="1:15" x14ac:dyDescent="0.3">
      <c r="A586" s="12" t="s">
        <v>812</v>
      </c>
      <c r="B586" s="12" t="s">
        <v>166</v>
      </c>
      <c r="C586" s="12" t="s">
        <v>44</v>
      </c>
      <c r="D586" s="12" t="s">
        <v>45</v>
      </c>
      <c r="E586" s="12" t="s">
        <v>16</v>
      </c>
      <c r="F586" s="12" t="s">
        <v>39</v>
      </c>
      <c r="G586" s="12" t="s">
        <v>36</v>
      </c>
      <c r="H586" s="12">
        <v>12651</v>
      </c>
      <c r="I586" s="12" t="s">
        <v>19</v>
      </c>
      <c r="J586" s="26">
        <v>0.2</v>
      </c>
      <c r="K586" s="12">
        <v>13000</v>
      </c>
      <c r="L586" s="14">
        <v>45297</v>
      </c>
      <c r="M586" s="8" t="str">
        <f t="shared" si="27"/>
        <v>Below Target</v>
      </c>
      <c r="N586" s="20">
        <f t="shared" si="28"/>
        <v>20</v>
      </c>
      <c r="O586" s="22">
        <f t="shared" si="29"/>
        <v>10120.799999999999</v>
      </c>
    </row>
    <row r="587" spans="1:15" x14ac:dyDescent="0.3">
      <c r="A587" s="12" t="s">
        <v>813</v>
      </c>
      <c r="B587" s="12" t="s">
        <v>231</v>
      </c>
      <c r="C587" s="12" t="s">
        <v>61</v>
      </c>
      <c r="D587" s="12" t="s">
        <v>62</v>
      </c>
      <c r="E587" s="12" t="s">
        <v>32</v>
      </c>
      <c r="F587" s="12" t="s">
        <v>17</v>
      </c>
      <c r="G587" s="12" t="s">
        <v>36</v>
      </c>
      <c r="H587" s="12">
        <v>8294</v>
      </c>
      <c r="I587" s="12" t="s">
        <v>22</v>
      </c>
      <c r="J587" s="26">
        <v>0.1</v>
      </c>
      <c r="K587" s="12">
        <v>9000</v>
      </c>
      <c r="L587" s="14">
        <v>45323</v>
      </c>
      <c r="M587" s="8" t="str">
        <f t="shared" si="27"/>
        <v>Below Target</v>
      </c>
      <c r="N587" s="20">
        <f t="shared" si="28"/>
        <v>10</v>
      </c>
      <c r="O587" s="22">
        <f t="shared" si="29"/>
        <v>7464.6</v>
      </c>
    </row>
    <row r="588" spans="1:15" x14ac:dyDescent="0.3">
      <c r="A588" s="12" t="s">
        <v>814</v>
      </c>
      <c r="B588" s="12" t="s">
        <v>765</v>
      </c>
      <c r="C588" s="12" t="s">
        <v>14</v>
      </c>
      <c r="D588" s="12" t="s">
        <v>15</v>
      </c>
      <c r="E588" s="12" t="s">
        <v>32</v>
      </c>
      <c r="F588" s="12" t="s">
        <v>17</v>
      </c>
      <c r="G588" s="12" t="s">
        <v>36</v>
      </c>
      <c r="H588" s="12">
        <v>12146</v>
      </c>
      <c r="I588" s="12" t="s">
        <v>27</v>
      </c>
      <c r="J588" s="26"/>
      <c r="K588" s="12">
        <v>14000</v>
      </c>
      <c r="L588" s="14">
        <v>45327</v>
      </c>
      <c r="M588" s="8" t="str">
        <f t="shared" si="27"/>
        <v>Below Target</v>
      </c>
      <c r="N588" s="20">
        <f t="shared" si="28"/>
        <v>15</v>
      </c>
      <c r="O588" s="22">
        <f t="shared" si="29"/>
        <v>10324.1</v>
      </c>
    </row>
    <row r="589" spans="1:15" x14ac:dyDescent="0.3">
      <c r="A589" s="12" t="s">
        <v>815</v>
      </c>
      <c r="B589" s="12" t="s">
        <v>129</v>
      </c>
      <c r="C589" s="12" t="s">
        <v>14</v>
      </c>
      <c r="D589" s="12" t="s">
        <v>15</v>
      </c>
      <c r="E589" s="12" t="s">
        <v>16</v>
      </c>
      <c r="F589" s="12" t="s">
        <v>39</v>
      </c>
      <c r="G589" s="12" t="s">
        <v>26</v>
      </c>
      <c r="H589" s="12">
        <v>13247</v>
      </c>
      <c r="I589" s="12" t="s">
        <v>27</v>
      </c>
      <c r="J589" s="26"/>
      <c r="K589" s="12">
        <v>14000</v>
      </c>
      <c r="L589" s="14">
        <v>45327</v>
      </c>
      <c r="M589" s="8" t="str">
        <f t="shared" si="27"/>
        <v>Below Target</v>
      </c>
      <c r="N589" s="20">
        <f t="shared" si="28"/>
        <v>15</v>
      </c>
      <c r="O589" s="22">
        <f t="shared" si="29"/>
        <v>11259.95</v>
      </c>
    </row>
    <row r="590" spans="1:15" x14ac:dyDescent="0.3">
      <c r="A590" s="12" t="s">
        <v>816</v>
      </c>
      <c r="B590" s="12" t="s">
        <v>817</v>
      </c>
      <c r="C590" s="12" t="s">
        <v>61</v>
      </c>
      <c r="D590" s="12" t="s">
        <v>62</v>
      </c>
      <c r="E590" s="12" t="s">
        <v>46</v>
      </c>
      <c r="F590" s="12" t="s">
        <v>17</v>
      </c>
      <c r="G590" s="12" t="s">
        <v>18</v>
      </c>
      <c r="H590" s="12">
        <v>10344</v>
      </c>
      <c r="I590" s="12" t="s">
        <v>19</v>
      </c>
      <c r="J590" s="26">
        <v>0.2</v>
      </c>
      <c r="K590" s="12">
        <v>9000</v>
      </c>
      <c r="L590" s="14">
        <v>45346</v>
      </c>
      <c r="M590" s="8" t="str">
        <f t="shared" si="27"/>
        <v>Below Target</v>
      </c>
      <c r="N590" s="20">
        <f t="shared" si="28"/>
        <v>20</v>
      </c>
      <c r="O590" s="22">
        <f t="shared" si="29"/>
        <v>8275.2000000000007</v>
      </c>
    </row>
    <row r="591" spans="1:15" x14ac:dyDescent="0.3">
      <c r="A591" s="12" t="s">
        <v>818</v>
      </c>
      <c r="B591" s="12" t="s">
        <v>188</v>
      </c>
      <c r="C591" s="12" t="s">
        <v>61</v>
      </c>
      <c r="D591" s="12" t="s">
        <v>62</v>
      </c>
      <c r="E591" s="12" t="s">
        <v>16</v>
      </c>
      <c r="F591" s="12" t="s">
        <v>39</v>
      </c>
      <c r="G591" s="12" t="s">
        <v>36</v>
      </c>
      <c r="H591" s="12">
        <v>9932</v>
      </c>
      <c r="I591" s="12"/>
      <c r="J591" s="26"/>
      <c r="K591" s="12">
        <v>9000</v>
      </c>
      <c r="L591" s="14">
        <v>45299</v>
      </c>
      <c r="M591" s="8" t="str">
        <f t="shared" si="27"/>
        <v>Target Achieved</v>
      </c>
      <c r="N591" s="20">
        <f t="shared" si="28"/>
        <v>0</v>
      </c>
      <c r="O591" s="22">
        <f t="shared" si="29"/>
        <v>9932</v>
      </c>
    </row>
    <row r="592" spans="1:15" x14ac:dyDescent="0.3">
      <c r="A592" s="12" t="s">
        <v>819</v>
      </c>
      <c r="B592" s="12" t="s">
        <v>200</v>
      </c>
      <c r="C592" s="12" t="s">
        <v>44</v>
      </c>
      <c r="D592" s="12" t="s">
        <v>45</v>
      </c>
      <c r="E592" s="12" t="s">
        <v>32</v>
      </c>
      <c r="F592" s="12" t="s">
        <v>17</v>
      </c>
      <c r="G592" s="12" t="s">
        <v>36</v>
      </c>
      <c r="H592" s="12">
        <v>14399</v>
      </c>
      <c r="I592" s="12" t="s">
        <v>33</v>
      </c>
      <c r="J592" s="26">
        <v>0.3</v>
      </c>
      <c r="K592" s="12">
        <v>13000</v>
      </c>
      <c r="L592" s="14">
        <v>45327</v>
      </c>
      <c r="M592" s="8" t="str">
        <f t="shared" si="27"/>
        <v>Below Target</v>
      </c>
      <c r="N592" s="20">
        <f t="shared" si="28"/>
        <v>30</v>
      </c>
      <c r="O592" s="22">
        <f t="shared" si="29"/>
        <v>10079.299999999999</v>
      </c>
    </row>
    <row r="593" spans="1:15" x14ac:dyDescent="0.3">
      <c r="A593" s="12" t="s">
        <v>820</v>
      </c>
      <c r="B593" s="12" t="s">
        <v>217</v>
      </c>
      <c r="C593" s="12" t="s">
        <v>14</v>
      </c>
      <c r="D593" s="12" t="s">
        <v>15</v>
      </c>
      <c r="E593" s="12" t="s">
        <v>32</v>
      </c>
      <c r="F593" s="12" t="s">
        <v>25</v>
      </c>
      <c r="G593" s="12" t="s">
        <v>36</v>
      </c>
      <c r="H593" s="12">
        <v>12575</v>
      </c>
      <c r="I593" s="12"/>
      <c r="J593" s="26"/>
      <c r="K593" s="12">
        <v>14000</v>
      </c>
      <c r="L593" s="14">
        <v>45298</v>
      </c>
      <c r="M593" s="8" t="str">
        <f t="shared" si="27"/>
        <v>Target Achieved</v>
      </c>
      <c r="N593" s="20">
        <f t="shared" si="28"/>
        <v>0</v>
      </c>
      <c r="O593" s="22">
        <f t="shared" si="29"/>
        <v>12575</v>
      </c>
    </row>
    <row r="594" spans="1:15" x14ac:dyDescent="0.3">
      <c r="A594" s="12" t="s">
        <v>821</v>
      </c>
      <c r="B594" s="12" t="s">
        <v>118</v>
      </c>
      <c r="C594" s="12" t="s">
        <v>44</v>
      </c>
      <c r="D594" s="12" t="s">
        <v>45</v>
      </c>
      <c r="E594" s="12" t="s">
        <v>32</v>
      </c>
      <c r="F594" s="12" t="s">
        <v>25</v>
      </c>
      <c r="G594" s="12" t="s">
        <v>36</v>
      </c>
      <c r="H594" s="12">
        <v>11883</v>
      </c>
      <c r="I594" s="12"/>
      <c r="J594" s="26"/>
      <c r="K594" s="12">
        <v>13000</v>
      </c>
      <c r="L594" s="14">
        <v>45344</v>
      </c>
      <c r="M594" s="8" t="str">
        <f t="shared" si="27"/>
        <v>Target Achieved</v>
      </c>
      <c r="N594" s="20">
        <f t="shared" si="28"/>
        <v>0</v>
      </c>
      <c r="O594" s="22">
        <f t="shared" si="29"/>
        <v>11883</v>
      </c>
    </row>
    <row r="595" spans="1:15" x14ac:dyDescent="0.3">
      <c r="A595" s="12" t="s">
        <v>822</v>
      </c>
      <c r="B595" s="12" t="s">
        <v>294</v>
      </c>
      <c r="C595" s="12" t="s">
        <v>30</v>
      </c>
      <c r="D595" s="12" t="s">
        <v>31</v>
      </c>
      <c r="E595" s="12" t="s">
        <v>32</v>
      </c>
      <c r="F595" s="12" t="s">
        <v>17</v>
      </c>
      <c r="G595" s="12" t="s">
        <v>18</v>
      </c>
      <c r="H595" s="12">
        <v>18795</v>
      </c>
      <c r="I595" s="12" t="s">
        <v>27</v>
      </c>
      <c r="J595" s="26"/>
      <c r="K595" s="12">
        <v>17000</v>
      </c>
      <c r="L595" s="14">
        <v>45299</v>
      </c>
      <c r="M595" s="8" t="str">
        <f t="shared" si="27"/>
        <v>Below Target</v>
      </c>
      <c r="N595" s="20">
        <f t="shared" si="28"/>
        <v>15</v>
      </c>
      <c r="O595" s="22">
        <f t="shared" si="29"/>
        <v>15975.75</v>
      </c>
    </row>
    <row r="596" spans="1:15" x14ac:dyDescent="0.3">
      <c r="A596" s="12" t="s">
        <v>823</v>
      </c>
      <c r="B596" s="12" t="s">
        <v>298</v>
      </c>
      <c r="C596" s="12" t="s">
        <v>61</v>
      </c>
      <c r="D596" s="12" t="s">
        <v>62</v>
      </c>
      <c r="E596" s="12" t="s">
        <v>16</v>
      </c>
      <c r="F596" s="12" t="s">
        <v>39</v>
      </c>
      <c r="G596" s="12" t="s">
        <v>26</v>
      </c>
      <c r="H596" s="12">
        <v>7551</v>
      </c>
      <c r="I596" s="12"/>
      <c r="J596" s="26"/>
      <c r="K596" s="12">
        <v>9000</v>
      </c>
      <c r="L596" s="14">
        <v>45292</v>
      </c>
      <c r="M596" s="8" t="str">
        <f t="shared" si="27"/>
        <v>Target Achieved</v>
      </c>
      <c r="N596" s="20">
        <f t="shared" si="28"/>
        <v>0</v>
      </c>
      <c r="O596" s="22">
        <f t="shared" si="29"/>
        <v>7551</v>
      </c>
    </row>
    <row r="597" spans="1:15" x14ac:dyDescent="0.3">
      <c r="A597" s="12" t="s">
        <v>824</v>
      </c>
      <c r="B597" s="12" t="s">
        <v>548</v>
      </c>
      <c r="C597" s="12" t="s">
        <v>14</v>
      </c>
      <c r="D597" s="12" t="s">
        <v>15</v>
      </c>
      <c r="E597" s="12" t="s">
        <v>16</v>
      </c>
      <c r="F597" s="12" t="s">
        <v>17</v>
      </c>
      <c r="G597" s="12" t="s">
        <v>26</v>
      </c>
      <c r="H597" s="12">
        <v>13978</v>
      </c>
      <c r="I597" s="12" t="s">
        <v>27</v>
      </c>
      <c r="J597" s="26"/>
      <c r="K597" s="12">
        <v>14000</v>
      </c>
      <c r="L597" s="14">
        <v>45341</v>
      </c>
      <c r="M597" s="8" t="str">
        <f t="shared" si="27"/>
        <v>Below Target</v>
      </c>
      <c r="N597" s="20">
        <f t="shared" si="28"/>
        <v>15</v>
      </c>
      <c r="O597" s="22">
        <f t="shared" si="29"/>
        <v>11881.3</v>
      </c>
    </row>
    <row r="598" spans="1:15" x14ac:dyDescent="0.3">
      <c r="A598" s="12" t="s">
        <v>825</v>
      </c>
      <c r="B598" s="12" t="s">
        <v>120</v>
      </c>
      <c r="C598" s="12" t="s">
        <v>44</v>
      </c>
      <c r="D598" s="12" t="s">
        <v>45</v>
      </c>
      <c r="E598" s="12" t="s">
        <v>16</v>
      </c>
      <c r="F598" s="12" t="s">
        <v>25</v>
      </c>
      <c r="G598" s="12" t="s">
        <v>18</v>
      </c>
      <c r="H598" s="12">
        <v>12586</v>
      </c>
      <c r="I598" s="12" t="s">
        <v>27</v>
      </c>
      <c r="J598" s="26"/>
      <c r="K598" s="12">
        <v>13000</v>
      </c>
      <c r="L598" s="14">
        <v>45330</v>
      </c>
      <c r="M598" s="8" t="str">
        <f t="shared" si="27"/>
        <v>Below Target</v>
      </c>
      <c r="N598" s="20">
        <f t="shared" si="28"/>
        <v>15</v>
      </c>
      <c r="O598" s="22">
        <f t="shared" si="29"/>
        <v>10698.1</v>
      </c>
    </row>
    <row r="599" spans="1:15" x14ac:dyDescent="0.3">
      <c r="A599" s="12" t="s">
        <v>826</v>
      </c>
      <c r="B599" s="12" t="s">
        <v>827</v>
      </c>
      <c r="C599" s="12" t="s">
        <v>61</v>
      </c>
      <c r="D599" s="12" t="s">
        <v>62</v>
      </c>
      <c r="E599" s="12" t="s">
        <v>46</v>
      </c>
      <c r="F599" s="12" t="s">
        <v>39</v>
      </c>
      <c r="G599" s="12" t="s">
        <v>26</v>
      </c>
      <c r="H599" s="12">
        <v>10122</v>
      </c>
      <c r="I599" s="12" t="s">
        <v>19</v>
      </c>
      <c r="J599" s="26">
        <v>0.2</v>
      </c>
      <c r="K599" s="12">
        <v>9000</v>
      </c>
      <c r="L599" s="14">
        <v>45309</v>
      </c>
      <c r="M599" s="8" t="str">
        <f t="shared" si="27"/>
        <v>Below Target</v>
      </c>
      <c r="N599" s="20">
        <f t="shared" si="28"/>
        <v>20</v>
      </c>
      <c r="O599" s="22">
        <f t="shared" si="29"/>
        <v>8097.6</v>
      </c>
    </row>
    <row r="600" spans="1:15" x14ac:dyDescent="0.3">
      <c r="A600" s="12" t="s">
        <v>828</v>
      </c>
      <c r="B600" s="12" t="s">
        <v>474</v>
      </c>
      <c r="C600" s="12" t="s">
        <v>30</v>
      </c>
      <c r="D600" s="12" t="s">
        <v>31</v>
      </c>
      <c r="E600" s="12" t="s">
        <v>46</v>
      </c>
      <c r="F600" s="12" t="s">
        <v>25</v>
      </c>
      <c r="G600" s="12" t="s">
        <v>18</v>
      </c>
      <c r="H600" s="12">
        <v>16690</v>
      </c>
      <c r="I600" s="12" t="s">
        <v>27</v>
      </c>
      <c r="J600" s="26"/>
      <c r="K600" s="12">
        <v>17000</v>
      </c>
      <c r="L600" s="14">
        <v>45336</v>
      </c>
      <c r="M600" s="8" t="str">
        <f t="shared" si="27"/>
        <v>Below Target</v>
      </c>
      <c r="N600" s="20">
        <f t="shared" si="28"/>
        <v>15</v>
      </c>
      <c r="O600" s="22">
        <f t="shared" si="29"/>
        <v>14186.5</v>
      </c>
    </row>
    <row r="601" spans="1:15" x14ac:dyDescent="0.3">
      <c r="A601" s="12" t="s">
        <v>829</v>
      </c>
      <c r="B601" s="12" t="s">
        <v>260</v>
      </c>
      <c r="C601" s="12" t="s">
        <v>30</v>
      </c>
      <c r="D601" s="12" t="s">
        <v>31</v>
      </c>
      <c r="E601" s="12" t="s">
        <v>16</v>
      </c>
      <c r="F601" s="12" t="s">
        <v>39</v>
      </c>
      <c r="G601" s="12" t="s">
        <v>36</v>
      </c>
      <c r="H601" s="12">
        <v>17915</v>
      </c>
      <c r="I601" s="12" t="s">
        <v>27</v>
      </c>
      <c r="J601" s="26"/>
      <c r="K601" s="12">
        <v>17000</v>
      </c>
      <c r="L601" s="14">
        <v>45332</v>
      </c>
      <c r="M601" s="8" t="str">
        <f t="shared" si="27"/>
        <v>Below Target</v>
      </c>
      <c r="N601" s="20">
        <f t="shared" si="28"/>
        <v>15</v>
      </c>
      <c r="O601" s="22">
        <f t="shared" si="29"/>
        <v>15227.75</v>
      </c>
    </row>
    <row r="602" spans="1:15" x14ac:dyDescent="0.3">
      <c r="A602" s="12" t="s">
        <v>830</v>
      </c>
      <c r="B602" s="12" t="s">
        <v>94</v>
      </c>
      <c r="C602" s="12" t="s">
        <v>44</v>
      </c>
      <c r="D602" s="12" t="s">
        <v>45</v>
      </c>
      <c r="E602" s="12" t="s">
        <v>16</v>
      </c>
      <c r="F602" s="12" t="s">
        <v>39</v>
      </c>
      <c r="G602" s="12" t="s">
        <v>36</v>
      </c>
      <c r="H602" s="12">
        <v>13812</v>
      </c>
      <c r="I602" s="12" t="s">
        <v>33</v>
      </c>
      <c r="J602" s="26">
        <v>0.3</v>
      </c>
      <c r="K602" s="12">
        <v>13000</v>
      </c>
      <c r="L602" s="14">
        <v>45350</v>
      </c>
      <c r="M602" s="8" t="str">
        <f t="shared" si="27"/>
        <v>Below Target</v>
      </c>
      <c r="N602" s="20">
        <f t="shared" si="28"/>
        <v>30</v>
      </c>
      <c r="O602" s="22">
        <f t="shared" si="29"/>
        <v>9668.4</v>
      </c>
    </row>
    <row r="603" spans="1:15" x14ac:dyDescent="0.3">
      <c r="A603" s="12" t="s">
        <v>831</v>
      </c>
      <c r="B603" s="12" t="s">
        <v>422</v>
      </c>
      <c r="C603" s="12" t="s">
        <v>44</v>
      </c>
      <c r="D603" s="12" t="s">
        <v>45</v>
      </c>
      <c r="E603" s="12" t="s">
        <v>16</v>
      </c>
      <c r="F603" s="12" t="s">
        <v>39</v>
      </c>
      <c r="G603" s="12" t="s">
        <v>26</v>
      </c>
      <c r="H603" s="12">
        <v>13608</v>
      </c>
      <c r="I603" s="12" t="s">
        <v>33</v>
      </c>
      <c r="J603" s="26">
        <v>0.3</v>
      </c>
      <c r="K603" s="12">
        <v>13000</v>
      </c>
      <c r="L603" s="14">
        <v>45337</v>
      </c>
      <c r="M603" s="8" t="str">
        <f t="shared" si="27"/>
        <v>Below Target</v>
      </c>
      <c r="N603" s="20">
        <f t="shared" si="28"/>
        <v>30</v>
      </c>
      <c r="O603" s="22">
        <f t="shared" si="29"/>
        <v>9525.6</v>
      </c>
    </row>
    <row r="604" spans="1:15" x14ac:dyDescent="0.3">
      <c r="A604" s="12" t="s">
        <v>832</v>
      </c>
      <c r="B604" s="12" t="s">
        <v>200</v>
      </c>
      <c r="C604" s="12" t="s">
        <v>30</v>
      </c>
      <c r="D604" s="12" t="s">
        <v>31</v>
      </c>
      <c r="E604" s="12" t="s">
        <v>16</v>
      </c>
      <c r="F604" s="12" t="s">
        <v>17</v>
      </c>
      <c r="G604" s="12" t="s">
        <v>26</v>
      </c>
      <c r="H604" s="12">
        <v>17337</v>
      </c>
      <c r="I604" s="12"/>
      <c r="J604" s="26"/>
      <c r="K604" s="12">
        <v>17000</v>
      </c>
      <c r="L604" s="14">
        <v>45335</v>
      </c>
      <c r="M604" s="8" t="str">
        <f t="shared" si="27"/>
        <v>Target Achieved</v>
      </c>
      <c r="N604" s="20">
        <f t="shared" si="28"/>
        <v>0</v>
      </c>
      <c r="O604" s="22">
        <f t="shared" si="29"/>
        <v>17337</v>
      </c>
    </row>
    <row r="605" spans="1:15" x14ac:dyDescent="0.3">
      <c r="A605" s="12" t="s">
        <v>833</v>
      </c>
      <c r="B605" s="12" t="s">
        <v>371</v>
      </c>
      <c r="C605" s="12" t="s">
        <v>30</v>
      </c>
      <c r="D605" s="12" t="s">
        <v>31</v>
      </c>
      <c r="E605" s="12" t="s">
        <v>46</v>
      </c>
      <c r="F605" s="12" t="s">
        <v>25</v>
      </c>
      <c r="G605" s="12" t="s">
        <v>26</v>
      </c>
      <c r="H605" s="12">
        <v>15436</v>
      </c>
      <c r="I605" s="12" t="s">
        <v>22</v>
      </c>
      <c r="J605" s="26">
        <v>0.1</v>
      </c>
      <c r="K605" s="12">
        <v>17000</v>
      </c>
      <c r="L605" s="14">
        <v>45316</v>
      </c>
      <c r="M605" s="8" t="str">
        <f t="shared" si="27"/>
        <v>Below Target</v>
      </c>
      <c r="N605" s="20">
        <f t="shared" si="28"/>
        <v>10</v>
      </c>
      <c r="O605" s="22">
        <f t="shared" si="29"/>
        <v>13892.4</v>
      </c>
    </row>
    <row r="606" spans="1:15" x14ac:dyDescent="0.3">
      <c r="A606" s="12" t="s">
        <v>834</v>
      </c>
      <c r="B606" s="12" t="s">
        <v>557</v>
      </c>
      <c r="C606" s="12" t="s">
        <v>14</v>
      </c>
      <c r="D606" s="12" t="s">
        <v>15</v>
      </c>
      <c r="E606" s="12" t="s">
        <v>32</v>
      </c>
      <c r="F606" s="12" t="s">
        <v>17</v>
      </c>
      <c r="G606" s="12" t="s">
        <v>18</v>
      </c>
      <c r="H606" s="12">
        <v>13173</v>
      </c>
      <c r="I606" s="12" t="s">
        <v>33</v>
      </c>
      <c r="J606" s="26">
        <v>0.3</v>
      </c>
      <c r="K606" s="12">
        <v>14000</v>
      </c>
      <c r="L606" s="14">
        <v>45301</v>
      </c>
      <c r="M606" s="8" t="str">
        <f t="shared" si="27"/>
        <v>Below Target</v>
      </c>
      <c r="N606" s="20">
        <f t="shared" si="28"/>
        <v>30</v>
      </c>
      <c r="O606" s="22">
        <f t="shared" si="29"/>
        <v>9221.1</v>
      </c>
    </row>
    <row r="607" spans="1:15" x14ac:dyDescent="0.3">
      <c r="A607" s="12" t="s">
        <v>835</v>
      </c>
      <c r="B607" s="12" t="s">
        <v>676</v>
      </c>
      <c r="C607" s="12" t="s">
        <v>30</v>
      </c>
      <c r="D607" s="12" t="s">
        <v>31</v>
      </c>
      <c r="E607" s="12" t="s">
        <v>32</v>
      </c>
      <c r="F607" s="12" t="s">
        <v>39</v>
      </c>
      <c r="G607" s="12" t="s">
        <v>18</v>
      </c>
      <c r="H607" s="12">
        <v>16469</v>
      </c>
      <c r="I607" s="12"/>
      <c r="J607" s="26"/>
      <c r="K607" s="12">
        <v>17000</v>
      </c>
      <c r="L607" s="14">
        <v>45298</v>
      </c>
      <c r="M607" s="8" t="str">
        <f t="shared" si="27"/>
        <v>Target Achieved</v>
      </c>
      <c r="N607" s="20">
        <f t="shared" si="28"/>
        <v>0</v>
      </c>
      <c r="O607" s="22">
        <f t="shared" si="29"/>
        <v>16469</v>
      </c>
    </row>
    <row r="608" spans="1:15" x14ac:dyDescent="0.3">
      <c r="A608" s="12" t="s">
        <v>836</v>
      </c>
      <c r="B608" s="12" t="s">
        <v>837</v>
      </c>
      <c r="C608" s="12" t="s">
        <v>44</v>
      </c>
      <c r="D608" s="12" t="s">
        <v>45</v>
      </c>
      <c r="E608" s="12" t="s">
        <v>16</v>
      </c>
      <c r="F608" s="12" t="s">
        <v>39</v>
      </c>
      <c r="G608" s="12" t="s">
        <v>26</v>
      </c>
      <c r="H608" s="12">
        <v>12592</v>
      </c>
      <c r="I608" s="12" t="s">
        <v>19</v>
      </c>
      <c r="J608" s="26">
        <v>0.2</v>
      </c>
      <c r="K608" s="12">
        <v>13000</v>
      </c>
      <c r="L608" s="14">
        <v>45324</v>
      </c>
      <c r="M608" s="8" t="str">
        <f t="shared" si="27"/>
        <v>Below Target</v>
      </c>
      <c r="N608" s="20">
        <f t="shared" si="28"/>
        <v>20</v>
      </c>
      <c r="O608" s="22">
        <f t="shared" si="29"/>
        <v>10073.6</v>
      </c>
    </row>
    <row r="609" spans="1:15" x14ac:dyDescent="0.3">
      <c r="A609" s="12" t="s">
        <v>838</v>
      </c>
      <c r="B609" s="12" t="s">
        <v>54</v>
      </c>
      <c r="C609" s="12" t="s">
        <v>30</v>
      </c>
      <c r="D609" s="12" t="s">
        <v>31</v>
      </c>
      <c r="E609" s="12" t="s">
        <v>16</v>
      </c>
      <c r="F609" s="12" t="s">
        <v>39</v>
      </c>
      <c r="G609" s="12" t="s">
        <v>18</v>
      </c>
      <c r="H609" s="12">
        <v>18794</v>
      </c>
      <c r="I609" s="12"/>
      <c r="J609" s="26"/>
      <c r="K609" s="12">
        <v>17000</v>
      </c>
      <c r="L609" s="14">
        <v>45316</v>
      </c>
      <c r="M609" s="8" t="str">
        <f t="shared" si="27"/>
        <v>Target Achieved</v>
      </c>
      <c r="N609" s="20">
        <f t="shared" si="28"/>
        <v>0</v>
      </c>
      <c r="O609" s="22">
        <f t="shared" si="29"/>
        <v>18794</v>
      </c>
    </row>
    <row r="610" spans="1:15" x14ac:dyDescent="0.3">
      <c r="A610" s="12" t="s">
        <v>839</v>
      </c>
      <c r="B610" s="12" t="s">
        <v>155</v>
      </c>
      <c r="C610" s="12" t="s">
        <v>30</v>
      </c>
      <c r="D610" s="12" t="s">
        <v>31</v>
      </c>
      <c r="E610" s="12" t="s">
        <v>16</v>
      </c>
      <c r="F610" s="12" t="s">
        <v>25</v>
      </c>
      <c r="G610" s="12" t="s">
        <v>18</v>
      </c>
      <c r="H610" s="12">
        <v>18046</v>
      </c>
      <c r="I610" s="12" t="s">
        <v>33</v>
      </c>
      <c r="J610" s="26">
        <v>0.3</v>
      </c>
      <c r="K610" s="12">
        <v>17000</v>
      </c>
      <c r="L610" s="14">
        <v>45304</v>
      </c>
      <c r="M610" s="8" t="str">
        <f t="shared" si="27"/>
        <v>Below Target</v>
      </c>
      <c r="N610" s="20">
        <f t="shared" si="28"/>
        <v>30</v>
      </c>
      <c r="O610" s="22">
        <f t="shared" si="29"/>
        <v>12632.2</v>
      </c>
    </row>
    <row r="611" spans="1:15" x14ac:dyDescent="0.3">
      <c r="A611" s="12" t="s">
        <v>840</v>
      </c>
      <c r="B611" s="12" t="s">
        <v>837</v>
      </c>
      <c r="C611" s="12" t="s">
        <v>61</v>
      </c>
      <c r="D611" s="12" t="s">
        <v>62</v>
      </c>
      <c r="E611" s="12" t="s">
        <v>32</v>
      </c>
      <c r="F611" s="12" t="s">
        <v>39</v>
      </c>
      <c r="G611" s="12" t="s">
        <v>26</v>
      </c>
      <c r="H611" s="12">
        <v>9906</v>
      </c>
      <c r="I611" s="12" t="s">
        <v>33</v>
      </c>
      <c r="J611" s="26">
        <v>0.3</v>
      </c>
      <c r="K611" s="12">
        <v>9000</v>
      </c>
      <c r="L611" s="14">
        <v>45340</v>
      </c>
      <c r="M611" s="8" t="str">
        <f t="shared" si="27"/>
        <v>Below Target</v>
      </c>
      <c r="N611" s="20">
        <f t="shared" si="28"/>
        <v>30</v>
      </c>
      <c r="O611" s="22">
        <f t="shared" si="29"/>
        <v>6934.2</v>
      </c>
    </row>
    <row r="612" spans="1:15" x14ac:dyDescent="0.3">
      <c r="A612" s="12" t="s">
        <v>841</v>
      </c>
      <c r="B612" s="12" t="s">
        <v>86</v>
      </c>
      <c r="C612" s="12" t="s">
        <v>44</v>
      </c>
      <c r="D612" s="12" t="s">
        <v>45</v>
      </c>
      <c r="E612" s="12" t="s">
        <v>16</v>
      </c>
      <c r="F612" s="12" t="s">
        <v>25</v>
      </c>
      <c r="G612" s="12" t="s">
        <v>36</v>
      </c>
      <c r="H612" s="12">
        <v>12838</v>
      </c>
      <c r="I612" s="12" t="s">
        <v>19</v>
      </c>
      <c r="J612" s="26">
        <v>0.2</v>
      </c>
      <c r="K612" s="12">
        <v>13000</v>
      </c>
      <c r="L612" s="14">
        <v>45335</v>
      </c>
      <c r="M612" s="8" t="str">
        <f t="shared" si="27"/>
        <v>Below Target</v>
      </c>
      <c r="N612" s="20">
        <f t="shared" si="28"/>
        <v>20</v>
      </c>
      <c r="O612" s="22">
        <f t="shared" si="29"/>
        <v>10270.4</v>
      </c>
    </row>
    <row r="613" spans="1:15" x14ac:dyDescent="0.3">
      <c r="A613" s="12" t="s">
        <v>842</v>
      </c>
      <c r="B613" s="12" t="s">
        <v>843</v>
      </c>
      <c r="C613" s="12" t="s">
        <v>44</v>
      </c>
      <c r="D613" s="12" t="s">
        <v>45</v>
      </c>
      <c r="E613" s="12" t="s">
        <v>16</v>
      </c>
      <c r="F613" s="12" t="s">
        <v>39</v>
      </c>
      <c r="G613" s="12" t="s">
        <v>18</v>
      </c>
      <c r="H613" s="12">
        <v>12545</v>
      </c>
      <c r="I613" s="12" t="s">
        <v>22</v>
      </c>
      <c r="J613" s="26">
        <v>0.1</v>
      </c>
      <c r="K613" s="12">
        <v>13000</v>
      </c>
      <c r="L613" s="14">
        <v>45319</v>
      </c>
      <c r="M613" s="8" t="str">
        <f t="shared" si="27"/>
        <v>Below Target</v>
      </c>
      <c r="N613" s="20">
        <f t="shared" si="28"/>
        <v>10</v>
      </c>
      <c r="O613" s="22">
        <f t="shared" si="29"/>
        <v>11290.5</v>
      </c>
    </row>
    <row r="614" spans="1:15" x14ac:dyDescent="0.3">
      <c r="A614" s="12" t="s">
        <v>844</v>
      </c>
      <c r="B614" s="12" t="s">
        <v>307</v>
      </c>
      <c r="C614" s="12" t="s">
        <v>30</v>
      </c>
      <c r="D614" s="12" t="s">
        <v>31</v>
      </c>
      <c r="E614" s="12" t="s">
        <v>32</v>
      </c>
      <c r="F614" s="12" t="s">
        <v>25</v>
      </c>
      <c r="G614" s="12" t="s">
        <v>26</v>
      </c>
      <c r="H614" s="12">
        <v>18465</v>
      </c>
      <c r="I614" s="12" t="s">
        <v>33</v>
      </c>
      <c r="J614" s="26">
        <v>0.3</v>
      </c>
      <c r="K614" s="12">
        <v>17000</v>
      </c>
      <c r="L614" s="14">
        <v>45292</v>
      </c>
      <c r="M614" s="8" t="str">
        <f t="shared" si="27"/>
        <v>Below Target</v>
      </c>
      <c r="N614" s="20">
        <f t="shared" si="28"/>
        <v>30</v>
      </c>
      <c r="O614" s="22">
        <f t="shared" si="29"/>
        <v>12925.5</v>
      </c>
    </row>
    <row r="615" spans="1:15" x14ac:dyDescent="0.3">
      <c r="A615" s="12" t="s">
        <v>845</v>
      </c>
      <c r="B615" s="12" t="s">
        <v>802</v>
      </c>
      <c r="C615" s="12" t="s">
        <v>44</v>
      </c>
      <c r="D615" s="12" t="s">
        <v>45</v>
      </c>
      <c r="E615" s="12" t="s">
        <v>32</v>
      </c>
      <c r="F615" s="12" t="s">
        <v>25</v>
      </c>
      <c r="G615" s="12" t="s">
        <v>36</v>
      </c>
      <c r="H615" s="12">
        <v>13444</v>
      </c>
      <c r="I615" s="12" t="s">
        <v>22</v>
      </c>
      <c r="J615" s="26">
        <v>0.1</v>
      </c>
      <c r="K615" s="12">
        <v>13000</v>
      </c>
      <c r="L615" s="14">
        <v>45341</v>
      </c>
      <c r="M615" s="8" t="str">
        <f t="shared" si="27"/>
        <v>Below Target</v>
      </c>
      <c r="N615" s="20">
        <f t="shared" si="28"/>
        <v>10</v>
      </c>
      <c r="O615" s="22">
        <f t="shared" si="29"/>
        <v>12099.6</v>
      </c>
    </row>
    <row r="616" spans="1:15" x14ac:dyDescent="0.3">
      <c r="A616" s="12" t="s">
        <v>846</v>
      </c>
      <c r="B616" s="12" t="s">
        <v>50</v>
      </c>
      <c r="C616" s="12" t="s">
        <v>30</v>
      </c>
      <c r="D616" s="12" t="s">
        <v>31</v>
      </c>
      <c r="E616" s="12" t="s">
        <v>46</v>
      </c>
      <c r="F616" s="12" t="s">
        <v>39</v>
      </c>
      <c r="G616" s="12" t="s">
        <v>26</v>
      </c>
      <c r="H616" s="12">
        <v>16466</v>
      </c>
      <c r="I616" s="12" t="s">
        <v>22</v>
      </c>
      <c r="J616" s="26">
        <v>0.1</v>
      </c>
      <c r="K616" s="12">
        <v>17000</v>
      </c>
      <c r="L616" s="14">
        <v>45342</v>
      </c>
      <c r="M616" s="8" t="str">
        <f t="shared" si="27"/>
        <v>Below Target</v>
      </c>
      <c r="N616" s="20">
        <f t="shared" si="28"/>
        <v>10</v>
      </c>
      <c r="O616" s="22">
        <f t="shared" si="29"/>
        <v>14819.4</v>
      </c>
    </row>
    <row r="617" spans="1:15" x14ac:dyDescent="0.3">
      <c r="A617" s="12" t="s">
        <v>847</v>
      </c>
      <c r="B617" s="12" t="s">
        <v>577</v>
      </c>
      <c r="C617" s="12" t="s">
        <v>44</v>
      </c>
      <c r="D617" s="12" t="s">
        <v>45</v>
      </c>
      <c r="E617" s="12" t="s">
        <v>32</v>
      </c>
      <c r="F617" s="12" t="s">
        <v>39</v>
      </c>
      <c r="G617" s="12" t="s">
        <v>18</v>
      </c>
      <c r="H617" s="12">
        <v>14220</v>
      </c>
      <c r="I617" s="12" t="s">
        <v>27</v>
      </c>
      <c r="J617" s="26"/>
      <c r="K617" s="12">
        <v>13000</v>
      </c>
      <c r="L617" s="14">
        <v>45302</v>
      </c>
      <c r="M617" s="8" t="str">
        <f t="shared" si="27"/>
        <v>Below Target</v>
      </c>
      <c r="N617" s="20">
        <f t="shared" si="28"/>
        <v>15</v>
      </c>
      <c r="O617" s="22">
        <f t="shared" si="29"/>
        <v>12087</v>
      </c>
    </row>
    <row r="618" spans="1:15" x14ac:dyDescent="0.3">
      <c r="A618" s="12" t="s">
        <v>848</v>
      </c>
      <c r="B618" s="12" t="s">
        <v>512</v>
      </c>
      <c r="C618" s="12" t="s">
        <v>61</v>
      </c>
      <c r="D618" s="12" t="s">
        <v>62</v>
      </c>
      <c r="E618" s="12" t="s">
        <v>32</v>
      </c>
      <c r="F618" s="12" t="s">
        <v>17</v>
      </c>
      <c r="G618" s="12" t="s">
        <v>18</v>
      </c>
      <c r="H618" s="12">
        <v>10618</v>
      </c>
      <c r="I618" s="12" t="s">
        <v>19</v>
      </c>
      <c r="J618" s="26">
        <v>0.2</v>
      </c>
      <c r="K618" s="12">
        <v>9000</v>
      </c>
      <c r="L618" s="14">
        <v>45334</v>
      </c>
      <c r="M618" s="8" t="str">
        <f t="shared" si="27"/>
        <v>Below Target</v>
      </c>
      <c r="N618" s="20">
        <f t="shared" si="28"/>
        <v>20</v>
      </c>
      <c r="O618" s="22">
        <f t="shared" si="29"/>
        <v>8494.4</v>
      </c>
    </row>
    <row r="619" spans="1:15" x14ac:dyDescent="0.3">
      <c r="A619" s="12" t="s">
        <v>849</v>
      </c>
      <c r="B619" s="12" t="s">
        <v>282</v>
      </c>
      <c r="C619" s="12" t="s">
        <v>30</v>
      </c>
      <c r="D619" s="12" t="s">
        <v>31</v>
      </c>
      <c r="E619" s="12" t="s">
        <v>46</v>
      </c>
      <c r="F619" s="12" t="s">
        <v>25</v>
      </c>
      <c r="G619" s="12" t="s">
        <v>26</v>
      </c>
      <c r="H619" s="12">
        <v>17172</v>
      </c>
      <c r="I619" s="12"/>
      <c r="J619" s="26"/>
      <c r="K619" s="12">
        <v>17000</v>
      </c>
      <c r="L619" s="14">
        <v>45327</v>
      </c>
      <c r="M619" s="8" t="str">
        <f t="shared" si="27"/>
        <v>Target Achieved</v>
      </c>
      <c r="N619" s="20">
        <f t="shared" si="28"/>
        <v>0</v>
      </c>
      <c r="O619" s="22">
        <f t="shared" si="29"/>
        <v>17172</v>
      </c>
    </row>
    <row r="620" spans="1:15" x14ac:dyDescent="0.3">
      <c r="A620" s="12" t="s">
        <v>850</v>
      </c>
      <c r="B620" s="12" t="s">
        <v>393</v>
      </c>
      <c r="C620" s="12" t="s">
        <v>14</v>
      </c>
      <c r="D620" s="12" t="s">
        <v>15</v>
      </c>
      <c r="E620" s="12" t="s">
        <v>32</v>
      </c>
      <c r="F620" s="12" t="s">
        <v>39</v>
      </c>
      <c r="G620" s="12" t="s">
        <v>36</v>
      </c>
      <c r="H620" s="12">
        <v>13825</v>
      </c>
      <c r="I620" s="12" t="s">
        <v>19</v>
      </c>
      <c r="J620" s="26">
        <v>0.2</v>
      </c>
      <c r="K620" s="12">
        <v>14000</v>
      </c>
      <c r="L620" s="14">
        <v>45349</v>
      </c>
      <c r="M620" s="8" t="str">
        <f t="shared" si="27"/>
        <v>Below Target</v>
      </c>
      <c r="N620" s="20">
        <f t="shared" si="28"/>
        <v>20</v>
      </c>
      <c r="O620" s="22">
        <f t="shared" si="29"/>
        <v>11060</v>
      </c>
    </row>
    <row r="621" spans="1:15" x14ac:dyDescent="0.3">
      <c r="A621" s="12" t="s">
        <v>851</v>
      </c>
      <c r="B621" s="12" t="s">
        <v>163</v>
      </c>
      <c r="C621" s="12" t="s">
        <v>44</v>
      </c>
      <c r="D621" s="12" t="s">
        <v>45</v>
      </c>
      <c r="E621" s="12" t="s">
        <v>32</v>
      </c>
      <c r="F621" s="12" t="s">
        <v>39</v>
      </c>
      <c r="G621" s="12" t="s">
        <v>36</v>
      </c>
      <c r="H621" s="12">
        <v>12562</v>
      </c>
      <c r="I621" s="12" t="s">
        <v>22</v>
      </c>
      <c r="J621" s="26">
        <v>0.1</v>
      </c>
      <c r="K621" s="12">
        <v>13000</v>
      </c>
      <c r="L621" s="14">
        <v>45316</v>
      </c>
      <c r="M621" s="8" t="str">
        <f t="shared" si="27"/>
        <v>Below Target</v>
      </c>
      <c r="N621" s="20">
        <f t="shared" si="28"/>
        <v>10</v>
      </c>
      <c r="O621" s="22">
        <f t="shared" si="29"/>
        <v>11305.8</v>
      </c>
    </row>
    <row r="622" spans="1:15" x14ac:dyDescent="0.3">
      <c r="A622" s="12" t="s">
        <v>852</v>
      </c>
      <c r="B622" s="12" t="s">
        <v>307</v>
      </c>
      <c r="C622" s="12" t="s">
        <v>30</v>
      </c>
      <c r="D622" s="12" t="s">
        <v>31</v>
      </c>
      <c r="E622" s="12" t="s">
        <v>32</v>
      </c>
      <c r="F622" s="12" t="s">
        <v>39</v>
      </c>
      <c r="G622" s="12" t="s">
        <v>36</v>
      </c>
      <c r="H622" s="12">
        <v>17106</v>
      </c>
      <c r="I622" s="12" t="s">
        <v>27</v>
      </c>
      <c r="J622" s="26"/>
      <c r="K622" s="12">
        <v>17000</v>
      </c>
      <c r="L622" s="14">
        <v>45320</v>
      </c>
      <c r="M622" s="8" t="str">
        <f t="shared" si="27"/>
        <v>Below Target</v>
      </c>
      <c r="N622" s="20">
        <f t="shared" si="28"/>
        <v>15</v>
      </c>
      <c r="O622" s="22">
        <f t="shared" si="29"/>
        <v>14540.1</v>
      </c>
    </row>
    <row r="623" spans="1:15" x14ac:dyDescent="0.3">
      <c r="A623" s="12" t="s">
        <v>853</v>
      </c>
      <c r="B623" s="12" t="s">
        <v>711</v>
      </c>
      <c r="C623" s="12" t="s">
        <v>30</v>
      </c>
      <c r="D623" s="12" t="s">
        <v>31</v>
      </c>
      <c r="E623" s="12" t="s">
        <v>16</v>
      </c>
      <c r="F623" s="12" t="s">
        <v>25</v>
      </c>
      <c r="G623" s="12" t="s">
        <v>36</v>
      </c>
      <c r="H623" s="12">
        <v>17104</v>
      </c>
      <c r="I623" s="12" t="s">
        <v>22</v>
      </c>
      <c r="J623" s="26">
        <v>0.1</v>
      </c>
      <c r="K623" s="12">
        <v>17000</v>
      </c>
      <c r="L623" s="14">
        <v>45352</v>
      </c>
      <c r="M623" s="8" t="str">
        <f t="shared" si="27"/>
        <v>Below Target</v>
      </c>
      <c r="N623" s="20">
        <f t="shared" si="28"/>
        <v>10</v>
      </c>
      <c r="O623" s="22">
        <f t="shared" si="29"/>
        <v>15393.6</v>
      </c>
    </row>
    <row r="624" spans="1:15" x14ac:dyDescent="0.3">
      <c r="A624" s="12" t="s">
        <v>854</v>
      </c>
      <c r="B624" s="12" t="s">
        <v>843</v>
      </c>
      <c r="C624" s="12" t="s">
        <v>14</v>
      </c>
      <c r="D624" s="12" t="s">
        <v>15</v>
      </c>
      <c r="E624" s="12" t="s">
        <v>16</v>
      </c>
      <c r="F624" s="12" t="s">
        <v>25</v>
      </c>
      <c r="G624" s="12" t="s">
        <v>18</v>
      </c>
      <c r="H624" s="12">
        <v>14745</v>
      </c>
      <c r="I624" s="12" t="s">
        <v>19</v>
      </c>
      <c r="J624" s="26">
        <v>0.2</v>
      </c>
      <c r="K624" s="12">
        <v>14000</v>
      </c>
      <c r="L624" s="14">
        <v>45347</v>
      </c>
      <c r="M624" s="8" t="str">
        <f t="shared" si="27"/>
        <v>Below Target</v>
      </c>
      <c r="N624" s="20">
        <f t="shared" si="28"/>
        <v>20</v>
      </c>
      <c r="O624" s="22">
        <f t="shared" si="29"/>
        <v>11796</v>
      </c>
    </row>
    <row r="625" spans="1:15" x14ac:dyDescent="0.3">
      <c r="A625" s="12" t="s">
        <v>855</v>
      </c>
      <c r="B625" s="12" t="s">
        <v>90</v>
      </c>
      <c r="C625" s="12" t="s">
        <v>14</v>
      </c>
      <c r="D625" s="12" t="s">
        <v>15</v>
      </c>
      <c r="E625" s="12" t="s">
        <v>32</v>
      </c>
      <c r="F625" s="12" t="s">
        <v>39</v>
      </c>
      <c r="G625" s="12" t="s">
        <v>26</v>
      </c>
      <c r="H625" s="12">
        <v>15598</v>
      </c>
      <c r="I625" s="12"/>
      <c r="J625" s="26"/>
      <c r="K625" s="12">
        <v>14000</v>
      </c>
      <c r="L625" s="14">
        <v>45333</v>
      </c>
      <c r="M625" s="8" t="str">
        <f t="shared" si="27"/>
        <v>Target Achieved</v>
      </c>
      <c r="N625" s="20">
        <f t="shared" si="28"/>
        <v>0</v>
      </c>
      <c r="O625" s="22">
        <f t="shared" si="29"/>
        <v>15598</v>
      </c>
    </row>
    <row r="626" spans="1:15" x14ac:dyDescent="0.3">
      <c r="A626" s="12" t="s">
        <v>856</v>
      </c>
      <c r="B626" s="12" t="s">
        <v>96</v>
      </c>
      <c r="C626" s="12" t="s">
        <v>44</v>
      </c>
      <c r="D626" s="12" t="s">
        <v>45</v>
      </c>
      <c r="E626" s="12" t="s">
        <v>32</v>
      </c>
      <c r="F626" s="12" t="s">
        <v>17</v>
      </c>
      <c r="G626" s="12" t="s">
        <v>26</v>
      </c>
      <c r="H626" s="12">
        <v>12358</v>
      </c>
      <c r="I626" s="12" t="s">
        <v>22</v>
      </c>
      <c r="J626" s="26">
        <v>0.1</v>
      </c>
      <c r="K626" s="12">
        <v>13000</v>
      </c>
      <c r="L626" s="14">
        <v>45297</v>
      </c>
      <c r="M626" s="8" t="str">
        <f t="shared" si="27"/>
        <v>Below Target</v>
      </c>
      <c r="N626" s="20">
        <f t="shared" si="28"/>
        <v>10</v>
      </c>
      <c r="O626" s="22">
        <f t="shared" si="29"/>
        <v>11122.2</v>
      </c>
    </row>
    <row r="627" spans="1:15" x14ac:dyDescent="0.3">
      <c r="A627" s="12" t="s">
        <v>857</v>
      </c>
      <c r="B627" s="12" t="s">
        <v>43</v>
      </c>
      <c r="C627" s="12" t="s">
        <v>44</v>
      </c>
      <c r="D627" s="12" t="s">
        <v>45</v>
      </c>
      <c r="E627" s="12" t="s">
        <v>46</v>
      </c>
      <c r="F627" s="12" t="s">
        <v>39</v>
      </c>
      <c r="G627" s="12" t="s">
        <v>18</v>
      </c>
      <c r="H627" s="12">
        <v>13355</v>
      </c>
      <c r="I627" s="12" t="s">
        <v>19</v>
      </c>
      <c r="J627" s="26">
        <v>0.2</v>
      </c>
      <c r="K627" s="12">
        <v>13000</v>
      </c>
      <c r="L627" s="14">
        <v>45350</v>
      </c>
      <c r="M627" s="8" t="str">
        <f t="shared" si="27"/>
        <v>Below Target</v>
      </c>
      <c r="N627" s="20">
        <f t="shared" si="28"/>
        <v>20</v>
      </c>
      <c r="O627" s="22">
        <f t="shared" si="29"/>
        <v>10684</v>
      </c>
    </row>
    <row r="628" spans="1:15" x14ac:dyDescent="0.3">
      <c r="A628" s="12" t="s">
        <v>858</v>
      </c>
      <c r="B628" s="12" t="s">
        <v>70</v>
      </c>
      <c r="C628" s="12" t="s">
        <v>61</v>
      </c>
      <c r="D628" s="12" t="s">
        <v>62</v>
      </c>
      <c r="E628" s="12" t="s">
        <v>46</v>
      </c>
      <c r="F628" s="12" t="s">
        <v>39</v>
      </c>
      <c r="G628" s="12" t="s">
        <v>36</v>
      </c>
      <c r="H628" s="12">
        <v>8773</v>
      </c>
      <c r="I628" s="12" t="s">
        <v>33</v>
      </c>
      <c r="J628" s="26">
        <v>0.3</v>
      </c>
      <c r="K628" s="12">
        <v>9000</v>
      </c>
      <c r="L628" s="14">
        <v>45293</v>
      </c>
      <c r="M628" s="8" t="str">
        <f t="shared" si="27"/>
        <v>Below Target</v>
      </c>
      <c r="N628" s="20">
        <f t="shared" si="28"/>
        <v>30</v>
      </c>
      <c r="O628" s="22">
        <f t="shared" si="29"/>
        <v>6141.1</v>
      </c>
    </row>
    <row r="629" spans="1:15" x14ac:dyDescent="0.3">
      <c r="A629" s="12" t="s">
        <v>859</v>
      </c>
      <c r="B629" s="12" t="s">
        <v>274</v>
      </c>
      <c r="C629" s="12" t="s">
        <v>14</v>
      </c>
      <c r="D629" s="12" t="s">
        <v>15</v>
      </c>
      <c r="E629" s="12" t="s">
        <v>16</v>
      </c>
      <c r="F629" s="12" t="s">
        <v>25</v>
      </c>
      <c r="G629" s="12" t="s">
        <v>26</v>
      </c>
      <c r="H629" s="12">
        <v>14950</v>
      </c>
      <c r="I629" s="12" t="s">
        <v>27</v>
      </c>
      <c r="J629" s="26"/>
      <c r="K629" s="12">
        <v>14000</v>
      </c>
      <c r="L629" s="14">
        <v>45296</v>
      </c>
      <c r="M629" s="8" t="str">
        <f t="shared" si="27"/>
        <v>Below Target</v>
      </c>
      <c r="N629" s="20">
        <f t="shared" si="28"/>
        <v>15</v>
      </c>
      <c r="O629" s="22">
        <f t="shared" si="29"/>
        <v>12707.5</v>
      </c>
    </row>
    <row r="630" spans="1:15" x14ac:dyDescent="0.3">
      <c r="A630" s="12" t="s">
        <v>860</v>
      </c>
      <c r="B630" s="12" t="s">
        <v>296</v>
      </c>
      <c r="C630" s="12" t="s">
        <v>14</v>
      </c>
      <c r="D630" s="12" t="s">
        <v>15</v>
      </c>
      <c r="E630" s="12" t="s">
        <v>16</v>
      </c>
      <c r="F630" s="12" t="s">
        <v>25</v>
      </c>
      <c r="G630" s="12" t="s">
        <v>36</v>
      </c>
      <c r="H630" s="12">
        <v>15801</v>
      </c>
      <c r="I630" s="12" t="s">
        <v>27</v>
      </c>
      <c r="J630" s="26"/>
      <c r="K630" s="12">
        <v>14000</v>
      </c>
      <c r="L630" s="14">
        <v>45298</v>
      </c>
      <c r="M630" s="8" t="str">
        <f t="shared" si="27"/>
        <v>Below Target</v>
      </c>
      <c r="N630" s="20">
        <f t="shared" si="28"/>
        <v>15</v>
      </c>
      <c r="O630" s="22">
        <f t="shared" si="29"/>
        <v>13430.85</v>
      </c>
    </row>
    <row r="631" spans="1:15" x14ac:dyDescent="0.3">
      <c r="A631" s="12" t="s">
        <v>861</v>
      </c>
      <c r="B631" s="12" t="s">
        <v>443</v>
      </c>
      <c r="C631" s="12" t="s">
        <v>30</v>
      </c>
      <c r="D631" s="12" t="s">
        <v>31</v>
      </c>
      <c r="E631" s="12" t="s">
        <v>16</v>
      </c>
      <c r="F631" s="12" t="s">
        <v>25</v>
      </c>
      <c r="G631" s="12" t="s">
        <v>36</v>
      </c>
      <c r="H631" s="12">
        <v>18134</v>
      </c>
      <c r="I631" s="12"/>
      <c r="J631" s="26"/>
      <c r="K631" s="12">
        <v>17000</v>
      </c>
      <c r="L631" s="14">
        <v>45316</v>
      </c>
      <c r="M631" s="8" t="str">
        <f t="shared" si="27"/>
        <v>Target Achieved</v>
      </c>
      <c r="N631" s="20">
        <f t="shared" si="28"/>
        <v>0</v>
      </c>
      <c r="O631" s="22">
        <f t="shared" si="29"/>
        <v>18134</v>
      </c>
    </row>
    <row r="632" spans="1:15" x14ac:dyDescent="0.3">
      <c r="A632" s="12" t="s">
        <v>862</v>
      </c>
      <c r="B632" s="12" t="s">
        <v>309</v>
      </c>
      <c r="C632" s="12" t="s">
        <v>14</v>
      </c>
      <c r="D632" s="12" t="s">
        <v>15</v>
      </c>
      <c r="E632" s="12" t="s">
        <v>46</v>
      </c>
      <c r="F632" s="12" t="s">
        <v>25</v>
      </c>
      <c r="G632" s="12" t="s">
        <v>26</v>
      </c>
      <c r="H632" s="12">
        <v>12900</v>
      </c>
      <c r="I632" s="12" t="s">
        <v>19</v>
      </c>
      <c r="J632" s="26">
        <v>0.2</v>
      </c>
      <c r="K632" s="12">
        <v>14000</v>
      </c>
      <c r="L632" s="14">
        <v>45339</v>
      </c>
      <c r="M632" s="8" t="str">
        <f t="shared" si="27"/>
        <v>Below Target</v>
      </c>
      <c r="N632" s="20">
        <f t="shared" si="28"/>
        <v>20</v>
      </c>
      <c r="O632" s="22">
        <f t="shared" si="29"/>
        <v>10320</v>
      </c>
    </row>
    <row r="633" spans="1:15" x14ac:dyDescent="0.3">
      <c r="A633" s="12" t="s">
        <v>863</v>
      </c>
      <c r="B633" s="12" t="s">
        <v>155</v>
      </c>
      <c r="C633" s="12" t="s">
        <v>30</v>
      </c>
      <c r="D633" s="12" t="s">
        <v>31</v>
      </c>
      <c r="E633" s="12" t="s">
        <v>16</v>
      </c>
      <c r="F633" s="12" t="s">
        <v>25</v>
      </c>
      <c r="G633" s="12" t="s">
        <v>36</v>
      </c>
      <c r="H633" s="12">
        <v>17774</v>
      </c>
      <c r="I633" s="12" t="s">
        <v>33</v>
      </c>
      <c r="J633" s="26">
        <v>0.3</v>
      </c>
      <c r="K633" s="12">
        <v>17000</v>
      </c>
      <c r="L633" s="14">
        <v>45352</v>
      </c>
      <c r="M633" s="8" t="str">
        <f t="shared" si="27"/>
        <v>Below Target</v>
      </c>
      <c r="N633" s="20">
        <f t="shared" si="28"/>
        <v>30</v>
      </c>
      <c r="O633" s="22">
        <f t="shared" si="29"/>
        <v>12441.8</v>
      </c>
    </row>
    <row r="634" spans="1:15" x14ac:dyDescent="0.3">
      <c r="A634" s="12" t="s">
        <v>864</v>
      </c>
      <c r="B634" s="12" t="s">
        <v>166</v>
      </c>
      <c r="C634" s="12" t="s">
        <v>44</v>
      </c>
      <c r="D634" s="12" t="s">
        <v>45</v>
      </c>
      <c r="E634" s="12" t="s">
        <v>32</v>
      </c>
      <c r="F634" s="12" t="s">
        <v>25</v>
      </c>
      <c r="G634" s="12" t="s">
        <v>18</v>
      </c>
      <c r="H634" s="12">
        <v>13345</v>
      </c>
      <c r="I634" s="12" t="s">
        <v>27</v>
      </c>
      <c r="J634" s="26"/>
      <c r="K634" s="12">
        <v>13000</v>
      </c>
      <c r="L634" s="14">
        <v>45317</v>
      </c>
      <c r="M634" s="8" t="str">
        <f t="shared" si="27"/>
        <v>Below Target</v>
      </c>
      <c r="N634" s="20">
        <f t="shared" si="28"/>
        <v>15</v>
      </c>
      <c r="O634" s="22">
        <f t="shared" si="29"/>
        <v>11343.25</v>
      </c>
    </row>
    <row r="635" spans="1:15" x14ac:dyDescent="0.3">
      <c r="A635" s="12" t="s">
        <v>865</v>
      </c>
      <c r="B635" s="12" t="s">
        <v>168</v>
      </c>
      <c r="C635" s="12" t="s">
        <v>14</v>
      </c>
      <c r="D635" s="12" t="s">
        <v>15</v>
      </c>
      <c r="E635" s="12" t="s">
        <v>46</v>
      </c>
      <c r="F635" s="12" t="s">
        <v>25</v>
      </c>
      <c r="G635" s="12" t="s">
        <v>26</v>
      </c>
      <c r="H635" s="12">
        <v>15036</v>
      </c>
      <c r="I635" s="12" t="s">
        <v>33</v>
      </c>
      <c r="J635" s="26">
        <v>0.3</v>
      </c>
      <c r="K635" s="12">
        <v>14000</v>
      </c>
      <c r="L635" s="14">
        <v>45305</v>
      </c>
      <c r="M635" s="8" t="str">
        <f t="shared" si="27"/>
        <v>Below Target</v>
      </c>
      <c r="N635" s="20">
        <f t="shared" si="28"/>
        <v>30</v>
      </c>
      <c r="O635" s="22">
        <f t="shared" si="29"/>
        <v>10525.2</v>
      </c>
    </row>
    <row r="636" spans="1:15" x14ac:dyDescent="0.3">
      <c r="A636" s="12" t="s">
        <v>866</v>
      </c>
      <c r="B636" s="12" t="s">
        <v>274</v>
      </c>
      <c r="C636" s="12" t="s">
        <v>44</v>
      </c>
      <c r="D636" s="12" t="s">
        <v>45</v>
      </c>
      <c r="E636" s="12" t="s">
        <v>32</v>
      </c>
      <c r="F636" s="12" t="s">
        <v>25</v>
      </c>
      <c r="G636" s="12" t="s">
        <v>18</v>
      </c>
      <c r="H636" s="12">
        <v>13526</v>
      </c>
      <c r="I636" s="12" t="s">
        <v>33</v>
      </c>
      <c r="J636" s="26">
        <v>0.3</v>
      </c>
      <c r="K636" s="12">
        <v>13000</v>
      </c>
      <c r="L636" s="14">
        <v>45304</v>
      </c>
      <c r="M636" s="8" t="str">
        <f t="shared" si="27"/>
        <v>Below Target</v>
      </c>
      <c r="N636" s="20">
        <f t="shared" si="28"/>
        <v>30</v>
      </c>
      <c r="O636" s="22">
        <f t="shared" si="29"/>
        <v>9468.2000000000007</v>
      </c>
    </row>
    <row r="637" spans="1:15" x14ac:dyDescent="0.3">
      <c r="A637" s="12" t="s">
        <v>867</v>
      </c>
      <c r="B637" s="12" t="s">
        <v>843</v>
      </c>
      <c r="C637" s="12" t="s">
        <v>14</v>
      </c>
      <c r="D637" s="12" t="s">
        <v>15</v>
      </c>
      <c r="E637" s="12" t="s">
        <v>16</v>
      </c>
      <c r="F637" s="12" t="s">
        <v>17</v>
      </c>
      <c r="G637" s="12" t="s">
        <v>26</v>
      </c>
      <c r="H637" s="12">
        <v>14251</v>
      </c>
      <c r="I637" s="12" t="s">
        <v>22</v>
      </c>
      <c r="J637" s="26">
        <v>0.1</v>
      </c>
      <c r="K637" s="12">
        <v>14000</v>
      </c>
      <c r="L637" s="14">
        <v>45310</v>
      </c>
      <c r="M637" s="8" t="str">
        <f t="shared" si="27"/>
        <v>Below Target</v>
      </c>
      <c r="N637" s="20">
        <f t="shared" si="28"/>
        <v>10</v>
      </c>
      <c r="O637" s="22">
        <f t="shared" si="29"/>
        <v>12825.9</v>
      </c>
    </row>
    <row r="638" spans="1:15" x14ac:dyDescent="0.3">
      <c r="A638" s="12" t="s">
        <v>868</v>
      </c>
      <c r="B638" s="12" t="s">
        <v>13</v>
      </c>
      <c r="C638" s="12" t="s">
        <v>30</v>
      </c>
      <c r="D638" s="12" t="s">
        <v>31</v>
      </c>
      <c r="E638" s="12" t="s">
        <v>32</v>
      </c>
      <c r="F638" s="12" t="s">
        <v>25</v>
      </c>
      <c r="G638" s="12" t="s">
        <v>26</v>
      </c>
      <c r="H638" s="12">
        <v>17378</v>
      </c>
      <c r="I638" s="12"/>
      <c r="J638" s="26"/>
      <c r="K638" s="12">
        <v>17000</v>
      </c>
      <c r="L638" s="14">
        <v>45352</v>
      </c>
      <c r="M638" s="8" t="str">
        <f t="shared" si="27"/>
        <v>Target Achieved</v>
      </c>
      <c r="N638" s="20">
        <f t="shared" si="28"/>
        <v>0</v>
      </c>
      <c r="O638" s="22">
        <f t="shared" si="29"/>
        <v>17378</v>
      </c>
    </row>
    <row r="639" spans="1:15" x14ac:dyDescent="0.3">
      <c r="A639" s="12" t="s">
        <v>869</v>
      </c>
      <c r="B639" s="12" t="s">
        <v>282</v>
      </c>
      <c r="C639" s="12" t="s">
        <v>44</v>
      </c>
      <c r="D639" s="12" t="s">
        <v>45</v>
      </c>
      <c r="E639" s="12" t="s">
        <v>16</v>
      </c>
      <c r="F639" s="12" t="s">
        <v>39</v>
      </c>
      <c r="G639" s="12" t="s">
        <v>18</v>
      </c>
      <c r="H639" s="12">
        <v>11409</v>
      </c>
      <c r="I639" s="12" t="s">
        <v>33</v>
      </c>
      <c r="J639" s="26">
        <v>0.3</v>
      </c>
      <c r="K639" s="12">
        <v>13000</v>
      </c>
      <c r="L639" s="14">
        <v>45331</v>
      </c>
      <c r="M639" s="8" t="str">
        <f t="shared" si="27"/>
        <v>Below Target</v>
      </c>
      <c r="N639" s="20">
        <f t="shared" si="28"/>
        <v>30</v>
      </c>
      <c r="O639" s="22">
        <f t="shared" si="29"/>
        <v>7986.3</v>
      </c>
    </row>
    <row r="640" spans="1:15" x14ac:dyDescent="0.3">
      <c r="A640" s="12" t="s">
        <v>870</v>
      </c>
      <c r="B640" s="12" t="s">
        <v>248</v>
      </c>
      <c r="C640" s="12" t="s">
        <v>30</v>
      </c>
      <c r="D640" s="12" t="s">
        <v>31</v>
      </c>
      <c r="E640" s="12" t="s">
        <v>46</v>
      </c>
      <c r="F640" s="12" t="s">
        <v>17</v>
      </c>
      <c r="G640" s="12" t="s">
        <v>36</v>
      </c>
      <c r="H640" s="12">
        <v>17524</v>
      </c>
      <c r="I640" s="12" t="s">
        <v>33</v>
      </c>
      <c r="J640" s="26">
        <v>0.3</v>
      </c>
      <c r="K640" s="12">
        <v>17000</v>
      </c>
      <c r="L640" s="14">
        <v>45336</v>
      </c>
      <c r="M640" s="8" t="str">
        <f t="shared" si="27"/>
        <v>Below Target</v>
      </c>
      <c r="N640" s="20">
        <f t="shared" si="28"/>
        <v>30</v>
      </c>
      <c r="O640" s="22">
        <f t="shared" si="29"/>
        <v>12266.8</v>
      </c>
    </row>
    <row r="641" spans="1:15" x14ac:dyDescent="0.3">
      <c r="A641" s="12" t="s">
        <v>871</v>
      </c>
      <c r="B641" s="12" t="s">
        <v>373</v>
      </c>
      <c r="C641" s="12" t="s">
        <v>30</v>
      </c>
      <c r="D641" s="12" t="s">
        <v>31</v>
      </c>
      <c r="E641" s="12" t="s">
        <v>46</v>
      </c>
      <c r="F641" s="12" t="s">
        <v>17</v>
      </c>
      <c r="G641" s="12" t="s">
        <v>18</v>
      </c>
      <c r="H641" s="12">
        <v>15019</v>
      </c>
      <c r="I641" s="12" t="s">
        <v>33</v>
      </c>
      <c r="J641" s="26">
        <v>0.3</v>
      </c>
      <c r="K641" s="12">
        <v>17000</v>
      </c>
      <c r="L641" s="14">
        <v>45307</v>
      </c>
      <c r="M641" s="8" t="str">
        <f t="shared" si="27"/>
        <v>Below Target</v>
      </c>
      <c r="N641" s="20">
        <f t="shared" si="28"/>
        <v>30</v>
      </c>
      <c r="O641" s="22">
        <f t="shared" si="29"/>
        <v>10513.3</v>
      </c>
    </row>
    <row r="642" spans="1:15" x14ac:dyDescent="0.3">
      <c r="A642" s="12" t="s">
        <v>872</v>
      </c>
      <c r="B642" s="12" t="s">
        <v>294</v>
      </c>
      <c r="C642" s="12" t="s">
        <v>61</v>
      </c>
      <c r="D642" s="12" t="s">
        <v>62</v>
      </c>
      <c r="E642" s="12" t="s">
        <v>46</v>
      </c>
      <c r="F642" s="12" t="s">
        <v>17</v>
      </c>
      <c r="G642" s="12" t="s">
        <v>18</v>
      </c>
      <c r="H642" s="12">
        <v>9783</v>
      </c>
      <c r="I642" s="12" t="s">
        <v>33</v>
      </c>
      <c r="J642" s="26">
        <v>0.3</v>
      </c>
      <c r="K642" s="12">
        <v>9000</v>
      </c>
      <c r="L642" s="14">
        <v>45348</v>
      </c>
      <c r="M642" s="8" t="str">
        <f t="shared" ref="M642:M705" si="30">IF(J642&gt;=N642,"Target Achieved","Below Target")</f>
        <v>Below Target</v>
      </c>
      <c r="N642" s="20">
        <f t="shared" si="28"/>
        <v>30</v>
      </c>
      <c r="O642" s="22">
        <f t="shared" si="29"/>
        <v>6848.1</v>
      </c>
    </row>
    <row r="643" spans="1:15" x14ac:dyDescent="0.3">
      <c r="A643" s="12" t="s">
        <v>873</v>
      </c>
      <c r="B643" s="12" t="s">
        <v>231</v>
      </c>
      <c r="C643" s="12" t="s">
        <v>61</v>
      </c>
      <c r="D643" s="12" t="s">
        <v>62</v>
      </c>
      <c r="E643" s="12" t="s">
        <v>46</v>
      </c>
      <c r="F643" s="12" t="s">
        <v>17</v>
      </c>
      <c r="G643" s="12" t="s">
        <v>36</v>
      </c>
      <c r="H643" s="12">
        <v>9259</v>
      </c>
      <c r="I643" s="12" t="s">
        <v>22</v>
      </c>
      <c r="J643" s="26">
        <v>0.1</v>
      </c>
      <c r="K643" s="12">
        <v>9000</v>
      </c>
      <c r="L643" s="14">
        <v>45303</v>
      </c>
      <c r="M643" s="8" t="str">
        <f t="shared" si="30"/>
        <v>Below Target</v>
      </c>
      <c r="N643" s="20">
        <f t="shared" ref="N643:N706" si="31">IFERROR(VALUE(RIGHT(I643,2)),0)</f>
        <v>10</v>
      </c>
      <c r="O643" s="22">
        <f t="shared" ref="O643:O706" si="32">H643-H643*N643/100</f>
        <v>8333.1</v>
      </c>
    </row>
    <row r="644" spans="1:15" x14ac:dyDescent="0.3">
      <c r="A644" s="12" t="s">
        <v>874</v>
      </c>
      <c r="B644" s="12" t="s">
        <v>163</v>
      </c>
      <c r="C644" s="12" t="s">
        <v>14</v>
      </c>
      <c r="D644" s="12" t="s">
        <v>15</v>
      </c>
      <c r="E644" s="12" t="s">
        <v>46</v>
      </c>
      <c r="F644" s="12" t="s">
        <v>25</v>
      </c>
      <c r="G644" s="12" t="s">
        <v>26</v>
      </c>
      <c r="H644" s="12">
        <v>12804</v>
      </c>
      <c r="I644" s="12" t="s">
        <v>33</v>
      </c>
      <c r="J644" s="26">
        <v>0.3</v>
      </c>
      <c r="K644" s="12">
        <v>14000</v>
      </c>
      <c r="L644" s="14">
        <v>45338</v>
      </c>
      <c r="M644" s="8" t="str">
        <f t="shared" si="30"/>
        <v>Below Target</v>
      </c>
      <c r="N644" s="20">
        <f t="shared" si="31"/>
        <v>30</v>
      </c>
      <c r="O644" s="22">
        <f t="shared" si="32"/>
        <v>8962.7999999999993</v>
      </c>
    </row>
    <row r="645" spans="1:15" x14ac:dyDescent="0.3">
      <c r="A645" s="12" t="s">
        <v>875</v>
      </c>
      <c r="B645" s="12" t="s">
        <v>50</v>
      </c>
      <c r="C645" s="12" t="s">
        <v>14</v>
      </c>
      <c r="D645" s="12" t="s">
        <v>15</v>
      </c>
      <c r="E645" s="12" t="s">
        <v>16</v>
      </c>
      <c r="F645" s="12" t="s">
        <v>25</v>
      </c>
      <c r="G645" s="12" t="s">
        <v>18</v>
      </c>
      <c r="H645" s="12">
        <v>15479</v>
      </c>
      <c r="I645" s="12" t="s">
        <v>27</v>
      </c>
      <c r="J645" s="26"/>
      <c r="K645" s="12">
        <v>14000</v>
      </c>
      <c r="L645" s="14">
        <v>45332</v>
      </c>
      <c r="M645" s="8" t="str">
        <f t="shared" si="30"/>
        <v>Below Target</v>
      </c>
      <c r="N645" s="20">
        <f t="shared" si="31"/>
        <v>15</v>
      </c>
      <c r="O645" s="22">
        <f t="shared" si="32"/>
        <v>13157.15</v>
      </c>
    </row>
    <row r="646" spans="1:15" x14ac:dyDescent="0.3">
      <c r="A646" s="12" t="s">
        <v>876</v>
      </c>
      <c r="B646" s="12" t="s">
        <v>129</v>
      </c>
      <c r="C646" s="12" t="s">
        <v>61</v>
      </c>
      <c r="D646" s="12" t="s">
        <v>62</v>
      </c>
      <c r="E646" s="12" t="s">
        <v>16</v>
      </c>
      <c r="F646" s="12" t="s">
        <v>25</v>
      </c>
      <c r="G646" s="12" t="s">
        <v>18</v>
      </c>
      <c r="H646" s="12">
        <v>9259</v>
      </c>
      <c r="I646" s="12" t="s">
        <v>33</v>
      </c>
      <c r="J646" s="26">
        <v>0.3</v>
      </c>
      <c r="K646" s="12">
        <v>9000</v>
      </c>
      <c r="L646" s="14">
        <v>45326</v>
      </c>
      <c r="M646" s="8" t="str">
        <f t="shared" si="30"/>
        <v>Below Target</v>
      </c>
      <c r="N646" s="20">
        <f t="shared" si="31"/>
        <v>30</v>
      </c>
      <c r="O646" s="22">
        <f t="shared" si="32"/>
        <v>6481.3</v>
      </c>
    </row>
    <row r="647" spans="1:15" x14ac:dyDescent="0.3">
      <c r="A647" s="12" t="s">
        <v>877</v>
      </c>
      <c r="B647" s="12" t="s">
        <v>84</v>
      </c>
      <c r="C647" s="12" t="s">
        <v>61</v>
      </c>
      <c r="D647" s="12" t="s">
        <v>62</v>
      </c>
      <c r="E647" s="12" t="s">
        <v>16</v>
      </c>
      <c r="F647" s="12" t="s">
        <v>25</v>
      </c>
      <c r="G647" s="12" t="s">
        <v>36</v>
      </c>
      <c r="H647" s="12">
        <v>8607</v>
      </c>
      <c r="I647" s="12" t="s">
        <v>19</v>
      </c>
      <c r="J647" s="26">
        <v>0.2</v>
      </c>
      <c r="K647" s="12">
        <v>9000</v>
      </c>
      <c r="L647" s="14">
        <v>45349</v>
      </c>
      <c r="M647" s="8" t="str">
        <f t="shared" si="30"/>
        <v>Below Target</v>
      </c>
      <c r="N647" s="20">
        <f t="shared" si="31"/>
        <v>20</v>
      </c>
      <c r="O647" s="22">
        <f t="shared" si="32"/>
        <v>6885.6</v>
      </c>
    </row>
    <row r="648" spans="1:15" x14ac:dyDescent="0.3">
      <c r="A648" s="12" t="s">
        <v>878</v>
      </c>
      <c r="B648" s="12" t="s">
        <v>522</v>
      </c>
      <c r="C648" s="12" t="s">
        <v>30</v>
      </c>
      <c r="D648" s="12" t="s">
        <v>31</v>
      </c>
      <c r="E648" s="12" t="s">
        <v>32</v>
      </c>
      <c r="F648" s="12" t="s">
        <v>17</v>
      </c>
      <c r="G648" s="12" t="s">
        <v>26</v>
      </c>
      <c r="H648" s="12">
        <v>17090</v>
      </c>
      <c r="I648" s="12" t="s">
        <v>22</v>
      </c>
      <c r="J648" s="26">
        <v>0.1</v>
      </c>
      <c r="K648" s="12">
        <v>17000</v>
      </c>
      <c r="L648" s="14">
        <v>45317</v>
      </c>
      <c r="M648" s="8" t="str">
        <f t="shared" si="30"/>
        <v>Below Target</v>
      </c>
      <c r="N648" s="20">
        <f t="shared" si="31"/>
        <v>10</v>
      </c>
      <c r="O648" s="22">
        <f t="shared" si="32"/>
        <v>15381</v>
      </c>
    </row>
    <row r="649" spans="1:15" x14ac:dyDescent="0.3">
      <c r="A649" s="12" t="s">
        <v>879</v>
      </c>
      <c r="B649" s="12" t="s">
        <v>301</v>
      </c>
      <c r="C649" s="12" t="s">
        <v>14</v>
      </c>
      <c r="D649" s="12" t="s">
        <v>15</v>
      </c>
      <c r="E649" s="12" t="s">
        <v>16</v>
      </c>
      <c r="F649" s="12" t="s">
        <v>25</v>
      </c>
      <c r="G649" s="12" t="s">
        <v>26</v>
      </c>
      <c r="H649" s="12">
        <v>14802</v>
      </c>
      <c r="I649" s="12" t="s">
        <v>19</v>
      </c>
      <c r="J649" s="26">
        <v>0.2</v>
      </c>
      <c r="K649" s="12">
        <v>14000</v>
      </c>
      <c r="L649" s="14">
        <v>45340</v>
      </c>
      <c r="M649" s="8" t="str">
        <f t="shared" si="30"/>
        <v>Below Target</v>
      </c>
      <c r="N649" s="20">
        <f t="shared" si="31"/>
        <v>20</v>
      </c>
      <c r="O649" s="22">
        <f t="shared" si="32"/>
        <v>11841.6</v>
      </c>
    </row>
    <row r="650" spans="1:15" x14ac:dyDescent="0.3">
      <c r="A650" s="12" t="s">
        <v>880</v>
      </c>
      <c r="B650" s="12" t="s">
        <v>80</v>
      </c>
      <c r="C650" s="12" t="s">
        <v>61</v>
      </c>
      <c r="D650" s="12" t="s">
        <v>62</v>
      </c>
      <c r="E650" s="12" t="s">
        <v>32</v>
      </c>
      <c r="F650" s="12" t="s">
        <v>25</v>
      </c>
      <c r="G650" s="12" t="s">
        <v>26</v>
      </c>
      <c r="H650" s="12">
        <v>10885</v>
      </c>
      <c r="I650" s="12" t="s">
        <v>27</v>
      </c>
      <c r="J650" s="26"/>
      <c r="K650" s="12">
        <v>9000</v>
      </c>
      <c r="L650" s="14">
        <v>45334</v>
      </c>
      <c r="M650" s="8" t="str">
        <f t="shared" si="30"/>
        <v>Below Target</v>
      </c>
      <c r="N650" s="20">
        <f t="shared" si="31"/>
        <v>15</v>
      </c>
      <c r="O650" s="22">
        <f t="shared" si="32"/>
        <v>9252.25</v>
      </c>
    </row>
    <row r="651" spans="1:15" x14ac:dyDescent="0.3">
      <c r="A651" s="12" t="s">
        <v>881</v>
      </c>
      <c r="B651" s="12" t="s">
        <v>412</v>
      </c>
      <c r="C651" s="12" t="s">
        <v>61</v>
      </c>
      <c r="D651" s="12" t="s">
        <v>62</v>
      </c>
      <c r="E651" s="12" t="s">
        <v>46</v>
      </c>
      <c r="F651" s="12" t="s">
        <v>25</v>
      </c>
      <c r="G651" s="12" t="s">
        <v>18</v>
      </c>
      <c r="H651" s="12">
        <v>10118</v>
      </c>
      <c r="I651" s="12"/>
      <c r="J651" s="26"/>
      <c r="K651" s="12">
        <v>9000</v>
      </c>
      <c r="L651" s="14">
        <v>45306</v>
      </c>
      <c r="M651" s="8" t="str">
        <f t="shared" si="30"/>
        <v>Target Achieved</v>
      </c>
      <c r="N651" s="20">
        <f t="shared" si="31"/>
        <v>0</v>
      </c>
      <c r="O651" s="22">
        <f t="shared" si="32"/>
        <v>10118</v>
      </c>
    </row>
    <row r="652" spans="1:15" x14ac:dyDescent="0.3">
      <c r="A652" s="12" t="s">
        <v>882</v>
      </c>
      <c r="B652" s="12" t="s">
        <v>263</v>
      </c>
      <c r="C652" s="12" t="s">
        <v>30</v>
      </c>
      <c r="D652" s="12" t="s">
        <v>31</v>
      </c>
      <c r="E652" s="12" t="s">
        <v>32</v>
      </c>
      <c r="F652" s="12" t="s">
        <v>25</v>
      </c>
      <c r="G652" s="12" t="s">
        <v>26</v>
      </c>
      <c r="H652" s="12">
        <v>15846</v>
      </c>
      <c r="I652" s="12" t="s">
        <v>27</v>
      </c>
      <c r="J652" s="26"/>
      <c r="K652" s="12">
        <v>17000</v>
      </c>
      <c r="L652" s="14">
        <v>45350</v>
      </c>
      <c r="M652" s="8" t="str">
        <f t="shared" si="30"/>
        <v>Below Target</v>
      </c>
      <c r="N652" s="20">
        <f t="shared" si="31"/>
        <v>15</v>
      </c>
      <c r="O652" s="22">
        <f t="shared" si="32"/>
        <v>13469.1</v>
      </c>
    </row>
    <row r="653" spans="1:15" x14ac:dyDescent="0.3">
      <c r="A653" s="12" t="s">
        <v>883</v>
      </c>
      <c r="B653" s="12" t="s">
        <v>602</v>
      </c>
      <c r="C653" s="12" t="s">
        <v>61</v>
      </c>
      <c r="D653" s="12" t="s">
        <v>62</v>
      </c>
      <c r="E653" s="12" t="s">
        <v>46</v>
      </c>
      <c r="F653" s="12" t="s">
        <v>17</v>
      </c>
      <c r="G653" s="12" t="s">
        <v>18</v>
      </c>
      <c r="H653" s="12">
        <v>7163</v>
      </c>
      <c r="I653" s="12" t="s">
        <v>33</v>
      </c>
      <c r="J653" s="26">
        <v>0.3</v>
      </c>
      <c r="K653" s="12">
        <v>9000</v>
      </c>
      <c r="L653" s="14">
        <v>45298</v>
      </c>
      <c r="M653" s="8" t="str">
        <f t="shared" si="30"/>
        <v>Below Target</v>
      </c>
      <c r="N653" s="20">
        <f t="shared" si="31"/>
        <v>30</v>
      </c>
      <c r="O653" s="22">
        <f t="shared" si="32"/>
        <v>5014.1000000000004</v>
      </c>
    </row>
    <row r="654" spans="1:15" x14ac:dyDescent="0.3">
      <c r="A654" s="12" t="s">
        <v>884</v>
      </c>
      <c r="B654" s="12" t="s">
        <v>103</v>
      </c>
      <c r="C654" s="12" t="s">
        <v>30</v>
      </c>
      <c r="D654" s="12" t="s">
        <v>31</v>
      </c>
      <c r="E654" s="12" t="s">
        <v>16</v>
      </c>
      <c r="F654" s="12" t="s">
        <v>17</v>
      </c>
      <c r="G654" s="12" t="s">
        <v>26</v>
      </c>
      <c r="H654" s="12">
        <v>17229</v>
      </c>
      <c r="I654" s="12" t="s">
        <v>27</v>
      </c>
      <c r="J654" s="26"/>
      <c r="K654" s="12">
        <v>17000</v>
      </c>
      <c r="L654" s="14">
        <v>45303</v>
      </c>
      <c r="M654" s="8" t="str">
        <f t="shared" si="30"/>
        <v>Below Target</v>
      </c>
      <c r="N654" s="20">
        <f t="shared" si="31"/>
        <v>15</v>
      </c>
      <c r="O654" s="22">
        <f t="shared" si="32"/>
        <v>14644.65</v>
      </c>
    </row>
    <row r="655" spans="1:15" x14ac:dyDescent="0.3">
      <c r="A655" s="12" t="s">
        <v>885</v>
      </c>
      <c r="B655" s="12" t="s">
        <v>274</v>
      </c>
      <c r="C655" s="12" t="s">
        <v>61</v>
      </c>
      <c r="D655" s="12" t="s">
        <v>62</v>
      </c>
      <c r="E655" s="12" t="s">
        <v>46</v>
      </c>
      <c r="F655" s="12" t="s">
        <v>39</v>
      </c>
      <c r="G655" s="12" t="s">
        <v>26</v>
      </c>
      <c r="H655" s="12">
        <v>10679</v>
      </c>
      <c r="I655" s="12" t="s">
        <v>22</v>
      </c>
      <c r="J655" s="26">
        <v>0.1</v>
      </c>
      <c r="K655" s="12">
        <v>9000</v>
      </c>
      <c r="L655" s="14">
        <v>45325</v>
      </c>
      <c r="M655" s="8" t="str">
        <f t="shared" si="30"/>
        <v>Below Target</v>
      </c>
      <c r="N655" s="20">
        <f t="shared" si="31"/>
        <v>10</v>
      </c>
      <c r="O655" s="22">
        <f t="shared" si="32"/>
        <v>9611.1</v>
      </c>
    </row>
    <row r="656" spans="1:15" x14ac:dyDescent="0.3">
      <c r="A656" s="12" t="s">
        <v>886</v>
      </c>
      <c r="B656" s="12" t="s">
        <v>70</v>
      </c>
      <c r="C656" s="12" t="s">
        <v>44</v>
      </c>
      <c r="D656" s="12" t="s">
        <v>45</v>
      </c>
      <c r="E656" s="12" t="s">
        <v>16</v>
      </c>
      <c r="F656" s="12" t="s">
        <v>17</v>
      </c>
      <c r="G656" s="12" t="s">
        <v>36</v>
      </c>
      <c r="H656" s="12">
        <v>14347</v>
      </c>
      <c r="I656" s="12" t="s">
        <v>33</v>
      </c>
      <c r="J656" s="26">
        <v>0.3</v>
      </c>
      <c r="K656" s="12">
        <v>13000</v>
      </c>
      <c r="L656" s="14">
        <v>45323</v>
      </c>
      <c r="M656" s="8" t="str">
        <f t="shared" si="30"/>
        <v>Below Target</v>
      </c>
      <c r="N656" s="20">
        <f t="shared" si="31"/>
        <v>30</v>
      </c>
      <c r="O656" s="22">
        <f t="shared" si="32"/>
        <v>10042.9</v>
      </c>
    </row>
    <row r="657" spans="1:15" x14ac:dyDescent="0.3">
      <c r="A657" s="12" t="s">
        <v>887</v>
      </c>
      <c r="B657" s="12" t="s">
        <v>298</v>
      </c>
      <c r="C657" s="12" t="s">
        <v>14</v>
      </c>
      <c r="D657" s="12" t="s">
        <v>15</v>
      </c>
      <c r="E657" s="12" t="s">
        <v>16</v>
      </c>
      <c r="F657" s="12" t="s">
        <v>25</v>
      </c>
      <c r="G657" s="12" t="s">
        <v>36</v>
      </c>
      <c r="H657" s="12">
        <v>12678</v>
      </c>
      <c r="I657" s="12" t="s">
        <v>19</v>
      </c>
      <c r="J657" s="26">
        <v>0.2</v>
      </c>
      <c r="K657" s="12">
        <v>14000</v>
      </c>
      <c r="L657" s="14">
        <v>45296</v>
      </c>
      <c r="M657" s="8" t="str">
        <f t="shared" si="30"/>
        <v>Below Target</v>
      </c>
      <c r="N657" s="20">
        <f t="shared" si="31"/>
        <v>20</v>
      </c>
      <c r="O657" s="22">
        <f t="shared" si="32"/>
        <v>10142.4</v>
      </c>
    </row>
    <row r="658" spans="1:15" x14ac:dyDescent="0.3">
      <c r="A658" s="12" t="s">
        <v>888</v>
      </c>
      <c r="B658" s="12" t="s">
        <v>202</v>
      </c>
      <c r="C658" s="12" t="s">
        <v>30</v>
      </c>
      <c r="D658" s="12" t="s">
        <v>31</v>
      </c>
      <c r="E658" s="12" t="s">
        <v>32</v>
      </c>
      <c r="F658" s="12" t="s">
        <v>25</v>
      </c>
      <c r="G658" s="12" t="s">
        <v>18</v>
      </c>
      <c r="H658" s="12">
        <v>15644</v>
      </c>
      <c r="I658" s="12" t="s">
        <v>33</v>
      </c>
      <c r="J658" s="26">
        <v>0.3</v>
      </c>
      <c r="K658" s="12">
        <v>17000</v>
      </c>
      <c r="L658" s="14">
        <v>45330</v>
      </c>
      <c r="M658" s="8" t="str">
        <f t="shared" si="30"/>
        <v>Below Target</v>
      </c>
      <c r="N658" s="20">
        <f t="shared" si="31"/>
        <v>30</v>
      </c>
      <c r="O658" s="22">
        <f t="shared" si="32"/>
        <v>10950.8</v>
      </c>
    </row>
    <row r="659" spans="1:15" x14ac:dyDescent="0.3">
      <c r="A659" s="12" t="s">
        <v>889</v>
      </c>
      <c r="B659" s="12" t="s">
        <v>371</v>
      </c>
      <c r="C659" s="12" t="s">
        <v>14</v>
      </c>
      <c r="D659" s="12" t="s">
        <v>15</v>
      </c>
      <c r="E659" s="12" t="s">
        <v>16</v>
      </c>
      <c r="F659" s="12" t="s">
        <v>25</v>
      </c>
      <c r="G659" s="12" t="s">
        <v>36</v>
      </c>
      <c r="H659" s="12">
        <v>15322</v>
      </c>
      <c r="I659" s="12" t="s">
        <v>33</v>
      </c>
      <c r="J659" s="26">
        <v>0.3</v>
      </c>
      <c r="K659" s="12">
        <v>14000</v>
      </c>
      <c r="L659" s="14">
        <v>45338</v>
      </c>
      <c r="M659" s="8" t="str">
        <f t="shared" si="30"/>
        <v>Below Target</v>
      </c>
      <c r="N659" s="20">
        <f t="shared" si="31"/>
        <v>30</v>
      </c>
      <c r="O659" s="22">
        <f t="shared" si="32"/>
        <v>10725.4</v>
      </c>
    </row>
    <row r="660" spans="1:15" x14ac:dyDescent="0.3">
      <c r="A660" s="12" t="s">
        <v>890</v>
      </c>
      <c r="B660" s="12" t="s">
        <v>245</v>
      </c>
      <c r="C660" s="12" t="s">
        <v>61</v>
      </c>
      <c r="D660" s="12" t="s">
        <v>62</v>
      </c>
      <c r="E660" s="12" t="s">
        <v>46</v>
      </c>
      <c r="F660" s="12" t="s">
        <v>25</v>
      </c>
      <c r="G660" s="12" t="s">
        <v>26</v>
      </c>
      <c r="H660" s="12">
        <v>7660</v>
      </c>
      <c r="I660" s="12"/>
      <c r="J660" s="26"/>
      <c r="K660" s="12">
        <v>9000</v>
      </c>
      <c r="L660" s="14">
        <v>45293</v>
      </c>
      <c r="M660" s="8" t="str">
        <f t="shared" si="30"/>
        <v>Target Achieved</v>
      </c>
      <c r="N660" s="20">
        <f t="shared" si="31"/>
        <v>0</v>
      </c>
      <c r="O660" s="22">
        <f t="shared" si="32"/>
        <v>7660</v>
      </c>
    </row>
    <row r="661" spans="1:15" x14ac:dyDescent="0.3">
      <c r="A661" s="12" t="s">
        <v>891</v>
      </c>
      <c r="B661" s="12" t="s">
        <v>500</v>
      </c>
      <c r="C661" s="12" t="s">
        <v>44</v>
      </c>
      <c r="D661" s="12" t="s">
        <v>45</v>
      </c>
      <c r="E661" s="12" t="s">
        <v>16</v>
      </c>
      <c r="F661" s="12" t="s">
        <v>39</v>
      </c>
      <c r="G661" s="12" t="s">
        <v>18</v>
      </c>
      <c r="H661" s="12">
        <v>11551</v>
      </c>
      <c r="I661" s="12" t="s">
        <v>27</v>
      </c>
      <c r="J661" s="26"/>
      <c r="K661" s="12">
        <v>13000</v>
      </c>
      <c r="L661" s="14">
        <v>45294</v>
      </c>
      <c r="M661" s="8" t="str">
        <f t="shared" si="30"/>
        <v>Below Target</v>
      </c>
      <c r="N661" s="20">
        <f t="shared" si="31"/>
        <v>15</v>
      </c>
      <c r="O661" s="22">
        <f t="shared" si="32"/>
        <v>9818.35</v>
      </c>
    </row>
    <row r="662" spans="1:15" x14ac:dyDescent="0.3">
      <c r="A662" s="12" t="s">
        <v>892</v>
      </c>
      <c r="B662" s="12" t="s">
        <v>60</v>
      </c>
      <c r="C662" s="12" t="s">
        <v>44</v>
      </c>
      <c r="D662" s="12" t="s">
        <v>45</v>
      </c>
      <c r="E662" s="12" t="s">
        <v>32</v>
      </c>
      <c r="F662" s="12" t="s">
        <v>25</v>
      </c>
      <c r="G662" s="12" t="s">
        <v>36</v>
      </c>
      <c r="H662" s="12">
        <v>14778</v>
      </c>
      <c r="I662" s="12" t="s">
        <v>19</v>
      </c>
      <c r="J662" s="26">
        <v>0.2</v>
      </c>
      <c r="K662" s="12">
        <v>13000</v>
      </c>
      <c r="L662" s="14">
        <v>45325</v>
      </c>
      <c r="M662" s="8" t="str">
        <f t="shared" si="30"/>
        <v>Below Target</v>
      </c>
      <c r="N662" s="20">
        <f t="shared" si="31"/>
        <v>20</v>
      </c>
      <c r="O662" s="22">
        <f t="shared" si="32"/>
        <v>11822.4</v>
      </c>
    </row>
    <row r="663" spans="1:15" x14ac:dyDescent="0.3">
      <c r="A663" s="12" t="s">
        <v>893</v>
      </c>
      <c r="B663" s="12" t="s">
        <v>617</v>
      </c>
      <c r="C663" s="12" t="s">
        <v>14</v>
      </c>
      <c r="D663" s="12" t="s">
        <v>15</v>
      </c>
      <c r="E663" s="12" t="s">
        <v>16</v>
      </c>
      <c r="F663" s="12" t="s">
        <v>39</v>
      </c>
      <c r="G663" s="12" t="s">
        <v>26</v>
      </c>
      <c r="H663" s="12">
        <v>15364</v>
      </c>
      <c r="I663" s="12" t="s">
        <v>33</v>
      </c>
      <c r="J663" s="26">
        <v>0.3</v>
      </c>
      <c r="K663" s="12">
        <v>14000</v>
      </c>
      <c r="L663" s="14">
        <v>45352</v>
      </c>
      <c r="M663" s="8" t="str">
        <f t="shared" si="30"/>
        <v>Below Target</v>
      </c>
      <c r="N663" s="20">
        <f t="shared" si="31"/>
        <v>30</v>
      </c>
      <c r="O663" s="22">
        <f t="shared" si="32"/>
        <v>10754.8</v>
      </c>
    </row>
    <row r="664" spans="1:15" x14ac:dyDescent="0.3">
      <c r="A664" s="12" t="s">
        <v>894</v>
      </c>
      <c r="B664" s="12" t="s">
        <v>248</v>
      </c>
      <c r="C664" s="12" t="s">
        <v>61</v>
      </c>
      <c r="D664" s="12" t="s">
        <v>62</v>
      </c>
      <c r="E664" s="12" t="s">
        <v>16</v>
      </c>
      <c r="F664" s="12" t="s">
        <v>17</v>
      </c>
      <c r="G664" s="12" t="s">
        <v>36</v>
      </c>
      <c r="H664" s="12">
        <v>7698</v>
      </c>
      <c r="I664" s="12" t="s">
        <v>19</v>
      </c>
      <c r="J664" s="26">
        <v>0.2</v>
      </c>
      <c r="K664" s="12">
        <v>9000</v>
      </c>
      <c r="L664" s="14">
        <v>45345</v>
      </c>
      <c r="M664" s="8" t="str">
        <f t="shared" si="30"/>
        <v>Below Target</v>
      </c>
      <c r="N664" s="20">
        <f t="shared" si="31"/>
        <v>20</v>
      </c>
      <c r="O664" s="22">
        <f t="shared" si="32"/>
        <v>6158.4</v>
      </c>
    </row>
    <row r="665" spans="1:15" x14ac:dyDescent="0.3">
      <c r="A665" s="12" t="s">
        <v>895</v>
      </c>
      <c r="B665" s="12" t="s">
        <v>617</v>
      </c>
      <c r="C665" s="12" t="s">
        <v>44</v>
      </c>
      <c r="D665" s="12" t="s">
        <v>45</v>
      </c>
      <c r="E665" s="12" t="s">
        <v>16</v>
      </c>
      <c r="F665" s="12" t="s">
        <v>25</v>
      </c>
      <c r="G665" s="12" t="s">
        <v>26</v>
      </c>
      <c r="H665" s="12">
        <v>13701</v>
      </c>
      <c r="I665" s="12" t="s">
        <v>27</v>
      </c>
      <c r="J665" s="26"/>
      <c r="K665" s="12">
        <v>13000</v>
      </c>
      <c r="L665" s="14">
        <v>45308</v>
      </c>
      <c r="M665" s="8" t="str">
        <f t="shared" si="30"/>
        <v>Below Target</v>
      </c>
      <c r="N665" s="20">
        <f t="shared" si="31"/>
        <v>15</v>
      </c>
      <c r="O665" s="22">
        <f t="shared" si="32"/>
        <v>11645.85</v>
      </c>
    </row>
    <row r="666" spans="1:15" x14ac:dyDescent="0.3">
      <c r="A666" s="12" t="s">
        <v>896</v>
      </c>
      <c r="B666" s="12" t="s">
        <v>280</v>
      </c>
      <c r="C666" s="12" t="s">
        <v>30</v>
      </c>
      <c r="D666" s="12" t="s">
        <v>31</v>
      </c>
      <c r="E666" s="12" t="s">
        <v>46</v>
      </c>
      <c r="F666" s="12" t="s">
        <v>39</v>
      </c>
      <c r="G666" s="12" t="s">
        <v>26</v>
      </c>
      <c r="H666" s="12">
        <v>15281</v>
      </c>
      <c r="I666" s="12" t="s">
        <v>19</v>
      </c>
      <c r="J666" s="26">
        <v>0.2</v>
      </c>
      <c r="K666" s="12">
        <v>17000</v>
      </c>
      <c r="L666" s="14">
        <v>45316</v>
      </c>
      <c r="M666" s="8" t="str">
        <f t="shared" si="30"/>
        <v>Below Target</v>
      </c>
      <c r="N666" s="20">
        <f t="shared" si="31"/>
        <v>20</v>
      </c>
      <c r="O666" s="22">
        <f t="shared" si="32"/>
        <v>12224.8</v>
      </c>
    </row>
    <row r="667" spans="1:15" x14ac:dyDescent="0.3">
      <c r="A667" s="12" t="s">
        <v>897</v>
      </c>
      <c r="B667" s="12" t="s">
        <v>186</v>
      </c>
      <c r="C667" s="12" t="s">
        <v>14</v>
      </c>
      <c r="D667" s="12" t="s">
        <v>15</v>
      </c>
      <c r="E667" s="12" t="s">
        <v>32</v>
      </c>
      <c r="F667" s="12" t="s">
        <v>25</v>
      </c>
      <c r="G667" s="12" t="s">
        <v>26</v>
      </c>
      <c r="H667" s="12">
        <v>15520</v>
      </c>
      <c r="I667" s="12" t="s">
        <v>27</v>
      </c>
      <c r="J667" s="26"/>
      <c r="K667" s="12">
        <v>14000</v>
      </c>
      <c r="L667" s="14">
        <v>45335</v>
      </c>
      <c r="M667" s="8" t="str">
        <f t="shared" si="30"/>
        <v>Below Target</v>
      </c>
      <c r="N667" s="20">
        <f t="shared" si="31"/>
        <v>15</v>
      </c>
      <c r="O667" s="22">
        <f t="shared" si="32"/>
        <v>13192</v>
      </c>
    </row>
    <row r="668" spans="1:15" x14ac:dyDescent="0.3">
      <c r="A668" s="12" t="s">
        <v>898</v>
      </c>
      <c r="B668" s="12" t="s">
        <v>309</v>
      </c>
      <c r="C668" s="12" t="s">
        <v>44</v>
      </c>
      <c r="D668" s="12" t="s">
        <v>45</v>
      </c>
      <c r="E668" s="12" t="s">
        <v>16</v>
      </c>
      <c r="F668" s="12" t="s">
        <v>25</v>
      </c>
      <c r="G668" s="12" t="s">
        <v>18</v>
      </c>
      <c r="H668" s="12">
        <v>12949</v>
      </c>
      <c r="I668" s="12" t="s">
        <v>27</v>
      </c>
      <c r="J668" s="26"/>
      <c r="K668" s="12">
        <v>13000</v>
      </c>
      <c r="L668" s="14">
        <v>45330</v>
      </c>
      <c r="M668" s="8" t="str">
        <f t="shared" si="30"/>
        <v>Below Target</v>
      </c>
      <c r="N668" s="20">
        <f t="shared" si="31"/>
        <v>15</v>
      </c>
      <c r="O668" s="22">
        <f t="shared" si="32"/>
        <v>11006.65</v>
      </c>
    </row>
    <row r="669" spans="1:15" x14ac:dyDescent="0.3">
      <c r="A669" s="12" t="s">
        <v>899</v>
      </c>
      <c r="B669" s="12" t="s">
        <v>321</v>
      </c>
      <c r="C669" s="12" t="s">
        <v>14</v>
      </c>
      <c r="D669" s="12" t="s">
        <v>15</v>
      </c>
      <c r="E669" s="12" t="s">
        <v>32</v>
      </c>
      <c r="F669" s="12" t="s">
        <v>17</v>
      </c>
      <c r="G669" s="12" t="s">
        <v>26</v>
      </c>
      <c r="H669" s="12">
        <v>12533</v>
      </c>
      <c r="I669" s="12" t="s">
        <v>27</v>
      </c>
      <c r="J669" s="26"/>
      <c r="K669" s="12">
        <v>14000</v>
      </c>
      <c r="L669" s="14">
        <v>45326</v>
      </c>
      <c r="M669" s="8" t="str">
        <f t="shared" si="30"/>
        <v>Below Target</v>
      </c>
      <c r="N669" s="20">
        <f t="shared" si="31"/>
        <v>15</v>
      </c>
      <c r="O669" s="22">
        <f t="shared" si="32"/>
        <v>10653.05</v>
      </c>
    </row>
    <row r="670" spans="1:15" x14ac:dyDescent="0.3">
      <c r="A670" s="12" t="s">
        <v>900</v>
      </c>
      <c r="B670" s="12" t="s">
        <v>676</v>
      </c>
      <c r="C670" s="12" t="s">
        <v>61</v>
      </c>
      <c r="D670" s="12" t="s">
        <v>62</v>
      </c>
      <c r="E670" s="12" t="s">
        <v>16</v>
      </c>
      <c r="F670" s="12" t="s">
        <v>17</v>
      </c>
      <c r="G670" s="12" t="s">
        <v>36</v>
      </c>
      <c r="H670" s="12">
        <v>10583</v>
      </c>
      <c r="I670" s="12" t="s">
        <v>22</v>
      </c>
      <c r="J670" s="26">
        <v>0.1</v>
      </c>
      <c r="K670" s="12">
        <v>9000</v>
      </c>
      <c r="L670" s="14">
        <v>45336</v>
      </c>
      <c r="M670" s="8" t="str">
        <f t="shared" si="30"/>
        <v>Below Target</v>
      </c>
      <c r="N670" s="20">
        <f t="shared" si="31"/>
        <v>10</v>
      </c>
      <c r="O670" s="22">
        <f t="shared" si="32"/>
        <v>9524.7000000000007</v>
      </c>
    </row>
    <row r="671" spans="1:15" x14ac:dyDescent="0.3">
      <c r="A671" s="12" t="s">
        <v>901</v>
      </c>
      <c r="B671" s="12" t="s">
        <v>388</v>
      </c>
      <c r="C671" s="12" t="s">
        <v>44</v>
      </c>
      <c r="D671" s="12" t="s">
        <v>45</v>
      </c>
      <c r="E671" s="12" t="s">
        <v>46</v>
      </c>
      <c r="F671" s="12" t="s">
        <v>17</v>
      </c>
      <c r="G671" s="12" t="s">
        <v>36</v>
      </c>
      <c r="H671" s="12">
        <v>13412</v>
      </c>
      <c r="I671" s="12" t="s">
        <v>27</v>
      </c>
      <c r="J671" s="26"/>
      <c r="K671" s="12">
        <v>13000</v>
      </c>
      <c r="L671" s="14">
        <v>45298</v>
      </c>
      <c r="M671" s="8" t="str">
        <f t="shared" si="30"/>
        <v>Below Target</v>
      </c>
      <c r="N671" s="20">
        <f t="shared" si="31"/>
        <v>15</v>
      </c>
      <c r="O671" s="22">
        <f t="shared" si="32"/>
        <v>11400.2</v>
      </c>
    </row>
    <row r="672" spans="1:15" x14ac:dyDescent="0.3">
      <c r="A672" s="12" t="s">
        <v>902</v>
      </c>
      <c r="B672" s="12" t="s">
        <v>186</v>
      </c>
      <c r="C672" s="12" t="s">
        <v>30</v>
      </c>
      <c r="D672" s="12" t="s">
        <v>31</v>
      </c>
      <c r="E672" s="12" t="s">
        <v>46</v>
      </c>
      <c r="F672" s="12" t="s">
        <v>25</v>
      </c>
      <c r="G672" s="12" t="s">
        <v>18</v>
      </c>
      <c r="H672" s="12">
        <v>16160</v>
      </c>
      <c r="I672" s="12" t="s">
        <v>27</v>
      </c>
      <c r="J672" s="26"/>
      <c r="K672" s="12">
        <v>17000</v>
      </c>
      <c r="L672" s="14">
        <v>45348</v>
      </c>
      <c r="M672" s="8" t="str">
        <f t="shared" si="30"/>
        <v>Below Target</v>
      </c>
      <c r="N672" s="20">
        <f t="shared" si="31"/>
        <v>15</v>
      </c>
      <c r="O672" s="22">
        <f t="shared" si="32"/>
        <v>13736</v>
      </c>
    </row>
    <row r="673" spans="1:15" x14ac:dyDescent="0.3">
      <c r="A673" s="12" t="s">
        <v>903</v>
      </c>
      <c r="B673" s="12" t="s">
        <v>388</v>
      </c>
      <c r="C673" s="12" t="s">
        <v>30</v>
      </c>
      <c r="D673" s="12" t="s">
        <v>31</v>
      </c>
      <c r="E673" s="12" t="s">
        <v>32</v>
      </c>
      <c r="F673" s="12" t="s">
        <v>25</v>
      </c>
      <c r="G673" s="12" t="s">
        <v>26</v>
      </c>
      <c r="H673" s="12">
        <v>18045</v>
      </c>
      <c r="I673" s="12" t="s">
        <v>22</v>
      </c>
      <c r="J673" s="26">
        <v>0.1</v>
      </c>
      <c r="K673" s="12">
        <v>17000</v>
      </c>
      <c r="L673" s="14">
        <v>45328</v>
      </c>
      <c r="M673" s="8" t="str">
        <f t="shared" si="30"/>
        <v>Below Target</v>
      </c>
      <c r="N673" s="20">
        <f t="shared" si="31"/>
        <v>10</v>
      </c>
      <c r="O673" s="22">
        <f t="shared" si="32"/>
        <v>16240.5</v>
      </c>
    </row>
    <row r="674" spans="1:15" x14ac:dyDescent="0.3">
      <c r="A674" s="12" t="s">
        <v>904</v>
      </c>
      <c r="B674" s="12" t="s">
        <v>905</v>
      </c>
      <c r="C674" s="12" t="s">
        <v>14</v>
      </c>
      <c r="D674" s="12" t="s">
        <v>15</v>
      </c>
      <c r="E674" s="12" t="s">
        <v>46</v>
      </c>
      <c r="F674" s="12" t="s">
        <v>39</v>
      </c>
      <c r="G674" s="12" t="s">
        <v>18</v>
      </c>
      <c r="H674" s="12">
        <v>14817</v>
      </c>
      <c r="I674" s="12" t="s">
        <v>33</v>
      </c>
      <c r="J674" s="26">
        <v>0.3</v>
      </c>
      <c r="K674" s="12">
        <v>14000</v>
      </c>
      <c r="L674" s="14">
        <v>45318</v>
      </c>
      <c r="M674" s="8" t="str">
        <f t="shared" si="30"/>
        <v>Below Target</v>
      </c>
      <c r="N674" s="20">
        <f t="shared" si="31"/>
        <v>30</v>
      </c>
      <c r="O674" s="22">
        <f t="shared" si="32"/>
        <v>10371.9</v>
      </c>
    </row>
    <row r="675" spans="1:15" x14ac:dyDescent="0.3">
      <c r="A675" s="12" t="s">
        <v>906</v>
      </c>
      <c r="B675" s="12" t="s">
        <v>116</v>
      </c>
      <c r="C675" s="12" t="s">
        <v>44</v>
      </c>
      <c r="D675" s="12" t="s">
        <v>45</v>
      </c>
      <c r="E675" s="12" t="s">
        <v>46</v>
      </c>
      <c r="F675" s="12" t="s">
        <v>39</v>
      </c>
      <c r="G675" s="12" t="s">
        <v>26</v>
      </c>
      <c r="H675" s="12">
        <v>12038</v>
      </c>
      <c r="I675" s="12" t="s">
        <v>33</v>
      </c>
      <c r="J675" s="26">
        <v>0.3</v>
      </c>
      <c r="K675" s="12">
        <v>13000</v>
      </c>
      <c r="L675" s="14">
        <v>45346</v>
      </c>
      <c r="M675" s="8" t="str">
        <f t="shared" si="30"/>
        <v>Below Target</v>
      </c>
      <c r="N675" s="20">
        <f t="shared" si="31"/>
        <v>30</v>
      </c>
      <c r="O675" s="22">
        <f t="shared" si="32"/>
        <v>8426.6</v>
      </c>
    </row>
    <row r="676" spans="1:15" x14ac:dyDescent="0.3">
      <c r="A676" s="12" t="s">
        <v>907</v>
      </c>
      <c r="B676" s="12" t="s">
        <v>388</v>
      </c>
      <c r="C676" s="12" t="s">
        <v>30</v>
      </c>
      <c r="D676" s="12" t="s">
        <v>31</v>
      </c>
      <c r="E676" s="12" t="s">
        <v>16</v>
      </c>
      <c r="F676" s="12" t="s">
        <v>17</v>
      </c>
      <c r="G676" s="12" t="s">
        <v>26</v>
      </c>
      <c r="H676" s="12">
        <v>16627</v>
      </c>
      <c r="I676" s="12" t="s">
        <v>19</v>
      </c>
      <c r="J676" s="26">
        <v>0.2</v>
      </c>
      <c r="K676" s="12">
        <v>17000</v>
      </c>
      <c r="L676" s="14">
        <v>45318</v>
      </c>
      <c r="M676" s="8" t="str">
        <f t="shared" si="30"/>
        <v>Below Target</v>
      </c>
      <c r="N676" s="20">
        <f t="shared" si="31"/>
        <v>20</v>
      </c>
      <c r="O676" s="22">
        <f t="shared" si="32"/>
        <v>13301.6</v>
      </c>
    </row>
    <row r="677" spans="1:15" x14ac:dyDescent="0.3">
      <c r="A677" s="12" t="s">
        <v>908</v>
      </c>
      <c r="B677" s="12" t="s">
        <v>82</v>
      </c>
      <c r="C677" s="12" t="s">
        <v>61</v>
      </c>
      <c r="D677" s="12" t="s">
        <v>62</v>
      </c>
      <c r="E677" s="12" t="s">
        <v>32</v>
      </c>
      <c r="F677" s="12" t="s">
        <v>17</v>
      </c>
      <c r="G677" s="12" t="s">
        <v>26</v>
      </c>
      <c r="H677" s="12">
        <v>9272</v>
      </c>
      <c r="I677" s="12"/>
      <c r="J677" s="26"/>
      <c r="K677" s="12">
        <v>9000</v>
      </c>
      <c r="L677" s="14">
        <v>45308</v>
      </c>
      <c r="M677" s="8" t="str">
        <f t="shared" si="30"/>
        <v>Target Achieved</v>
      </c>
      <c r="N677" s="20">
        <f t="shared" si="31"/>
        <v>0</v>
      </c>
      <c r="O677" s="22">
        <f t="shared" si="32"/>
        <v>9272</v>
      </c>
    </row>
    <row r="678" spans="1:15" x14ac:dyDescent="0.3">
      <c r="A678" s="12" t="s">
        <v>909</v>
      </c>
      <c r="B678" s="12" t="s">
        <v>118</v>
      </c>
      <c r="C678" s="12" t="s">
        <v>30</v>
      </c>
      <c r="D678" s="12" t="s">
        <v>31</v>
      </c>
      <c r="E678" s="12" t="s">
        <v>16</v>
      </c>
      <c r="F678" s="12" t="s">
        <v>17</v>
      </c>
      <c r="G678" s="12" t="s">
        <v>26</v>
      </c>
      <c r="H678" s="12">
        <v>15565</v>
      </c>
      <c r="I678" s="12" t="s">
        <v>22</v>
      </c>
      <c r="J678" s="26">
        <v>0.1</v>
      </c>
      <c r="K678" s="12">
        <v>17000</v>
      </c>
      <c r="L678" s="14">
        <v>45339</v>
      </c>
      <c r="M678" s="8" t="str">
        <f t="shared" si="30"/>
        <v>Below Target</v>
      </c>
      <c r="N678" s="20">
        <f t="shared" si="31"/>
        <v>10</v>
      </c>
      <c r="O678" s="22">
        <f t="shared" si="32"/>
        <v>14008.5</v>
      </c>
    </row>
    <row r="679" spans="1:15" x14ac:dyDescent="0.3">
      <c r="A679" s="12" t="s">
        <v>910</v>
      </c>
      <c r="B679" s="12" t="s">
        <v>29</v>
      </c>
      <c r="C679" s="12" t="s">
        <v>44</v>
      </c>
      <c r="D679" s="12" t="s">
        <v>45</v>
      </c>
      <c r="E679" s="12" t="s">
        <v>32</v>
      </c>
      <c r="F679" s="12" t="s">
        <v>25</v>
      </c>
      <c r="G679" s="12" t="s">
        <v>26</v>
      </c>
      <c r="H679" s="12">
        <v>12640</v>
      </c>
      <c r="I679" s="12" t="s">
        <v>33</v>
      </c>
      <c r="J679" s="26">
        <v>0.3</v>
      </c>
      <c r="K679" s="12">
        <v>13000</v>
      </c>
      <c r="L679" s="14">
        <v>45343</v>
      </c>
      <c r="M679" s="8" t="str">
        <f t="shared" si="30"/>
        <v>Below Target</v>
      </c>
      <c r="N679" s="20">
        <f t="shared" si="31"/>
        <v>30</v>
      </c>
      <c r="O679" s="22">
        <f t="shared" si="32"/>
        <v>8848</v>
      </c>
    </row>
    <row r="680" spans="1:15" x14ac:dyDescent="0.3">
      <c r="A680" s="12" t="s">
        <v>911</v>
      </c>
      <c r="B680" s="12" t="s">
        <v>382</v>
      </c>
      <c r="C680" s="12" t="s">
        <v>14</v>
      </c>
      <c r="D680" s="12" t="s">
        <v>15</v>
      </c>
      <c r="E680" s="12" t="s">
        <v>32</v>
      </c>
      <c r="F680" s="12" t="s">
        <v>17</v>
      </c>
      <c r="G680" s="12" t="s">
        <v>26</v>
      </c>
      <c r="H680" s="12">
        <v>12021</v>
      </c>
      <c r="I680" s="12" t="s">
        <v>22</v>
      </c>
      <c r="J680" s="26">
        <v>0.1</v>
      </c>
      <c r="K680" s="12">
        <v>14000</v>
      </c>
      <c r="L680" s="14">
        <v>45344</v>
      </c>
      <c r="M680" s="8" t="str">
        <f t="shared" si="30"/>
        <v>Below Target</v>
      </c>
      <c r="N680" s="20">
        <f t="shared" si="31"/>
        <v>10</v>
      </c>
      <c r="O680" s="22">
        <f t="shared" si="32"/>
        <v>10818.9</v>
      </c>
    </row>
    <row r="681" spans="1:15" x14ac:dyDescent="0.3">
      <c r="A681" s="12" t="s">
        <v>912</v>
      </c>
      <c r="B681" s="12" t="s">
        <v>429</v>
      </c>
      <c r="C681" s="12" t="s">
        <v>61</v>
      </c>
      <c r="D681" s="12" t="s">
        <v>62</v>
      </c>
      <c r="E681" s="12" t="s">
        <v>32</v>
      </c>
      <c r="F681" s="12" t="s">
        <v>25</v>
      </c>
      <c r="G681" s="12" t="s">
        <v>36</v>
      </c>
      <c r="H681" s="12">
        <v>7908</v>
      </c>
      <c r="I681" s="12" t="s">
        <v>33</v>
      </c>
      <c r="J681" s="26">
        <v>0.3</v>
      </c>
      <c r="K681" s="12">
        <v>9000</v>
      </c>
      <c r="L681" s="14">
        <v>45297</v>
      </c>
      <c r="M681" s="8" t="str">
        <f t="shared" si="30"/>
        <v>Below Target</v>
      </c>
      <c r="N681" s="20">
        <f t="shared" si="31"/>
        <v>30</v>
      </c>
      <c r="O681" s="22">
        <f t="shared" si="32"/>
        <v>5535.6</v>
      </c>
    </row>
    <row r="682" spans="1:15" x14ac:dyDescent="0.3">
      <c r="A682" s="12" t="s">
        <v>913</v>
      </c>
      <c r="B682" s="12" t="s">
        <v>359</v>
      </c>
      <c r="C682" s="12" t="s">
        <v>61</v>
      </c>
      <c r="D682" s="12" t="s">
        <v>62</v>
      </c>
      <c r="E682" s="12" t="s">
        <v>46</v>
      </c>
      <c r="F682" s="12" t="s">
        <v>39</v>
      </c>
      <c r="G682" s="12" t="s">
        <v>26</v>
      </c>
      <c r="H682" s="12">
        <v>9134</v>
      </c>
      <c r="I682" s="12" t="s">
        <v>33</v>
      </c>
      <c r="J682" s="26">
        <v>0.3</v>
      </c>
      <c r="K682" s="12">
        <v>9000</v>
      </c>
      <c r="L682" s="14">
        <v>45337</v>
      </c>
      <c r="M682" s="8" t="str">
        <f t="shared" si="30"/>
        <v>Below Target</v>
      </c>
      <c r="N682" s="20">
        <f t="shared" si="31"/>
        <v>30</v>
      </c>
      <c r="O682" s="22">
        <f t="shared" si="32"/>
        <v>6393.8</v>
      </c>
    </row>
    <row r="683" spans="1:15" x14ac:dyDescent="0.3">
      <c r="A683" s="12" t="s">
        <v>914</v>
      </c>
      <c r="B683" s="12" t="s">
        <v>359</v>
      </c>
      <c r="C683" s="12" t="s">
        <v>44</v>
      </c>
      <c r="D683" s="12" t="s">
        <v>45</v>
      </c>
      <c r="E683" s="12" t="s">
        <v>16</v>
      </c>
      <c r="F683" s="12" t="s">
        <v>17</v>
      </c>
      <c r="G683" s="12" t="s">
        <v>36</v>
      </c>
      <c r="H683" s="12">
        <v>11043</v>
      </c>
      <c r="I683" s="12" t="s">
        <v>19</v>
      </c>
      <c r="J683" s="26">
        <v>0.2</v>
      </c>
      <c r="K683" s="12">
        <v>13000</v>
      </c>
      <c r="L683" s="14">
        <v>45346</v>
      </c>
      <c r="M683" s="8" t="str">
        <f t="shared" si="30"/>
        <v>Below Target</v>
      </c>
      <c r="N683" s="20">
        <f t="shared" si="31"/>
        <v>20</v>
      </c>
      <c r="O683" s="22">
        <f t="shared" si="32"/>
        <v>8834.4</v>
      </c>
    </row>
    <row r="684" spans="1:15" x14ac:dyDescent="0.3">
      <c r="A684" s="12" t="s">
        <v>915</v>
      </c>
      <c r="B684" s="12" t="s">
        <v>270</v>
      </c>
      <c r="C684" s="12" t="s">
        <v>30</v>
      </c>
      <c r="D684" s="12" t="s">
        <v>31</v>
      </c>
      <c r="E684" s="12" t="s">
        <v>32</v>
      </c>
      <c r="F684" s="12" t="s">
        <v>25</v>
      </c>
      <c r="G684" s="12" t="s">
        <v>26</v>
      </c>
      <c r="H684" s="12">
        <v>17091</v>
      </c>
      <c r="I684" s="12" t="s">
        <v>27</v>
      </c>
      <c r="J684" s="26"/>
      <c r="K684" s="12">
        <v>17000</v>
      </c>
      <c r="L684" s="14">
        <v>45336</v>
      </c>
      <c r="M684" s="8" t="str">
        <f t="shared" si="30"/>
        <v>Below Target</v>
      </c>
      <c r="N684" s="20">
        <f t="shared" si="31"/>
        <v>15</v>
      </c>
      <c r="O684" s="22">
        <f t="shared" si="32"/>
        <v>14527.35</v>
      </c>
    </row>
    <row r="685" spans="1:15" x14ac:dyDescent="0.3">
      <c r="A685" s="12" t="s">
        <v>916</v>
      </c>
      <c r="B685" s="12" t="s">
        <v>56</v>
      </c>
      <c r="C685" s="12" t="s">
        <v>44</v>
      </c>
      <c r="D685" s="12" t="s">
        <v>45</v>
      </c>
      <c r="E685" s="12" t="s">
        <v>16</v>
      </c>
      <c r="F685" s="12" t="s">
        <v>25</v>
      </c>
      <c r="G685" s="12" t="s">
        <v>36</v>
      </c>
      <c r="H685" s="12">
        <v>11979</v>
      </c>
      <c r="I685" s="12" t="s">
        <v>22</v>
      </c>
      <c r="J685" s="26">
        <v>0.1</v>
      </c>
      <c r="K685" s="12">
        <v>13000</v>
      </c>
      <c r="L685" s="14">
        <v>45302</v>
      </c>
      <c r="M685" s="8" t="str">
        <f t="shared" si="30"/>
        <v>Below Target</v>
      </c>
      <c r="N685" s="20">
        <f t="shared" si="31"/>
        <v>10</v>
      </c>
      <c r="O685" s="22">
        <f t="shared" si="32"/>
        <v>10781.1</v>
      </c>
    </row>
    <row r="686" spans="1:15" x14ac:dyDescent="0.3">
      <c r="A686" s="12" t="s">
        <v>917</v>
      </c>
      <c r="B686" s="12" t="s">
        <v>263</v>
      </c>
      <c r="C686" s="12" t="s">
        <v>61</v>
      </c>
      <c r="D686" s="12" t="s">
        <v>62</v>
      </c>
      <c r="E686" s="12" t="s">
        <v>46</v>
      </c>
      <c r="F686" s="12" t="s">
        <v>39</v>
      </c>
      <c r="G686" s="12" t="s">
        <v>36</v>
      </c>
      <c r="H686" s="12">
        <v>8660</v>
      </c>
      <c r="I686" s="12" t="s">
        <v>27</v>
      </c>
      <c r="J686" s="26"/>
      <c r="K686" s="12">
        <v>9000</v>
      </c>
      <c r="L686" s="14">
        <v>45304</v>
      </c>
      <c r="M686" s="8" t="str">
        <f t="shared" si="30"/>
        <v>Below Target</v>
      </c>
      <c r="N686" s="20">
        <f t="shared" si="31"/>
        <v>15</v>
      </c>
      <c r="O686" s="22">
        <f t="shared" si="32"/>
        <v>7361</v>
      </c>
    </row>
    <row r="687" spans="1:15" x14ac:dyDescent="0.3">
      <c r="A687" s="12" t="s">
        <v>918</v>
      </c>
      <c r="B687" s="12" t="s">
        <v>184</v>
      </c>
      <c r="C687" s="12" t="s">
        <v>14</v>
      </c>
      <c r="D687" s="12" t="s">
        <v>15</v>
      </c>
      <c r="E687" s="12" t="s">
        <v>32</v>
      </c>
      <c r="F687" s="12" t="s">
        <v>39</v>
      </c>
      <c r="G687" s="12" t="s">
        <v>36</v>
      </c>
      <c r="H687" s="12">
        <v>14974</v>
      </c>
      <c r="I687" s="12" t="s">
        <v>27</v>
      </c>
      <c r="J687" s="26"/>
      <c r="K687" s="12">
        <v>14000</v>
      </c>
      <c r="L687" s="14">
        <v>45350</v>
      </c>
      <c r="M687" s="8" t="str">
        <f t="shared" si="30"/>
        <v>Below Target</v>
      </c>
      <c r="N687" s="20">
        <f t="shared" si="31"/>
        <v>15</v>
      </c>
      <c r="O687" s="22">
        <f t="shared" si="32"/>
        <v>12727.9</v>
      </c>
    </row>
    <row r="688" spans="1:15" x14ac:dyDescent="0.3">
      <c r="A688" s="12" t="s">
        <v>919</v>
      </c>
      <c r="B688" s="12" t="s">
        <v>920</v>
      </c>
      <c r="C688" s="12" t="s">
        <v>30</v>
      </c>
      <c r="D688" s="12" t="s">
        <v>31</v>
      </c>
      <c r="E688" s="12" t="s">
        <v>46</v>
      </c>
      <c r="F688" s="12" t="s">
        <v>25</v>
      </c>
      <c r="G688" s="12" t="s">
        <v>26</v>
      </c>
      <c r="H688" s="12">
        <v>18944</v>
      </c>
      <c r="I688" s="12" t="s">
        <v>19</v>
      </c>
      <c r="J688" s="26">
        <v>0.2</v>
      </c>
      <c r="K688" s="12">
        <v>17000</v>
      </c>
      <c r="L688" s="14">
        <v>45321</v>
      </c>
      <c r="M688" s="8" t="str">
        <f t="shared" si="30"/>
        <v>Below Target</v>
      </c>
      <c r="N688" s="20">
        <f t="shared" si="31"/>
        <v>20</v>
      </c>
      <c r="O688" s="22">
        <f t="shared" si="32"/>
        <v>15155.2</v>
      </c>
    </row>
    <row r="689" spans="1:15" x14ac:dyDescent="0.3">
      <c r="A689" s="12" t="s">
        <v>921</v>
      </c>
      <c r="B689" s="12" t="s">
        <v>137</v>
      </c>
      <c r="C689" s="12" t="s">
        <v>14</v>
      </c>
      <c r="D689" s="12" t="s">
        <v>15</v>
      </c>
      <c r="E689" s="12" t="s">
        <v>46</v>
      </c>
      <c r="F689" s="12" t="s">
        <v>25</v>
      </c>
      <c r="G689" s="12" t="s">
        <v>36</v>
      </c>
      <c r="H689" s="12">
        <v>14073</v>
      </c>
      <c r="I689" s="12" t="s">
        <v>22</v>
      </c>
      <c r="J689" s="26">
        <v>0.1</v>
      </c>
      <c r="K689" s="12">
        <v>14000</v>
      </c>
      <c r="L689" s="14">
        <v>45327</v>
      </c>
      <c r="M689" s="8" t="str">
        <f t="shared" si="30"/>
        <v>Below Target</v>
      </c>
      <c r="N689" s="20">
        <f t="shared" si="31"/>
        <v>10</v>
      </c>
      <c r="O689" s="22">
        <f t="shared" si="32"/>
        <v>12665.7</v>
      </c>
    </row>
    <row r="690" spans="1:15" x14ac:dyDescent="0.3">
      <c r="A690" s="12" t="s">
        <v>922</v>
      </c>
      <c r="B690" s="12" t="s">
        <v>241</v>
      </c>
      <c r="C690" s="12" t="s">
        <v>30</v>
      </c>
      <c r="D690" s="12" t="s">
        <v>31</v>
      </c>
      <c r="E690" s="12" t="s">
        <v>46</v>
      </c>
      <c r="F690" s="12" t="s">
        <v>25</v>
      </c>
      <c r="G690" s="12" t="s">
        <v>26</v>
      </c>
      <c r="H690" s="12">
        <v>18918</v>
      </c>
      <c r="I690" s="12" t="s">
        <v>33</v>
      </c>
      <c r="J690" s="26">
        <v>0.3</v>
      </c>
      <c r="K690" s="12">
        <v>17000</v>
      </c>
      <c r="L690" s="14">
        <v>45348</v>
      </c>
      <c r="M690" s="8" t="str">
        <f t="shared" si="30"/>
        <v>Below Target</v>
      </c>
      <c r="N690" s="20">
        <f t="shared" si="31"/>
        <v>30</v>
      </c>
      <c r="O690" s="22">
        <f t="shared" si="32"/>
        <v>13242.6</v>
      </c>
    </row>
    <row r="691" spans="1:15" x14ac:dyDescent="0.3">
      <c r="A691" s="12" t="s">
        <v>923</v>
      </c>
      <c r="B691" s="12" t="s">
        <v>105</v>
      </c>
      <c r="C691" s="12" t="s">
        <v>30</v>
      </c>
      <c r="D691" s="12" t="s">
        <v>31</v>
      </c>
      <c r="E691" s="12" t="s">
        <v>16</v>
      </c>
      <c r="F691" s="12" t="s">
        <v>17</v>
      </c>
      <c r="G691" s="12" t="s">
        <v>36</v>
      </c>
      <c r="H691" s="12">
        <v>17306</v>
      </c>
      <c r="I691" s="12"/>
      <c r="J691" s="26"/>
      <c r="K691" s="12">
        <v>17000</v>
      </c>
      <c r="L691" s="14">
        <v>45341</v>
      </c>
      <c r="M691" s="8" t="str">
        <f t="shared" si="30"/>
        <v>Target Achieved</v>
      </c>
      <c r="N691" s="20">
        <f t="shared" si="31"/>
        <v>0</v>
      </c>
      <c r="O691" s="22">
        <f t="shared" si="32"/>
        <v>17306</v>
      </c>
    </row>
    <row r="692" spans="1:15" x14ac:dyDescent="0.3">
      <c r="A692" s="12" t="s">
        <v>924</v>
      </c>
      <c r="B692" s="12" t="s">
        <v>401</v>
      </c>
      <c r="C692" s="12" t="s">
        <v>30</v>
      </c>
      <c r="D692" s="12" t="s">
        <v>31</v>
      </c>
      <c r="E692" s="12" t="s">
        <v>46</v>
      </c>
      <c r="F692" s="12" t="s">
        <v>39</v>
      </c>
      <c r="G692" s="12" t="s">
        <v>36</v>
      </c>
      <c r="H692" s="12">
        <v>18672</v>
      </c>
      <c r="I692" s="12" t="s">
        <v>27</v>
      </c>
      <c r="J692" s="26"/>
      <c r="K692" s="12">
        <v>17000</v>
      </c>
      <c r="L692" s="14">
        <v>45347</v>
      </c>
      <c r="M692" s="8" t="str">
        <f t="shared" si="30"/>
        <v>Below Target</v>
      </c>
      <c r="N692" s="20">
        <f t="shared" si="31"/>
        <v>15</v>
      </c>
      <c r="O692" s="22">
        <f t="shared" si="32"/>
        <v>15871.2</v>
      </c>
    </row>
    <row r="693" spans="1:15" x14ac:dyDescent="0.3">
      <c r="A693" s="12" t="s">
        <v>925</v>
      </c>
      <c r="B693" s="12" t="s">
        <v>489</v>
      </c>
      <c r="C693" s="12" t="s">
        <v>14</v>
      </c>
      <c r="D693" s="12" t="s">
        <v>15</v>
      </c>
      <c r="E693" s="12" t="s">
        <v>46</v>
      </c>
      <c r="F693" s="12" t="s">
        <v>25</v>
      </c>
      <c r="G693" s="12" t="s">
        <v>36</v>
      </c>
      <c r="H693" s="12">
        <v>14595</v>
      </c>
      <c r="I693" s="12" t="s">
        <v>19</v>
      </c>
      <c r="J693" s="26">
        <v>0.2</v>
      </c>
      <c r="K693" s="12">
        <v>14000</v>
      </c>
      <c r="L693" s="14">
        <v>45335</v>
      </c>
      <c r="M693" s="8" t="str">
        <f t="shared" si="30"/>
        <v>Below Target</v>
      </c>
      <c r="N693" s="20">
        <f t="shared" si="31"/>
        <v>20</v>
      </c>
      <c r="O693" s="22">
        <f t="shared" si="32"/>
        <v>11676</v>
      </c>
    </row>
    <row r="694" spans="1:15" x14ac:dyDescent="0.3">
      <c r="A694" s="12" t="s">
        <v>926</v>
      </c>
      <c r="B694" s="12" t="s">
        <v>397</v>
      </c>
      <c r="C694" s="12" t="s">
        <v>30</v>
      </c>
      <c r="D694" s="12" t="s">
        <v>31</v>
      </c>
      <c r="E694" s="12" t="s">
        <v>46</v>
      </c>
      <c r="F694" s="12" t="s">
        <v>17</v>
      </c>
      <c r="G694" s="12" t="s">
        <v>26</v>
      </c>
      <c r="H694" s="12">
        <v>17194</v>
      </c>
      <c r="I694" s="12" t="s">
        <v>22</v>
      </c>
      <c r="J694" s="26">
        <v>0.1</v>
      </c>
      <c r="K694" s="12">
        <v>17000</v>
      </c>
      <c r="L694" s="14">
        <v>45336</v>
      </c>
      <c r="M694" s="8" t="str">
        <f t="shared" si="30"/>
        <v>Below Target</v>
      </c>
      <c r="N694" s="20">
        <f t="shared" si="31"/>
        <v>10</v>
      </c>
      <c r="O694" s="22">
        <f t="shared" si="32"/>
        <v>15474.6</v>
      </c>
    </row>
    <row r="695" spans="1:15" x14ac:dyDescent="0.3">
      <c r="A695" s="12" t="s">
        <v>927</v>
      </c>
      <c r="B695" s="12" t="s">
        <v>643</v>
      </c>
      <c r="C695" s="12" t="s">
        <v>44</v>
      </c>
      <c r="D695" s="12" t="s">
        <v>45</v>
      </c>
      <c r="E695" s="12" t="s">
        <v>46</v>
      </c>
      <c r="F695" s="12" t="s">
        <v>25</v>
      </c>
      <c r="G695" s="12" t="s">
        <v>36</v>
      </c>
      <c r="H695" s="12">
        <v>13759</v>
      </c>
      <c r="I695" s="12" t="s">
        <v>33</v>
      </c>
      <c r="J695" s="26">
        <v>0.3</v>
      </c>
      <c r="K695" s="12">
        <v>13000</v>
      </c>
      <c r="L695" s="14">
        <v>45296</v>
      </c>
      <c r="M695" s="8" t="str">
        <f t="shared" si="30"/>
        <v>Below Target</v>
      </c>
      <c r="N695" s="20">
        <f t="shared" si="31"/>
        <v>30</v>
      </c>
      <c r="O695" s="22">
        <f t="shared" si="32"/>
        <v>9631.2999999999993</v>
      </c>
    </row>
    <row r="696" spans="1:15" x14ac:dyDescent="0.3">
      <c r="A696" s="12" t="s">
        <v>928</v>
      </c>
      <c r="B696" s="12" t="s">
        <v>80</v>
      </c>
      <c r="C696" s="12" t="s">
        <v>61</v>
      </c>
      <c r="D696" s="12" t="s">
        <v>62</v>
      </c>
      <c r="E696" s="12" t="s">
        <v>46</v>
      </c>
      <c r="F696" s="12" t="s">
        <v>17</v>
      </c>
      <c r="G696" s="12" t="s">
        <v>18</v>
      </c>
      <c r="H696" s="12">
        <v>10663</v>
      </c>
      <c r="I696" s="12" t="s">
        <v>27</v>
      </c>
      <c r="J696" s="26"/>
      <c r="K696" s="12">
        <v>9000</v>
      </c>
      <c r="L696" s="14">
        <v>45309</v>
      </c>
      <c r="M696" s="8" t="str">
        <f t="shared" si="30"/>
        <v>Below Target</v>
      </c>
      <c r="N696" s="20">
        <f t="shared" si="31"/>
        <v>15</v>
      </c>
      <c r="O696" s="22">
        <f t="shared" si="32"/>
        <v>9063.5499999999993</v>
      </c>
    </row>
    <row r="697" spans="1:15" x14ac:dyDescent="0.3">
      <c r="A697" s="12" t="s">
        <v>929</v>
      </c>
      <c r="B697" s="12" t="s">
        <v>280</v>
      </c>
      <c r="C697" s="12" t="s">
        <v>44</v>
      </c>
      <c r="D697" s="12" t="s">
        <v>45</v>
      </c>
      <c r="E697" s="12" t="s">
        <v>46</v>
      </c>
      <c r="F697" s="12" t="s">
        <v>39</v>
      </c>
      <c r="G697" s="12" t="s">
        <v>18</v>
      </c>
      <c r="H697" s="12">
        <v>11961</v>
      </c>
      <c r="I697" s="12" t="s">
        <v>19</v>
      </c>
      <c r="J697" s="26">
        <v>0.2</v>
      </c>
      <c r="K697" s="12">
        <v>13000</v>
      </c>
      <c r="L697" s="14">
        <v>45347</v>
      </c>
      <c r="M697" s="8" t="str">
        <f t="shared" si="30"/>
        <v>Below Target</v>
      </c>
      <c r="N697" s="20">
        <f t="shared" si="31"/>
        <v>20</v>
      </c>
      <c r="O697" s="22">
        <f t="shared" si="32"/>
        <v>9568.7999999999993</v>
      </c>
    </row>
    <row r="698" spans="1:15" x14ac:dyDescent="0.3">
      <c r="A698" s="12" t="s">
        <v>930</v>
      </c>
      <c r="B698" s="12" t="s">
        <v>289</v>
      </c>
      <c r="C698" s="12" t="s">
        <v>44</v>
      </c>
      <c r="D698" s="12" t="s">
        <v>45</v>
      </c>
      <c r="E698" s="12" t="s">
        <v>32</v>
      </c>
      <c r="F698" s="12" t="s">
        <v>25</v>
      </c>
      <c r="G698" s="12" t="s">
        <v>26</v>
      </c>
      <c r="H698" s="12">
        <v>12458</v>
      </c>
      <c r="I698" s="12" t="s">
        <v>19</v>
      </c>
      <c r="J698" s="26">
        <v>0.2</v>
      </c>
      <c r="K698" s="12">
        <v>13000</v>
      </c>
      <c r="L698" s="14">
        <v>45341</v>
      </c>
      <c r="M698" s="8" t="str">
        <f t="shared" si="30"/>
        <v>Below Target</v>
      </c>
      <c r="N698" s="20">
        <f t="shared" si="31"/>
        <v>20</v>
      </c>
      <c r="O698" s="22">
        <f t="shared" si="32"/>
        <v>9966.4</v>
      </c>
    </row>
    <row r="699" spans="1:15" x14ac:dyDescent="0.3">
      <c r="A699" s="12" t="s">
        <v>931</v>
      </c>
      <c r="B699" s="12" t="s">
        <v>78</v>
      </c>
      <c r="C699" s="12" t="s">
        <v>14</v>
      </c>
      <c r="D699" s="12" t="s">
        <v>15</v>
      </c>
      <c r="E699" s="12" t="s">
        <v>16</v>
      </c>
      <c r="F699" s="12" t="s">
        <v>39</v>
      </c>
      <c r="G699" s="12" t="s">
        <v>36</v>
      </c>
      <c r="H699" s="12">
        <v>14514</v>
      </c>
      <c r="I699" s="12" t="s">
        <v>22</v>
      </c>
      <c r="J699" s="26">
        <v>0.1</v>
      </c>
      <c r="K699" s="12">
        <v>14000</v>
      </c>
      <c r="L699" s="14">
        <v>45340</v>
      </c>
      <c r="M699" s="8" t="str">
        <f t="shared" si="30"/>
        <v>Below Target</v>
      </c>
      <c r="N699" s="20">
        <f t="shared" si="31"/>
        <v>10</v>
      </c>
      <c r="O699" s="22">
        <f t="shared" si="32"/>
        <v>13062.6</v>
      </c>
    </row>
    <row r="700" spans="1:15" x14ac:dyDescent="0.3">
      <c r="A700" s="12" t="s">
        <v>932</v>
      </c>
      <c r="B700" s="12" t="s">
        <v>144</v>
      </c>
      <c r="C700" s="12" t="s">
        <v>14</v>
      </c>
      <c r="D700" s="12" t="s">
        <v>15</v>
      </c>
      <c r="E700" s="12" t="s">
        <v>46</v>
      </c>
      <c r="F700" s="12" t="s">
        <v>17</v>
      </c>
      <c r="G700" s="12" t="s">
        <v>26</v>
      </c>
      <c r="H700" s="12">
        <v>13291</v>
      </c>
      <c r="I700" s="12"/>
      <c r="J700" s="26"/>
      <c r="K700" s="12">
        <v>14000</v>
      </c>
      <c r="L700" s="14">
        <v>45349</v>
      </c>
      <c r="M700" s="8" t="str">
        <f t="shared" si="30"/>
        <v>Target Achieved</v>
      </c>
      <c r="N700" s="20">
        <f t="shared" si="31"/>
        <v>0</v>
      </c>
      <c r="O700" s="22">
        <f t="shared" si="32"/>
        <v>13291</v>
      </c>
    </row>
    <row r="701" spans="1:15" x14ac:dyDescent="0.3">
      <c r="A701" s="12" t="s">
        <v>933</v>
      </c>
      <c r="B701" s="12" t="s">
        <v>60</v>
      </c>
      <c r="C701" s="12" t="s">
        <v>30</v>
      </c>
      <c r="D701" s="12" t="s">
        <v>31</v>
      </c>
      <c r="E701" s="12" t="s">
        <v>46</v>
      </c>
      <c r="F701" s="12" t="s">
        <v>25</v>
      </c>
      <c r="G701" s="12" t="s">
        <v>26</v>
      </c>
      <c r="H701" s="12">
        <v>16147</v>
      </c>
      <c r="I701" s="12"/>
      <c r="J701" s="26"/>
      <c r="K701" s="12">
        <v>17000</v>
      </c>
      <c r="L701" s="14">
        <v>45306</v>
      </c>
      <c r="M701" s="8" t="str">
        <f t="shared" si="30"/>
        <v>Target Achieved</v>
      </c>
      <c r="N701" s="20">
        <f t="shared" si="31"/>
        <v>0</v>
      </c>
      <c r="O701" s="22">
        <f t="shared" si="32"/>
        <v>16147</v>
      </c>
    </row>
    <row r="702" spans="1:15" x14ac:dyDescent="0.3">
      <c r="A702" s="12" t="s">
        <v>934</v>
      </c>
      <c r="B702" s="12" t="s">
        <v>522</v>
      </c>
      <c r="C702" s="12" t="s">
        <v>44</v>
      </c>
      <c r="D702" s="12" t="s">
        <v>45</v>
      </c>
      <c r="E702" s="12" t="s">
        <v>32</v>
      </c>
      <c r="F702" s="12" t="s">
        <v>39</v>
      </c>
      <c r="G702" s="12" t="s">
        <v>36</v>
      </c>
      <c r="H702" s="12">
        <v>12959</v>
      </c>
      <c r="I702" s="12" t="s">
        <v>27</v>
      </c>
      <c r="J702" s="26"/>
      <c r="K702" s="12">
        <v>13000</v>
      </c>
      <c r="L702" s="14">
        <v>45294</v>
      </c>
      <c r="M702" s="8" t="str">
        <f t="shared" si="30"/>
        <v>Below Target</v>
      </c>
      <c r="N702" s="20">
        <f t="shared" si="31"/>
        <v>15</v>
      </c>
      <c r="O702" s="22">
        <f t="shared" si="32"/>
        <v>11015.15</v>
      </c>
    </row>
    <row r="703" spans="1:15" x14ac:dyDescent="0.3">
      <c r="A703" s="12" t="s">
        <v>935</v>
      </c>
      <c r="B703" s="12" t="s">
        <v>217</v>
      </c>
      <c r="C703" s="12" t="s">
        <v>61</v>
      </c>
      <c r="D703" s="12" t="s">
        <v>62</v>
      </c>
      <c r="E703" s="12" t="s">
        <v>16</v>
      </c>
      <c r="F703" s="12" t="s">
        <v>25</v>
      </c>
      <c r="G703" s="12" t="s">
        <v>36</v>
      </c>
      <c r="H703" s="12">
        <v>10999</v>
      </c>
      <c r="I703" s="12" t="s">
        <v>22</v>
      </c>
      <c r="J703" s="26">
        <v>0.1</v>
      </c>
      <c r="K703" s="12">
        <v>9000</v>
      </c>
      <c r="L703" s="14">
        <v>45336</v>
      </c>
      <c r="M703" s="8" t="str">
        <f t="shared" si="30"/>
        <v>Below Target</v>
      </c>
      <c r="N703" s="20">
        <f t="shared" si="31"/>
        <v>10</v>
      </c>
      <c r="O703" s="22">
        <f t="shared" si="32"/>
        <v>9899.1</v>
      </c>
    </row>
    <row r="704" spans="1:15" x14ac:dyDescent="0.3">
      <c r="A704" s="12" t="s">
        <v>936</v>
      </c>
      <c r="B704" s="12" t="s">
        <v>544</v>
      </c>
      <c r="C704" s="12" t="s">
        <v>30</v>
      </c>
      <c r="D704" s="12" t="s">
        <v>31</v>
      </c>
      <c r="E704" s="12" t="s">
        <v>16</v>
      </c>
      <c r="F704" s="12" t="s">
        <v>25</v>
      </c>
      <c r="G704" s="12" t="s">
        <v>18</v>
      </c>
      <c r="H704" s="12">
        <v>17761</v>
      </c>
      <c r="I704" s="12" t="s">
        <v>19</v>
      </c>
      <c r="J704" s="26">
        <v>0.2</v>
      </c>
      <c r="K704" s="12">
        <v>17000</v>
      </c>
      <c r="L704" s="14">
        <v>45316</v>
      </c>
      <c r="M704" s="8" t="str">
        <f t="shared" si="30"/>
        <v>Below Target</v>
      </c>
      <c r="N704" s="20">
        <f t="shared" si="31"/>
        <v>20</v>
      </c>
      <c r="O704" s="22">
        <f t="shared" si="32"/>
        <v>14208.8</v>
      </c>
    </row>
    <row r="705" spans="1:15" x14ac:dyDescent="0.3">
      <c r="A705" s="12" t="s">
        <v>937</v>
      </c>
      <c r="B705" s="12" t="s">
        <v>107</v>
      </c>
      <c r="C705" s="12" t="s">
        <v>30</v>
      </c>
      <c r="D705" s="12" t="s">
        <v>31</v>
      </c>
      <c r="E705" s="12" t="s">
        <v>46</v>
      </c>
      <c r="F705" s="12" t="s">
        <v>39</v>
      </c>
      <c r="G705" s="12" t="s">
        <v>36</v>
      </c>
      <c r="H705" s="12">
        <v>15766</v>
      </c>
      <c r="I705" s="12" t="s">
        <v>27</v>
      </c>
      <c r="J705" s="26"/>
      <c r="K705" s="12">
        <v>17000</v>
      </c>
      <c r="L705" s="14">
        <v>45308</v>
      </c>
      <c r="M705" s="8" t="str">
        <f t="shared" si="30"/>
        <v>Below Target</v>
      </c>
      <c r="N705" s="20">
        <f t="shared" si="31"/>
        <v>15</v>
      </c>
      <c r="O705" s="22">
        <f t="shared" si="32"/>
        <v>13401.1</v>
      </c>
    </row>
    <row r="706" spans="1:15" x14ac:dyDescent="0.3">
      <c r="A706" s="12" t="s">
        <v>938</v>
      </c>
      <c r="B706" s="12" t="s">
        <v>939</v>
      </c>
      <c r="C706" s="12" t="s">
        <v>61</v>
      </c>
      <c r="D706" s="12" t="s">
        <v>62</v>
      </c>
      <c r="E706" s="12" t="s">
        <v>16</v>
      </c>
      <c r="F706" s="12" t="s">
        <v>17</v>
      </c>
      <c r="G706" s="12" t="s">
        <v>36</v>
      </c>
      <c r="H706" s="12">
        <v>7753</v>
      </c>
      <c r="I706" s="12"/>
      <c r="J706" s="26"/>
      <c r="K706" s="12">
        <v>9000</v>
      </c>
      <c r="L706" s="14">
        <v>45319</v>
      </c>
      <c r="M706" s="8" t="str">
        <f t="shared" ref="M706:M769" si="33">IF(J706&gt;=N706,"Target Achieved","Below Target")</f>
        <v>Target Achieved</v>
      </c>
      <c r="N706" s="20">
        <f t="shared" si="31"/>
        <v>0</v>
      </c>
      <c r="O706" s="22">
        <f t="shared" si="32"/>
        <v>7753</v>
      </c>
    </row>
    <row r="707" spans="1:15" x14ac:dyDescent="0.3">
      <c r="A707" s="12" t="s">
        <v>940</v>
      </c>
      <c r="B707" s="12" t="s">
        <v>414</v>
      </c>
      <c r="C707" s="12" t="s">
        <v>30</v>
      </c>
      <c r="D707" s="12" t="s">
        <v>31</v>
      </c>
      <c r="E707" s="12" t="s">
        <v>46</v>
      </c>
      <c r="F707" s="12" t="s">
        <v>17</v>
      </c>
      <c r="G707" s="12" t="s">
        <v>36</v>
      </c>
      <c r="H707" s="12">
        <v>16846</v>
      </c>
      <c r="I707" s="12" t="s">
        <v>19</v>
      </c>
      <c r="J707" s="26">
        <v>0.2</v>
      </c>
      <c r="K707" s="12">
        <v>17000</v>
      </c>
      <c r="L707" s="14">
        <v>45328</v>
      </c>
      <c r="M707" s="8" t="str">
        <f t="shared" si="33"/>
        <v>Below Target</v>
      </c>
      <c r="N707" s="20">
        <f t="shared" ref="N707:N770" si="34">IFERROR(VALUE(RIGHT(I707,2)),0)</f>
        <v>20</v>
      </c>
      <c r="O707" s="22">
        <f t="shared" ref="O707:O770" si="35">H707-H707*N707/100</f>
        <v>13476.8</v>
      </c>
    </row>
    <row r="708" spans="1:15" x14ac:dyDescent="0.3">
      <c r="A708" s="12" t="s">
        <v>941</v>
      </c>
      <c r="B708" s="12" t="s">
        <v>720</v>
      </c>
      <c r="C708" s="12" t="s">
        <v>44</v>
      </c>
      <c r="D708" s="12" t="s">
        <v>45</v>
      </c>
      <c r="E708" s="12" t="s">
        <v>32</v>
      </c>
      <c r="F708" s="12" t="s">
        <v>39</v>
      </c>
      <c r="G708" s="12" t="s">
        <v>36</v>
      </c>
      <c r="H708" s="12">
        <v>14293</v>
      </c>
      <c r="I708" s="12" t="s">
        <v>19</v>
      </c>
      <c r="J708" s="26">
        <v>0.2</v>
      </c>
      <c r="K708" s="12">
        <v>13000</v>
      </c>
      <c r="L708" s="14">
        <v>45327</v>
      </c>
      <c r="M708" s="8" t="str">
        <f t="shared" si="33"/>
        <v>Below Target</v>
      </c>
      <c r="N708" s="20">
        <f t="shared" si="34"/>
        <v>20</v>
      </c>
      <c r="O708" s="22">
        <f t="shared" si="35"/>
        <v>11434.4</v>
      </c>
    </row>
    <row r="709" spans="1:15" x14ac:dyDescent="0.3">
      <c r="A709" s="12" t="s">
        <v>942</v>
      </c>
      <c r="B709" s="12" t="s">
        <v>309</v>
      </c>
      <c r="C709" s="12" t="s">
        <v>61</v>
      </c>
      <c r="D709" s="12" t="s">
        <v>62</v>
      </c>
      <c r="E709" s="12" t="s">
        <v>32</v>
      </c>
      <c r="F709" s="12" t="s">
        <v>25</v>
      </c>
      <c r="G709" s="12" t="s">
        <v>26</v>
      </c>
      <c r="H709" s="12">
        <v>7612</v>
      </c>
      <c r="I709" s="12"/>
      <c r="J709" s="26"/>
      <c r="K709" s="12">
        <v>9000</v>
      </c>
      <c r="L709" s="14">
        <v>45343</v>
      </c>
      <c r="M709" s="8" t="str">
        <f t="shared" si="33"/>
        <v>Target Achieved</v>
      </c>
      <c r="N709" s="20">
        <f t="shared" si="34"/>
        <v>0</v>
      </c>
      <c r="O709" s="22">
        <f t="shared" si="35"/>
        <v>7612</v>
      </c>
    </row>
    <row r="710" spans="1:15" x14ac:dyDescent="0.3">
      <c r="A710" s="12" t="s">
        <v>943</v>
      </c>
      <c r="B710" s="12" t="s">
        <v>243</v>
      </c>
      <c r="C710" s="12" t="s">
        <v>61</v>
      </c>
      <c r="D710" s="12" t="s">
        <v>62</v>
      </c>
      <c r="E710" s="12" t="s">
        <v>46</v>
      </c>
      <c r="F710" s="12" t="s">
        <v>25</v>
      </c>
      <c r="G710" s="12" t="s">
        <v>26</v>
      </c>
      <c r="H710" s="12">
        <v>9117</v>
      </c>
      <c r="I710" s="12" t="s">
        <v>27</v>
      </c>
      <c r="J710" s="26"/>
      <c r="K710" s="12">
        <v>9000</v>
      </c>
      <c r="L710" s="14">
        <v>45338</v>
      </c>
      <c r="M710" s="8" t="str">
        <f t="shared" si="33"/>
        <v>Below Target</v>
      </c>
      <c r="N710" s="20">
        <f t="shared" si="34"/>
        <v>15</v>
      </c>
      <c r="O710" s="22">
        <f t="shared" si="35"/>
        <v>7749.45</v>
      </c>
    </row>
    <row r="711" spans="1:15" x14ac:dyDescent="0.3">
      <c r="A711" s="12" t="s">
        <v>944</v>
      </c>
      <c r="B711" s="12" t="s">
        <v>478</v>
      </c>
      <c r="C711" s="12" t="s">
        <v>61</v>
      </c>
      <c r="D711" s="12" t="s">
        <v>62</v>
      </c>
      <c r="E711" s="12" t="s">
        <v>46</v>
      </c>
      <c r="F711" s="12" t="s">
        <v>17</v>
      </c>
      <c r="G711" s="12" t="s">
        <v>26</v>
      </c>
      <c r="H711" s="12">
        <v>10516</v>
      </c>
      <c r="I711" s="12" t="s">
        <v>27</v>
      </c>
      <c r="J711" s="26"/>
      <c r="K711" s="12">
        <v>9000</v>
      </c>
      <c r="L711" s="14">
        <v>45295</v>
      </c>
      <c r="M711" s="8" t="str">
        <f t="shared" si="33"/>
        <v>Below Target</v>
      </c>
      <c r="N711" s="20">
        <f t="shared" si="34"/>
        <v>15</v>
      </c>
      <c r="O711" s="22">
        <f t="shared" si="35"/>
        <v>8938.6</v>
      </c>
    </row>
    <row r="712" spans="1:15" x14ac:dyDescent="0.3">
      <c r="A712" s="12" t="s">
        <v>945</v>
      </c>
      <c r="B712" s="12" t="s">
        <v>41</v>
      </c>
      <c r="C712" s="12" t="s">
        <v>44</v>
      </c>
      <c r="D712" s="12" t="s">
        <v>45</v>
      </c>
      <c r="E712" s="12" t="s">
        <v>32</v>
      </c>
      <c r="F712" s="12" t="s">
        <v>25</v>
      </c>
      <c r="G712" s="12" t="s">
        <v>36</v>
      </c>
      <c r="H712" s="12">
        <v>12951</v>
      </c>
      <c r="I712" s="12" t="s">
        <v>22</v>
      </c>
      <c r="J712" s="26">
        <v>0.1</v>
      </c>
      <c r="K712" s="12">
        <v>13000</v>
      </c>
      <c r="L712" s="14">
        <v>45320</v>
      </c>
      <c r="M712" s="8" t="str">
        <f t="shared" si="33"/>
        <v>Below Target</v>
      </c>
      <c r="N712" s="20">
        <f t="shared" si="34"/>
        <v>10</v>
      </c>
      <c r="O712" s="22">
        <f t="shared" si="35"/>
        <v>11655.9</v>
      </c>
    </row>
    <row r="713" spans="1:15" x14ac:dyDescent="0.3">
      <c r="A713" s="12" t="s">
        <v>946</v>
      </c>
      <c r="B713" s="12" t="s">
        <v>577</v>
      </c>
      <c r="C713" s="12" t="s">
        <v>30</v>
      </c>
      <c r="D713" s="12" t="s">
        <v>31</v>
      </c>
      <c r="E713" s="12" t="s">
        <v>46</v>
      </c>
      <c r="F713" s="12" t="s">
        <v>17</v>
      </c>
      <c r="G713" s="12" t="s">
        <v>26</v>
      </c>
      <c r="H713" s="12">
        <v>17283</v>
      </c>
      <c r="I713" s="12" t="s">
        <v>33</v>
      </c>
      <c r="J713" s="26">
        <v>0.3</v>
      </c>
      <c r="K713" s="12">
        <v>17000</v>
      </c>
      <c r="L713" s="14">
        <v>45314</v>
      </c>
      <c r="M713" s="8" t="str">
        <f t="shared" si="33"/>
        <v>Below Target</v>
      </c>
      <c r="N713" s="20">
        <f t="shared" si="34"/>
        <v>30</v>
      </c>
      <c r="O713" s="22">
        <f t="shared" si="35"/>
        <v>12098.1</v>
      </c>
    </row>
    <row r="714" spans="1:15" x14ac:dyDescent="0.3">
      <c r="A714" s="12" t="s">
        <v>947</v>
      </c>
      <c r="B714" s="12" t="s">
        <v>406</v>
      </c>
      <c r="C714" s="12" t="s">
        <v>14</v>
      </c>
      <c r="D714" s="12" t="s">
        <v>15</v>
      </c>
      <c r="E714" s="12" t="s">
        <v>46</v>
      </c>
      <c r="F714" s="12" t="s">
        <v>39</v>
      </c>
      <c r="G714" s="12" t="s">
        <v>26</v>
      </c>
      <c r="H714" s="12">
        <v>12814</v>
      </c>
      <c r="I714" s="12" t="s">
        <v>27</v>
      </c>
      <c r="J714" s="26"/>
      <c r="K714" s="12">
        <v>14000</v>
      </c>
      <c r="L714" s="14">
        <v>45328</v>
      </c>
      <c r="M714" s="8" t="str">
        <f t="shared" si="33"/>
        <v>Below Target</v>
      </c>
      <c r="N714" s="20">
        <f t="shared" si="34"/>
        <v>15</v>
      </c>
      <c r="O714" s="22">
        <f t="shared" si="35"/>
        <v>10891.9</v>
      </c>
    </row>
    <row r="715" spans="1:15" x14ac:dyDescent="0.3">
      <c r="A715" s="12" t="s">
        <v>948</v>
      </c>
      <c r="B715" s="12" t="s">
        <v>92</v>
      </c>
      <c r="C715" s="12" t="s">
        <v>44</v>
      </c>
      <c r="D715" s="12" t="s">
        <v>45</v>
      </c>
      <c r="E715" s="12" t="s">
        <v>46</v>
      </c>
      <c r="F715" s="12" t="s">
        <v>17</v>
      </c>
      <c r="G715" s="12" t="s">
        <v>36</v>
      </c>
      <c r="H715" s="12">
        <v>13757</v>
      </c>
      <c r="I715" s="12" t="s">
        <v>27</v>
      </c>
      <c r="J715" s="26"/>
      <c r="K715" s="12">
        <v>13000</v>
      </c>
      <c r="L715" s="14">
        <v>45323</v>
      </c>
      <c r="M715" s="8" t="str">
        <f t="shared" si="33"/>
        <v>Below Target</v>
      </c>
      <c r="N715" s="20">
        <f t="shared" si="34"/>
        <v>15</v>
      </c>
      <c r="O715" s="22">
        <f t="shared" si="35"/>
        <v>11693.45</v>
      </c>
    </row>
    <row r="716" spans="1:15" x14ac:dyDescent="0.3">
      <c r="A716" s="12" t="s">
        <v>949</v>
      </c>
      <c r="B716" s="12" t="s">
        <v>296</v>
      </c>
      <c r="C716" s="12" t="s">
        <v>61</v>
      </c>
      <c r="D716" s="12" t="s">
        <v>62</v>
      </c>
      <c r="E716" s="12" t="s">
        <v>32</v>
      </c>
      <c r="F716" s="12" t="s">
        <v>17</v>
      </c>
      <c r="G716" s="12" t="s">
        <v>26</v>
      </c>
      <c r="H716" s="12">
        <v>8173</v>
      </c>
      <c r="I716" s="12"/>
      <c r="J716" s="26"/>
      <c r="K716" s="12">
        <v>9000</v>
      </c>
      <c r="L716" s="14">
        <v>45332</v>
      </c>
      <c r="M716" s="8" t="str">
        <f t="shared" si="33"/>
        <v>Target Achieved</v>
      </c>
      <c r="N716" s="20">
        <f t="shared" si="34"/>
        <v>0</v>
      </c>
      <c r="O716" s="22">
        <f t="shared" si="35"/>
        <v>8173</v>
      </c>
    </row>
    <row r="717" spans="1:15" x14ac:dyDescent="0.3">
      <c r="A717" s="12" t="s">
        <v>950</v>
      </c>
      <c r="B717" s="12" t="s">
        <v>619</v>
      </c>
      <c r="C717" s="12" t="s">
        <v>44</v>
      </c>
      <c r="D717" s="12" t="s">
        <v>45</v>
      </c>
      <c r="E717" s="12" t="s">
        <v>16</v>
      </c>
      <c r="F717" s="12" t="s">
        <v>17</v>
      </c>
      <c r="G717" s="12" t="s">
        <v>36</v>
      </c>
      <c r="H717" s="12">
        <v>13585</v>
      </c>
      <c r="I717" s="12" t="s">
        <v>27</v>
      </c>
      <c r="J717" s="26"/>
      <c r="K717" s="12">
        <v>13000</v>
      </c>
      <c r="L717" s="14">
        <v>45328</v>
      </c>
      <c r="M717" s="8" t="str">
        <f t="shared" si="33"/>
        <v>Below Target</v>
      </c>
      <c r="N717" s="20">
        <f t="shared" si="34"/>
        <v>15</v>
      </c>
      <c r="O717" s="22">
        <f t="shared" si="35"/>
        <v>11547.25</v>
      </c>
    </row>
    <row r="718" spans="1:15" x14ac:dyDescent="0.3">
      <c r="A718" s="12" t="s">
        <v>951</v>
      </c>
      <c r="B718" s="12" t="s">
        <v>309</v>
      </c>
      <c r="C718" s="12" t="s">
        <v>14</v>
      </c>
      <c r="D718" s="12" t="s">
        <v>15</v>
      </c>
      <c r="E718" s="12" t="s">
        <v>32</v>
      </c>
      <c r="F718" s="12" t="s">
        <v>25</v>
      </c>
      <c r="G718" s="12" t="s">
        <v>36</v>
      </c>
      <c r="H718" s="12">
        <v>12934</v>
      </c>
      <c r="I718" s="12" t="s">
        <v>33</v>
      </c>
      <c r="J718" s="26">
        <v>0.3</v>
      </c>
      <c r="K718" s="12">
        <v>14000</v>
      </c>
      <c r="L718" s="14">
        <v>45312</v>
      </c>
      <c r="M718" s="8" t="str">
        <f t="shared" si="33"/>
        <v>Below Target</v>
      </c>
      <c r="N718" s="20">
        <f t="shared" si="34"/>
        <v>30</v>
      </c>
      <c r="O718" s="22">
        <f t="shared" si="35"/>
        <v>9053.7999999999993</v>
      </c>
    </row>
    <row r="719" spans="1:15" x14ac:dyDescent="0.3">
      <c r="A719" s="12" t="s">
        <v>952</v>
      </c>
      <c r="B719" s="12" t="s">
        <v>278</v>
      </c>
      <c r="C719" s="12" t="s">
        <v>30</v>
      </c>
      <c r="D719" s="12" t="s">
        <v>31</v>
      </c>
      <c r="E719" s="12" t="s">
        <v>16</v>
      </c>
      <c r="F719" s="12" t="s">
        <v>39</v>
      </c>
      <c r="G719" s="12" t="s">
        <v>36</v>
      </c>
      <c r="H719" s="12">
        <v>16111</v>
      </c>
      <c r="I719" s="12"/>
      <c r="J719" s="26"/>
      <c r="K719" s="12">
        <v>17000</v>
      </c>
      <c r="L719" s="14">
        <v>45341</v>
      </c>
      <c r="M719" s="8" t="str">
        <f t="shared" si="33"/>
        <v>Target Achieved</v>
      </c>
      <c r="N719" s="20">
        <f t="shared" si="34"/>
        <v>0</v>
      </c>
      <c r="O719" s="22">
        <f t="shared" si="35"/>
        <v>16111</v>
      </c>
    </row>
    <row r="720" spans="1:15" x14ac:dyDescent="0.3">
      <c r="A720" s="12" t="s">
        <v>953</v>
      </c>
      <c r="B720" s="12" t="s">
        <v>303</v>
      </c>
      <c r="C720" s="12" t="s">
        <v>61</v>
      </c>
      <c r="D720" s="12" t="s">
        <v>62</v>
      </c>
      <c r="E720" s="12" t="s">
        <v>46</v>
      </c>
      <c r="F720" s="12" t="s">
        <v>25</v>
      </c>
      <c r="G720" s="12" t="s">
        <v>18</v>
      </c>
      <c r="H720" s="12">
        <v>10498</v>
      </c>
      <c r="I720" s="12" t="s">
        <v>22</v>
      </c>
      <c r="J720" s="26">
        <v>0.1</v>
      </c>
      <c r="K720" s="12">
        <v>9000</v>
      </c>
      <c r="L720" s="14">
        <v>45300</v>
      </c>
      <c r="M720" s="8" t="str">
        <f t="shared" si="33"/>
        <v>Below Target</v>
      </c>
      <c r="N720" s="20">
        <f t="shared" si="34"/>
        <v>10</v>
      </c>
      <c r="O720" s="22">
        <f t="shared" si="35"/>
        <v>9448.2000000000007</v>
      </c>
    </row>
    <row r="721" spans="1:15" x14ac:dyDescent="0.3">
      <c r="A721" s="12" t="s">
        <v>954</v>
      </c>
      <c r="B721" s="12" t="s">
        <v>397</v>
      </c>
      <c r="C721" s="12" t="s">
        <v>30</v>
      </c>
      <c r="D721" s="12" t="s">
        <v>31</v>
      </c>
      <c r="E721" s="12" t="s">
        <v>16</v>
      </c>
      <c r="F721" s="12" t="s">
        <v>39</v>
      </c>
      <c r="G721" s="12" t="s">
        <v>26</v>
      </c>
      <c r="H721" s="12">
        <v>15327</v>
      </c>
      <c r="I721" s="12" t="s">
        <v>19</v>
      </c>
      <c r="J721" s="26">
        <v>0.2</v>
      </c>
      <c r="K721" s="12">
        <v>17000</v>
      </c>
      <c r="L721" s="14">
        <v>45302</v>
      </c>
      <c r="M721" s="8" t="str">
        <f t="shared" si="33"/>
        <v>Below Target</v>
      </c>
      <c r="N721" s="20">
        <f t="shared" si="34"/>
        <v>20</v>
      </c>
      <c r="O721" s="22">
        <f t="shared" si="35"/>
        <v>12261.6</v>
      </c>
    </row>
    <row r="722" spans="1:15" x14ac:dyDescent="0.3">
      <c r="A722" s="12" t="s">
        <v>955</v>
      </c>
      <c r="B722" s="12" t="s">
        <v>41</v>
      </c>
      <c r="C722" s="12" t="s">
        <v>14</v>
      </c>
      <c r="D722" s="12" t="s">
        <v>15</v>
      </c>
      <c r="E722" s="12" t="s">
        <v>32</v>
      </c>
      <c r="F722" s="12" t="s">
        <v>17</v>
      </c>
      <c r="G722" s="12" t="s">
        <v>26</v>
      </c>
      <c r="H722" s="12">
        <v>12220</v>
      </c>
      <c r="I722" s="12" t="s">
        <v>22</v>
      </c>
      <c r="J722" s="26">
        <v>0.1</v>
      </c>
      <c r="K722" s="12">
        <v>14000</v>
      </c>
      <c r="L722" s="14">
        <v>45341</v>
      </c>
      <c r="M722" s="8" t="str">
        <f t="shared" si="33"/>
        <v>Below Target</v>
      </c>
      <c r="N722" s="20">
        <f t="shared" si="34"/>
        <v>10</v>
      </c>
      <c r="O722" s="22">
        <f t="shared" si="35"/>
        <v>10998</v>
      </c>
    </row>
    <row r="723" spans="1:15" x14ac:dyDescent="0.3">
      <c r="A723" s="12" t="s">
        <v>956</v>
      </c>
      <c r="B723" s="12" t="s">
        <v>512</v>
      </c>
      <c r="C723" s="12" t="s">
        <v>14</v>
      </c>
      <c r="D723" s="12" t="s">
        <v>15</v>
      </c>
      <c r="E723" s="12" t="s">
        <v>32</v>
      </c>
      <c r="F723" s="12" t="s">
        <v>17</v>
      </c>
      <c r="G723" s="12" t="s">
        <v>26</v>
      </c>
      <c r="H723" s="12">
        <v>12636</v>
      </c>
      <c r="I723" s="12" t="s">
        <v>22</v>
      </c>
      <c r="J723" s="26">
        <v>0.1</v>
      </c>
      <c r="K723" s="12">
        <v>14000</v>
      </c>
      <c r="L723" s="14">
        <v>45333</v>
      </c>
      <c r="M723" s="8" t="str">
        <f t="shared" si="33"/>
        <v>Below Target</v>
      </c>
      <c r="N723" s="20">
        <f t="shared" si="34"/>
        <v>10</v>
      </c>
      <c r="O723" s="22">
        <f t="shared" si="35"/>
        <v>11372.4</v>
      </c>
    </row>
    <row r="724" spans="1:15" x14ac:dyDescent="0.3">
      <c r="A724" s="12" t="s">
        <v>957</v>
      </c>
      <c r="B724" s="12" t="s">
        <v>137</v>
      </c>
      <c r="C724" s="12" t="s">
        <v>30</v>
      </c>
      <c r="D724" s="12" t="s">
        <v>31</v>
      </c>
      <c r="E724" s="12" t="s">
        <v>32</v>
      </c>
      <c r="F724" s="12" t="s">
        <v>25</v>
      </c>
      <c r="G724" s="12" t="s">
        <v>26</v>
      </c>
      <c r="H724" s="12">
        <v>16163</v>
      </c>
      <c r="I724" s="12"/>
      <c r="J724" s="26"/>
      <c r="K724" s="12">
        <v>17000</v>
      </c>
      <c r="L724" s="14">
        <v>45332</v>
      </c>
      <c r="M724" s="8" t="str">
        <f t="shared" si="33"/>
        <v>Target Achieved</v>
      </c>
      <c r="N724" s="20">
        <f t="shared" si="34"/>
        <v>0</v>
      </c>
      <c r="O724" s="22">
        <f t="shared" si="35"/>
        <v>16163</v>
      </c>
    </row>
    <row r="725" spans="1:15" x14ac:dyDescent="0.3">
      <c r="A725" s="12" t="s">
        <v>958</v>
      </c>
      <c r="B725" s="12" t="s">
        <v>175</v>
      </c>
      <c r="C725" s="12" t="s">
        <v>44</v>
      </c>
      <c r="D725" s="12" t="s">
        <v>45</v>
      </c>
      <c r="E725" s="12" t="s">
        <v>32</v>
      </c>
      <c r="F725" s="12" t="s">
        <v>25</v>
      </c>
      <c r="G725" s="12" t="s">
        <v>26</v>
      </c>
      <c r="H725" s="12">
        <v>12461</v>
      </c>
      <c r="I725" s="12" t="s">
        <v>33</v>
      </c>
      <c r="J725" s="26">
        <v>0.3</v>
      </c>
      <c r="K725" s="12">
        <v>13000</v>
      </c>
      <c r="L725" s="14">
        <v>45347</v>
      </c>
      <c r="M725" s="8" t="str">
        <f t="shared" si="33"/>
        <v>Below Target</v>
      </c>
      <c r="N725" s="20">
        <f t="shared" si="34"/>
        <v>30</v>
      </c>
      <c r="O725" s="22">
        <f t="shared" si="35"/>
        <v>8722.7000000000007</v>
      </c>
    </row>
    <row r="726" spans="1:15" x14ac:dyDescent="0.3">
      <c r="A726" s="12" t="s">
        <v>959</v>
      </c>
      <c r="B726" s="12" t="s">
        <v>231</v>
      </c>
      <c r="C726" s="12" t="s">
        <v>30</v>
      </c>
      <c r="D726" s="12" t="s">
        <v>31</v>
      </c>
      <c r="E726" s="12" t="s">
        <v>16</v>
      </c>
      <c r="F726" s="12" t="s">
        <v>17</v>
      </c>
      <c r="G726" s="12" t="s">
        <v>18</v>
      </c>
      <c r="H726" s="12">
        <v>18971</v>
      </c>
      <c r="I726" s="12" t="s">
        <v>27</v>
      </c>
      <c r="J726" s="26"/>
      <c r="K726" s="12">
        <v>17000</v>
      </c>
      <c r="L726" s="14">
        <v>45303</v>
      </c>
      <c r="M726" s="8" t="str">
        <f t="shared" si="33"/>
        <v>Below Target</v>
      </c>
      <c r="N726" s="20">
        <f t="shared" si="34"/>
        <v>15</v>
      </c>
      <c r="O726" s="22">
        <f t="shared" si="35"/>
        <v>16125.35</v>
      </c>
    </row>
    <row r="727" spans="1:15" x14ac:dyDescent="0.3">
      <c r="A727" s="12" t="s">
        <v>960</v>
      </c>
      <c r="B727" s="12" t="s">
        <v>195</v>
      </c>
      <c r="C727" s="12" t="s">
        <v>61</v>
      </c>
      <c r="D727" s="12" t="s">
        <v>62</v>
      </c>
      <c r="E727" s="12" t="s">
        <v>16</v>
      </c>
      <c r="F727" s="12" t="s">
        <v>39</v>
      </c>
      <c r="G727" s="12" t="s">
        <v>26</v>
      </c>
      <c r="H727" s="12">
        <v>10593</v>
      </c>
      <c r="I727" s="12" t="s">
        <v>27</v>
      </c>
      <c r="J727" s="26"/>
      <c r="K727" s="12">
        <v>9000</v>
      </c>
      <c r="L727" s="14">
        <v>45319</v>
      </c>
      <c r="M727" s="8" t="str">
        <f t="shared" si="33"/>
        <v>Below Target</v>
      </c>
      <c r="N727" s="20">
        <f t="shared" si="34"/>
        <v>15</v>
      </c>
      <c r="O727" s="22">
        <f t="shared" si="35"/>
        <v>9004.0499999999993</v>
      </c>
    </row>
    <row r="728" spans="1:15" x14ac:dyDescent="0.3">
      <c r="A728" s="12" t="s">
        <v>961</v>
      </c>
      <c r="B728" s="12" t="s">
        <v>202</v>
      </c>
      <c r="C728" s="12" t="s">
        <v>30</v>
      </c>
      <c r="D728" s="12" t="s">
        <v>31</v>
      </c>
      <c r="E728" s="12" t="s">
        <v>46</v>
      </c>
      <c r="F728" s="12" t="s">
        <v>17</v>
      </c>
      <c r="G728" s="12" t="s">
        <v>26</v>
      </c>
      <c r="H728" s="12">
        <v>15930</v>
      </c>
      <c r="I728" s="12" t="s">
        <v>22</v>
      </c>
      <c r="J728" s="26">
        <v>0.1</v>
      </c>
      <c r="K728" s="12">
        <v>17000</v>
      </c>
      <c r="L728" s="14">
        <v>45320</v>
      </c>
      <c r="M728" s="8" t="str">
        <f t="shared" si="33"/>
        <v>Below Target</v>
      </c>
      <c r="N728" s="20">
        <f t="shared" si="34"/>
        <v>10</v>
      </c>
      <c r="O728" s="22">
        <f t="shared" si="35"/>
        <v>14337</v>
      </c>
    </row>
    <row r="729" spans="1:15" x14ac:dyDescent="0.3">
      <c r="A729" s="12" t="s">
        <v>962</v>
      </c>
      <c r="B729" s="12" t="s">
        <v>131</v>
      </c>
      <c r="C729" s="12" t="s">
        <v>61</v>
      </c>
      <c r="D729" s="12" t="s">
        <v>62</v>
      </c>
      <c r="E729" s="12" t="s">
        <v>46</v>
      </c>
      <c r="F729" s="12" t="s">
        <v>25</v>
      </c>
      <c r="G729" s="12" t="s">
        <v>36</v>
      </c>
      <c r="H729" s="12">
        <v>7043</v>
      </c>
      <c r="I729" s="12" t="s">
        <v>22</v>
      </c>
      <c r="J729" s="26">
        <v>0.1</v>
      </c>
      <c r="K729" s="12">
        <v>9000</v>
      </c>
      <c r="L729" s="14">
        <v>45325</v>
      </c>
      <c r="M729" s="8" t="str">
        <f t="shared" si="33"/>
        <v>Below Target</v>
      </c>
      <c r="N729" s="20">
        <f t="shared" si="34"/>
        <v>10</v>
      </c>
      <c r="O729" s="22">
        <f t="shared" si="35"/>
        <v>6338.7</v>
      </c>
    </row>
    <row r="730" spans="1:15" x14ac:dyDescent="0.3">
      <c r="A730" s="12" t="s">
        <v>963</v>
      </c>
      <c r="B730" s="12" t="s">
        <v>393</v>
      </c>
      <c r="C730" s="12" t="s">
        <v>44</v>
      </c>
      <c r="D730" s="12" t="s">
        <v>45</v>
      </c>
      <c r="E730" s="12" t="s">
        <v>46</v>
      </c>
      <c r="F730" s="12" t="s">
        <v>17</v>
      </c>
      <c r="G730" s="12" t="s">
        <v>36</v>
      </c>
      <c r="H730" s="12">
        <v>13191</v>
      </c>
      <c r="I730" s="12" t="s">
        <v>22</v>
      </c>
      <c r="J730" s="26">
        <v>0.1</v>
      </c>
      <c r="K730" s="12">
        <v>13000</v>
      </c>
      <c r="L730" s="14">
        <v>45336</v>
      </c>
      <c r="M730" s="8" t="str">
        <f t="shared" si="33"/>
        <v>Below Target</v>
      </c>
      <c r="N730" s="20">
        <f t="shared" si="34"/>
        <v>10</v>
      </c>
      <c r="O730" s="22">
        <f t="shared" si="35"/>
        <v>11871.9</v>
      </c>
    </row>
    <row r="731" spans="1:15" x14ac:dyDescent="0.3">
      <c r="A731" s="12" t="s">
        <v>964</v>
      </c>
      <c r="B731" s="12" t="s">
        <v>445</v>
      </c>
      <c r="C731" s="12" t="s">
        <v>61</v>
      </c>
      <c r="D731" s="12" t="s">
        <v>62</v>
      </c>
      <c r="E731" s="12" t="s">
        <v>46</v>
      </c>
      <c r="F731" s="12" t="s">
        <v>25</v>
      </c>
      <c r="G731" s="12" t="s">
        <v>36</v>
      </c>
      <c r="H731" s="12">
        <v>10268</v>
      </c>
      <c r="I731" s="12" t="s">
        <v>33</v>
      </c>
      <c r="J731" s="26">
        <v>0.3</v>
      </c>
      <c r="K731" s="12">
        <v>9000</v>
      </c>
      <c r="L731" s="14">
        <v>45330</v>
      </c>
      <c r="M731" s="8" t="str">
        <f t="shared" si="33"/>
        <v>Below Target</v>
      </c>
      <c r="N731" s="20">
        <f t="shared" si="34"/>
        <v>30</v>
      </c>
      <c r="O731" s="22">
        <f t="shared" si="35"/>
        <v>7187.6</v>
      </c>
    </row>
    <row r="732" spans="1:15" x14ac:dyDescent="0.3">
      <c r="A732" s="12" t="s">
        <v>965</v>
      </c>
      <c r="B732" s="12" t="s">
        <v>401</v>
      </c>
      <c r="C732" s="12" t="s">
        <v>14</v>
      </c>
      <c r="D732" s="12" t="s">
        <v>15</v>
      </c>
      <c r="E732" s="12" t="s">
        <v>16</v>
      </c>
      <c r="F732" s="12" t="s">
        <v>17</v>
      </c>
      <c r="G732" s="12" t="s">
        <v>18</v>
      </c>
      <c r="H732" s="12">
        <v>13686</v>
      </c>
      <c r="I732" s="12" t="s">
        <v>27</v>
      </c>
      <c r="J732" s="26"/>
      <c r="K732" s="12">
        <v>14000</v>
      </c>
      <c r="L732" s="14">
        <v>45319</v>
      </c>
      <c r="M732" s="8" t="str">
        <f t="shared" si="33"/>
        <v>Below Target</v>
      </c>
      <c r="N732" s="20">
        <f t="shared" si="34"/>
        <v>15</v>
      </c>
      <c r="O732" s="22">
        <f t="shared" si="35"/>
        <v>11633.1</v>
      </c>
    </row>
    <row r="733" spans="1:15" x14ac:dyDescent="0.3">
      <c r="A733" s="12" t="s">
        <v>966</v>
      </c>
      <c r="B733" s="12" t="s">
        <v>268</v>
      </c>
      <c r="C733" s="12" t="s">
        <v>44</v>
      </c>
      <c r="D733" s="12" t="s">
        <v>45</v>
      </c>
      <c r="E733" s="12" t="s">
        <v>16</v>
      </c>
      <c r="F733" s="12" t="s">
        <v>39</v>
      </c>
      <c r="G733" s="12" t="s">
        <v>26</v>
      </c>
      <c r="H733" s="12">
        <v>12596</v>
      </c>
      <c r="I733" s="12"/>
      <c r="J733" s="26"/>
      <c r="K733" s="12">
        <v>13000</v>
      </c>
      <c r="L733" s="14">
        <v>45306</v>
      </c>
      <c r="M733" s="8" t="str">
        <f t="shared" si="33"/>
        <v>Target Achieved</v>
      </c>
      <c r="N733" s="20">
        <f t="shared" si="34"/>
        <v>0</v>
      </c>
      <c r="O733" s="22">
        <f t="shared" si="35"/>
        <v>12596</v>
      </c>
    </row>
    <row r="734" spans="1:15" x14ac:dyDescent="0.3">
      <c r="A734" s="12" t="s">
        <v>967</v>
      </c>
      <c r="B734" s="12" t="s">
        <v>222</v>
      </c>
      <c r="C734" s="12" t="s">
        <v>61</v>
      </c>
      <c r="D734" s="12" t="s">
        <v>62</v>
      </c>
      <c r="E734" s="12" t="s">
        <v>16</v>
      </c>
      <c r="F734" s="12" t="s">
        <v>25</v>
      </c>
      <c r="G734" s="12" t="s">
        <v>26</v>
      </c>
      <c r="H734" s="12">
        <v>10131</v>
      </c>
      <c r="I734" s="12" t="s">
        <v>27</v>
      </c>
      <c r="J734" s="26"/>
      <c r="K734" s="12">
        <v>9000</v>
      </c>
      <c r="L734" s="14">
        <v>45343</v>
      </c>
      <c r="M734" s="8" t="str">
        <f t="shared" si="33"/>
        <v>Below Target</v>
      </c>
      <c r="N734" s="20">
        <f t="shared" si="34"/>
        <v>15</v>
      </c>
      <c r="O734" s="22">
        <f t="shared" si="35"/>
        <v>8611.35</v>
      </c>
    </row>
    <row r="735" spans="1:15" x14ac:dyDescent="0.3">
      <c r="A735" s="12" t="s">
        <v>968</v>
      </c>
      <c r="B735" s="12" t="s">
        <v>765</v>
      </c>
      <c r="C735" s="12" t="s">
        <v>30</v>
      </c>
      <c r="D735" s="12" t="s">
        <v>31</v>
      </c>
      <c r="E735" s="12" t="s">
        <v>46</v>
      </c>
      <c r="F735" s="12" t="s">
        <v>39</v>
      </c>
      <c r="G735" s="12" t="s">
        <v>26</v>
      </c>
      <c r="H735" s="12">
        <v>17178</v>
      </c>
      <c r="I735" s="12" t="s">
        <v>33</v>
      </c>
      <c r="J735" s="26">
        <v>0.3</v>
      </c>
      <c r="K735" s="12">
        <v>17000</v>
      </c>
      <c r="L735" s="14">
        <v>45318</v>
      </c>
      <c r="M735" s="8" t="str">
        <f t="shared" si="33"/>
        <v>Below Target</v>
      </c>
      <c r="N735" s="20">
        <f t="shared" si="34"/>
        <v>30</v>
      </c>
      <c r="O735" s="22">
        <f t="shared" si="35"/>
        <v>12024.6</v>
      </c>
    </row>
    <row r="736" spans="1:15" x14ac:dyDescent="0.3">
      <c r="A736" s="12" t="s">
        <v>969</v>
      </c>
      <c r="B736" s="12" t="s">
        <v>171</v>
      </c>
      <c r="C736" s="12" t="s">
        <v>14</v>
      </c>
      <c r="D736" s="12" t="s">
        <v>15</v>
      </c>
      <c r="E736" s="12" t="s">
        <v>32</v>
      </c>
      <c r="F736" s="12" t="s">
        <v>25</v>
      </c>
      <c r="G736" s="12" t="s">
        <v>36</v>
      </c>
      <c r="H736" s="12">
        <v>12452</v>
      </c>
      <c r="I736" s="12"/>
      <c r="J736" s="26"/>
      <c r="K736" s="12">
        <v>14000</v>
      </c>
      <c r="L736" s="14">
        <v>45331</v>
      </c>
      <c r="M736" s="8" t="str">
        <f t="shared" si="33"/>
        <v>Target Achieved</v>
      </c>
      <c r="N736" s="20">
        <f t="shared" si="34"/>
        <v>0</v>
      </c>
      <c r="O736" s="22">
        <f t="shared" si="35"/>
        <v>12452</v>
      </c>
    </row>
    <row r="737" spans="1:15" x14ac:dyDescent="0.3">
      <c r="A737" s="12" t="s">
        <v>970</v>
      </c>
      <c r="B737" s="12" t="s">
        <v>123</v>
      </c>
      <c r="C737" s="12" t="s">
        <v>61</v>
      </c>
      <c r="D737" s="12" t="s">
        <v>62</v>
      </c>
      <c r="E737" s="12" t="s">
        <v>32</v>
      </c>
      <c r="F737" s="12" t="s">
        <v>17</v>
      </c>
      <c r="G737" s="12" t="s">
        <v>18</v>
      </c>
      <c r="H737" s="12">
        <v>7623</v>
      </c>
      <c r="I737" s="12" t="s">
        <v>22</v>
      </c>
      <c r="J737" s="26">
        <v>0.1</v>
      </c>
      <c r="K737" s="12">
        <v>9000</v>
      </c>
      <c r="L737" s="14">
        <v>45326</v>
      </c>
      <c r="M737" s="8" t="str">
        <f t="shared" si="33"/>
        <v>Below Target</v>
      </c>
      <c r="N737" s="20">
        <f t="shared" si="34"/>
        <v>10</v>
      </c>
      <c r="O737" s="22">
        <f t="shared" si="35"/>
        <v>6860.7</v>
      </c>
    </row>
    <row r="738" spans="1:15" x14ac:dyDescent="0.3">
      <c r="A738" s="12" t="s">
        <v>971</v>
      </c>
      <c r="B738" s="12" t="s">
        <v>243</v>
      </c>
      <c r="C738" s="12" t="s">
        <v>14</v>
      </c>
      <c r="D738" s="12" t="s">
        <v>15</v>
      </c>
      <c r="E738" s="12" t="s">
        <v>46</v>
      </c>
      <c r="F738" s="12" t="s">
        <v>17</v>
      </c>
      <c r="G738" s="12" t="s">
        <v>18</v>
      </c>
      <c r="H738" s="12">
        <v>14929</v>
      </c>
      <c r="I738" s="12"/>
      <c r="J738" s="26"/>
      <c r="K738" s="12">
        <v>14000</v>
      </c>
      <c r="L738" s="14">
        <v>45338</v>
      </c>
      <c r="M738" s="8" t="str">
        <f t="shared" si="33"/>
        <v>Target Achieved</v>
      </c>
      <c r="N738" s="20">
        <f t="shared" si="34"/>
        <v>0</v>
      </c>
      <c r="O738" s="22">
        <f t="shared" si="35"/>
        <v>14929</v>
      </c>
    </row>
    <row r="739" spans="1:15" x14ac:dyDescent="0.3">
      <c r="A739" s="12" t="s">
        <v>972</v>
      </c>
      <c r="B739" s="12" t="s">
        <v>192</v>
      </c>
      <c r="C739" s="12" t="s">
        <v>14</v>
      </c>
      <c r="D739" s="12" t="s">
        <v>15</v>
      </c>
      <c r="E739" s="12" t="s">
        <v>32</v>
      </c>
      <c r="F739" s="12" t="s">
        <v>25</v>
      </c>
      <c r="G739" s="12" t="s">
        <v>36</v>
      </c>
      <c r="H739" s="12">
        <v>12889</v>
      </c>
      <c r="I739" s="12" t="s">
        <v>33</v>
      </c>
      <c r="J739" s="26">
        <v>0.3</v>
      </c>
      <c r="K739" s="12">
        <v>14000</v>
      </c>
      <c r="L739" s="14">
        <v>45318</v>
      </c>
      <c r="M739" s="8" t="str">
        <f t="shared" si="33"/>
        <v>Below Target</v>
      </c>
      <c r="N739" s="20">
        <f t="shared" si="34"/>
        <v>30</v>
      </c>
      <c r="O739" s="22">
        <f t="shared" si="35"/>
        <v>9022.2999999999993</v>
      </c>
    </row>
    <row r="740" spans="1:15" x14ac:dyDescent="0.3">
      <c r="A740" s="12" t="s">
        <v>973</v>
      </c>
      <c r="B740" s="12" t="s">
        <v>443</v>
      </c>
      <c r="C740" s="12" t="s">
        <v>61</v>
      </c>
      <c r="D740" s="12" t="s">
        <v>62</v>
      </c>
      <c r="E740" s="12" t="s">
        <v>46</v>
      </c>
      <c r="F740" s="12" t="s">
        <v>17</v>
      </c>
      <c r="G740" s="12" t="s">
        <v>26</v>
      </c>
      <c r="H740" s="12">
        <v>10241</v>
      </c>
      <c r="I740" s="12" t="s">
        <v>22</v>
      </c>
      <c r="J740" s="26">
        <v>0.1</v>
      </c>
      <c r="K740" s="12">
        <v>9000</v>
      </c>
      <c r="L740" s="14">
        <v>45313</v>
      </c>
      <c r="M740" s="8" t="str">
        <f t="shared" si="33"/>
        <v>Below Target</v>
      </c>
      <c r="N740" s="20">
        <f t="shared" si="34"/>
        <v>10</v>
      </c>
      <c r="O740" s="22">
        <f t="shared" si="35"/>
        <v>9216.9</v>
      </c>
    </row>
    <row r="741" spans="1:15" x14ac:dyDescent="0.3">
      <c r="A741" s="12" t="s">
        <v>974</v>
      </c>
      <c r="B741" s="12" t="s">
        <v>159</v>
      </c>
      <c r="C741" s="12" t="s">
        <v>44</v>
      </c>
      <c r="D741" s="12" t="s">
        <v>45</v>
      </c>
      <c r="E741" s="12" t="s">
        <v>32</v>
      </c>
      <c r="F741" s="12" t="s">
        <v>17</v>
      </c>
      <c r="G741" s="12" t="s">
        <v>36</v>
      </c>
      <c r="H741" s="12">
        <v>11292</v>
      </c>
      <c r="I741" s="12" t="s">
        <v>27</v>
      </c>
      <c r="J741" s="26"/>
      <c r="K741" s="12">
        <v>13000</v>
      </c>
      <c r="L741" s="14">
        <v>45322</v>
      </c>
      <c r="M741" s="8" t="str">
        <f t="shared" si="33"/>
        <v>Below Target</v>
      </c>
      <c r="N741" s="20">
        <f t="shared" si="34"/>
        <v>15</v>
      </c>
      <c r="O741" s="22">
        <f t="shared" si="35"/>
        <v>9598.2000000000007</v>
      </c>
    </row>
    <row r="742" spans="1:15" x14ac:dyDescent="0.3">
      <c r="A742" s="12" t="s">
        <v>975</v>
      </c>
      <c r="B742" s="12" t="s">
        <v>35</v>
      </c>
      <c r="C742" s="12" t="s">
        <v>30</v>
      </c>
      <c r="D742" s="12" t="s">
        <v>31</v>
      </c>
      <c r="E742" s="12" t="s">
        <v>46</v>
      </c>
      <c r="F742" s="12" t="s">
        <v>25</v>
      </c>
      <c r="G742" s="12" t="s">
        <v>18</v>
      </c>
      <c r="H742" s="12">
        <v>18991</v>
      </c>
      <c r="I742" s="12" t="s">
        <v>19</v>
      </c>
      <c r="J742" s="26">
        <v>0.2</v>
      </c>
      <c r="K742" s="12">
        <v>17000</v>
      </c>
      <c r="L742" s="14">
        <v>45316</v>
      </c>
      <c r="M742" s="8" t="str">
        <f t="shared" si="33"/>
        <v>Below Target</v>
      </c>
      <c r="N742" s="20">
        <f t="shared" si="34"/>
        <v>20</v>
      </c>
      <c r="O742" s="22">
        <f t="shared" si="35"/>
        <v>15192.8</v>
      </c>
    </row>
    <row r="743" spans="1:15" x14ac:dyDescent="0.3">
      <c r="A743" s="12" t="s">
        <v>976</v>
      </c>
      <c r="B743" s="12" t="s">
        <v>298</v>
      </c>
      <c r="C743" s="12" t="s">
        <v>44</v>
      </c>
      <c r="D743" s="12" t="s">
        <v>45</v>
      </c>
      <c r="E743" s="12" t="s">
        <v>16</v>
      </c>
      <c r="F743" s="12" t="s">
        <v>25</v>
      </c>
      <c r="G743" s="12" t="s">
        <v>18</v>
      </c>
      <c r="H743" s="12">
        <v>12887</v>
      </c>
      <c r="I743" s="12" t="s">
        <v>22</v>
      </c>
      <c r="J743" s="26">
        <v>0.1</v>
      </c>
      <c r="K743" s="12">
        <v>13000</v>
      </c>
      <c r="L743" s="14">
        <v>45325</v>
      </c>
      <c r="M743" s="8" t="str">
        <f t="shared" si="33"/>
        <v>Below Target</v>
      </c>
      <c r="N743" s="20">
        <f t="shared" si="34"/>
        <v>10</v>
      </c>
      <c r="O743" s="22">
        <f t="shared" si="35"/>
        <v>11598.3</v>
      </c>
    </row>
    <row r="744" spans="1:15" x14ac:dyDescent="0.3">
      <c r="A744" s="12" t="s">
        <v>977</v>
      </c>
      <c r="B744" s="12" t="s">
        <v>239</v>
      </c>
      <c r="C744" s="12" t="s">
        <v>61</v>
      </c>
      <c r="D744" s="12" t="s">
        <v>62</v>
      </c>
      <c r="E744" s="12" t="s">
        <v>46</v>
      </c>
      <c r="F744" s="12" t="s">
        <v>39</v>
      </c>
      <c r="G744" s="12" t="s">
        <v>36</v>
      </c>
      <c r="H744" s="12">
        <v>10834</v>
      </c>
      <c r="I744" s="12" t="s">
        <v>33</v>
      </c>
      <c r="J744" s="26">
        <v>0.3</v>
      </c>
      <c r="K744" s="12">
        <v>9000</v>
      </c>
      <c r="L744" s="14">
        <v>45302</v>
      </c>
      <c r="M744" s="8" t="str">
        <f t="shared" si="33"/>
        <v>Below Target</v>
      </c>
      <c r="N744" s="20">
        <f t="shared" si="34"/>
        <v>30</v>
      </c>
      <c r="O744" s="22">
        <f t="shared" si="35"/>
        <v>7583.8</v>
      </c>
    </row>
    <row r="745" spans="1:15" x14ac:dyDescent="0.3">
      <c r="A745" s="12" t="s">
        <v>978</v>
      </c>
      <c r="B745" s="12" t="s">
        <v>305</v>
      </c>
      <c r="C745" s="12" t="s">
        <v>14</v>
      </c>
      <c r="D745" s="12" t="s">
        <v>15</v>
      </c>
      <c r="E745" s="12" t="s">
        <v>16</v>
      </c>
      <c r="F745" s="12" t="s">
        <v>39</v>
      </c>
      <c r="G745" s="12" t="s">
        <v>26</v>
      </c>
      <c r="H745" s="12">
        <v>12500</v>
      </c>
      <c r="I745" s="12" t="s">
        <v>33</v>
      </c>
      <c r="J745" s="26">
        <v>0.3</v>
      </c>
      <c r="K745" s="12">
        <v>14000</v>
      </c>
      <c r="L745" s="14">
        <v>45322</v>
      </c>
      <c r="M745" s="8" t="str">
        <f t="shared" si="33"/>
        <v>Below Target</v>
      </c>
      <c r="N745" s="20">
        <f t="shared" si="34"/>
        <v>30</v>
      </c>
      <c r="O745" s="22">
        <f t="shared" si="35"/>
        <v>8750</v>
      </c>
    </row>
    <row r="746" spans="1:15" x14ac:dyDescent="0.3">
      <c r="A746" s="12" t="s">
        <v>979</v>
      </c>
      <c r="B746" s="12" t="s">
        <v>278</v>
      </c>
      <c r="C746" s="12" t="s">
        <v>44</v>
      </c>
      <c r="D746" s="12" t="s">
        <v>45</v>
      </c>
      <c r="E746" s="12" t="s">
        <v>46</v>
      </c>
      <c r="F746" s="12" t="s">
        <v>25</v>
      </c>
      <c r="G746" s="12" t="s">
        <v>26</v>
      </c>
      <c r="H746" s="12">
        <v>11892</v>
      </c>
      <c r="I746" s="12" t="s">
        <v>22</v>
      </c>
      <c r="J746" s="26">
        <v>0.1</v>
      </c>
      <c r="K746" s="12">
        <v>13000</v>
      </c>
      <c r="L746" s="14">
        <v>45307</v>
      </c>
      <c r="M746" s="8" t="str">
        <f t="shared" si="33"/>
        <v>Below Target</v>
      </c>
      <c r="N746" s="20">
        <f t="shared" si="34"/>
        <v>10</v>
      </c>
      <c r="O746" s="22">
        <f t="shared" si="35"/>
        <v>10702.8</v>
      </c>
    </row>
    <row r="747" spans="1:15" x14ac:dyDescent="0.3">
      <c r="A747" s="12" t="s">
        <v>980</v>
      </c>
      <c r="B747" s="12" t="s">
        <v>90</v>
      </c>
      <c r="C747" s="12" t="s">
        <v>30</v>
      </c>
      <c r="D747" s="12" t="s">
        <v>31</v>
      </c>
      <c r="E747" s="12" t="s">
        <v>32</v>
      </c>
      <c r="F747" s="12" t="s">
        <v>25</v>
      </c>
      <c r="G747" s="12" t="s">
        <v>36</v>
      </c>
      <c r="H747" s="12">
        <v>17394</v>
      </c>
      <c r="I747" s="12" t="s">
        <v>22</v>
      </c>
      <c r="J747" s="26">
        <v>0.1</v>
      </c>
      <c r="K747" s="12">
        <v>17000</v>
      </c>
      <c r="L747" s="14">
        <v>45317</v>
      </c>
      <c r="M747" s="8" t="str">
        <f t="shared" si="33"/>
        <v>Below Target</v>
      </c>
      <c r="N747" s="20">
        <f t="shared" si="34"/>
        <v>10</v>
      </c>
      <c r="O747" s="22">
        <f t="shared" si="35"/>
        <v>15654.6</v>
      </c>
    </row>
    <row r="748" spans="1:15" x14ac:dyDescent="0.3">
      <c r="A748" s="12" t="s">
        <v>981</v>
      </c>
      <c r="B748" s="12" t="s">
        <v>294</v>
      </c>
      <c r="C748" s="12" t="s">
        <v>14</v>
      </c>
      <c r="D748" s="12" t="s">
        <v>15</v>
      </c>
      <c r="E748" s="12" t="s">
        <v>32</v>
      </c>
      <c r="F748" s="12" t="s">
        <v>39</v>
      </c>
      <c r="G748" s="12" t="s">
        <v>26</v>
      </c>
      <c r="H748" s="12">
        <v>13946</v>
      </c>
      <c r="I748" s="12" t="s">
        <v>27</v>
      </c>
      <c r="J748" s="26"/>
      <c r="K748" s="12">
        <v>14000</v>
      </c>
      <c r="L748" s="14">
        <v>45301</v>
      </c>
      <c r="M748" s="8" t="str">
        <f t="shared" si="33"/>
        <v>Below Target</v>
      </c>
      <c r="N748" s="20">
        <f t="shared" si="34"/>
        <v>15</v>
      </c>
      <c r="O748" s="22">
        <f t="shared" si="35"/>
        <v>11854.1</v>
      </c>
    </row>
    <row r="749" spans="1:15" x14ac:dyDescent="0.3">
      <c r="A749" s="12" t="s">
        <v>982</v>
      </c>
      <c r="B749" s="12" t="s">
        <v>478</v>
      </c>
      <c r="C749" s="12" t="s">
        <v>14</v>
      </c>
      <c r="D749" s="12" t="s">
        <v>15</v>
      </c>
      <c r="E749" s="12" t="s">
        <v>32</v>
      </c>
      <c r="F749" s="12" t="s">
        <v>25</v>
      </c>
      <c r="G749" s="12" t="s">
        <v>36</v>
      </c>
      <c r="H749" s="12">
        <v>12374</v>
      </c>
      <c r="I749" s="12" t="s">
        <v>27</v>
      </c>
      <c r="J749" s="26"/>
      <c r="K749" s="12">
        <v>14000</v>
      </c>
      <c r="L749" s="14">
        <v>45313</v>
      </c>
      <c r="M749" s="8" t="str">
        <f t="shared" si="33"/>
        <v>Below Target</v>
      </c>
      <c r="N749" s="20">
        <f t="shared" si="34"/>
        <v>15</v>
      </c>
      <c r="O749" s="22">
        <f t="shared" si="35"/>
        <v>10517.9</v>
      </c>
    </row>
    <row r="750" spans="1:15" x14ac:dyDescent="0.3">
      <c r="A750" s="12" t="s">
        <v>983</v>
      </c>
      <c r="B750" s="12" t="s">
        <v>148</v>
      </c>
      <c r="C750" s="12" t="s">
        <v>14</v>
      </c>
      <c r="D750" s="12" t="s">
        <v>15</v>
      </c>
      <c r="E750" s="12" t="s">
        <v>32</v>
      </c>
      <c r="F750" s="12" t="s">
        <v>17</v>
      </c>
      <c r="G750" s="12" t="s">
        <v>26</v>
      </c>
      <c r="H750" s="12">
        <v>12630</v>
      </c>
      <c r="I750" s="12" t="s">
        <v>27</v>
      </c>
      <c r="J750" s="26"/>
      <c r="K750" s="12">
        <v>14000</v>
      </c>
      <c r="L750" s="14">
        <v>45342</v>
      </c>
      <c r="M750" s="8" t="str">
        <f t="shared" si="33"/>
        <v>Below Target</v>
      </c>
      <c r="N750" s="20">
        <f t="shared" si="34"/>
        <v>15</v>
      </c>
      <c r="O750" s="22">
        <f t="shared" si="35"/>
        <v>10735.5</v>
      </c>
    </row>
    <row r="751" spans="1:15" x14ac:dyDescent="0.3">
      <c r="A751" s="12" t="s">
        <v>984</v>
      </c>
      <c r="B751" s="12" t="s">
        <v>843</v>
      </c>
      <c r="C751" s="12" t="s">
        <v>61</v>
      </c>
      <c r="D751" s="12" t="s">
        <v>62</v>
      </c>
      <c r="E751" s="12" t="s">
        <v>32</v>
      </c>
      <c r="F751" s="12" t="s">
        <v>17</v>
      </c>
      <c r="G751" s="12" t="s">
        <v>26</v>
      </c>
      <c r="H751" s="12">
        <v>10229</v>
      </c>
      <c r="I751" s="12" t="s">
        <v>33</v>
      </c>
      <c r="J751" s="26">
        <v>0.3</v>
      </c>
      <c r="K751" s="12">
        <v>9000</v>
      </c>
      <c r="L751" s="14">
        <v>45343</v>
      </c>
      <c r="M751" s="8" t="str">
        <f t="shared" si="33"/>
        <v>Below Target</v>
      </c>
      <c r="N751" s="20">
        <f t="shared" si="34"/>
        <v>30</v>
      </c>
      <c r="O751" s="22">
        <f t="shared" si="35"/>
        <v>7160.3</v>
      </c>
    </row>
    <row r="752" spans="1:15" x14ac:dyDescent="0.3">
      <c r="A752" s="12" t="s">
        <v>985</v>
      </c>
      <c r="B752" s="12" t="s">
        <v>445</v>
      </c>
      <c r="C752" s="12" t="s">
        <v>44</v>
      </c>
      <c r="D752" s="12" t="s">
        <v>45</v>
      </c>
      <c r="E752" s="12" t="s">
        <v>32</v>
      </c>
      <c r="F752" s="12" t="s">
        <v>39</v>
      </c>
      <c r="G752" s="12" t="s">
        <v>36</v>
      </c>
      <c r="H752" s="12">
        <v>12467</v>
      </c>
      <c r="I752" s="12" t="s">
        <v>19</v>
      </c>
      <c r="J752" s="26">
        <v>0.2</v>
      </c>
      <c r="K752" s="12">
        <v>13000</v>
      </c>
      <c r="L752" s="14">
        <v>45308</v>
      </c>
      <c r="M752" s="8" t="str">
        <f t="shared" si="33"/>
        <v>Below Target</v>
      </c>
      <c r="N752" s="20">
        <f t="shared" si="34"/>
        <v>20</v>
      </c>
      <c r="O752" s="22">
        <f t="shared" si="35"/>
        <v>9973.6</v>
      </c>
    </row>
    <row r="753" spans="1:15" x14ac:dyDescent="0.3">
      <c r="A753" s="12" t="s">
        <v>986</v>
      </c>
      <c r="B753" s="12" t="s">
        <v>987</v>
      </c>
      <c r="C753" s="12" t="s">
        <v>61</v>
      </c>
      <c r="D753" s="12" t="s">
        <v>62</v>
      </c>
      <c r="E753" s="12" t="s">
        <v>16</v>
      </c>
      <c r="F753" s="12" t="s">
        <v>17</v>
      </c>
      <c r="G753" s="12" t="s">
        <v>26</v>
      </c>
      <c r="H753" s="12">
        <v>8207</v>
      </c>
      <c r="I753" s="12" t="s">
        <v>27</v>
      </c>
      <c r="J753" s="26"/>
      <c r="K753" s="12">
        <v>9000</v>
      </c>
      <c r="L753" s="14">
        <v>45336</v>
      </c>
      <c r="M753" s="8" t="str">
        <f t="shared" si="33"/>
        <v>Below Target</v>
      </c>
      <c r="N753" s="20">
        <f t="shared" si="34"/>
        <v>15</v>
      </c>
      <c r="O753" s="22">
        <f t="shared" si="35"/>
        <v>6975.95</v>
      </c>
    </row>
    <row r="754" spans="1:15" x14ac:dyDescent="0.3">
      <c r="A754" s="12" t="s">
        <v>988</v>
      </c>
      <c r="B754" s="12" t="s">
        <v>211</v>
      </c>
      <c r="C754" s="12" t="s">
        <v>44</v>
      </c>
      <c r="D754" s="12" t="s">
        <v>45</v>
      </c>
      <c r="E754" s="12" t="s">
        <v>16</v>
      </c>
      <c r="F754" s="12" t="s">
        <v>17</v>
      </c>
      <c r="G754" s="12" t="s">
        <v>36</v>
      </c>
      <c r="H754" s="12">
        <v>13999</v>
      </c>
      <c r="I754" s="12"/>
      <c r="J754" s="26"/>
      <c r="K754" s="12">
        <v>13000</v>
      </c>
      <c r="L754" s="14">
        <v>45309</v>
      </c>
      <c r="M754" s="8" t="str">
        <f t="shared" si="33"/>
        <v>Target Achieved</v>
      </c>
      <c r="N754" s="20">
        <f t="shared" si="34"/>
        <v>0</v>
      </c>
      <c r="O754" s="22">
        <f t="shared" si="35"/>
        <v>13999</v>
      </c>
    </row>
    <row r="755" spans="1:15" x14ac:dyDescent="0.3">
      <c r="A755" s="12" t="s">
        <v>989</v>
      </c>
      <c r="B755" s="12" t="s">
        <v>319</v>
      </c>
      <c r="C755" s="12" t="s">
        <v>44</v>
      </c>
      <c r="D755" s="12" t="s">
        <v>45</v>
      </c>
      <c r="E755" s="12" t="s">
        <v>32</v>
      </c>
      <c r="F755" s="12" t="s">
        <v>39</v>
      </c>
      <c r="G755" s="12" t="s">
        <v>18</v>
      </c>
      <c r="H755" s="12">
        <v>12840</v>
      </c>
      <c r="I755" s="12" t="s">
        <v>33</v>
      </c>
      <c r="J755" s="26">
        <v>0.3</v>
      </c>
      <c r="K755" s="12">
        <v>13000</v>
      </c>
      <c r="L755" s="14">
        <v>45344</v>
      </c>
      <c r="M755" s="8" t="str">
        <f t="shared" si="33"/>
        <v>Below Target</v>
      </c>
      <c r="N755" s="20">
        <f t="shared" si="34"/>
        <v>30</v>
      </c>
      <c r="O755" s="22">
        <f t="shared" si="35"/>
        <v>8988</v>
      </c>
    </row>
    <row r="756" spans="1:15" x14ac:dyDescent="0.3">
      <c r="A756" s="12" t="s">
        <v>990</v>
      </c>
      <c r="B756" s="12" t="s">
        <v>307</v>
      </c>
      <c r="C756" s="12" t="s">
        <v>30</v>
      </c>
      <c r="D756" s="12" t="s">
        <v>31</v>
      </c>
      <c r="E756" s="12" t="s">
        <v>46</v>
      </c>
      <c r="F756" s="12" t="s">
        <v>25</v>
      </c>
      <c r="G756" s="12" t="s">
        <v>26</v>
      </c>
      <c r="H756" s="12">
        <v>17072</v>
      </c>
      <c r="I756" s="12"/>
      <c r="J756" s="26"/>
      <c r="K756" s="12">
        <v>17000</v>
      </c>
      <c r="L756" s="14">
        <v>45338</v>
      </c>
      <c r="M756" s="8" t="str">
        <f t="shared" si="33"/>
        <v>Target Achieved</v>
      </c>
      <c r="N756" s="20">
        <f t="shared" si="34"/>
        <v>0</v>
      </c>
      <c r="O756" s="22">
        <f t="shared" si="35"/>
        <v>17072</v>
      </c>
    </row>
    <row r="757" spans="1:15" x14ac:dyDescent="0.3">
      <c r="A757" s="12" t="s">
        <v>991</v>
      </c>
      <c r="B757" s="12" t="s">
        <v>557</v>
      </c>
      <c r="C757" s="12" t="s">
        <v>30</v>
      </c>
      <c r="D757" s="12" t="s">
        <v>31</v>
      </c>
      <c r="E757" s="12" t="s">
        <v>16</v>
      </c>
      <c r="F757" s="12" t="s">
        <v>25</v>
      </c>
      <c r="G757" s="12" t="s">
        <v>36</v>
      </c>
      <c r="H757" s="12">
        <v>17953</v>
      </c>
      <c r="I757" s="12" t="s">
        <v>22</v>
      </c>
      <c r="J757" s="26">
        <v>0.1</v>
      </c>
      <c r="K757" s="12">
        <v>17000</v>
      </c>
      <c r="L757" s="14">
        <v>45334</v>
      </c>
      <c r="M757" s="8" t="str">
        <f t="shared" si="33"/>
        <v>Below Target</v>
      </c>
      <c r="N757" s="20">
        <f t="shared" si="34"/>
        <v>10</v>
      </c>
      <c r="O757" s="22">
        <f t="shared" si="35"/>
        <v>16157.7</v>
      </c>
    </row>
    <row r="758" spans="1:15" x14ac:dyDescent="0.3">
      <c r="A758" s="12" t="s">
        <v>992</v>
      </c>
      <c r="B758" s="12" t="s">
        <v>105</v>
      </c>
      <c r="C758" s="12" t="s">
        <v>61</v>
      </c>
      <c r="D758" s="12" t="s">
        <v>62</v>
      </c>
      <c r="E758" s="12" t="s">
        <v>32</v>
      </c>
      <c r="F758" s="12" t="s">
        <v>39</v>
      </c>
      <c r="G758" s="12" t="s">
        <v>26</v>
      </c>
      <c r="H758" s="12">
        <v>9037</v>
      </c>
      <c r="I758" s="12" t="s">
        <v>27</v>
      </c>
      <c r="J758" s="26"/>
      <c r="K758" s="12">
        <v>9000</v>
      </c>
      <c r="L758" s="14">
        <v>45301</v>
      </c>
      <c r="M758" s="8" t="str">
        <f t="shared" si="33"/>
        <v>Below Target</v>
      </c>
      <c r="N758" s="20">
        <f t="shared" si="34"/>
        <v>15</v>
      </c>
      <c r="O758" s="22">
        <f t="shared" si="35"/>
        <v>7681.45</v>
      </c>
    </row>
    <row r="759" spans="1:15" x14ac:dyDescent="0.3">
      <c r="A759" s="12" t="s">
        <v>993</v>
      </c>
      <c r="B759" s="12" t="s">
        <v>291</v>
      </c>
      <c r="C759" s="12" t="s">
        <v>30</v>
      </c>
      <c r="D759" s="12" t="s">
        <v>31</v>
      </c>
      <c r="E759" s="12" t="s">
        <v>46</v>
      </c>
      <c r="F759" s="12" t="s">
        <v>39</v>
      </c>
      <c r="G759" s="12" t="s">
        <v>36</v>
      </c>
      <c r="H759" s="12">
        <v>15452</v>
      </c>
      <c r="I759" s="12" t="s">
        <v>22</v>
      </c>
      <c r="J759" s="26">
        <v>0.1</v>
      </c>
      <c r="K759" s="12">
        <v>17000</v>
      </c>
      <c r="L759" s="14">
        <v>45325</v>
      </c>
      <c r="M759" s="8" t="str">
        <f t="shared" si="33"/>
        <v>Below Target</v>
      </c>
      <c r="N759" s="20">
        <f t="shared" si="34"/>
        <v>10</v>
      </c>
      <c r="O759" s="22">
        <f t="shared" si="35"/>
        <v>13906.8</v>
      </c>
    </row>
    <row r="760" spans="1:15" x14ac:dyDescent="0.3">
      <c r="A760" s="12" t="s">
        <v>994</v>
      </c>
      <c r="B760" s="12" t="s">
        <v>13</v>
      </c>
      <c r="C760" s="12" t="s">
        <v>14</v>
      </c>
      <c r="D760" s="12" t="s">
        <v>15</v>
      </c>
      <c r="E760" s="12" t="s">
        <v>32</v>
      </c>
      <c r="F760" s="12" t="s">
        <v>25</v>
      </c>
      <c r="G760" s="12" t="s">
        <v>18</v>
      </c>
      <c r="H760" s="12">
        <v>12827</v>
      </c>
      <c r="I760" s="12" t="s">
        <v>22</v>
      </c>
      <c r="J760" s="26">
        <v>0.1</v>
      </c>
      <c r="K760" s="12">
        <v>14000</v>
      </c>
      <c r="L760" s="14">
        <v>45323</v>
      </c>
      <c r="M760" s="8" t="str">
        <f t="shared" si="33"/>
        <v>Below Target</v>
      </c>
      <c r="N760" s="20">
        <f t="shared" si="34"/>
        <v>10</v>
      </c>
      <c r="O760" s="22">
        <f t="shared" si="35"/>
        <v>11544.3</v>
      </c>
    </row>
    <row r="761" spans="1:15" x14ac:dyDescent="0.3">
      <c r="A761" s="12" t="s">
        <v>995</v>
      </c>
      <c r="B761" s="12" t="s">
        <v>229</v>
      </c>
      <c r="C761" s="12" t="s">
        <v>14</v>
      </c>
      <c r="D761" s="12" t="s">
        <v>15</v>
      </c>
      <c r="E761" s="12" t="s">
        <v>16</v>
      </c>
      <c r="F761" s="12" t="s">
        <v>39</v>
      </c>
      <c r="G761" s="12" t="s">
        <v>36</v>
      </c>
      <c r="H761" s="12">
        <v>14694</v>
      </c>
      <c r="I761" s="12"/>
      <c r="J761" s="26"/>
      <c r="K761" s="12">
        <v>14000</v>
      </c>
      <c r="L761" s="14">
        <v>45325</v>
      </c>
      <c r="M761" s="8" t="str">
        <f t="shared" si="33"/>
        <v>Target Achieved</v>
      </c>
      <c r="N761" s="20">
        <f t="shared" si="34"/>
        <v>0</v>
      </c>
      <c r="O761" s="22">
        <f t="shared" si="35"/>
        <v>14694</v>
      </c>
    </row>
    <row r="762" spans="1:15" x14ac:dyDescent="0.3">
      <c r="A762" s="12" t="s">
        <v>996</v>
      </c>
      <c r="B762" s="12" t="s">
        <v>233</v>
      </c>
      <c r="C762" s="12" t="s">
        <v>30</v>
      </c>
      <c r="D762" s="12" t="s">
        <v>31</v>
      </c>
      <c r="E762" s="12" t="s">
        <v>32</v>
      </c>
      <c r="F762" s="12" t="s">
        <v>17</v>
      </c>
      <c r="G762" s="12" t="s">
        <v>18</v>
      </c>
      <c r="H762" s="12">
        <v>17481</v>
      </c>
      <c r="I762" s="12" t="s">
        <v>22</v>
      </c>
      <c r="J762" s="26">
        <v>0.1</v>
      </c>
      <c r="K762" s="12">
        <v>17000</v>
      </c>
      <c r="L762" s="14">
        <v>45292</v>
      </c>
      <c r="M762" s="8" t="str">
        <f t="shared" si="33"/>
        <v>Below Target</v>
      </c>
      <c r="N762" s="20">
        <f t="shared" si="34"/>
        <v>10</v>
      </c>
      <c r="O762" s="22">
        <f t="shared" si="35"/>
        <v>15732.9</v>
      </c>
    </row>
    <row r="763" spans="1:15" x14ac:dyDescent="0.3">
      <c r="A763" s="12" t="s">
        <v>997</v>
      </c>
      <c r="B763" s="12" t="s">
        <v>553</v>
      </c>
      <c r="C763" s="12" t="s">
        <v>61</v>
      </c>
      <c r="D763" s="12" t="s">
        <v>62</v>
      </c>
      <c r="E763" s="12" t="s">
        <v>32</v>
      </c>
      <c r="F763" s="12" t="s">
        <v>17</v>
      </c>
      <c r="G763" s="12" t="s">
        <v>26</v>
      </c>
      <c r="H763" s="12">
        <v>7248</v>
      </c>
      <c r="I763" s="12" t="s">
        <v>33</v>
      </c>
      <c r="J763" s="26">
        <v>0.3</v>
      </c>
      <c r="K763" s="12">
        <v>9000</v>
      </c>
      <c r="L763" s="14">
        <v>45327</v>
      </c>
      <c r="M763" s="8" t="str">
        <f t="shared" si="33"/>
        <v>Below Target</v>
      </c>
      <c r="N763" s="20">
        <f t="shared" si="34"/>
        <v>30</v>
      </c>
      <c r="O763" s="22">
        <f t="shared" si="35"/>
        <v>5073.6000000000004</v>
      </c>
    </row>
    <row r="764" spans="1:15" x14ac:dyDescent="0.3">
      <c r="A764" s="12" t="s">
        <v>998</v>
      </c>
      <c r="B764" s="12" t="s">
        <v>127</v>
      </c>
      <c r="C764" s="12" t="s">
        <v>30</v>
      </c>
      <c r="D764" s="12" t="s">
        <v>31</v>
      </c>
      <c r="E764" s="12" t="s">
        <v>16</v>
      </c>
      <c r="F764" s="12" t="s">
        <v>25</v>
      </c>
      <c r="G764" s="12" t="s">
        <v>26</v>
      </c>
      <c r="H764" s="12">
        <v>16088</v>
      </c>
      <c r="I764" s="12" t="s">
        <v>27</v>
      </c>
      <c r="J764" s="26"/>
      <c r="K764" s="12">
        <v>17000</v>
      </c>
      <c r="L764" s="14">
        <v>45294</v>
      </c>
      <c r="M764" s="8" t="str">
        <f t="shared" si="33"/>
        <v>Below Target</v>
      </c>
      <c r="N764" s="20">
        <f t="shared" si="34"/>
        <v>15</v>
      </c>
      <c r="O764" s="22">
        <f t="shared" si="35"/>
        <v>13674.8</v>
      </c>
    </row>
    <row r="765" spans="1:15" x14ac:dyDescent="0.3">
      <c r="A765" s="12" t="s">
        <v>999</v>
      </c>
      <c r="B765" s="12" t="s">
        <v>1000</v>
      </c>
      <c r="C765" s="12" t="s">
        <v>30</v>
      </c>
      <c r="D765" s="12" t="s">
        <v>31</v>
      </c>
      <c r="E765" s="12" t="s">
        <v>32</v>
      </c>
      <c r="F765" s="12" t="s">
        <v>25</v>
      </c>
      <c r="G765" s="12" t="s">
        <v>26</v>
      </c>
      <c r="H765" s="12">
        <v>15397</v>
      </c>
      <c r="I765" s="12" t="s">
        <v>22</v>
      </c>
      <c r="J765" s="26">
        <v>0.1</v>
      </c>
      <c r="K765" s="12">
        <v>17000</v>
      </c>
      <c r="L765" s="14">
        <v>45338</v>
      </c>
      <c r="M765" s="8" t="str">
        <f t="shared" si="33"/>
        <v>Below Target</v>
      </c>
      <c r="N765" s="20">
        <f t="shared" si="34"/>
        <v>10</v>
      </c>
      <c r="O765" s="22">
        <f t="shared" si="35"/>
        <v>13857.3</v>
      </c>
    </row>
    <row r="766" spans="1:15" x14ac:dyDescent="0.3">
      <c r="A766" s="12" t="s">
        <v>1001</v>
      </c>
      <c r="B766" s="12" t="s">
        <v>24</v>
      </c>
      <c r="C766" s="12" t="s">
        <v>61</v>
      </c>
      <c r="D766" s="12" t="s">
        <v>62</v>
      </c>
      <c r="E766" s="12" t="s">
        <v>32</v>
      </c>
      <c r="F766" s="12" t="s">
        <v>25</v>
      </c>
      <c r="G766" s="12" t="s">
        <v>26</v>
      </c>
      <c r="H766" s="12">
        <v>9690</v>
      </c>
      <c r="I766" s="12" t="s">
        <v>19</v>
      </c>
      <c r="J766" s="26">
        <v>0.2</v>
      </c>
      <c r="K766" s="12">
        <v>9000</v>
      </c>
      <c r="L766" s="14">
        <v>45328</v>
      </c>
      <c r="M766" s="8" t="str">
        <f t="shared" si="33"/>
        <v>Below Target</v>
      </c>
      <c r="N766" s="20">
        <f t="shared" si="34"/>
        <v>20</v>
      </c>
      <c r="O766" s="22">
        <f t="shared" si="35"/>
        <v>7752</v>
      </c>
    </row>
    <row r="767" spans="1:15" x14ac:dyDescent="0.3">
      <c r="A767" s="12" t="s">
        <v>1002</v>
      </c>
      <c r="B767" s="12" t="s">
        <v>422</v>
      </c>
      <c r="C767" s="12" t="s">
        <v>61</v>
      </c>
      <c r="D767" s="12" t="s">
        <v>62</v>
      </c>
      <c r="E767" s="12" t="s">
        <v>16</v>
      </c>
      <c r="F767" s="12" t="s">
        <v>25</v>
      </c>
      <c r="G767" s="12" t="s">
        <v>26</v>
      </c>
      <c r="H767" s="12">
        <v>9361</v>
      </c>
      <c r="I767" s="12" t="s">
        <v>33</v>
      </c>
      <c r="J767" s="26">
        <v>0.3</v>
      </c>
      <c r="K767" s="12">
        <v>9000</v>
      </c>
      <c r="L767" s="14">
        <v>45335</v>
      </c>
      <c r="M767" s="8" t="str">
        <f t="shared" si="33"/>
        <v>Below Target</v>
      </c>
      <c r="N767" s="20">
        <f t="shared" si="34"/>
        <v>30</v>
      </c>
      <c r="O767" s="22">
        <f t="shared" si="35"/>
        <v>6552.7</v>
      </c>
    </row>
    <row r="768" spans="1:15" x14ac:dyDescent="0.3">
      <c r="A768" s="12" t="s">
        <v>1003</v>
      </c>
      <c r="B768" s="12" t="s">
        <v>483</v>
      </c>
      <c r="C768" s="12" t="s">
        <v>61</v>
      </c>
      <c r="D768" s="12" t="s">
        <v>62</v>
      </c>
      <c r="E768" s="12" t="s">
        <v>32</v>
      </c>
      <c r="F768" s="12" t="s">
        <v>25</v>
      </c>
      <c r="G768" s="12" t="s">
        <v>18</v>
      </c>
      <c r="H768" s="12">
        <v>9252</v>
      </c>
      <c r="I768" s="12"/>
      <c r="J768" s="26"/>
      <c r="K768" s="12">
        <v>9000</v>
      </c>
      <c r="L768" s="14">
        <v>45324</v>
      </c>
      <c r="M768" s="8" t="str">
        <f t="shared" si="33"/>
        <v>Target Achieved</v>
      </c>
      <c r="N768" s="20">
        <f t="shared" si="34"/>
        <v>0</v>
      </c>
      <c r="O768" s="22">
        <f t="shared" si="35"/>
        <v>9252</v>
      </c>
    </row>
    <row r="769" spans="1:15" x14ac:dyDescent="0.3">
      <c r="A769" s="12" t="s">
        <v>1004</v>
      </c>
      <c r="B769" s="12" t="s">
        <v>150</v>
      </c>
      <c r="C769" s="12" t="s">
        <v>44</v>
      </c>
      <c r="D769" s="12" t="s">
        <v>45</v>
      </c>
      <c r="E769" s="12" t="s">
        <v>16</v>
      </c>
      <c r="F769" s="12" t="s">
        <v>39</v>
      </c>
      <c r="G769" s="12" t="s">
        <v>36</v>
      </c>
      <c r="H769" s="12">
        <v>14823</v>
      </c>
      <c r="I769" s="12" t="s">
        <v>33</v>
      </c>
      <c r="J769" s="26">
        <v>0.3</v>
      </c>
      <c r="K769" s="12">
        <v>13000</v>
      </c>
      <c r="L769" s="14">
        <v>45349</v>
      </c>
      <c r="M769" s="8" t="str">
        <f t="shared" si="33"/>
        <v>Below Target</v>
      </c>
      <c r="N769" s="20">
        <f t="shared" si="34"/>
        <v>30</v>
      </c>
      <c r="O769" s="22">
        <f t="shared" si="35"/>
        <v>10376.1</v>
      </c>
    </row>
    <row r="770" spans="1:15" x14ac:dyDescent="0.3">
      <c r="A770" s="12" t="s">
        <v>1005</v>
      </c>
      <c r="B770" s="12" t="s">
        <v>301</v>
      </c>
      <c r="C770" s="12" t="s">
        <v>30</v>
      </c>
      <c r="D770" s="12" t="s">
        <v>31</v>
      </c>
      <c r="E770" s="12" t="s">
        <v>46</v>
      </c>
      <c r="F770" s="12" t="s">
        <v>17</v>
      </c>
      <c r="G770" s="12" t="s">
        <v>26</v>
      </c>
      <c r="H770" s="12">
        <v>16763</v>
      </c>
      <c r="I770" s="12" t="s">
        <v>33</v>
      </c>
      <c r="J770" s="26">
        <v>0.3</v>
      </c>
      <c r="K770" s="12">
        <v>17000</v>
      </c>
      <c r="L770" s="14">
        <v>45330</v>
      </c>
      <c r="M770" s="8" t="str">
        <f t="shared" ref="M770:M833" si="36">IF(J770&gt;=N770,"Target Achieved","Below Target")</f>
        <v>Below Target</v>
      </c>
      <c r="N770" s="20">
        <f t="shared" si="34"/>
        <v>30</v>
      </c>
      <c r="O770" s="22">
        <f t="shared" si="35"/>
        <v>11734.1</v>
      </c>
    </row>
    <row r="771" spans="1:15" x14ac:dyDescent="0.3">
      <c r="A771" s="12" t="s">
        <v>1006</v>
      </c>
      <c r="B771" s="12" t="s">
        <v>56</v>
      </c>
      <c r="C771" s="12" t="s">
        <v>44</v>
      </c>
      <c r="D771" s="12" t="s">
        <v>45</v>
      </c>
      <c r="E771" s="12" t="s">
        <v>46</v>
      </c>
      <c r="F771" s="12" t="s">
        <v>39</v>
      </c>
      <c r="G771" s="12" t="s">
        <v>26</v>
      </c>
      <c r="H771" s="12">
        <v>12040</v>
      </c>
      <c r="I771" s="12" t="s">
        <v>33</v>
      </c>
      <c r="J771" s="26">
        <v>0.3</v>
      </c>
      <c r="K771" s="12">
        <v>13000</v>
      </c>
      <c r="L771" s="14">
        <v>45320</v>
      </c>
      <c r="M771" s="8" t="str">
        <f t="shared" si="36"/>
        <v>Below Target</v>
      </c>
      <c r="N771" s="20">
        <f t="shared" ref="N771:N834" si="37">IFERROR(VALUE(RIGHT(I771,2)),0)</f>
        <v>30</v>
      </c>
      <c r="O771" s="22">
        <f t="shared" ref="O771:O834" si="38">H771-H771*N771/100</f>
        <v>8428</v>
      </c>
    </row>
    <row r="772" spans="1:15" x14ac:dyDescent="0.3">
      <c r="A772" s="12" t="s">
        <v>1007</v>
      </c>
      <c r="B772" s="12" t="s">
        <v>52</v>
      </c>
      <c r="C772" s="12" t="s">
        <v>14</v>
      </c>
      <c r="D772" s="12" t="s">
        <v>15</v>
      </c>
      <c r="E772" s="12" t="s">
        <v>16</v>
      </c>
      <c r="F772" s="12" t="s">
        <v>25</v>
      </c>
      <c r="G772" s="12" t="s">
        <v>36</v>
      </c>
      <c r="H772" s="12">
        <v>14440</v>
      </c>
      <c r="I772" s="12" t="s">
        <v>22</v>
      </c>
      <c r="J772" s="26">
        <v>0.1</v>
      </c>
      <c r="K772" s="12">
        <v>14000</v>
      </c>
      <c r="L772" s="14">
        <v>45325</v>
      </c>
      <c r="M772" s="8" t="str">
        <f t="shared" si="36"/>
        <v>Below Target</v>
      </c>
      <c r="N772" s="20">
        <f t="shared" si="37"/>
        <v>10</v>
      </c>
      <c r="O772" s="22">
        <f t="shared" si="38"/>
        <v>12996</v>
      </c>
    </row>
    <row r="773" spans="1:15" x14ac:dyDescent="0.3">
      <c r="A773" s="12" t="s">
        <v>1008</v>
      </c>
      <c r="B773" s="12" t="s">
        <v>256</v>
      </c>
      <c r="C773" s="12" t="s">
        <v>14</v>
      </c>
      <c r="D773" s="12" t="s">
        <v>15</v>
      </c>
      <c r="E773" s="12" t="s">
        <v>46</v>
      </c>
      <c r="F773" s="12" t="s">
        <v>25</v>
      </c>
      <c r="G773" s="12" t="s">
        <v>18</v>
      </c>
      <c r="H773" s="12">
        <v>15505</v>
      </c>
      <c r="I773" s="12" t="s">
        <v>33</v>
      </c>
      <c r="J773" s="26">
        <v>0.3</v>
      </c>
      <c r="K773" s="12">
        <v>14000</v>
      </c>
      <c r="L773" s="14">
        <v>45293</v>
      </c>
      <c r="M773" s="8" t="str">
        <f t="shared" si="36"/>
        <v>Below Target</v>
      </c>
      <c r="N773" s="20">
        <f t="shared" si="37"/>
        <v>30</v>
      </c>
      <c r="O773" s="22">
        <f t="shared" si="38"/>
        <v>10853.5</v>
      </c>
    </row>
    <row r="774" spans="1:15" x14ac:dyDescent="0.3">
      <c r="A774" s="12" t="s">
        <v>1009</v>
      </c>
      <c r="B774" s="12" t="s">
        <v>140</v>
      </c>
      <c r="C774" s="12" t="s">
        <v>30</v>
      </c>
      <c r="D774" s="12" t="s">
        <v>31</v>
      </c>
      <c r="E774" s="12" t="s">
        <v>16</v>
      </c>
      <c r="F774" s="12" t="s">
        <v>39</v>
      </c>
      <c r="G774" s="12" t="s">
        <v>26</v>
      </c>
      <c r="H774" s="12">
        <v>17337</v>
      </c>
      <c r="I774" s="12" t="s">
        <v>27</v>
      </c>
      <c r="J774" s="26"/>
      <c r="K774" s="12">
        <v>17000</v>
      </c>
      <c r="L774" s="14">
        <v>45301</v>
      </c>
      <c r="M774" s="8" t="str">
        <f t="shared" si="36"/>
        <v>Below Target</v>
      </c>
      <c r="N774" s="20">
        <f t="shared" si="37"/>
        <v>15</v>
      </c>
      <c r="O774" s="22">
        <f t="shared" si="38"/>
        <v>14736.45</v>
      </c>
    </row>
    <row r="775" spans="1:15" x14ac:dyDescent="0.3">
      <c r="A775" s="12" t="s">
        <v>1010</v>
      </c>
      <c r="B775" s="12" t="s">
        <v>43</v>
      </c>
      <c r="C775" s="12" t="s">
        <v>61</v>
      </c>
      <c r="D775" s="12" t="s">
        <v>62</v>
      </c>
      <c r="E775" s="12" t="s">
        <v>46</v>
      </c>
      <c r="F775" s="12" t="s">
        <v>25</v>
      </c>
      <c r="G775" s="12" t="s">
        <v>18</v>
      </c>
      <c r="H775" s="12">
        <v>8085</v>
      </c>
      <c r="I775" s="12" t="s">
        <v>33</v>
      </c>
      <c r="J775" s="26">
        <v>0.3</v>
      </c>
      <c r="K775" s="12">
        <v>9000</v>
      </c>
      <c r="L775" s="14">
        <v>45348</v>
      </c>
      <c r="M775" s="8" t="str">
        <f t="shared" si="36"/>
        <v>Below Target</v>
      </c>
      <c r="N775" s="20">
        <f t="shared" si="37"/>
        <v>30</v>
      </c>
      <c r="O775" s="22">
        <f t="shared" si="38"/>
        <v>5659.5</v>
      </c>
    </row>
    <row r="776" spans="1:15" x14ac:dyDescent="0.3">
      <c r="A776" s="12" t="s">
        <v>1011</v>
      </c>
      <c r="B776" s="12" t="s">
        <v>519</v>
      </c>
      <c r="C776" s="12" t="s">
        <v>44</v>
      </c>
      <c r="D776" s="12" t="s">
        <v>45</v>
      </c>
      <c r="E776" s="12" t="s">
        <v>46</v>
      </c>
      <c r="F776" s="12" t="s">
        <v>17</v>
      </c>
      <c r="G776" s="12" t="s">
        <v>18</v>
      </c>
      <c r="H776" s="12">
        <v>13336</v>
      </c>
      <c r="I776" s="12"/>
      <c r="J776" s="26"/>
      <c r="K776" s="12">
        <v>13000</v>
      </c>
      <c r="L776" s="14">
        <v>45328</v>
      </c>
      <c r="M776" s="8" t="str">
        <f t="shared" si="36"/>
        <v>Target Achieved</v>
      </c>
      <c r="N776" s="20">
        <f t="shared" si="37"/>
        <v>0</v>
      </c>
      <c r="O776" s="22">
        <f t="shared" si="38"/>
        <v>13336</v>
      </c>
    </row>
    <row r="777" spans="1:15" x14ac:dyDescent="0.3">
      <c r="A777" s="12" t="s">
        <v>1012</v>
      </c>
      <c r="B777" s="12" t="s">
        <v>553</v>
      </c>
      <c r="C777" s="12" t="s">
        <v>14</v>
      </c>
      <c r="D777" s="12" t="s">
        <v>15</v>
      </c>
      <c r="E777" s="12" t="s">
        <v>16</v>
      </c>
      <c r="F777" s="12" t="s">
        <v>17</v>
      </c>
      <c r="G777" s="12" t="s">
        <v>36</v>
      </c>
      <c r="H777" s="12">
        <v>12708</v>
      </c>
      <c r="I777" s="12"/>
      <c r="J777" s="26"/>
      <c r="K777" s="12">
        <v>14000</v>
      </c>
      <c r="L777" s="14">
        <v>45344</v>
      </c>
      <c r="M777" s="8" t="str">
        <f t="shared" si="36"/>
        <v>Target Achieved</v>
      </c>
      <c r="N777" s="20">
        <f t="shared" si="37"/>
        <v>0</v>
      </c>
      <c r="O777" s="22">
        <f t="shared" si="38"/>
        <v>12708</v>
      </c>
    </row>
    <row r="778" spans="1:15" x14ac:dyDescent="0.3">
      <c r="A778" s="12" t="s">
        <v>1013</v>
      </c>
      <c r="B778" s="12" t="s">
        <v>260</v>
      </c>
      <c r="C778" s="12" t="s">
        <v>14</v>
      </c>
      <c r="D778" s="12" t="s">
        <v>15</v>
      </c>
      <c r="E778" s="12" t="s">
        <v>16</v>
      </c>
      <c r="F778" s="12" t="s">
        <v>39</v>
      </c>
      <c r="G778" s="12" t="s">
        <v>36</v>
      </c>
      <c r="H778" s="12">
        <v>12153</v>
      </c>
      <c r="I778" s="12" t="s">
        <v>27</v>
      </c>
      <c r="J778" s="26"/>
      <c r="K778" s="12">
        <v>14000</v>
      </c>
      <c r="L778" s="14">
        <v>45316</v>
      </c>
      <c r="M778" s="8" t="str">
        <f t="shared" si="36"/>
        <v>Below Target</v>
      </c>
      <c r="N778" s="20">
        <f t="shared" si="37"/>
        <v>15</v>
      </c>
      <c r="O778" s="22">
        <f t="shared" si="38"/>
        <v>10330.049999999999</v>
      </c>
    </row>
    <row r="779" spans="1:15" x14ac:dyDescent="0.3">
      <c r="A779" s="12" t="s">
        <v>1014</v>
      </c>
      <c r="B779" s="12" t="s">
        <v>200</v>
      </c>
      <c r="C779" s="12" t="s">
        <v>14</v>
      </c>
      <c r="D779" s="12" t="s">
        <v>15</v>
      </c>
      <c r="E779" s="12" t="s">
        <v>46</v>
      </c>
      <c r="F779" s="12" t="s">
        <v>17</v>
      </c>
      <c r="G779" s="12" t="s">
        <v>36</v>
      </c>
      <c r="H779" s="12">
        <v>13706</v>
      </c>
      <c r="I779" s="12" t="s">
        <v>22</v>
      </c>
      <c r="J779" s="26">
        <v>0.1</v>
      </c>
      <c r="K779" s="12">
        <v>14000</v>
      </c>
      <c r="L779" s="14">
        <v>45347</v>
      </c>
      <c r="M779" s="8" t="str">
        <f t="shared" si="36"/>
        <v>Below Target</v>
      </c>
      <c r="N779" s="20">
        <f t="shared" si="37"/>
        <v>10</v>
      </c>
      <c r="O779" s="22">
        <f t="shared" si="38"/>
        <v>12335.4</v>
      </c>
    </row>
    <row r="780" spans="1:15" x14ac:dyDescent="0.3">
      <c r="A780" s="12" t="s">
        <v>1015</v>
      </c>
      <c r="B780" s="12" t="s">
        <v>294</v>
      </c>
      <c r="C780" s="12" t="s">
        <v>14</v>
      </c>
      <c r="D780" s="12" t="s">
        <v>15</v>
      </c>
      <c r="E780" s="12" t="s">
        <v>16</v>
      </c>
      <c r="F780" s="12" t="s">
        <v>39</v>
      </c>
      <c r="G780" s="12" t="s">
        <v>36</v>
      </c>
      <c r="H780" s="12">
        <v>12221</v>
      </c>
      <c r="I780" s="12" t="s">
        <v>33</v>
      </c>
      <c r="J780" s="26">
        <v>0.3</v>
      </c>
      <c r="K780" s="12">
        <v>14000</v>
      </c>
      <c r="L780" s="14">
        <v>45325</v>
      </c>
      <c r="M780" s="8" t="str">
        <f t="shared" si="36"/>
        <v>Below Target</v>
      </c>
      <c r="N780" s="20">
        <f t="shared" si="37"/>
        <v>30</v>
      </c>
      <c r="O780" s="22">
        <f t="shared" si="38"/>
        <v>8554.7000000000007</v>
      </c>
    </row>
    <row r="781" spans="1:15" x14ac:dyDescent="0.3">
      <c r="A781" s="12" t="s">
        <v>1016</v>
      </c>
      <c r="B781" s="12" t="s">
        <v>125</v>
      </c>
      <c r="C781" s="12" t="s">
        <v>44</v>
      </c>
      <c r="D781" s="12" t="s">
        <v>45</v>
      </c>
      <c r="E781" s="12" t="s">
        <v>46</v>
      </c>
      <c r="F781" s="12" t="s">
        <v>39</v>
      </c>
      <c r="G781" s="12" t="s">
        <v>26</v>
      </c>
      <c r="H781" s="12">
        <v>11904</v>
      </c>
      <c r="I781" s="12" t="s">
        <v>19</v>
      </c>
      <c r="J781" s="26">
        <v>0.2</v>
      </c>
      <c r="K781" s="12">
        <v>13000</v>
      </c>
      <c r="L781" s="14">
        <v>45295</v>
      </c>
      <c r="M781" s="8" t="str">
        <f t="shared" si="36"/>
        <v>Below Target</v>
      </c>
      <c r="N781" s="20">
        <f t="shared" si="37"/>
        <v>20</v>
      </c>
      <c r="O781" s="22">
        <f t="shared" si="38"/>
        <v>9523.2000000000007</v>
      </c>
    </row>
    <row r="782" spans="1:15" x14ac:dyDescent="0.3">
      <c r="A782" s="12" t="s">
        <v>1017</v>
      </c>
      <c r="B782" s="12" t="s">
        <v>305</v>
      </c>
      <c r="C782" s="12" t="s">
        <v>61</v>
      </c>
      <c r="D782" s="12" t="s">
        <v>62</v>
      </c>
      <c r="E782" s="12" t="s">
        <v>46</v>
      </c>
      <c r="F782" s="12" t="s">
        <v>39</v>
      </c>
      <c r="G782" s="12" t="s">
        <v>26</v>
      </c>
      <c r="H782" s="12">
        <v>9067</v>
      </c>
      <c r="I782" s="12" t="s">
        <v>22</v>
      </c>
      <c r="J782" s="26">
        <v>0.1</v>
      </c>
      <c r="K782" s="12">
        <v>9000</v>
      </c>
      <c r="L782" s="14">
        <v>45306</v>
      </c>
      <c r="M782" s="8" t="str">
        <f t="shared" si="36"/>
        <v>Below Target</v>
      </c>
      <c r="N782" s="20">
        <f t="shared" si="37"/>
        <v>10</v>
      </c>
      <c r="O782" s="22">
        <f t="shared" si="38"/>
        <v>8160.3</v>
      </c>
    </row>
    <row r="783" spans="1:15" x14ac:dyDescent="0.3">
      <c r="A783" s="12" t="s">
        <v>1018</v>
      </c>
      <c r="B783" s="12" t="s">
        <v>435</v>
      </c>
      <c r="C783" s="12" t="s">
        <v>61</v>
      </c>
      <c r="D783" s="12" t="s">
        <v>62</v>
      </c>
      <c r="E783" s="12" t="s">
        <v>32</v>
      </c>
      <c r="F783" s="12" t="s">
        <v>25</v>
      </c>
      <c r="G783" s="12" t="s">
        <v>36</v>
      </c>
      <c r="H783" s="12">
        <v>7338</v>
      </c>
      <c r="I783" s="12"/>
      <c r="J783" s="26"/>
      <c r="K783" s="12">
        <v>9000</v>
      </c>
      <c r="L783" s="14">
        <v>45328</v>
      </c>
      <c r="M783" s="8" t="str">
        <f t="shared" si="36"/>
        <v>Target Achieved</v>
      </c>
      <c r="N783" s="20">
        <f t="shared" si="37"/>
        <v>0</v>
      </c>
      <c r="O783" s="22">
        <f t="shared" si="38"/>
        <v>7338</v>
      </c>
    </row>
    <row r="784" spans="1:15" x14ac:dyDescent="0.3">
      <c r="A784" s="12" t="s">
        <v>1019</v>
      </c>
      <c r="B784" s="12" t="s">
        <v>464</v>
      </c>
      <c r="C784" s="12" t="s">
        <v>61</v>
      </c>
      <c r="D784" s="12" t="s">
        <v>62</v>
      </c>
      <c r="E784" s="12" t="s">
        <v>46</v>
      </c>
      <c r="F784" s="12" t="s">
        <v>25</v>
      </c>
      <c r="G784" s="12" t="s">
        <v>36</v>
      </c>
      <c r="H784" s="12">
        <v>9055</v>
      </c>
      <c r="I784" s="12"/>
      <c r="J784" s="26"/>
      <c r="K784" s="12">
        <v>9000</v>
      </c>
      <c r="L784" s="14">
        <v>45341</v>
      </c>
      <c r="M784" s="8" t="str">
        <f t="shared" si="36"/>
        <v>Target Achieved</v>
      </c>
      <c r="N784" s="20">
        <f t="shared" si="37"/>
        <v>0</v>
      </c>
      <c r="O784" s="22">
        <f t="shared" si="38"/>
        <v>9055</v>
      </c>
    </row>
    <row r="785" spans="1:15" x14ac:dyDescent="0.3">
      <c r="A785" s="12" t="s">
        <v>1020</v>
      </c>
      <c r="B785" s="12" t="s">
        <v>153</v>
      </c>
      <c r="C785" s="12" t="s">
        <v>44</v>
      </c>
      <c r="D785" s="12" t="s">
        <v>45</v>
      </c>
      <c r="E785" s="12" t="s">
        <v>46</v>
      </c>
      <c r="F785" s="12" t="s">
        <v>39</v>
      </c>
      <c r="G785" s="12" t="s">
        <v>18</v>
      </c>
      <c r="H785" s="12">
        <v>12998</v>
      </c>
      <c r="I785" s="12"/>
      <c r="J785" s="26"/>
      <c r="K785" s="12">
        <v>13000</v>
      </c>
      <c r="L785" s="14">
        <v>45333</v>
      </c>
      <c r="M785" s="8" t="str">
        <f t="shared" si="36"/>
        <v>Target Achieved</v>
      </c>
      <c r="N785" s="20">
        <f t="shared" si="37"/>
        <v>0</v>
      </c>
      <c r="O785" s="22">
        <f t="shared" si="38"/>
        <v>12998</v>
      </c>
    </row>
    <row r="786" spans="1:15" x14ac:dyDescent="0.3">
      <c r="A786" s="12" t="s">
        <v>1021</v>
      </c>
      <c r="B786" s="12" t="s">
        <v>519</v>
      </c>
      <c r="C786" s="12" t="s">
        <v>44</v>
      </c>
      <c r="D786" s="12" t="s">
        <v>45</v>
      </c>
      <c r="E786" s="12" t="s">
        <v>32</v>
      </c>
      <c r="F786" s="12" t="s">
        <v>25</v>
      </c>
      <c r="G786" s="12" t="s">
        <v>36</v>
      </c>
      <c r="H786" s="12">
        <v>14181</v>
      </c>
      <c r="I786" s="12"/>
      <c r="J786" s="26"/>
      <c r="K786" s="12">
        <v>13000</v>
      </c>
      <c r="L786" s="14">
        <v>45312</v>
      </c>
      <c r="M786" s="8" t="str">
        <f t="shared" si="36"/>
        <v>Target Achieved</v>
      </c>
      <c r="N786" s="20">
        <f t="shared" si="37"/>
        <v>0</v>
      </c>
      <c r="O786" s="22">
        <f t="shared" si="38"/>
        <v>14181</v>
      </c>
    </row>
    <row r="787" spans="1:15" x14ac:dyDescent="0.3">
      <c r="A787" s="12" t="s">
        <v>1022</v>
      </c>
      <c r="B787" s="12" t="s">
        <v>163</v>
      </c>
      <c r="C787" s="12" t="s">
        <v>14</v>
      </c>
      <c r="D787" s="12" t="s">
        <v>15</v>
      </c>
      <c r="E787" s="12" t="s">
        <v>32</v>
      </c>
      <c r="F787" s="12" t="s">
        <v>39</v>
      </c>
      <c r="G787" s="12" t="s">
        <v>36</v>
      </c>
      <c r="H787" s="12">
        <v>13734</v>
      </c>
      <c r="I787" s="12" t="s">
        <v>33</v>
      </c>
      <c r="J787" s="26">
        <v>0.3</v>
      </c>
      <c r="K787" s="12">
        <v>14000</v>
      </c>
      <c r="L787" s="14">
        <v>45314</v>
      </c>
      <c r="M787" s="8" t="str">
        <f t="shared" si="36"/>
        <v>Below Target</v>
      </c>
      <c r="N787" s="20">
        <f t="shared" si="37"/>
        <v>30</v>
      </c>
      <c r="O787" s="22">
        <f t="shared" si="38"/>
        <v>9613.7999999999993</v>
      </c>
    </row>
    <row r="788" spans="1:15" x14ac:dyDescent="0.3">
      <c r="A788" s="12" t="s">
        <v>1023</v>
      </c>
      <c r="B788" s="12" t="s">
        <v>391</v>
      </c>
      <c r="C788" s="12" t="s">
        <v>30</v>
      </c>
      <c r="D788" s="12" t="s">
        <v>31</v>
      </c>
      <c r="E788" s="12" t="s">
        <v>16</v>
      </c>
      <c r="F788" s="12" t="s">
        <v>39</v>
      </c>
      <c r="G788" s="12" t="s">
        <v>18</v>
      </c>
      <c r="H788" s="12">
        <v>18152</v>
      </c>
      <c r="I788" s="12" t="s">
        <v>33</v>
      </c>
      <c r="J788" s="26">
        <v>0.3</v>
      </c>
      <c r="K788" s="12">
        <v>17000</v>
      </c>
      <c r="L788" s="14">
        <v>45302</v>
      </c>
      <c r="M788" s="8" t="str">
        <f t="shared" si="36"/>
        <v>Below Target</v>
      </c>
      <c r="N788" s="20">
        <f t="shared" si="37"/>
        <v>30</v>
      </c>
      <c r="O788" s="22">
        <f t="shared" si="38"/>
        <v>12706.4</v>
      </c>
    </row>
    <row r="789" spans="1:15" x14ac:dyDescent="0.3">
      <c r="A789" s="12" t="s">
        <v>1024</v>
      </c>
      <c r="B789" s="12" t="s">
        <v>38</v>
      </c>
      <c r="C789" s="12" t="s">
        <v>61</v>
      </c>
      <c r="D789" s="12" t="s">
        <v>62</v>
      </c>
      <c r="E789" s="12" t="s">
        <v>16</v>
      </c>
      <c r="F789" s="12" t="s">
        <v>25</v>
      </c>
      <c r="G789" s="12" t="s">
        <v>36</v>
      </c>
      <c r="H789" s="12">
        <v>7183</v>
      </c>
      <c r="I789" s="12" t="s">
        <v>19</v>
      </c>
      <c r="J789" s="26">
        <v>0.2</v>
      </c>
      <c r="K789" s="12">
        <v>9000</v>
      </c>
      <c r="L789" s="14">
        <v>45304</v>
      </c>
      <c r="M789" s="8" t="str">
        <f t="shared" si="36"/>
        <v>Below Target</v>
      </c>
      <c r="N789" s="20">
        <f t="shared" si="37"/>
        <v>20</v>
      </c>
      <c r="O789" s="22">
        <f t="shared" si="38"/>
        <v>5746.4</v>
      </c>
    </row>
    <row r="790" spans="1:15" x14ac:dyDescent="0.3">
      <c r="A790" s="12" t="s">
        <v>1025</v>
      </c>
      <c r="B790" s="12" t="s">
        <v>317</v>
      </c>
      <c r="C790" s="12" t="s">
        <v>44</v>
      </c>
      <c r="D790" s="12" t="s">
        <v>45</v>
      </c>
      <c r="E790" s="12" t="s">
        <v>16</v>
      </c>
      <c r="F790" s="12" t="s">
        <v>25</v>
      </c>
      <c r="G790" s="12" t="s">
        <v>18</v>
      </c>
      <c r="H790" s="12">
        <v>14029</v>
      </c>
      <c r="I790" s="12" t="s">
        <v>22</v>
      </c>
      <c r="J790" s="26">
        <v>0.1</v>
      </c>
      <c r="K790" s="12">
        <v>13000</v>
      </c>
      <c r="L790" s="14">
        <v>45307</v>
      </c>
      <c r="M790" s="8" t="str">
        <f t="shared" si="36"/>
        <v>Below Target</v>
      </c>
      <c r="N790" s="20">
        <f t="shared" si="37"/>
        <v>10</v>
      </c>
      <c r="O790" s="22">
        <f t="shared" si="38"/>
        <v>12626.1</v>
      </c>
    </row>
    <row r="791" spans="1:15" x14ac:dyDescent="0.3">
      <c r="A791" s="12" t="s">
        <v>1026</v>
      </c>
      <c r="B791" s="12" t="s">
        <v>373</v>
      </c>
      <c r="C791" s="12" t="s">
        <v>30</v>
      </c>
      <c r="D791" s="12" t="s">
        <v>31</v>
      </c>
      <c r="E791" s="12" t="s">
        <v>32</v>
      </c>
      <c r="F791" s="12" t="s">
        <v>17</v>
      </c>
      <c r="G791" s="12" t="s">
        <v>26</v>
      </c>
      <c r="H791" s="12">
        <v>18294</v>
      </c>
      <c r="I791" s="12" t="s">
        <v>22</v>
      </c>
      <c r="J791" s="26">
        <v>0.1</v>
      </c>
      <c r="K791" s="12">
        <v>17000</v>
      </c>
      <c r="L791" s="14">
        <v>45311</v>
      </c>
      <c r="M791" s="8" t="str">
        <f t="shared" si="36"/>
        <v>Below Target</v>
      </c>
      <c r="N791" s="20">
        <f t="shared" si="37"/>
        <v>10</v>
      </c>
      <c r="O791" s="22">
        <f t="shared" si="38"/>
        <v>16464.599999999999</v>
      </c>
    </row>
    <row r="792" spans="1:15" x14ac:dyDescent="0.3">
      <c r="A792" s="12" t="s">
        <v>1027</v>
      </c>
      <c r="B792" s="12" t="s">
        <v>231</v>
      </c>
      <c r="C792" s="12" t="s">
        <v>14</v>
      </c>
      <c r="D792" s="12" t="s">
        <v>15</v>
      </c>
      <c r="E792" s="12" t="s">
        <v>46</v>
      </c>
      <c r="F792" s="12" t="s">
        <v>25</v>
      </c>
      <c r="G792" s="12" t="s">
        <v>26</v>
      </c>
      <c r="H792" s="12">
        <v>14203</v>
      </c>
      <c r="I792" s="12" t="s">
        <v>19</v>
      </c>
      <c r="J792" s="26">
        <v>0.2</v>
      </c>
      <c r="K792" s="12">
        <v>14000</v>
      </c>
      <c r="L792" s="14">
        <v>45305</v>
      </c>
      <c r="M792" s="8" t="str">
        <f t="shared" si="36"/>
        <v>Below Target</v>
      </c>
      <c r="N792" s="20">
        <f t="shared" si="37"/>
        <v>20</v>
      </c>
      <c r="O792" s="22">
        <f t="shared" si="38"/>
        <v>11362.4</v>
      </c>
    </row>
    <row r="793" spans="1:15" x14ac:dyDescent="0.3">
      <c r="A793" s="12" t="s">
        <v>1028</v>
      </c>
      <c r="B793" s="12" t="s">
        <v>168</v>
      </c>
      <c r="C793" s="12" t="s">
        <v>30</v>
      </c>
      <c r="D793" s="12" t="s">
        <v>31</v>
      </c>
      <c r="E793" s="12" t="s">
        <v>16</v>
      </c>
      <c r="F793" s="12" t="s">
        <v>17</v>
      </c>
      <c r="G793" s="12" t="s">
        <v>26</v>
      </c>
      <c r="H793" s="12">
        <v>17989</v>
      </c>
      <c r="I793" s="12" t="s">
        <v>19</v>
      </c>
      <c r="J793" s="26">
        <v>0.2</v>
      </c>
      <c r="K793" s="12">
        <v>17000</v>
      </c>
      <c r="L793" s="14">
        <v>45336</v>
      </c>
      <c r="M793" s="8" t="str">
        <f t="shared" si="36"/>
        <v>Below Target</v>
      </c>
      <c r="N793" s="20">
        <f t="shared" si="37"/>
        <v>20</v>
      </c>
      <c r="O793" s="22">
        <f t="shared" si="38"/>
        <v>14391.2</v>
      </c>
    </row>
    <row r="794" spans="1:15" x14ac:dyDescent="0.3">
      <c r="A794" s="12" t="s">
        <v>1029</v>
      </c>
      <c r="B794" s="12" t="s">
        <v>765</v>
      </c>
      <c r="C794" s="12" t="s">
        <v>14</v>
      </c>
      <c r="D794" s="12" t="s">
        <v>15</v>
      </c>
      <c r="E794" s="12" t="s">
        <v>46</v>
      </c>
      <c r="F794" s="12" t="s">
        <v>39</v>
      </c>
      <c r="G794" s="12" t="s">
        <v>26</v>
      </c>
      <c r="H794" s="12">
        <v>14157</v>
      </c>
      <c r="I794" s="12" t="s">
        <v>22</v>
      </c>
      <c r="J794" s="26">
        <v>0.1</v>
      </c>
      <c r="K794" s="12">
        <v>14000</v>
      </c>
      <c r="L794" s="14">
        <v>45308</v>
      </c>
      <c r="M794" s="8" t="str">
        <f t="shared" si="36"/>
        <v>Below Target</v>
      </c>
      <c r="N794" s="20">
        <f t="shared" si="37"/>
        <v>10</v>
      </c>
      <c r="O794" s="22">
        <f t="shared" si="38"/>
        <v>12741.3</v>
      </c>
    </row>
    <row r="795" spans="1:15" x14ac:dyDescent="0.3">
      <c r="A795" s="12" t="s">
        <v>1030</v>
      </c>
      <c r="B795" s="12" t="s">
        <v>557</v>
      </c>
      <c r="C795" s="12" t="s">
        <v>30</v>
      </c>
      <c r="D795" s="12" t="s">
        <v>31</v>
      </c>
      <c r="E795" s="12" t="s">
        <v>32</v>
      </c>
      <c r="F795" s="12" t="s">
        <v>39</v>
      </c>
      <c r="G795" s="12" t="s">
        <v>26</v>
      </c>
      <c r="H795" s="12">
        <v>16111</v>
      </c>
      <c r="I795" s="12" t="s">
        <v>22</v>
      </c>
      <c r="J795" s="26">
        <v>0.1</v>
      </c>
      <c r="K795" s="12">
        <v>17000</v>
      </c>
      <c r="L795" s="14">
        <v>45321</v>
      </c>
      <c r="M795" s="8" t="str">
        <f t="shared" si="36"/>
        <v>Below Target</v>
      </c>
      <c r="N795" s="20">
        <f t="shared" si="37"/>
        <v>10</v>
      </c>
      <c r="O795" s="22">
        <f t="shared" si="38"/>
        <v>14499.9</v>
      </c>
    </row>
    <row r="796" spans="1:15" x14ac:dyDescent="0.3">
      <c r="A796" s="12" t="s">
        <v>1031</v>
      </c>
      <c r="B796" s="12" t="s">
        <v>1032</v>
      </c>
      <c r="C796" s="12" t="s">
        <v>14</v>
      </c>
      <c r="D796" s="12" t="s">
        <v>15</v>
      </c>
      <c r="E796" s="12" t="s">
        <v>46</v>
      </c>
      <c r="F796" s="12" t="s">
        <v>39</v>
      </c>
      <c r="G796" s="12" t="s">
        <v>36</v>
      </c>
      <c r="H796" s="12">
        <v>14715</v>
      </c>
      <c r="I796" s="12" t="s">
        <v>33</v>
      </c>
      <c r="J796" s="26">
        <v>0.3</v>
      </c>
      <c r="K796" s="12">
        <v>14000</v>
      </c>
      <c r="L796" s="14">
        <v>45347</v>
      </c>
      <c r="M796" s="8" t="str">
        <f t="shared" si="36"/>
        <v>Below Target</v>
      </c>
      <c r="N796" s="20">
        <f t="shared" si="37"/>
        <v>30</v>
      </c>
      <c r="O796" s="22">
        <f t="shared" si="38"/>
        <v>10300.5</v>
      </c>
    </row>
    <row r="797" spans="1:15" x14ac:dyDescent="0.3">
      <c r="A797" s="12" t="s">
        <v>1033</v>
      </c>
      <c r="B797" s="12" t="s">
        <v>43</v>
      </c>
      <c r="C797" s="12" t="s">
        <v>30</v>
      </c>
      <c r="D797" s="12" t="s">
        <v>31</v>
      </c>
      <c r="E797" s="12" t="s">
        <v>16</v>
      </c>
      <c r="F797" s="12" t="s">
        <v>17</v>
      </c>
      <c r="G797" s="12" t="s">
        <v>18</v>
      </c>
      <c r="H797" s="12">
        <v>16559</v>
      </c>
      <c r="I797" s="12" t="s">
        <v>27</v>
      </c>
      <c r="J797" s="26"/>
      <c r="K797" s="12">
        <v>17000</v>
      </c>
      <c r="L797" s="14">
        <v>45337</v>
      </c>
      <c r="M797" s="8" t="str">
        <f t="shared" si="36"/>
        <v>Below Target</v>
      </c>
      <c r="N797" s="20">
        <f t="shared" si="37"/>
        <v>15</v>
      </c>
      <c r="O797" s="22">
        <f t="shared" si="38"/>
        <v>14075.15</v>
      </c>
    </row>
    <row r="798" spans="1:15" x14ac:dyDescent="0.3">
      <c r="A798" s="12" t="s">
        <v>1034</v>
      </c>
      <c r="B798" s="12" t="s">
        <v>432</v>
      </c>
      <c r="C798" s="12" t="s">
        <v>61</v>
      </c>
      <c r="D798" s="12" t="s">
        <v>62</v>
      </c>
      <c r="E798" s="12" t="s">
        <v>16</v>
      </c>
      <c r="F798" s="12" t="s">
        <v>39</v>
      </c>
      <c r="G798" s="12" t="s">
        <v>18</v>
      </c>
      <c r="H798" s="12">
        <v>7763</v>
      </c>
      <c r="I798" s="12" t="s">
        <v>19</v>
      </c>
      <c r="J798" s="26">
        <v>0.2</v>
      </c>
      <c r="K798" s="12">
        <v>9000</v>
      </c>
      <c r="L798" s="14">
        <v>45324</v>
      </c>
      <c r="M798" s="8" t="str">
        <f t="shared" si="36"/>
        <v>Below Target</v>
      </c>
      <c r="N798" s="20">
        <f t="shared" si="37"/>
        <v>20</v>
      </c>
      <c r="O798" s="22">
        <f t="shared" si="38"/>
        <v>6210.4</v>
      </c>
    </row>
    <row r="799" spans="1:15" x14ac:dyDescent="0.3">
      <c r="A799" s="12" t="s">
        <v>1035</v>
      </c>
      <c r="B799" s="12" t="s">
        <v>330</v>
      </c>
      <c r="C799" s="12" t="s">
        <v>14</v>
      </c>
      <c r="D799" s="12" t="s">
        <v>15</v>
      </c>
      <c r="E799" s="12" t="s">
        <v>32</v>
      </c>
      <c r="F799" s="12" t="s">
        <v>25</v>
      </c>
      <c r="G799" s="12" t="s">
        <v>26</v>
      </c>
      <c r="H799" s="12">
        <v>13248</v>
      </c>
      <c r="I799" s="12" t="s">
        <v>33</v>
      </c>
      <c r="J799" s="26">
        <v>0.3</v>
      </c>
      <c r="K799" s="12">
        <v>14000</v>
      </c>
      <c r="L799" s="14">
        <v>45323</v>
      </c>
      <c r="M799" s="8" t="str">
        <f t="shared" si="36"/>
        <v>Below Target</v>
      </c>
      <c r="N799" s="20">
        <f t="shared" si="37"/>
        <v>30</v>
      </c>
      <c r="O799" s="22">
        <f t="shared" si="38"/>
        <v>9273.6</v>
      </c>
    </row>
    <row r="800" spans="1:15" x14ac:dyDescent="0.3">
      <c r="A800" s="12" t="s">
        <v>1036</v>
      </c>
      <c r="B800" s="12" t="s">
        <v>101</v>
      </c>
      <c r="C800" s="12" t="s">
        <v>44</v>
      </c>
      <c r="D800" s="12" t="s">
        <v>45</v>
      </c>
      <c r="E800" s="12" t="s">
        <v>32</v>
      </c>
      <c r="F800" s="12" t="s">
        <v>17</v>
      </c>
      <c r="G800" s="12" t="s">
        <v>26</v>
      </c>
      <c r="H800" s="12">
        <v>12441</v>
      </c>
      <c r="I800" s="12" t="s">
        <v>33</v>
      </c>
      <c r="J800" s="26">
        <v>0.3</v>
      </c>
      <c r="K800" s="12">
        <v>13000</v>
      </c>
      <c r="L800" s="14">
        <v>45332</v>
      </c>
      <c r="M800" s="8" t="str">
        <f t="shared" si="36"/>
        <v>Below Target</v>
      </c>
      <c r="N800" s="20">
        <f t="shared" si="37"/>
        <v>30</v>
      </c>
      <c r="O800" s="22">
        <f t="shared" si="38"/>
        <v>8708.7000000000007</v>
      </c>
    </row>
    <row r="801" spans="1:15" x14ac:dyDescent="0.3">
      <c r="A801" s="12" t="s">
        <v>1037</v>
      </c>
      <c r="B801" s="12" t="s">
        <v>289</v>
      </c>
      <c r="C801" s="12" t="s">
        <v>30</v>
      </c>
      <c r="D801" s="12" t="s">
        <v>31</v>
      </c>
      <c r="E801" s="12" t="s">
        <v>32</v>
      </c>
      <c r="F801" s="12" t="s">
        <v>39</v>
      </c>
      <c r="G801" s="12" t="s">
        <v>36</v>
      </c>
      <c r="H801" s="12">
        <v>18599</v>
      </c>
      <c r="I801" s="12"/>
      <c r="J801" s="26"/>
      <c r="K801" s="12">
        <v>17000</v>
      </c>
      <c r="L801" s="14">
        <v>45348</v>
      </c>
      <c r="M801" s="8" t="str">
        <f t="shared" si="36"/>
        <v>Target Achieved</v>
      </c>
      <c r="N801" s="20">
        <f t="shared" si="37"/>
        <v>0</v>
      </c>
      <c r="O801" s="22">
        <f t="shared" si="38"/>
        <v>18599</v>
      </c>
    </row>
    <row r="802" spans="1:15" x14ac:dyDescent="0.3">
      <c r="A802" s="12" t="s">
        <v>1038</v>
      </c>
      <c r="B802" s="12" t="s">
        <v>676</v>
      </c>
      <c r="C802" s="12" t="s">
        <v>30</v>
      </c>
      <c r="D802" s="12" t="s">
        <v>31</v>
      </c>
      <c r="E802" s="12" t="s">
        <v>32</v>
      </c>
      <c r="F802" s="12" t="s">
        <v>25</v>
      </c>
      <c r="G802" s="12" t="s">
        <v>36</v>
      </c>
      <c r="H802" s="12">
        <v>18674</v>
      </c>
      <c r="I802" s="12"/>
      <c r="J802" s="26"/>
      <c r="K802" s="12">
        <v>17000</v>
      </c>
      <c r="L802" s="14">
        <v>45334</v>
      </c>
      <c r="M802" s="8" t="str">
        <f t="shared" si="36"/>
        <v>Target Achieved</v>
      </c>
      <c r="N802" s="20">
        <f t="shared" si="37"/>
        <v>0</v>
      </c>
      <c r="O802" s="22">
        <f t="shared" si="38"/>
        <v>18674</v>
      </c>
    </row>
    <row r="803" spans="1:15" x14ac:dyDescent="0.3">
      <c r="A803" s="12" t="s">
        <v>1039</v>
      </c>
      <c r="B803" s="12" t="s">
        <v>325</v>
      </c>
      <c r="C803" s="12" t="s">
        <v>61</v>
      </c>
      <c r="D803" s="12" t="s">
        <v>62</v>
      </c>
      <c r="E803" s="12" t="s">
        <v>16</v>
      </c>
      <c r="F803" s="12" t="s">
        <v>39</v>
      </c>
      <c r="G803" s="12" t="s">
        <v>26</v>
      </c>
      <c r="H803" s="12">
        <v>10574</v>
      </c>
      <c r="I803" s="12" t="s">
        <v>19</v>
      </c>
      <c r="J803" s="26">
        <v>0.2</v>
      </c>
      <c r="K803" s="12">
        <v>9000</v>
      </c>
      <c r="L803" s="14">
        <v>45318</v>
      </c>
      <c r="M803" s="8" t="str">
        <f t="shared" si="36"/>
        <v>Below Target</v>
      </c>
      <c r="N803" s="20">
        <f t="shared" si="37"/>
        <v>20</v>
      </c>
      <c r="O803" s="22">
        <f t="shared" si="38"/>
        <v>8459.2000000000007</v>
      </c>
    </row>
    <row r="804" spans="1:15" x14ac:dyDescent="0.3">
      <c r="A804" s="12" t="s">
        <v>1040</v>
      </c>
      <c r="B804" s="12" t="s">
        <v>56</v>
      </c>
      <c r="C804" s="12" t="s">
        <v>44</v>
      </c>
      <c r="D804" s="12" t="s">
        <v>45</v>
      </c>
      <c r="E804" s="12" t="s">
        <v>46</v>
      </c>
      <c r="F804" s="12" t="s">
        <v>17</v>
      </c>
      <c r="G804" s="12" t="s">
        <v>26</v>
      </c>
      <c r="H804" s="12">
        <v>12348</v>
      </c>
      <c r="I804" s="12"/>
      <c r="J804" s="26"/>
      <c r="K804" s="12">
        <v>13000</v>
      </c>
      <c r="L804" s="14">
        <v>45326</v>
      </c>
      <c r="M804" s="8" t="str">
        <f t="shared" si="36"/>
        <v>Target Achieved</v>
      </c>
      <c r="N804" s="20">
        <f t="shared" si="37"/>
        <v>0</v>
      </c>
      <c r="O804" s="22">
        <f t="shared" si="38"/>
        <v>12348</v>
      </c>
    </row>
    <row r="805" spans="1:15" x14ac:dyDescent="0.3">
      <c r="A805" s="12" t="s">
        <v>1041</v>
      </c>
      <c r="B805" s="12" t="s">
        <v>35</v>
      </c>
      <c r="C805" s="12" t="s">
        <v>44</v>
      </c>
      <c r="D805" s="12" t="s">
        <v>45</v>
      </c>
      <c r="E805" s="12" t="s">
        <v>16</v>
      </c>
      <c r="F805" s="12" t="s">
        <v>39</v>
      </c>
      <c r="G805" s="12" t="s">
        <v>26</v>
      </c>
      <c r="H805" s="12">
        <v>14277</v>
      </c>
      <c r="I805" s="12" t="s">
        <v>19</v>
      </c>
      <c r="J805" s="26">
        <v>0.2</v>
      </c>
      <c r="K805" s="12">
        <v>13000</v>
      </c>
      <c r="L805" s="14">
        <v>45347</v>
      </c>
      <c r="M805" s="8" t="str">
        <f t="shared" si="36"/>
        <v>Below Target</v>
      </c>
      <c r="N805" s="20">
        <f t="shared" si="37"/>
        <v>20</v>
      </c>
      <c r="O805" s="22">
        <f t="shared" si="38"/>
        <v>11421.6</v>
      </c>
    </row>
    <row r="806" spans="1:15" x14ac:dyDescent="0.3">
      <c r="A806" s="12" t="s">
        <v>1042</v>
      </c>
      <c r="B806" s="12" t="s">
        <v>256</v>
      </c>
      <c r="C806" s="12" t="s">
        <v>44</v>
      </c>
      <c r="D806" s="12" t="s">
        <v>45</v>
      </c>
      <c r="E806" s="12" t="s">
        <v>46</v>
      </c>
      <c r="F806" s="12" t="s">
        <v>25</v>
      </c>
      <c r="G806" s="12" t="s">
        <v>26</v>
      </c>
      <c r="H806" s="12">
        <v>14821</v>
      </c>
      <c r="I806" s="12" t="s">
        <v>27</v>
      </c>
      <c r="J806" s="26"/>
      <c r="K806" s="12">
        <v>13000</v>
      </c>
      <c r="L806" s="14">
        <v>45350</v>
      </c>
      <c r="M806" s="8" t="str">
        <f t="shared" si="36"/>
        <v>Below Target</v>
      </c>
      <c r="N806" s="20">
        <f t="shared" si="37"/>
        <v>15</v>
      </c>
      <c r="O806" s="22">
        <f t="shared" si="38"/>
        <v>12597.85</v>
      </c>
    </row>
    <row r="807" spans="1:15" x14ac:dyDescent="0.3">
      <c r="A807" s="12" t="s">
        <v>1043</v>
      </c>
      <c r="B807" s="12" t="s">
        <v>74</v>
      </c>
      <c r="C807" s="12" t="s">
        <v>14</v>
      </c>
      <c r="D807" s="12" t="s">
        <v>15</v>
      </c>
      <c r="E807" s="12" t="s">
        <v>16</v>
      </c>
      <c r="F807" s="12" t="s">
        <v>39</v>
      </c>
      <c r="G807" s="12" t="s">
        <v>26</v>
      </c>
      <c r="H807" s="12">
        <v>12484</v>
      </c>
      <c r="I807" s="12" t="s">
        <v>19</v>
      </c>
      <c r="J807" s="26">
        <v>0.2</v>
      </c>
      <c r="K807" s="12">
        <v>14000</v>
      </c>
      <c r="L807" s="14">
        <v>45312</v>
      </c>
      <c r="M807" s="8" t="str">
        <f t="shared" si="36"/>
        <v>Below Target</v>
      </c>
      <c r="N807" s="20">
        <f t="shared" si="37"/>
        <v>20</v>
      </c>
      <c r="O807" s="22">
        <f t="shared" si="38"/>
        <v>9987.2000000000007</v>
      </c>
    </row>
    <row r="808" spans="1:15" x14ac:dyDescent="0.3">
      <c r="A808" s="12" t="s">
        <v>1044</v>
      </c>
      <c r="B808" s="12" t="s">
        <v>412</v>
      </c>
      <c r="C808" s="12" t="s">
        <v>14</v>
      </c>
      <c r="D808" s="12" t="s">
        <v>15</v>
      </c>
      <c r="E808" s="12" t="s">
        <v>46</v>
      </c>
      <c r="F808" s="12" t="s">
        <v>17</v>
      </c>
      <c r="G808" s="12" t="s">
        <v>36</v>
      </c>
      <c r="H808" s="12">
        <v>13242</v>
      </c>
      <c r="I808" s="12"/>
      <c r="J808" s="26"/>
      <c r="K808" s="12">
        <v>14000</v>
      </c>
      <c r="L808" s="14">
        <v>45339</v>
      </c>
      <c r="M808" s="8" t="str">
        <f t="shared" si="36"/>
        <v>Target Achieved</v>
      </c>
      <c r="N808" s="20">
        <f t="shared" si="37"/>
        <v>0</v>
      </c>
      <c r="O808" s="22">
        <f t="shared" si="38"/>
        <v>13242</v>
      </c>
    </row>
    <row r="809" spans="1:15" x14ac:dyDescent="0.3">
      <c r="A809" s="12" t="s">
        <v>1045</v>
      </c>
      <c r="B809" s="12" t="s">
        <v>454</v>
      </c>
      <c r="C809" s="12" t="s">
        <v>30</v>
      </c>
      <c r="D809" s="12" t="s">
        <v>31</v>
      </c>
      <c r="E809" s="12" t="s">
        <v>32</v>
      </c>
      <c r="F809" s="12" t="s">
        <v>25</v>
      </c>
      <c r="G809" s="12" t="s">
        <v>18</v>
      </c>
      <c r="H809" s="12">
        <v>15538</v>
      </c>
      <c r="I809" s="12" t="s">
        <v>19</v>
      </c>
      <c r="J809" s="26">
        <v>0.2</v>
      </c>
      <c r="K809" s="12">
        <v>17000</v>
      </c>
      <c r="L809" s="14">
        <v>45293</v>
      </c>
      <c r="M809" s="8" t="str">
        <f t="shared" si="36"/>
        <v>Below Target</v>
      </c>
      <c r="N809" s="20">
        <f t="shared" si="37"/>
        <v>20</v>
      </c>
      <c r="O809" s="22">
        <f t="shared" si="38"/>
        <v>12430.4</v>
      </c>
    </row>
    <row r="810" spans="1:15" x14ac:dyDescent="0.3">
      <c r="A810" s="12" t="s">
        <v>1046</v>
      </c>
      <c r="B810" s="12" t="s">
        <v>522</v>
      </c>
      <c r="C810" s="12" t="s">
        <v>30</v>
      </c>
      <c r="D810" s="12" t="s">
        <v>31</v>
      </c>
      <c r="E810" s="12" t="s">
        <v>16</v>
      </c>
      <c r="F810" s="12" t="s">
        <v>39</v>
      </c>
      <c r="G810" s="12" t="s">
        <v>26</v>
      </c>
      <c r="H810" s="12">
        <v>15945</v>
      </c>
      <c r="I810" s="12" t="s">
        <v>27</v>
      </c>
      <c r="J810" s="26"/>
      <c r="K810" s="12">
        <v>17000</v>
      </c>
      <c r="L810" s="14">
        <v>45306</v>
      </c>
      <c r="M810" s="8" t="str">
        <f t="shared" si="36"/>
        <v>Below Target</v>
      </c>
      <c r="N810" s="20">
        <f t="shared" si="37"/>
        <v>15</v>
      </c>
      <c r="O810" s="22">
        <f t="shared" si="38"/>
        <v>13553.25</v>
      </c>
    </row>
    <row r="811" spans="1:15" x14ac:dyDescent="0.3">
      <c r="A811" s="12" t="s">
        <v>1047</v>
      </c>
      <c r="B811" s="12" t="s">
        <v>817</v>
      </c>
      <c r="C811" s="12" t="s">
        <v>14</v>
      </c>
      <c r="D811" s="12" t="s">
        <v>15</v>
      </c>
      <c r="E811" s="12" t="s">
        <v>46</v>
      </c>
      <c r="F811" s="12" t="s">
        <v>25</v>
      </c>
      <c r="G811" s="12" t="s">
        <v>26</v>
      </c>
      <c r="H811" s="12">
        <v>15194</v>
      </c>
      <c r="I811" s="12"/>
      <c r="J811" s="26"/>
      <c r="K811" s="12">
        <v>14000</v>
      </c>
      <c r="L811" s="14">
        <v>45300</v>
      </c>
      <c r="M811" s="8" t="str">
        <f t="shared" si="36"/>
        <v>Target Achieved</v>
      </c>
      <c r="N811" s="20">
        <f t="shared" si="37"/>
        <v>0</v>
      </c>
      <c r="O811" s="22">
        <f t="shared" si="38"/>
        <v>15194</v>
      </c>
    </row>
    <row r="812" spans="1:15" x14ac:dyDescent="0.3">
      <c r="A812" s="12" t="s">
        <v>1048</v>
      </c>
      <c r="B812" s="12" t="s">
        <v>105</v>
      </c>
      <c r="C812" s="12" t="s">
        <v>61</v>
      </c>
      <c r="D812" s="12" t="s">
        <v>62</v>
      </c>
      <c r="E812" s="12" t="s">
        <v>16</v>
      </c>
      <c r="F812" s="12" t="s">
        <v>39</v>
      </c>
      <c r="G812" s="12" t="s">
        <v>36</v>
      </c>
      <c r="H812" s="12">
        <v>7753</v>
      </c>
      <c r="I812" s="12"/>
      <c r="J812" s="26"/>
      <c r="K812" s="12">
        <v>9000</v>
      </c>
      <c r="L812" s="14">
        <v>45323</v>
      </c>
      <c r="M812" s="8" t="str">
        <f t="shared" si="36"/>
        <v>Target Achieved</v>
      </c>
      <c r="N812" s="20">
        <f t="shared" si="37"/>
        <v>0</v>
      </c>
      <c r="O812" s="22">
        <f t="shared" si="38"/>
        <v>7753</v>
      </c>
    </row>
    <row r="813" spans="1:15" x14ac:dyDescent="0.3">
      <c r="A813" s="12" t="s">
        <v>1049</v>
      </c>
      <c r="B813" s="12" t="s">
        <v>508</v>
      </c>
      <c r="C813" s="12" t="s">
        <v>44</v>
      </c>
      <c r="D813" s="12" t="s">
        <v>45</v>
      </c>
      <c r="E813" s="12" t="s">
        <v>32</v>
      </c>
      <c r="F813" s="12" t="s">
        <v>25</v>
      </c>
      <c r="G813" s="12" t="s">
        <v>18</v>
      </c>
      <c r="H813" s="12">
        <v>12673</v>
      </c>
      <c r="I813" s="12" t="s">
        <v>22</v>
      </c>
      <c r="J813" s="26">
        <v>0.1</v>
      </c>
      <c r="K813" s="12">
        <v>13000</v>
      </c>
      <c r="L813" s="14">
        <v>45351</v>
      </c>
      <c r="M813" s="8" t="str">
        <f t="shared" si="36"/>
        <v>Below Target</v>
      </c>
      <c r="N813" s="20">
        <f t="shared" si="37"/>
        <v>10</v>
      </c>
      <c r="O813" s="22">
        <f t="shared" si="38"/>
        <v>11405.7</v>
      </c>
    </row>
    <row r="814" spans="1:15" x14ac:dyDescent="0.3">
      <c r="A814" s="12" t="s">
        <v>1050</v>
      </c>
      <c r="B814" s="12" t="s">
        <v>70</v>
      </c>
      <c r="C814" s="12" t="s">
        <v>44</v>
      </c>
      <c r="D814" s="12" t="s">
        <v>45</v>
      </c>
      <c r="E814" s="12" t="s">
        <v>16</v>
      </c>
      <c r="F814" s="12" t="s">
        <v>39</v>
      </c>
      <c r="G814" s="12" t="s">
        <v>18</v>
      </c>
      <c r="H814" s="12">
        <v>14103</v>
      </c>
      <c r="I814" s="12" t="s">
        <v>19</v>
      </c>
      <c r="J814" s="26">
        <v>0.2</v>
      </c>
      <c r="K814" s="12">
        <v>13000</v>
      </c>
      <c r="L814" s="14">
        <v>45296</v>
      </c>
      <c r="M814" s="8" t="str">
        <f t="shared" si="36"/>
        <v>Below Target</v>
      </c>
      <c r="N814" s="20">
        <f t="shared" si="37"/>
        <v>20</v>
      </c>
      <c r="O814" s="22">
        <f t="shared" si="38"/>
        <v>11282.4</v>
      </c>
    </row>
    <row r="815" spans="1:15" x14ac:dyDescent="0.3">
      <c r="A815" s="12" t="s">
        <v>1051</v>
      </c>
      <c r="B815" s="12" t="s">
        <v>429</v>
      </c>
      <c r="C815" s="12" t="s">
        <v>61</v>
      </c>
      <c r="D815" s="12" t="s">
        <v>62</v>
      </c>
      <c r="E815" s="12" t="s">
        <v>16</v>
      </c>
      <c r="F815" s="12" t="s">
        <v>17</v>
      </c>
      <c r="G815" s="12" t="s">
        <v>36</v>
      </c>
      <c r="H815" s="12">
        <v>10635</v>
      </c>
      <c r="I815" s="12" t="s">
        <v>19</v>
      </c>
      <c r="J815" s="26">
        <v>0.2</v>
      </c>
      <c r="K815" s="12">
        <v>9000</v>
      </c>
      <c r="L815" s="14">
        <v>45319</v>
      </c>
      <c r="M815" s="8" t="str">
        <f t="shared" si="36"/>
        <v>Below Target</v>
      </c>
      <c r="N815" s="20">
        <f t="shared" si="37"/>
        <v>20</v>
      </c>
      <c r="O815" s="22">
        <f t="shared" si="38"/>
        <v>8508</v>
      </c>
    </row>
    <row r="816" spans="1:15" x14ac:dyDescent="0.3">
      <c r="A816" s="12" t="s">
        <v>1052</v>
      </c>
      <c r="B816" s="12" t="s">
        <v>155</v>
      </c>
      <c r="C816" s="12" t="s">
        <v>14</v>
      </c>
      <c r="D816" s="12" t="s">
        <v>15</v>
      </c>
      <c r="E816" s="12" t="s">
        <v>16</v>
      </c>
      <c r="F816" s="12" t="s">
        <v>39</v>
      </c>
      <c r="G816" s="12" t="s">
        <v>36</v>
      </c>
      <c r="H816" s="12">
        <v>14949</v>
      </c>
      <c r="I816" s="12" t="s">
        <v>33</v>
      </c>
      <c r="J816" s="26">
        <v>0.3</v>
      </c>
      <c r="K816" s="12">
        <v>14000</v>
      </c>
      <c r="L816" s="14">
        <v>45317</v>
      </c>
      <c r="M816" s="8" t="str">
        <f t="shared" si="36"/>
        <v>Below Target</v>
      </c>
      <c r="N816" s="20">
        <f t="shared" si="37"/>
        <v>30</v>
      </c>
      <c r="O816" s="22">
        <f t="shared" si="38"/>
        <v>10464.299999999999</v>
      </c>
    </row>
    <row r="817" spans="1:15" x14ac:dyDescent="0.3">
      <c r="A817" s="12" t="s">
        <v>1053</v>
      </c>
      <c r="B817" s="12" t="s">
        <v>233</v>
      </c>
      <c r="C817" s="12" t="s">
        <v>14</v>
      </c>
      <c r="D817" s="12" t="s">
        <v>15</v>
      </c>
      <c r="E817" s="12" t="s">
        <v>16</v>
      </c>
      <c r="F817" s="12" t="s">
        <v>25</v>
      </c>
      <c r="G817" s="12" t="s">
        <v>36</v>
      </c>
      <c r="H817" s="12">
        <v>13871</v>
      </c>
      <c r="I817" s="12" t="s">
        <v>22</v>
      </c>
      <c r="J817" s="26">
        <v>0.1</v>
      </c>
      <c r="K817" s="12">
        <v>14000</v>
      </c>
      <c r="L817" s="14">
        <v>45348</v>
      </c>
      <c r="M817" s="8" t="str">
        <f t="shared" si="36"/>
        <v>Below Target</v>
      </c>
      <c r="N817" s="20">
        <f t="shared" si="37"/>
        <v>10</v>
      </c>
      <c r="O817" s="22">
        <f t="shared" si="38"/>
        <v>12483.9</v>
      </c>
    </row>
    <row r="818" spans="1:15" x14ac:dyDescent="0.3">
      <c r="A818" s="12" t="s">
        <v>1054</v>
      </c>
      <c r="B818" s="12" t="s">
        <v>24</v>
      </c>
      <c r="C818" s="12" t="s">
        <v>61</v>
      </c>
      <c r="D818" s="12" t="s">
        <v>62</v>
      </c>
      <c r="E818" s="12" t="s">
        <v>16</v>
      </c>
      <c r="F818" s="12" t="s">
        <v>25</v>
      </c>
      <c r="G818" s="12" t="s">
        <v>26</v>
      </c>
      <c r="H818" s="12">
        <v>8586</v>
      </c>
      <c r="I818" s="12" t="s">
        <v>27</v>
      </c>
      <c r="J818" s="26"/>
      <c r="K818" s="12">
        <v>9000</v>
      </c>
      <c r="L818" s="14">
        <v>45340</v>
      </c>
      <c r="M818" s="8" t="str">
        <f t="shared" si="36"/>
        <v>Below Target</v>
      </c>
      <c r="N818" s="20">
        <f t="shared" si="37"/>
        <v>15</v>
      </c>
      <c r="O818" s="22">
        <f t="shared" si="38"/>
        <v>7298.1</v>
      </c>
    </row>
    <row r="819" spans="1:15" x14ac:dyDescent="0.3">
      <c r="A819" s="12" t="s">
        <v>1055</v>
      </c>
      <c r="B819" s="12" t="s">
        <v>1032</v>
      </c>
      <c r="C819" s="12" t="s">
        <v>44</v>
      </c>
      <c r="D819" s="12" t="s">
        <v>45</v>
      </c>
      <c r="E819" s="12" t="s">
        <v>46</v>
      </c>
      <c r="F819" s="12" t="s">
        <v>17</v>
      </c>
      <c r="G819" s="12" t="s">
        <v>36</v>
      </c>
      <c r="H819" s="12">
        <v>14622</v>
      </c>
      <c r="I819" s="12" t="s">
        <v>33</v>
      </c>
      <c r="J819" s="26">
        <v>0.3</v>
      </c>
      <c r="K819" s="12">
        <v>13000</v>
      </c>
      <c r="L819" s="14">
        <v>45341</v>
      </c>
      <c r="M819" s="8" t="str">
        <f t="shared" si="36"/>
        <v>Below Target</v>
      </c>
      <c r="N819" s="20">
        <f t="shared" si="37"/>
        <v>30</v>
      </c>
      <c r="O819" s="22">
        <f t="shared" si="38"/>
        <v>10235.4</v>
      </c>
    </row>
    <row r="820" spans="1:15" x14ac:dyDescent="0.3">
      <c r="A820" s="12" t="s">
        <v>1056</v>
      </c>
      <c r="B820" s="12" t="s">
        <v>643</v>
      </c>
      <c r="C820" s="12" t="s">
        <v>61</v>
      </c>
      <c r="D820" s="12" t="s">
        <v>62</v>
      </c>
      <c r="E820" s="12" t="s">
        <v>32</v>
      </c>
      <c r="F820" s="12" t="s">
        <v>17</v>
      </c>
      <c r="G820" s="12" t="s">
        <v>36</v>
      </c>
      <c r="H820" s="12">
        <v>9511</v>
      </c>
      <c r="I820" s="12" t="s">
        <v>22</v>
      </c>
      <c r="J820" s="26">
        <v>0.1</v>
      </c>
      <c r="K820" s="12">
        <v>9000</v>
      </c>
      <c r="L820" s="14">
        <v>45336</v>
      </c>
      <c r="M820" s="8" t="str">
        <f t="shared" si="36"/>
        <v>Below Target</v>
      </c>
      <c r="N820" s="20">
        <f t="shared" si="37"/>
        <v>10</v>
      </c>
      <c r="O820" s="22">
        <f t="shared" si="38"/>
        <v>8559.9</v>
      </c>
    </row>
    <row r="821" spans="1:15" x14ac:dyDescent="0.3">
      <c r="A821" s="12" t="s">
        <v>1057</v>
      </c>
      <c r="B821" s="12" t="s">
        <v>80</v>
      </c>
      <c r="C821" s="12" t="s">
        <v>61</v>
      </c>
      <c r="D821" s="12" t="s">
        <v>62</v>
      </c>
      <c r="E821" s="12" t="s">
        <v>16</v>
      </c>
      <c r="F821" s="12" t="s">
        <v>17</v>
      </c>
      <c r="G821" s="12" t="s">
        <v>18</v>
      </c>
      <c r="H821" s="12">
        <v>9959</v>
      </c>
      <c r="I821" s="12" t="s">
        <v>27</v>
      </c>
      <c r="J821" s="26"/>
      <c r="K821" s="12">
        <v>9000</v>
      </c>
      <c r="L821" s="14">
        <v>45299</v>
      </c>
      <c r="M821" s="8" t="str">
        <f t="shared" si="36"/>
        <v>Below Target</v>
      </c>
      <c r="N821" s="20">
        <f t="shared" si="37"/>
        <v>15</v>
      </c>
      <c r="O821" s="22">
        <f t="shared" si="38"/>
        <v>8465.15</v>
      </c>
    </row>
    <row r="822" spans="1:15" x14ac:dyDescent="0.3">
      <c r="A822" s="12" t="s">
        <v>1058</v>
      </c>
      <c r="B822" s="12" t="s">
        <v>135</v>
      </c>
      <c r="C822" s="12" t="s">
        <v>44</v>
      </c>
      <c r="D822" s="12" t="s">
        <v>45</v>
      </c>
      <c r="E822" s="12" t="s">
        <v>46</v>
      </c>
      <c r="F822" s="12" t="s">
        <v>17</v>
      </c>
      <c r="G822" s="12" t="s">
        <v>36</v>
      </c>
      <c r="H822" s="12">
        <v>12846</v>
      </c>
      <c r="I822" s="12" t="s">
        <v>22</v>
      </c>
      <c r="J822" s="26">
        <v>0.1</v>
      </c>
      <c r="K822" s="12">
        <v>13000</v>
      </c>
      <c r="L822" s="14">
        <v>45303</v>
      </c>
      <c r="M822" s="8" t="str">
        <f t="shared" si="36"/>
        <v>Below Target</v>
      </c>
      <c r="N822" s="20">
        <f t="shared" si="37"/>
        <v>10</v>
      </c>
      <c r="O822" s="22">
        <f t="shared" si="38"/>
        <v>11561.4</v>
      </c>
    </row>
    <row r="823" spans="1:15" x14ac:dyDescent="0.3">
      <c r="A823" s="12" t="s">
        <v>1059</v>
      </c>
      <c r="B823" s="12" t="s">
        <v>600</v>
      </c>
      <c r="C823" s="12" t="s">
        <v>44</v>
      </c>
      <c r="D823" s="12" t="s">
        <v>45</v>
      </c>
      <c r="E823" s="12" t="s">
        <v>46</v>
      </c>
      <c r="F823" s="12" t="s">
        <v>25</v>
      </c>
      <c r="G823" s="12" t="s">
        <v>36</v>
      </c>
      <c r="H823" s="12">
        <v>12327</v>
      </c>
      <c r="I823" s="12" t="s">
        <v>19</v>
      </c>
      <c r="J823" s="26">
        <v>0.2</v>
      </c>
      <c r="K823" s="12">
        <v>13000</v>
      </c>
      <c r="L823" s="14">
        <v>45337</v>
      </c>
      <c r="M823" s="8" t="str">
        <f t="shared" si="36"/>
        <v>Below Target</v>
      </c>
      <c r="N823" s="20">
        <f t="shared" si="37"/>
        <v>20</v>
      </c>
      <c r="O823" s="22">
        <f t="shared" si="38"/>
        <v>9861.6</v>
      </c>
    </row>
    <row r="824" spans="1:15" x14ac:dyDescent="0.3">
      <c r="A824" s="12" t="s">
        <v>1060</v>
      </c>
      <c r="B824" s="12" t="s">
        <v>1000</v>
      </c>
      <c r="C824" s="12" t="s">
        <v>14</v>
      </c>
      <c r="D824" s="12" t="s">
        <v>15</v>
      </c>
      <c r="E824" s="12" t="s">
        <v>32</v>
      </c>
      <c r="F824" s="12" t="s">
        <v>39</v>
      </c>
      <c r="G824" s="12" t="s">
        <v>36</v>
      </c>
      <c r="H824" s="12">
        <v>14597</v>
      </c>
      <c r="I824" s="12" t="s">
        <v>33</v>
      </c>
      <c r="J824" s="26">
        <v>0.3</v>
      </c>
      <c r="K824" s="12">
        <v>14000</v>
      </c>
      <c r="L824" s="14">
        <v>45297</v>
      </c>
      <c r="M824" s="8" t="str">
        <f t="shared" si="36"/>
        <v>Below Target</v>
      </c>
      <c r="N824" s="20">
        <f t="shared" si="37"/>
        <v>30</v>
      </c>
      <c r="O824" s="22">
        <f t="shared" si="38"/>
        <v>10217.9</v>
      </c>
    </row>
    <row r="825" spans="1:15" x14ac:dyDescent="0.3">
      <c r="A825" s="12" t="s">
        <v>1061</v>
      </c>
      <c r="B825" s="12" t="s">
        <v>548</v>
      </c>
      <c r="C825" s="12" t="s">
        <v>61</v>
      </c>
      <c r="D825" s="12" t="s">
        <v>62</v>
      </c>
      <c r="E825" s="12" t="s">
        <v>16</v>
      </c>
      <c r="F825" s="12" t="s">
        <v>39</v>
      </c>
      <c r="G825" s="12" t="s">
        <v>26</v>
      </c>
      <c r="H825" s="12">
        <v>10890</v>
      </c>
      <c r="I825" s="12" t="s">
        <v>19</v>
      </c>
      <c r="J825" s="26">
        <v>0.2</v>
      </c>
      <c r="K825" s="12">
        <v>9000</v>
      </c>
      <c r="L825" s="14">
        <v>45316</v>
      </c>
      <c r="M825" s="8" t="str">
        <f t="shared" si="36"/>
        <v>Below Target</v>
      </c>
      <c r="N825" s="20">
        <f t="shared" si="37"/>
        <v>20</v>
      </c>
      <c r="O825" s="22">
        <f t="shared" si="38"/>
        <v>8712</v>
      </c>
    </row>
    <row r="826" spans="1:15" x14ac:dyDescent="0.3">
      <c r="A826" s="12" t="s">
        <v>1062</v>
      </c>
      <c r="B826" s="12" t="s">
        <v>388</v>
      </c>
      <c r="C826" s="12" t="s">
        <v>14</v>
      </c>
      <c r="D826" s="12" t="s">
        <v>15</v>
      </c>
      <c r="E826" s="12" t="s">
        <v>32</v>
      </c>
      <c r="F826" s="12" t="s">
        <v>17</v>
      </c>
      <c r="G826" s="12" t="s">
        <v>26</v>
      </c>
      <c r="H826" s="12">
        <v>15568</v>
      </c>
      <c r="I826" s="12" t="s">
        <v>19</v>
      </c>
      <c r="J826" s="26">
        <v>0.2</v>
      </c>
      <c r="K826" s="12">
        <v>14000</v>
      </c>
      <c r="L826" s="14">
        <v>45302</v>
      </c>
      <c r="M826" s="8" t="str">
        <f t="shared" si="36"/>
        <v>Below Target</v>
      </c>
      <c r="N826" s="20">
        <f t="shared" si="37"/>
        <v>20</v>
      </c>
      <c r="O826" s="22">
        <f t="shared" si="38"/>
        <v>12454.4</v>
      </c>
    </row>
    <row r="827" spans="1:15" x14ac:dyDescent="0.3">
      <c r="A827" s="12" t="s">
        <v>1063</v>
      </c>
      <c r="B827" s="12" t="s">
        <v>412</v>
      </c>
      <c r="C827" s="12" t="s">
        <v>44</v>
      </c>
      <c r="D827" s="12" t="s">
        <v>45</v>
      </c>
      <c r="E827" s="12" t="s">
        <v>16</v>
      </c>
      <c r="F827" s="12" t="s">
        <v>25</v>
      </c>
      <c r="G827" s="12" t="s">
        <v>36</v>
      </c>
      <c r="H827" s="12">
        <v>12261</v>
      </c>
      <c r="I827" s="12" t="s">
        <v>33</v>
      </c>
      <c r="J827" s="26">
        <v>0.3</v>
      </c>
      <c r="K827" s="12">
        <v>13000</v>
      </c>
      <c r="L827" s="14">
        <v>45338</v>
      </c>
      <c r="M827" s="8" t="str">
        <f t="shared" si="36"/>
        <v>Below Target</v>
      </c>
      <c r="N827" s="20">
        <f t="shared" si="37"/>
        <v>30</v>
      </c>
      <c r="O827" s="22">
        <f t="shared" si="38"/>
        <v>8582.7000000000007</v>
      </c>
    </row>
    <row r="828" spans="1:15" x14ac:dyDescent="0.3">
      <c r="A828" s="12" t="s">
        <v>1064</v>
      </c>
      <c r="B828" s="12" t="s">
        <v>298</v>
      </c>
      <c r="C828" s="12" t="s">
        <v>30</v>
      </c>
      <c r="D828" s="12" t="s">
        <v>31</v>
      </c>
      <c r="E828" s="12" t="s">
        <v>16</v>
      </c>
      <c r="F828" s="12" t="s">
        <v>25</v>
      </c>
      <c r="G828" s="12" t="s">
        <v>18</v>
      </c>
      <c r="H828" s="12">
        <v>18680</v>
      </c>
      <c r="I828" s="12" t="s">
        <v>19</v>
      </c>
      <c r="J828" s="26">
        <v>0.2</v>
      </c>
      <c r="K828" s="12">
        <v>17000</v>
      </c>
      <c r="L828" s="14">
        <v>45304</v>
      </c>
      <c r="M828" s="8" t="str">
        <f t="shared" si="36"/>
        <v>Below Target</v>
      </c>
      <c r="N828" s="20">
        <f t="shared" si="37"/>
        <v>20</v>
      </c>
      <c r="O828" s="22">
        <f t="shared" si="38"/>
        <v>14944</v>
      </c>
    </row>
    <row r="829" spans="1:15" x14ac:dyDescent="0.3">
      <c r="A829" s="12" t="s">
        <v>1065</v>
      </c>
      <c r="B829" s="12" t="s">
        <v>109</v>
      </c>
      <c r="C829" s="12" t="s">
        <v>30</v>
      </c>
      <c r="D829" s="12" t="s">
        <v>31</v>
      </c>
      <c r="E829" s="12" t="s">
        <v>32</v>
      </c>
      <c r="F829" s="12" t="s">
        <v>17</v>
      </c>
      <c r="G829" s="12" t="s">
        <v>36</v>
      </c>
      <c r="H829" s="12">
        <v>18503</v>
      </c>
      <c r="I829" s="12"/>
      <c r="J829" s="26"/>
      <c r="K829" s="12">
        <v>17000</v>
      </c>
      <c r="L829" s="14">
        <v>45326</v>
      </c>
      <c r="M829" s="8" t="str">
        <f t="shared" si="36"/>
        <v>Target Achieved</v>
      </c>
      <c r="N829" s="20">
        <f t="shared" si="37"/>
        <v>0</v>
      </c>
      <c r="O829" s="22">
        <f t="shared" si="38"/>
        <v>18503</v>
      </c>
    </row>
    <row r="830" spans="1:15" x14ac:dyDescent="0.3">
      <c r="A830" s="12" t="s">
        <v>1066</v>
      </c>
      <c r="B830" s="12" t="s">
        <v>64</v>
      </c>
      <c r="C830" s="12" t="s">
        <v>61</v>
      </c>
      <c r="D830" s="12" t="s">
        <v>62</v>
      </c>
      <c r="E830" s="12" t="s">
        <v>32</v>
      </c>
      <c r="F830" s="12" t="s">
        <v>25</v>
      </c>
      <c r="G830" s="12" t="s">
        <v>26</v>
      </c>
      <c r="H830" s="12">
        <v>9701</v>
      </c>
      <c r="I830" s="12"/>
      <c r="J830" s="26"/>
      <c r="K830" s="12">
        <v>9000</v>
      </c>
      <c r="L830" s="14">
        <v>45321</v>
      </c>
      <c r="M830" s="8" t="str">
        <f t="shared" si="36"/>
        <v>Target Achieved</v>
      </c>
      <c r="N830" s="20">
        <f t="shared" si="37"/>
        <v>0</v>
      </c>
      <c r="O830" s="22">
        <f t="shared" si="38"/>
        <v>9701</v>
      </c>
    </row>
    <row r="831" spans="1:15" x14ac:dyDescent="0.3">
      <c r="A831" s="12" t="s">
        <v>1067</v>
      </c>
      <c r="B831" s="12" t="s">
        <v>527</v>
      </c>
      <c r="C831" s="12" t="s">
        <v>14</v>
      </c>
      <c r="D831" s="12" t="s">
        <v>15</v>
      </c>
      <c r="E831" s="12" t="s">
        <v>16</v>
      </c>
      <c r="F831" s="12" t="s">
        <v>39</v>
      </c>
      <c r="G831" s="12" t="s">
        <v>18</v>
      </c>
      <c r="H831" s="12">
        <v>13002</v>
      </c>
      <c r="I831" s="12" t="s">
        <v>27</v>
      </c>
      <c r="J831" s="26"/>
      <c r="K831" s="12">
        <v>14000</v>
      </c>
      <c r="L831" s="14">
        <v>45309</v>
      </c>
      <c r="M831" s="8" t="str">
        <f t="shared" si="36"/>
        <v>Below Target</v>
      </c>
      <c r="N831" s="20">
        <f t="shared" si="37"/>
        <v>15</v>
      </c>
      <c r="O831" s="22">
        <f t="shared" si="38"/>
        <v>11051.7</v>
      </c>
    </row>
    <row r="832" spans="1:15" x14ac:dyDescent="0.3">
      <c r="A832" s="12" t="s">
        <v>1068</v>
      </c>
      <c r="B832" s="12" t="s">
        <v>209</v>
      </c>
      <c r="C832" s="12" t="s">
        <v>44</v>
      </c>
      <c r="D832" s="12" t="s">
        <v>45</v>
      </c>
      <c r="E832" s="12" t="s">
        <v>32</v>
      </c>
      <c r="F832" s="12" t="s">
        <v>25</v>
      </c>
      <c r="G832" s="12" t="s">
        <v>18</v>
      </c>
      <c r="H832" s="12">
        <v>11225</v>
      </c>
      <c r="I832" s="12" t="s">
        <v>33</v>
      </c>
      <c r="J832" s="26">
        <v>0.3</v>
      </c>
      <c r="K832" s="12">
        <v>13000</v>
      </c>
      <c r="L832" s="14">
        <v>45294</v>
      </c>
      <c r="M832" s="8" t="str">
        <f t="shared" si="36"/>
        <v>Below Target</v>
      </c>
      <c r="N832" s="20">
        <f t="shared" si="37"/>
        <v>30</v>
      </c>
      <c r="O832" s="22">
        <f t="shared" si="38"/>
        <v>7857.5</v>
      </c>
    </row>
    <row r="833" spans="1:15" x14ac:dyDescent="0.3">
      <c r="A833" s="12" t="s">
        <v>1069</v>
      </c>
      <c r="B833" s="12" t="s">
        <v>619</v>
      </c>
      <c r="C833" s="12" t="s">
        <v>14</v>
      </c>
      <c r="D833" s="12" t="s">
        <v>15</v>
      </c>
      <c r="E833" s="12" t="s">
        <v>16</v>
      </c>
      <c r="F833" s="12" t="s">
        <v>39</v>
      </c>
      <c r="G833" s="12" t="s">
        <v>26</v>
      </c>
      <c r="H833" s="12">
        <v>13222</v>
      </c>
      <c r="I833" s="12" t="s">
        <v>33</v>
      </c>
      <c r="J833" s="26">
        <v>0.3</v>
      </c>
      <c r="K833" s="12">
        <v>14000</v>
      </c>
      <c r="L833" s="14">
        <v>45350</v>
      </c>
      <c r="M833" s="8" t="str">
        <f t="shared" si="36"/>
        <v>Below Target</v>
      </c>
      <c r="N833" s="20">
        <f t="shared" si="37"/>
        <v>30</v>
      </c>
      <c r="O833" s="22">
        <f t="shared" si="38"/>
        <v>9255.4</v>
      </c>
    </row>
    <row r="834" spans="1:15" x14ac:dyDescent="0.3">
      <c r="A834" s="12" t="s">
        <v>1070</v>
      </c>
      <c r="B834" s="12" t="s">
        <v>43</v>
      </c>
      <c r="C834" s="12" t="s">
        <v>14</v>
      </c>
      <c r="D834" s="12" t="s">
        <v>15</v>
      </c>
      <c r="E834" s="12" t="s">
        <v>46</v>
      </c>
      <c r="F834" s="12" t="s">
        <v>25</v>
      </c>
      <c r="G834" s="12" t="s">
        <v>18</v>
      </c>
      <c r="H834" s="12">
        <v>14752</v>
      </c>
      <c r="I834" s="12" t="s">
        <v>33</v>
      </c>
      <c r="J834" s="26">
        <v>0.3</v>
      </c>
      <c r="K834" s="12">
        <v>14000</v>
      </c>
      <c r="L834" s="14">
        <v>45331</v>
      </c>
      <c r="M834" s="8" t="str">
        <f t="shared" ref="M834:M897" si="39">IF(J834&gt;=N834,"Target Achieved","Below Target")</f>
        <v>Below Target</v>
      </c>
      <c r="N834" s="20">
        <f t="shared" si="37"/>
        <v>30</v>
      </c>
      <c r="O834" s="22">
        <f t="shared" si="38"/>
        <v>10326.4</v>
      </c>
    </row>
    <row r="835" spans="1:15" x14ac:dyDescent="0.3">
      <c r="A835" s="12" t="s">
        <v>1071</v>
      </c>
      <c r="B835" s="12" t="s">
        <v>305</v>
      </c>
      <c r="C835" s="12" t="s">
        <v>44</v>
      </c>
      <c r="D835" s="12" t="s">
        <v>45</v>
      </c>
      <c r="E835" s="12" t="s">
        <v>46</v>
      </c>
      <c r="F835" s="12" t="s">
        <v>39</v>
      </c>
      <c r="G835" s="12" t="s">
        <v>26</v>
      </c>
      <c r="H835" s="12">
        <v>12475</v>
      </c>
      <c r="I835" s="12" t="s">
        <v>22</v>
      </c>
      <c r="J835" s="26">
        <v>0.1</v>
      </c>
      <c r="K835" s="12">
        <v>13000</v>
      </c>
      <c r="L835" s="14">
        <v>45297</v>
      </c>
      <c r="M835" s="8" t="str">
        <f t="shared" si="39"/>
        <v>Below Target</v>
      </c>
      <c r="N835" s="20">
        <f t="shared" ref="N835:N898" si="40">IFERROR(VALUE(RIGHT(I835,2)),0)</f>
        <v>10</v>
      </c>
      <c r="O835" s="22">
        <f t="shared" ref="O835:O898" si="41">H835-H835*N835/100</f>
        <v>11227.5</v>
      </c>
    </row>
    <row r="836" spans="1:15" x14ac:dyDescent="0.3">
      <c r="A836" s="12" t="s">
        <v>1072</v>
      </c>
      <c r="B836" s="12" t="s">
        <v>1073</v>
      </c>
      <c r="C836" s="12" t="s">
        <v>30</v>
      </c>
      <c r="D836" s="12" t="s">
        <v>31</v>
      </c>
      <c r="E836" s="12" t="s">
        <v>46</v>
      </c>
      <c r="F836" s="12" t="s">
        <v>17</v>
      </c>
      <c r="G836" s="12" t="s">
        <v>18</v>
      </c>
      <c r="H836" s="12">
        <v>18106</v>
      </c>
      <c r="I836" s="12"/>
      <c r="J836" s="26"/>
      <c r="K836" s="12">
        <v>17000</v>
      </c>
      <c r="L836" s="14">
        <v>45345</v>
      </c>
      <c r="M836" s="8" t="str">
        <f t="shared" si="39"/>
        <v>Target Achieved</v>
      </c>
      <c r="N836" s="20">
        <f t="shared" si="40"/>
        <v>0</v>
      </c>
      <c r="O836" s="22">
        <f t="shared" si="41"/>
        <v>18106</v>
      </c>
    </row>
    <row r="837" spans="1:15" x14ac:dyDescent="0.3">
      <c r="A837" s="12" t="s">
        <v>1074</v>
      </c>
      <c r="B837" s="12" t="s">
        <v>905</v>
      </c>
      <c r="C837" s="12" t="s">
        <v>30</v>
      </c>
      <c r="D837" s="12" t="s">
        <v>31</v>
      </c>
      <c r="E837" s="12" t="s">
        <v>46</v>
      </c>
      <c r="F837" s="12" t="s">
        <v>25</v>
      </c>
      <c r="G837" s="12" t="s">
        <v>18</v>
      </c>
      <c r="H837" s="12">
        <v>17845</v>
      </c>
      <c r="I837" s="12" t="s">
        <v>33</v>
      </c>
      <c r="J837" s="26">
        <v>0.3</v>
      </c>
      <c r="K837" s="12">
        <v>17000</v>
      </c>
      <c r="L837" s="14">
        <v>45313</v>
      </c>
      <c r="M837" s="8" t="str">
        <f t="shared" si="39"/>
        <v>Below Target</v>
      </c>
      <c r="N837" s="20">
        <f t="shared" si="40"/>
        <v>30</v>
      </c>
      <c r="O837" s="22">
        <f t="shared" si="41"/>
        <v>12491.5</v>
      </c>
    </row>
    <row r="838" spans="1:15" x14ac:dyDescent="0.3">
      <c r="A838" s="12" t="s">
        <v>1075</v>
      </c>
      <c r="B838" s="12" t="s">
        <v>388</v>
      </c>
      <c r="C838" s="12" t="s">
        <v>44</v>
      </c>
      <c r="D838" s="12" t="s">
        <v>45</v>
      </c>
      <c r="E838" s="12" t="s">
        <v>16</v>
      </c>
      <c r="F838" s="12" t="s">
        <v>25</v>
      </c>
      <c r="G838" s="12" t="s">
        <v>26</v>
      </c>
      <c r="H838" s="12">
        <v>11238</v>
      </c>
      <c r="I838" s="12" t="s">
        <v>22</v>
      </c>
      <c r="J838" s="26">
        <v>0.1</v>
      </c>
      <c r="K838" s="12">
        <v>13000</v>
      </c>
      <c r="L838" s="14">
        <v>45328</v>
      </c>
      <c r="M838" s="8" t="str">
        <f t="shared" si="39"/>
        <v>Below Target</v>
      </c>
      <c r="N838" s="20">
        <f t="shared" si="40"/>
        <v>10</v>
      </c>
      <c r="O838" s="22">
        <f t="shared" si="41"/>
        <v>10114.200000000001</v>
      </c>
    </row>
    <row r="839" spans="1:15" x14ac:dyDescent="0.3">
      <c r="A839" s="12" t="s">
        <v>1076</v>
      </c>
      <c r="B839" s="12" t="s">
        <v>765</v>
      </c>
      <c r="C839" s="12" t="s">
        <v>14</v>
      </c>
      <c r="D839" s="12" t="s">
        <v>15</v>
      </c>
      <c r="E839" s="12" t="s">
        <v>46</v>
      </c>
      <c r="F839" s="12" t="s">
        <v>39</v>
      </c>
      <c r="G839" s="12" t="s">
        <v>26</v>
      </c>
      <c r="H839" s="12">
        <v>14477</v>
      </c>
      <c r="I839" s="12" t="s">
        <v>33</v>
      </c>
      <c r="J839" s="26">
        <v>0.3</v>
      </c>
      <c r="K839" s="12">
        <v>14000</v>
      </c>
      <c r="L839" s="14">
        <v>45319</v>
      </c>
      <c r="M839" s="8" t="str">
        <f t="shared" si="39"/>
        <v>Below Target</v>
      </c>
      <c r="N839" s="20">
        <f t="shared" si="40"/>
        <v>30</v>
      </c>
      <c r="O839" s="22">
        <f t="shared" si="41"/>
        <v>10133.9</v>
      </c>
    </row>
    <row r="840" spans="1:15" x14ac:dyDescent="0.3">
      <c r="A840" s="12" t="s">
        <v>1077</v>
      </c>
      <c r="B840" s="12" t="s">
        <v>837</v>
      </c>
      <c r="C840" s="12" t="s">
        <v>30</v>
      </c>
      <c r="D840" s="12" t="s">
        <v>31</v>
      </c>
      <c r="E840" s="12" t="s">
        <v>46</v>
      </c>
      <c r="F840" s="12" t="s">
        <v>39</v>
      </c>
      <c r="G840" s="12" t="s">
        <v>26</v>
      </c>
      <c r="H840" s="12">
        <v>17552</v>
      </c>
      <c r="I840" s="12" t="s">
        <v>33</v>
      </c>
      <c r="J840" s="26">
        <v>0.3</v>
      </c>
      <c r="K840" s="12">
        <v>17000</v>
      </c>
      <c r="L840" s="14">
        <v>45351</v>
      </c>
      <c r="M840" s="8" t="str">
        <f t="shared" si="39"/>
        <v>Below Target</v>
      </c>
      <c r="N840" s="20">
        <f t="shared" si="40"/>
        <v>30</v>
      </c>
      <c r="O840" s="22">
        <f t="shared" si="41"/>
        <v>12286.4</v>
      </c>
    </row>
    <row r="841" spans="1:15" x14ac:dyDescent="0.3">
      <c r="A841" s="12" t="s">
        <v>1078</v>
      </c>
      <c r="B841" s="12" t="s">
        <v>720</v>
      </c>
      <c r="C841" s="12" t="s">
        <v>61</v>
      </c>
      <c r="D841" s="12" t="s">
        <v>62</v>
      </c>
      <c r="E841" s="12" t="s">
        <v>16</v>
      </c>
      <c r="F841" s="12" t="s">
        <v>39</v>
      </c>
      <c r="G841" s="12" t="s">
        <v>26</v>
      </c>
      <c r="H841" s="12">
        <v>9038</v>
      </c>
      <c r="I841" s="12"/>
      <c r="J841" s="26"/>
      <c r="K841" s="12">
        <v>9000</v>
      </c>
      <c r="L841" s="14">
        <v>45343</v>
      </c>
      <c r="M841" s="8" t="str">
        <f t="shared" si="39"/>
        <v>Target Achieved</v>
      </c>
      <c r="N841" s="20">
        <f t="shared" si="40"/>
        <v>0</v>
      </c>
      <c r="O841" s="22">
        <f t="shared" si="41"/>
        <v>9038</v>
      </c>
    </row>
    <row r="842" spans="1:15" x14ac:dyDescent="0.3">
      <c r="A842" s="12" t="s">
        <v>1079</v>
      </c>
      <c r="B842" s="12" t="s">
        <v>720</v>
      </c>
      <c r="C842" s="12" t="s">
        <v>44</v>
      </c>
      <c r="D842" s="12" t="s">
        <v>45</v>
      </c>
      <c r="E842" s="12" t="s">
        <v>16</v>
      </c>
      <c r="F842" s="12" t="s">
        <v>17</v>
      </c>
      <c r="G842" s="12" t="s">
        <v>18</v>
      </c>
      <c r="H842" s="12">
        <v>11006</v>
      </c>
      <c r="I842" s="12" t="s">
        <v>22</v>
      </c>
      <c r="J842" s="26">
        <v>0.1</v>
      </c>
      <c r="K842" s="12">
        <v>13000</v>
      </c>
      <c r="L842" s="14">
        <v>45293</v>
      </c>
      <c r="M842" s="8" t="str">
        <f t="shared" si="39"/>
        <v>Below Target</v>
      </c>
      <c r="N842" s="20">
        <f t="shared" si="40"/>
        <v>10</v>
      </c>
      <c r="O842" s="22">
        <f t="shared" si="41"/>
        <v>9905.4</v>
      </c>
    </row>
    <row r="843" spans="1:15" x14ac:dyDescent="0.3">
      <c r="A843" s="12" t="s">
        <v>1080</v>
      </c>
      <c r="B843" s="12" t="s">
        <v>332</v>
      </c>
      <c r="C843" s="12" t="s">
        <v>14</v>
      </c>
      <c r="D843" s="12" t="s">
        <v>15</v>
      </c>
      <c r="E843" s="12" t="s">
        <v>16</v>
      </c>
      <c r="F843" s="12" t="s">
        <v>25</v>
      </c>
      <c r="G843" s="12" t="s">
        <v>26</v>
      </c>
      <c r="H843" s="12">
        <v>13698</v>
      </c>
      <c r="I843" s="12"/>
      <c r="J843" s="26"/>
      <c r="K843" s="12">
        <v>14000</v>
      </c>
      <c r="L843" s="14">
        <v>45294</v>
      </c>
      <c r="M843" s="8" t="str">
        <f t="shared" si="39"/>
        <v>Target Achieved</v>
      </c>
      <c r="N843" s="20">
        <f t="shared" si="40"/>
        <v>0</v>
      </c>
      <c r="O843" s="22">
        <f t="shared" si="41"/>
        <v>13698</v>
      </c>
    </row>
    <row r="844" spans="1:15" x14ac:dyDescent="0.3">
      <c r="A844" s="12" t="s">
        <v>1081</v>
      </c>
      <c r="B844" s="12" t="s">
        <v>282</v>
      </c>
      <c r="C844" s="12" t="s">
        <v>44</v>
      </c>
      <c r="D844" s="12" t="s">
        <v>45</v>
      </c>
      <c r="E844" s="12" t="s">
        <v>32</v>
      </c>
      <c r="F844" s="12" t="s">
        <v>39</v>
      </c>
      <c r="G844" s="12" t="s">
        <v>18</v>
      </c>
      <c r="H844" s="12">
        <v>13826</v>
      </c>
      <c r="I844" s="12" t="s">
        <v>33</v>
      </c>
      <c r="J844" s="26">
        <v>0.3</v>
      </c>
      <c r="K844" s="12">
        <v>13000</v>
      </c>
      <c r="L844" s="14">
        <v>45308</v>
      </c>
      <c r="M844" s="8" t="str">
        <f t="shared" si="39"/>
        <v>Below Target</v>
      </c>
      <c r="N844" s="20">
        <f t="shared" si="40"/>
        <v>30</v>
      </c>
      <c r="O844" s="22">
        <f t="shared" si="41"/>
        <v>9678.2000000000007</v>
      </c>
    </row>
    <row r="845" spans="1:15" x14ac:dyDescent="0.3">
      <c r="A845" s="12" t="s">
        <v>1082</v>
      </c>
      <c r="B845" s="12" t="s">
        <v>652</v>
      </c>
      <c r="C845" s="12" t="s">
        <v>30</v>
      </c>
      <c r="D845" s="12" t="s">
        <v>31</v>
      </c>
      <c r="E845" s="12" t="s">
        <v>46</v>
      </c>
      <c r="F845" s="12" t="s">
        <v>39</v>
      </c>
      <c r="G845" s="12" t="s">
        <v>26</v>
      </c>
      <c r="H845" s="12">
        <v>16326</v>
      </c>
      <c r="I845" s="12" t="s">
        <v>22</v>
      </c>
      <c r="J845" s="26">
        <v>0.1</v>
      </c>
      <c r="K845" s="12">
        <v>17000</v>
      </c>
      <c r="L845" s="14">
        <v>45299</v>
      </c>
      <c r="M845" s="8" t="str">
        <f t="shared" si="39"/>
        <v>Below Target</v>
      </c>
      <c r="N845" s="20">
        <f t="shared" si="40"/>
        <v>10</v>
      </c>
      <c r="O845" s="22">
        <f t="shared" si="41"/>
        <v>14693.4</v>
      </c>
    </row>
    <row r="846" spans="1:15" x14ac:dyDescent="0.3">
      <c r="A846" s="12" t="s">
        <v>1083</v>
      </c>
      <c r="B846" s="12" t="s">
        <v>317</v>
      </c>
      <c r="C846" s="12" t="s">
        <v>30</v>
      </c>
      <c r="D846" s="12" t="s">
        <v>31</v>
      </c>
      <c r="E846" s="12" t="s">
        <v>46</v>
      </c>
      <c r="F846" s="12" t="s">
        <v>39</v>
      </c>
      <c r="G846" s="12" t="s">
        <v>26</v>
      </c>
      <c r="H846" s="12">
        <v>17523</v>
      </c>
      <c r="I846" s="12" t="s">
        <v>22</v>
      </c>
      <c r="J846" s="26">
        <v>0.1</v>
      </c>
      <c r="K846" s="12">
        <v>17000</v>
      </c>
      <c r="L846" s="14">
        <v>45345</v>
      </c>
      <c r="M846" s="8" t="str">
        <f t="shared" si="39"/>
        <v>Below Target</v>
      </c>
      <c r="N846" s="20">
        <f t="shared" si="40"/>
        <v>10</v>
      </c>
      <c r="O846" s="22">
        <f t="shared" si="41"/>
        <v>15770.7</v>
      </c>
    </row>
    <row r="847" spans="1:15" x14ac:dyDescent="0.3">
      <c r="A847" s="12" t="s">
        <v>1084</v>
      </c>
      <c r="B847" s="12" t="s">
        <v>35</v>
      </c>
      <c r="C847" s="12" t="s">
        <v>30</v>
      </c>
      <c r="D847" s="12" t="s">
        <v>31</v>
      </c>
      <c r="E847" s="12" t="s">
        <v>46</v>
      </c>
      <c r="F847" s="12" t="s">
        <v>39</v>
      </c>
      <c r="G847" s="12" t="s">
        <v>36</v>
      </c>
      <c r="H847" s="12">
        <v>18752</v>
      </c>
      <c r="I847" s="12"/>
      <c r="J847" s="26"/>
      <c r="K847" s="12">
        <v>17000</v>
      </c>
      <c r="L847" s="14">
        <v>45343</v>
      </c>
      <c r="M847" s="8" t="str">
        <f t="shared" si="39"/>
        <v>Target Achieved</v>
      </c>
      <c r="N847" s="20">
        <f t="shared" si="40"/>
        <v>0</v>
      </c>
      <c r="O847" s="22">
        <f t="shared" si="41"/>
        <v>18752</v>
      </c>
    </row>
    <row r="848" spans="1:15" x14ac:dyDescent="0.3">
      <c r="A848" s="12" t="s">
        <v>1085</v>
      </c>
      <c r="B848" s="12" t="s">
        <v>68</v>
      </c>
      <c r="C848" s="12" t="s">
        <v>44</v>
      </c>
      <c r="D848" s="12" t="s">
        <v>45</v>
      </c>
      <c r="E848" s="12" t="s">
        <v>46</v>
      </c>
      <c r="F848" s="12" t="s">
        <v>25</v>
      </c>
      <c r="G848" s="12" t="s">
        <v>26</v>
      </c>
      <c r="H848" s="12">
        <v>12886</v>
      </c>
      <c r="I848" s="12" t="s">
        <v>27</v>
      </c>
      <c r="J848" s="26"/>
      <c r="K848" s="12">
        <v>13000</v>
      </c>
      <c r="L848" s="14">
        <v>45349</v>
      </c>
      <c r="M848" s="8" t="str">
        <f t="shared" si="39"/>
        <v>Below Target</v>
      </c>
      <c r="N848" s="20">
        <f t="shared" si="40"/>
        <v>15</v>
      </c>
      <c r="O848" s="22">
        <f t="shared" si="41"/>
        <v>10953.1</v>
      </c>
    </row>
    <row r="849" spans="1:15" x14ac:dyDescent="0.3">
      <c r="A849" s="12" t="s">
        <v>1086</v>
      </c>
      <c r="B849" s="12" t="s">
        <v>802</v>
      </c>
      <c r="C849" s="12" t="s">
        <v>61</v>
      </c>
      <c r="D849" s="12" t="s">
        <v>62</v>
      </c>
      <c r="E849" s="12" t="s">
        <v>16</v>
      </c>
      <c r="F849" s="12" t="s">
        <v>25</v>
      </c>
      <c r="G849" s="12" t="s">
        <v>26</v>
      </c>
      <c r="H849" s="12">
        <v>8226</v>
      </c>
      <c r="I849" s="12" t="s">
        <v>27</v>
      </c>
      <c r="J849" s="26"/>
      <c r="K849" s="12">
        <v>9000</v>
      </c>
      <c r="L849" s="14">
        <v>45338</v>
      </c>
      <c r="M849" s="8" t="str">
        <f t="shared" si="39"/>
        <v>Below Target</v>
      </c>
      <c r="N849" s="20">
        <f t="shared" si="40"/>
        <v>15</v>
      </c>
      <c r="O849" s="22">
        <f t="shared" si="41"/>
        <v>6992.1</v>
      </c>
    </row>
    <row r="850" spans="1:15" x14ac:dyDescent="0.3">
      <c r="A850" s="12" t="s">
        <v>1087</v>
      </c>
      <c r="B850" s="12" t="s">
        <v>317</v>
      </c>
      <c r="C850" s="12" t="s">
        <v>14</v>
      </c>
      <c r="D850" s="12" t="s">
        <v>15</v>
      </c>
      <c r="E850" s="12" t="s">
        <v>32</v>
      </c>
      <c r="F850" s="12" t="s">
        <v>39</v>
      </c>
      <c r="G850" s="12" t="s">
        <v>26</v>
      </c>
      <c r="H850" s="12">
        <v>13358</v>
      </c>
      <c r="I850" s="12" t="s">
        <v>33</v>
      </c>
      <c r="J850" s="26">
        <v>0.3</v>
      </c>
      <c r="K850" s="12">
        <v>14000</v>
      </c>
      <c r="L850" s="14">
        <v>45296</v>
      </c>
      <c r="M850" s="8" t="str">
        <f t="shared" si="39"/>
        <v>Below Target</v>
      </c>
      <c r="N850" s="20">
        <f t="shared" si="40"/>
        <v>30</v>
      </c>
      <c r="O850" s="22">
        <f t="shared" si="41"/>
        <v>9350.6</v>
      </c>
    </row>
    <row r="851" spans="1:15" x14ac:dyDescent="0.3">
      <c r="A851" s="12" t="s">
        <v>1088</v>
      </c>
      <c r="B851" s="12" t="s">
        <v>256</v>
      </c>
      <c r="C851" s="12" t="s">
        <v>14</v>
      </c>
      <c r="D851" s="12" t="s">
        <v>15</v>
      </c>
      <c r="E851" s="12" t="s">
        <v>46</v>
      </c>
      <c r="F851" s="12" t="s">
        <v>17</v>
      </c>
      <c r="G851" s="12" t="s">
        <v>26</v>
      </c>
      <c r="H851" s="12">
        <v>14188</v>
      </c>
      <c r="I851" s="12" t="s">
        <v>19</v>
      </c>
      <c r="J851" s="26">
        <v>0.2</v>
      </c>
      <c r="K851" s="12">
        <v>14000</v>
      </c>
      <c r="L851" s="14">
        <v>45328</v>
      </c>
      <c r="M851" s="8" t="str">
        <f t="shared" si="39"/>
        <v>Below Target</v>
      </c>
      <c r="N851" s="20">
        <f t="shared" si="40"/>
        <v>20</v>
      </c>
      <c r="O851" s="22">
        <f t="shared" si="41"/>
        <v>11350.4</v>
      </c>
    </row>
    <row r="852" spans="1:15" x14ac:dyDescent="0.3">
      <c r="A852" s="12" t="s">
        <v>1089</v>
      </c>
      <c r="B852" s="12" t="s">
        <v>337</v>
      </c>
      <c r="C852" s="12" t="s">
        <v>44</v>
      </c>
      <c r="D852" s="12" t="s">
        <v>45</v>
      </c>
      <c r="E852" s="12" t="s">
        <v>16</v>
      </c>
      <c r="F852" s="12" t="s">
        <v>25</v>
      </c>
      <c r="G852" s="12" t="s">
        <v>36</v>
      </c>
      <c r="H852" s="12">
        <v>13888</v>
      </c>
      <c r="I852" s="12" t="s">
        <v>33</v>
      </c>
      <c r="J852" s="26">
        <v>0.3</v>
      </c>
      <c r="K852" s="12">
        <v>13000</v>
      </c>
      <c r="L852" s="14">
        <v>45337</v>
      </c>
      <c r="M852" s="8" t="str">
        <f t="shared" si="39"/>
        <v>Below Target</v>
      </c>
      <c r="N852" s="20">
        <f t="shared" si="40"/>
        <v>30</v>
      </c>
      <c r="O852" s="22">
        <f t="shared" si="41"/>
        <v>9721.6</v>
      </c>
    </row>
    <row r="853" spans="1:15" x14ac:dyDescent="0.3">
      <c r="A853" s="12" t="s">
        <v>1090</v>
      </c>
      <c r="B853" s="12" t="s">
        <v>584</v>
      </c>
      <c r="C853" s="12" t="s">
        <v>61</v>
      </c>
      <c r="D853" s="12" t="s">
        <v>62</v>
      </c>
      <c r="E853" s="12" t="s">
        <v>32</v>
      </c>
      <c r="F853" s="12" t="s">
        <v>17</v>
      </c>
      <c r="G853" s="12" t="s">
        <v>18</v>
      </c>
      <c r="H853" s="12">
        <v>8522</v>
      </c>
      <c r="I853" s="12"/>
      <c r="J853" s="26"/>
      <c r="K853" s="12">
        <v>9000</v>
      </c>
      <c r="L853" s="14">
        <v>45345</v>
      </c>
      <c r="M853" s="8" t="str">
        <f t="shared" si="39"/>
        <v>Target Achieved</v>
      </c>
      <c r="N853" s="20">
        <f t="shared" si="40"/>
        <v>0</v>
      </c>
      <c r="O853" s="22">
        <f t="shared" si="41"/>
        <v>8522</v>
      </c>
    </row>
    <row r="854" spans="1:15" x14ac:dyDescent="0.3">
      <c r="A854" s="12" t="s">
        <v>1091</v>
      </c>
      <c r="B854" s="12" t="s">
        <v>289</v>
      </c>
      <c r="C854" s="12" t="s">
        <v>30</v>
      </c>
      <c r="D854" s="12" t="s">
        <v>31</v>
      </c>
      <c r="E854" s="12" t="s">
        <v>32</v>
      </c>
      <c r="F854" s="12" t="s">
        <v>25</v>
      </c>
      <c r="G854" s="12" t="s">
        <v>36</v>
      </c>
      <c r="H854" s="12">
        <v>18215</v>
      </c>
      <c r="I854" s="12" t="s">
        <v>22</v>
      </c>
      <c r="J854" s="26">
        <v>0.1</v>
      </c>
      <c r="K854" s="12">
        <v>17000</v>
      </c>
      <c r="L854" s="14">
        <v>45341</v>
      </c>
      <c r="M854" s="8" t="str">
        <f t="shared" si="39"/>
        <v>Below Target</v>
      </c>
      <c r="N854" s="20">
        <f t="shared" si="40"/>
        <v>10</v>
      </c>
      <c r="O854" s="22">
        <f t="shared" si="41"/>
        <v>16393.5</v>
      </c>
    </row>
    <row r="855" spans="1:15" x14ac:dyDescent="0.3">
      <c r="A855" s="12" t="s">
        <v>1092</v>
      </c>
      <c r="B855" s="12" t="s">
        <v>229</v>
      </c>
      <c r="C855" s="12" t="s">
        <v>61</v>
      </c>
      <c r="D855" s="12" t="s">
        <v>62</v>
      </c>
      <c r="E855" s="12" t="s">
        <v>16</v>
      </c>
      <c r="F855" s="12" t="s">
        <v>25</v>
      </c>
      <c r="G855" s="12" t="s">
        <v>36</v>
      </c>
      <c r="H855" s="12">
        <v>10706</v>
      </c>
      <c r="I855" s="12" t="s">
        <v>27</v>
      </c>
      <c r="J855" s="26"/>
      <c r="K855" s="12">
        <v>9000</v>
      </c>
      <c r="L855" s="14">
        <v>45301</v>
      </c>
      <c r="M855" s="8" t="str">
        <f t="shared" si="39"/>
        <v>Below Target</v>
      </c>
      <c r="N855" s="20">
        <f t="shared" si="40"/>
        <v>15</v>
      </c>
      <c r="O855" s="22">
        <f t="shared" si="41"/>
        <v>9100.1</v>
      </c>
    </row>
    <row r="856" spans="1:15" x14ac:dyDescent="0.3">
      <c r="A856" s="12" t="s">
        <v>1093</v>
      </c>
      <c r="B856" s="12" t="s">
        <v>391</v>
      </c>
      <c r="C856" s="12" t="s">
        <v>61</v>
      </c>
      <c r="D856" s="12" t="s">
        <v>62</v>
      </c>
      <c r="E856" s="12" t="s">
        <v>16</v>
      </c>
      <c r="F856" s="12" t="s">
        <v>39</v>
      </c>
      <c r="G856" s="12" t="s">
        <v>36</v>
      </c>
      <c r="H856" s="12">
        <v>10176</v>
      </c>
      <c r="I856" s="12" t="s">
        <v>33</v>
      </c>
      <c r="J856" s="26">
        <v>0.3</v>
      </c>
      <c r="K856" s="12">
        <v>9000</v>
      </c>
      <c r="L856" s="14">
        <v>45301</v>
      </c>
      <c r="M856" s="8" t="str">
        <f t="shared" si="39"/>
        <v>Below Target</v>
      </c>
      <c r="N856" s="20">
        <f t="shared" si="40"/>
        <v>30</v>
      </c>
      <c r="O856" s="22">
        <f t="shared" si="41"/>
        <v>7123.2</v>
      </c>
    </row>
    <row r="857" spans="1:15" x14ac:dyDescent="0.3">
      <c r="A857" s="12" t="s">
        <v>1094</v>
      </c>
      <c r="B857" s="12" t="s">
        <v>140</v>
      </c>
      <c r="C857" s="12" t="s">
        <v>14</v>
      </c>
      <c r="D857" s="12" t="s">
        <v>15</v>
      </c>
      <c r="E857" s="12" t="s">
        <v>16</v>
      </c>
      <c r="F857" s="12" t="s">
        <v>39</v>
      </c>
      <c r="G857" s="12" t="s">
        <v>18</v>
      </c>
      <c r="H857" s="12">
        <v>12840</v>
      </c>
      <c r="I857" s="12" t="s">
        <v>22</v>
      </c>
      <c r="J857" s="26">
        <v>0.1</v>
      </c>
      <c r="K857" s="12">
        <v>14000</v>
      </c>
      <c r="L857" s="14">
        <v>45321</v>
      </c>
      <c r="M857" s="8" t="str">
        <f t="shared" si="39"/>
        <v>Below Target</v>
      </c>
      <c r="N857" s="20">
        <f t="shared" si="40"/>
        <v>10</v>
      </c>
      <c r="O857" s="22">
        <f t="shared" si="41"/>
        <v>11556</v>
      </c>
    </row>
    <row r="858" spans="1:15" x14ac:dyDescent="0.3">
      <c r="A858" s="12" t="s">
        <v>1095</v>
      </c>
      <c r="B858" s="12" t="s">
        <v>101</v>
      </c>
      <c r="C858" s="12" t="s">
        <v>14</v>
      </c>
      <c r="D858" s="12" t="s">
        <v>15</v>
      </c>
      <c r="E858" s="12" t="s">
        <v>32</v>
      </c>
      <c r="F858" s="12" t="s">
        <v>17</v>
      </c>
      <c r="G858" s="12" t="s">
        <v>18</v>
      </c>
      <c r="H858" s="12">
        <v>14814</v>
      </c>
      <c r="I858" s="12" t="s">
        <v>27</v>
      </c>
      <c r="J858" s="26"/>
      <c r="K858" s="12">
        <v>14000</v>
      </c>
      <c r="L858" s="14">
        <v>45347</v>
      </c>
      <c r="M858" s="8" t="str">
        <f t="shared" si="39"/>
        <v>Below Target</v>
      </c>
      <c r="N858" s="20">
        <f t="shared" si="40"/>
        <v>15</v>
      </c>
      <c r="O858" s="22">
        <f t="shared" si="41"/>
        <v>12591.9</v>
      </c>
    </row>
    <row r="859" spans="1:15" x14ac:dyDescent="0.3">
      <c r="A859" s="12" t="s">
        <v>1096</v>
      </c>
      <c r="B859" s="12" t="s">
        <v>432</v>
      </c>
      <c r="C859" s="12" t="s">
        <v>61</v>
      </c>
      <c r="D859" s="12" t="s">
        <v>62</v>
      </c>
      <c r="E859" s="12" t="s">
        <v>32</v>
      </c>
      <c r="F859" s="12" t="s">
        <v>25</v>
      </c>
      <c r="G859" s="12" t="s">
        <v>26</v>
      </c>
      <c r="H859" s="12">
        <v>10138</v>
      </c>
      <c r="I859" s="12" t="s">
        <v>33</v>
      </c>
      <c r="J859" s="26">
        <v>0.3</v>
      </c>
      <c r="K859" s="12">
        <v>9000</v>
      </c>
      <c r="L859" s="14">
        <v>45293</v>
      </c>
      <c r="M859" s="8" t="str">
        <f t="shared" si="39"/>
        <v>Below Target</v>
      </c>
      <c r="N859" s="20">
        <f t="shared" si="40"/>
        <v>30</v>
      </c>
      <c r="O859" s="22">
        <f t="shared" si="41"/>
        <v>7096.6</v>
      </c>
    </row>
    <row r="860" spans="1:15" x14ac:dyDescent="0.3">
      <c r="A860" s="12" t="s">
        <v>1097</v>
      </c>
      <c r="B860" s="12" t="s">
        <v>579</v>
      </c>
      <c r="C860" s="12" t="s">
        <v>30</v>
      </c>
      <c r="D860" s="12" t="s">
        <v>31</v>
      </c>
      <c r="E860" s="12" t="s">
        <v>16</v>
      </c>
      <c r="F860" s="12" t="s">
        <v>25</v>
      </c>
      <c r="G860" s="12" t="s">
        <v>36</v>
      </c>
      <c r="H860" s="12">
        <v>15821</v>
      </c>
      <c r="I860" s="12" t="s">
        <v>19</v>
      </c>
      <c r="J860" s="26">
        <v>0.2</v>
      </c>
      <c r="K860" s="12">
        <v>17000</v>
      </c>
      <c r="L860" s="14">
        <v>45310</v>
      </c>
      <c r="M860" s="8" t="str">
        <f t="shared" si="39"/>
        <v>Below Target</v>
      </c>
      <c r="N860" s="20">
        <f t="shared" si="40"/>
        <v>20</v>
      </c>
      <c r="O860" s="22">
        <f t="shared" si="41"/>
        <v>12656.8</v>
      </c>
    </row>
    <row r="861" spans="1:15" x14ac:dyDescent="0.3">
      <c r="A861" s="12" t="s">
        <v>1098</v>
      </c>
      <c r="B861" s="12" t="s">
        <v>307</v>
      </c>
      <c r="C861" s="12" t="s">
        <v>30</v>
      </c>
      <c r="D861" s="12" t="s">
        <v>31</v>
      </c>
      <c r="E861" s="12" t="s">
        <v>46</v>
      </c>
      <c r="F861" s="12" t="s">
        <v>39</v>
      </c>
      <c r="G861" s="12" t="s">
        <v>18</v>
      </c>
      <c r="H861" s="12">
        <v>16116</v>
      </c>
      <c r="I861" s="12" t="s">
        <v>19</v>
      </c>
      <c r="J861" s="26">
        <v>0.2</v>
      </c>
      <c r="K861" s="12">
        <v>17000</v>
      </c>
      <c r="L861" s="14">
        <v>45302</v>
      </c>
      <c r="M861" s="8" t="str">
        <f t="shared" si="39"/>
        <v>Below Target</v>
      </c>
      <c r="N861" s="20">
        <f t="shared" si="40"/>
        <v>20</v>
      </c>
      <c r="O861" s="22">
        <f t="shared" si="41"/>
        <v>12892.8</v>
      </c>
    </row>
    <row r="862" spans="1:15" x14ac:dyDescent="0.3">
      <c r="A862" s="12" t="s">
        <v>1099</v>
      </c>
      <c r="B862" s="12" t="s">
        <v>222</v>
      </c>
      <c r="C862" s="12" t="s">
        <v>14</v>
      </c>
      <c r="D862" s="12" t="s">
        <v>15</v>
      </c>
      <c r="E862" s="12" t="s">
        <v>16</v>
      </c>
      <c r="F862" s="12" t="s">
        <v>39</v>
      </c>
      <c r="G862" s="12" t="s">
        <v>26</v>
      </c>
      <c r="H862" s="12">
        <v>12419</v>
      </c>
      <c r="I862" s="12" t="s">
        <v>19</v>
      </c>
      <c r="J862" s="26">
        <v>0.2</v>
      </c>
      <c r="K862" s="12">
        <v>14000</v>
      </c>
      <c r="L862" s="14">
        <v>45326</v>
      </c>
      <c r="M862" s="8" t="str">
        <f t="shared" si="39"/>
        <v>Below Target</v>
      </c>
      <c r="N862" s="20">
        <f t="shared" si="40"/>
        <v>20</v>
      </c>
      <c r="O862" s="22">
        <f t="shared" si="41"/>
        <v>9935.2000000000007</v>
      </c>
    </row>
    <row r="863" spans="1:15" x14ac:dyDescent="0.3">
      <c r="A863" s="12" t="s">
        <v>1100</v>
      </c>
      <c r="B863" s="12" t="s">
        <v>301</v>
      </c>
      <c r="C863" s="12" t="s">
        <v>30</v>
      </c>
      <c r="D863" s="12" t="s">
        <v>31</v>
      </c>
      <c r="E863" s="12" t="s">
        <v>46</v>
      </c>
      <c r="F863" s="12" t="s">
        <v>25</v>
      </c>
      <c r="G863" s="12" t="s">
        <v>26</v>
      </c>
      <c r="H863" s="12">
        <v>18293</v>
      </c>
      <c r="I863" s="12" t="s">
        <v>33</v>
      </c>
      <c r="J863" s="26">
        <v>0.3</v>
      </c>
      <c r="K863" s="12">
        <v>17000</v>
      </c>
      <c r="L863" s="14">
        <v>45328</v>
      </c>
      <c r="M863" s="8" t="str">
        <f t="shared" si="39"/>
        <v>Below Target</v>
      </c>
      <c r="N863" s="20">
        <f t="shared" si="40"/>
        <v>30</v>
      </c>
      <c r="O863" s="22">
        <f t="shared" si="41"/>
        <v>12805.1</v>
      </c>
    </row>
    <row r="864" spans="1:15" x14ac:dyDescent="0.3">
      <c r="A864" s="12" t="s">
        <v>1101</v>
      </c>
      <c r="B864" s="12" t="s">
        <v>235</v>
      </c>
      <c r="C864" s="12" t="s">
        <v>14</v>
      </c>
      <c r="D864" s="12" t="s">
        <v>15</v>
      </c>
      <c r="E864" s="12" t="s">
        <v>46</v>
      </c>
      <c r="F864" s="12" t="s">
        <v>39</v>
      </c>
      <c r="G864" s="12" t="s">
        <v>36</v>
      </c>
      <c r="H864" s="12">
        <v>14214</v>
      </c>
      <c r="I864" s="12"/>
      <c r="J864" s="26"/>
      <c r="K864" s="12">
        <v>14000</v>
      </c>
      <c r="L864" s="14">
        <v>45295</v>
      </c>
      <c r="M864" s="8" t="str">
        <f t="shared" si="39"/>
        <v>Target Achieved</v>
      </c>
      <c r="N864" s="20">
        <f t="shared" si="40"/>
        <v>0</v>
      </c>
      <c r="O864" s="22">
        <f t="shared" si="41"/>
        <v>14214</v>
      </c>
    </row>
    <row r="865" spans="1:15" x14ac:dyDescent="0.3">
      <c r="A865" s="12" t="s">
        <v>1102</v>
      </c>
      <c r="B865" s="12" t="s">
        <v>557</v>
      </c>
      <c r="C865" s="12" t="s">
        <v>61</v>
      </c>
      <c r="D865" s="12" t="s">
        <v>62</v>
      </c>
      <c r="E865" s="12" t="s">
        <v>16</v>
      </c>
      <c r="F865" s="12" t="s">
        <v>25</v>
      </c>
      <c r="G865" s="12" t="s">
        <v>18</v>
      </c>
      <c r="H865" s="12">
        <v>8571</v>
      </c>
      <c r="I865" s="12" t="s">
        <v>22</v>
      </c>
      <c r="J865" s="26">
        <v>0.1</v>
      </c>
      <c r="K865" s="12">
        <v>9000</v>
      </c>
      <c r="L865" s="14">
        <v>45297</v>
      </c>
      <c r="M865" s="8" t="str">
        <f t="shared" si="39"/>
        <v>Below Target</v>
      </c>
      <c r="N865" s="20">
        <f t="shared" si="40"/>
        <v>10</v>
      </c>
      <c r="O865" s="22">
        <f t="shared" si="41"/>
        <v>7713.9</v>
      </c>
    </row>
    <row r="866" spans="1:15" x14ac:dyDescent="0.3">
      <c r="A866" s="12" t="s">
        <v>1103</v>
      </c>
      <c r="B866" s="12" t="s">
        <v>177</v>
      </c>
      <c r="C866" s="12" t="s">
        <v>44</v>
      </c>
      <c r="D866" s="12" t="s">
        <v>45</v>
      </c>
      <c r="E866" s="12" t="s">
        <v>16</v>
      </c>
      <c r="F866" s="12" t="s">
        <v>39</v>
      </c>
      <c r="G866" s="12" t="s">
        <v>26</v>
      </c>
      <c r="H866" s="12">
        <v>13578</v>
      </c>
      <c r="I866" s="12"/>
      <c r="J866" s="26"/>
      <c r="K866" s="12">
        <v>13000</v>
      </c>
      <c r="L866" s="14">
        <v>45331</v>
      </c>
      <c r="M866" s="8" t="str">
        <f t="shared" si="39"/>
        <v>Target Achieved</v>
      </c>
      <c r="N866" s="20">
        <f t="shared" si="40"/>
        <v>0</v>
      </c>
      <c r="O866" s="22">
        <f t="shared" si="41"/>
        <v>13578</v>
      </c>
    </row>
    <row r="867" spans="1:15" x14ac:dyDescent="0.3">
      <c r="A867" s="12" t="s">
        <v>1104</v>
      </c>
      <c r="B867" s="12" t="s">
        <v>1105</v>
      </c>
      <c r="C867" s="12" t="s">
        <v>30</v>
      </c>
      <c r="D867" s="12" t="s">
        <v>31</v>
      </c>
      <c r="E867" s="12" t="s">
        <v>32</v>
      </c>
      <c r="F867" s="12" t="s">
        <v>39</v>
      </c>
      <c r="G867" s="12" t="s">
        <v>26</v>
      </c>
      <c r="H867" s="12">
        <v>18314</v>
      </c>
      <c r="I867" s="12" t="s">
        <v>27</v>
      </c>
      <c r="J867" s="26"/>
      <c r="K867" s="12">
        <v>17000</v>
      </c>
      <c r="L867" s="14">
        <v>45297</v>
      </c>
      <c r="M867" s="8" t="str">
        <f t="shared" si="39"/>
        <v>Below Target</v>
      </c>
      <c r="N867" s="20">
        <f t="shared" si="40"/>
        <v>15</v>
      </c>
      <c r="O867" s="22">
        <f t="shared" si="41"/>
        <v>15566.9</v>
      </c>
    </row>
    <row r="868" spans="1:15" x14ac:dyDescent="0.3">
      <c r="A868" s="12" t="s">
        <v>1106</v>
      </c>
      <c r="B868" s="12" t="s">
        <v>148</v>
      </c>
      <c r="C868" s="12" t="s">
        <v>61</v>
      </c>
      <c r="D868" s="12" t="s">
        <v>62</v>
      </c>
      <c r="E868" s="12" t="s">
        <v>16</v>
      </c>
      <c r="F868" s="12" t="s">
        <v>25</v>
      </c>
      <c r="G868" s="12" t="s">
        <v>18</v>
      </c>
      <c r="H868" s="12">
        <v>10329</v>
      </c>
      <c r="I868" s="12"/>
      <c r="J868" s="26"/>
      <c r="K868" s="12">
        <v>9000</v>
      </c>
      <c r="L868" s="14">
        <v>45298</v>
      </c>
      <c r="M868" s="8" t="str">
        <f t="shared" si="39"/>
        <v>Target Achieved</v>
      </c>
      <c r="N868" s="20">
        <f t="shared" si="40"/>
        <v>0</v>
      </c>
      <c r="O868" s="22">
        <f t="shared" si="41"/>
        <v>10329</v>
      </c>
    </row>
    <row r="869" spans="1:15" x14ac:dyDescent="0.3">
      <c r="A869" s="12" t="s">
        <v>1107</v>
      </c>
      <c r="B869" s="12" t="s">
        <v>123</v>
      </c>
      <c r="C869" s="12" t="s">
        <v>61</v>
      </c>
      <c r="D869" s="12" t="s">
        <v>62</v>
      </c>
      <c r="E869" s="12" t="s">
        <v>46</v>
      </c>
      <c r="F869" s="12" t="s">
        <v>25</v>
      </c>
      <c r="G869" s="12" t="s">
        <v>18</v>
      </c>
      <c r="H869" s="12">
        <v>7588</v>
      </c>
      <c r="I869" s="12" t="s">
        <v>27</v>
      </c>
      <c r="J869" s="26"/>
      <c r="K869" s="12">
        <v>9000</v>
      </c>
      <c r="L869" s="14">
        <v>45308</v>
      </c>
      <c r="M869" s="8" t="str">
        <f t="shared" si="39"/>
        <v>Below Target</v>
      </c>
      <c r="N869" s="20">
        <f t="shared" si="40"/>
        <v>15</v>
      </c>
      <c r="O869" s="22">
        <f t="shared" si="41"/>
        <v>6449.8</v>
      </c>
    </row>
    <row r="870" spans="1:15" x14ac:dyDescent="0.3">
      <c r="A870" s="12" t="s">
        <v>1108</v>
      </c>
      <c r="B870" s="12" t="s">
        <v>827</v>
      </c>
      <c r="C870" s="12" t="s">
        <v>61</v>
      </c>
      <c r="D870" s="12" t="s">
        <v>62</v>
      </c>
      <c r="E870" s="12" t="s">
        <v>32</v>
      </c>
      <c r="F870" s="12" t="s">
        <v>39</v>
      </c>
      <c r="G870" s="12" t="s">
        <v>26</v>
      </c>
      <c r="H870" s="12">
        <v>8353</v>
      </c>
      <c r="I870" s="12" t="s">
        <v>33</v>
      </c>
      <c r="J870" s="26">
        <v>0.3</v>
      </c>
      <c r="K870" s="12">
        <v>9000</v>
      </c>
      <c r="L870" s="14">
        <v>45321</v>
      </c>
      <c r="M870" s="8" t="str">
        <f t="shared" si="39"/>
        <v>Below Target</v>
      </c>
      <c r="N870" s="20">
        <f t="shared" si="40"/>
        <v>30</v>
      </c>
      <c r="O870" s="22">
        <f t="shared" si="41"/>
        <v>5847.1</v>
      </c>
    </row>
    <row r="871" spans="1:15" x14ac:dyDescent="0.3">
      <c r="A871" s="12" t="s">
        <v>1109</v>
      </c>
      <c r="B871" s="12" t="s">
        <v>711</v>
      </c>
      <c r="C871" s="12" t="s">
        <v>14</v>
      </c>
      <c r="D871" s="12" t="s">
        <v>15</v>
      </c>
      <c r="E871" s="12" t="s">
        <v>46</v>
      </c>
      <c r="F871" s="12" t="s">
        <v>25</v>
      </c>
      <c r="G871" s="12" t="s">
        <v>36</v>
      </c>
      <c r="H871" s="12">
        <v>13960</v>
      </c>
      <c r="I871" s="12"/>
      <c r="J871" s="26"/>
      <c r="K871" s="12">
        <v>14000</v>
      </c>
      <c r="L871" s="14">
        <v>45346</v>
      </c>
      <c r="M871" s="8" t="str">
        <f t="shared" si="39"/>
        <v>Target Achieved</v>
      </c>
      <c r="N871" s="20">
        <f t="shared" si="40"/>
        <v>0</v>
      </c>
      <c r="O871" s="22">
        <f t="shared" si="41"/>
        <v>13960</v>
      </c>
    </row>
    <row r="872" spans="1:15" x14ac:dyDescent="0.3">
      <c r="A872" s="12" t="s">
        <v>1110</v>
      </c>
      <c r="B872" s="12" t="s">
        <v>256</v>
      </c>
      <c r="C872" s="12" t="s">
        <v>30</v>
      </c>
      <c r="D872" s="12" t="s">
        <v>31</v>
      </c>
      <c r="E872" s="12" t="s">
        <v>16</v>
      </c>
      <c r="F872" s="12" t="s">
        <v>39</v>
      </c>
      <c r="G872" s="12" t="s">
        <v>18</v>
      </c>
      <c r="H872" s="12">
        <v>17080</v>
      </c>
      <c r="I872" s="12" t="s">
        <v>22</v>
      </c>
      <c r="J872" s="26">
        <v>0.1</v>
      </c>
      <c r="K872" s="12">
        <v>17000</v>
      </c>
      <c r="L872" s="14">
        <v>45317</v>
      </c>
      <c r="M872" s="8" t="str">
        <f t="shared" si="39"/>
        <v>Below Target</v>
      </c>
      <c r="N872" s="20">
        <f t="shared" si="40"/>
        <v>10</v>
      </c>
      <c r="O872" s="22">
        <f t="shared" si="41"/>
        <v>15372</v>
      </c>
    </row>
    <row r="873" spans="1:15" x14ac:dyDescent="0.3">
      <c r="A873" s="12" t="s">
        <v>1111</v>
      </c>
      <c r="B873" s="12" t="s">
        <v>1112</v>
      </c>
      <c r="C873" s="12" t="s">
        <v>14</v>
      </c>
      <c r="D873" s="12" t="s">
        <v>15</v>
      </c>
      <c r="E873" s="12" t="s">
        <v>46</v>
      </c>
      <c r="F873" s="12" t="s">
        <v>39</v>
      </c>
      <c r="G873" s="12" t="s">
        <v>26</v>
      </c>
      <c r="H873" s="12">
        <v>12290</v>
      </c>
      <c r="I873" s="12" t="s">
        <v>33</v>
      </c>
      <c r="J873" s="26">
        <v>0.3</v>
      </c>
      <c r="K873" s="12">
        <v>14000</v>
      </c>
      <c r="L873" s="14">
        <v>45326</v>
      </c>
      <c r="M873" s="8" t="str">
        <f t="shared" si="39"/>
        <v>Below Target</v>
      </c>
      <c r="N873" s="20">
        <f t="shared" si="40"/>
        <v>30</v>
      </c>
      <c r="O873" s="22">
        <f t="shared" si="41"/>
        <v>8603</v>
      </c>
    </row>
    <row r="874" spans="1:15" x14ac:dyDescent="0.3">
      <c r="A874" s="12" t="s">
        <v>1113</v>
      </c>
      <c r="B874" s="12" t="s">
        <v>52</v>
      </c>
      <c r="C874" s="12" t="s">
        <v>61</v>
      </c>
      <c r="D874" s="12" t="s">
        <v>62</v>
      </c>
      <c r="E874" s="12" t="s">
        <v>32</v>
      </c>
      <c r="F874" s="12" t="s">
        <v>39</v>
      </c>
      <c r="G874" s="12" t="s">
        <v>18</v>
      </c>
      <c r="H874" s="12">
        <v>9244</v>
      </c>
      <c r="I874" s="12" t="s">
        <v>19</v>
      </c>
      <c r="J874" s="26">
        <v>0.2</v>
      </c>
      <c r="K874" s="12">
        <v>9000</v>
      </c>
      <c r="L874" s="14">
        <v>45322</v>
      </c>
      <c r="M874" s="8" t="str">
        <f t="shared" si="39"/>
        <v>Below Target</v>
      </c>
      <c r="N874" s="20">
        <f t="shared" si="40"/>
        <v>20</v>
      </c>
      <c r="O874" s="22">
        <f t="shared" si="41"/>
        <v>7395.2</v>
      </c>
    </row>
    <row r="875" spans="1:15" x14ac:dyDescent="0.3">
      <c r="A875" s="12" t="s">
        <v>1114</v>
      </c>
      <c r="B875" s="12" t="s">
        <v>41</v>
      </c>
      <c r="C875" s="12" t="s">
        <v>30</v>
      </c>
      <c r="D875" s="12" t="s">
        <v>31</v>
      </c>
      <c r="E875" s="12" t="s">
        <v>32</v>
      </c>
      <c r="F875" s="12" t="s">
        <v>39</v>
      </c>
      <c r="G875" s="12" t="s">
        <v>26</v>
      </c>
      <c r="H875" s="12">
        <v>16765</v>
      </c>
      <c r="I875" s="12"/>
      <c r="J875" s="26"/>
      <c r="K875" s="12">
        <v>17000</v>
      </c>
      <c r="L875" s="14">
        <v>45328</v>
      </c>
      <c r="M875" s="8" t="str">
        <f t="shared" si="39"/>
        <v>Target Achieved</v>
      </c>
      <c r="N875" s="20">
        <f t="shared" si="40"/>
        <v>0</v>
      </c>
      <c r="O875" s="22">
        <f t="shared" si="41"/>
        <v>16765</v>
      </c>
    </row>
    <row r="876" spans="1:15" x14ac:dyDescent="0.3">
      <c r="A876" s="12" t="s">
        <v>1115</v>
      </c>
      <c r="B876" s="12" t="s">
        <v>602</v>
      </c>
      <c r="C876" s="12" t="s">
        <v>44</v>
      </c>
      <c r="D876" s="12" t="s">
        <v>45</v>
      </c>
      <c r="E876" s="12" t="s">
        <v>32</v>
      </c>
      <c r="F876" s="12" t="s">
        <v>39</v>
      </c>
      <c r="G876" s="12" t="s">
        <v>26</v>
      </c>
      <c r="H876" s="12">
        <v>11319</v>
      </c>
      <c r="I876" s="12" t="s">
        <v>27</v>
      </c>
      <c r="J876" s="26"/>
      <c r="K876" s="12">
        <v>13000</v>
      </c>
      <c r="L876" s="14">
        <v>45345</v>
      </c>
      <c r="M876" s="8" t="str">
        <f t="shared" si="39"/>
        <v>Below Target</v>
      </c>
      <c r="N876" s="20">
        <f t="shared" si="40"/>
        <v>15</v>
      </c>
      <c r="O876" s="22">
        <f t="shared" si="41"/>
        <v>9621.15</v>
      </c>
    </row>
    <row r="877" spans="1:15" x14ac:dyDescent="0.3">
      <c r="A877" s="12" t="s">
        <v>1116</v>
      </c>
      <c r="B877" s="12" t="s">
        <v>227</v>
      </c>
      <c r="C877" s="12" t="s">
        <v>61</v>
      </c>
      <c r="D877" s="12" t="s">
        <v>62</v>
      </c>
      <c r="E877" s="12" t="s">
        <v>46</v>
      </c>
      <c r="F877" s="12" t="s">
        <v>39</v>
      </c>
      <c r="G877" s="12" t="s">
        <v>18</v>
      </c>
      <c r="H877" s="12">
        <v>10367</v>
      </c>
      <c r="I877" s="12"/>
      <c r="J877" s="26"/>
      <c r="K877" s="12">
        <v>9000</v>
      </c>
      <c r="L877" s="14">
        <v>45303</v>
      </c>
      <c r="M877" s="8" t="str">
        <f t="shared" si="39"/>
        <v>Target Achieved</v>
      </c>
      <c r="N877" s="20">
        <f t="shared" si="40"/>
        <v>0</v>
      </c>
      <c r="O877" s="22">
        <f t="shared" si="41"/>
        <v>10367</v>
      </c>
    </row>
    <row r="878" spans="1:15" x14ac:dyDescent="0.3">
      <c r="A878" s="12" t="s">
        <v>1117</v>
      </c>
      <c r="B878" s="12" t="s">
        <v>70</v>
      </c>
      <c r="C878" s="12" t="s">
        <v>14</v>
      </c>
      <c r="D878" s="12" t="s">
        <v>15</v>
      </c>
      <c r="E878" s="12" t="s">
        <v>16</v>
      </c>
      <c r="F878" s="12" t="s">
        <v>25</v>
      </c>
      <c r="G878" s="12" t="s">
        <v>26</v>
      </c>
      <c r="H878" s="12">
        <v>15334</v>
      </c>
      <c r="I878" s="12" t="s">
        <v>27</v>
      </c>
      <c r="J878" s="26"/>
      <c r="K878" s="12">
        <v>14000</v>
      </c>
      <c r="L878" s="14">
        <v>45341</v>
      </c>
      <c r="M878" s="8" t="str">
        <f t="shared" si="39"/>
        <v>Below Target</v>
      </c>
      <c r="N878" s="20">
        <f t="shared" si="40"/>
        <v>15</v>
      </c>
      <c r="O878" s="22">
        <f t="shared" si="41"/>
        <v>13033.9</v>
      </c>
    </row>
    <row r="879" spans="1:15" x14ac:dyDescent="0.3">
      <c r="A879" s="12" t="s">
        <v>1118</v>
      </c>
      <c r="B879" s="12" t="s">
        <v>487</v>
      </c>
      <c r="C879" s="12" t="s">
        <v>30</v>
      </c>
      <c r="D879" s="12" t="s">
        <v>31</v>
      </c>
      <c r="E879" s="12" t="s">
        <v>46</v>
      </c>
      <c r="F879" s="12" t="s">
        <v>39</v>
      </c>
      <c r="G879" s="12" t="s">
        <v>26</v>
      </c>
      <c r="H879" s="12">
        <v>15251</v>
      </c>
      <c r="I879" s="12" t="s">
        <v>22</v>
      </c>
      <c r="J879" s="26">
        <v>0.1</v>
      </c>
      <c r="K879" s="12">
        <v>17000</v>
      </c>
      <c r="L879" s="14">
        <v>45305</v>
      </c>
      <c r="M879" s="8" t="str">
        <f t="shared" si="39"/>
        <v>Below Target</v>
      </c>
      <c r="N879" s="20">
        <f t="shared" si="40"/>
        <v>10</v>
      </c>
      <c r="O879" s="22">
        <f t="shared" si="41"/>
        <v>13725.9</v>
      </c>
    </row>
    <row r="880" spans="1:15" x14ac:dyDescent="0.3">
      <c r="A880" s="12" t="s">
        <v>1119</v>
      </c>
      <c r="B880" s="12" t="s">
        <v>412</v>
      </c>
      <c r="C880" s="12" t="s">
        <v>14</v>
      </c>
      <c r="D880" s="12" t="s">
        <v>15</v>
      </c>
      <c r="E880" s="12" t="s">
        <v>32</v>
      </c>
      <c r="F880" s="12" t="s">
        <v>39</v>
      </c>
      <c r="G880" s="12" t="s">
        <v>18</v>
      </c>
      <c r="H880" s="12">
        <v>13855</v>
      </c>
      <c r="I880" s="12" t="s">
        <v>27</v>
      </c>
      <c r="J880" s="26"/>
      <c r="K880" s="12">
        <v>14000</v>
      </c>
      <c r="L880" s="14">
        <v>45310</v>
      </c>
      <c r="M880" s="8" t="str">
        <f t="shared" si="39"/>
        <v>Below Target</v>
      </c>
      <c r="N880" s="20">
        <f t="shared" si="40"/>
        <v>15</v>
      </c>
      <c r="O880" s="22">
        <f t="shared" si="41"/>
        <v>11776.75</v>
      </c>
    </row>
    <row r="881" spans="1:15" x14ac:dyDescent="0.3">
      <c r="A881" s="12" t="s">
        <v>1120</v>
      </c>
      <c r="B881" s="12" t="s">
        <v>617</v>
      </c>
      <c r="C881" s="12" t="s">
        <v>61</v>
      </c>
      <c r="D881" s="12" t="s">
        <v>62</v>
      </c>
      <c r="E881" s="12" t="s">
        <v>32</v>
      </c>
      <c r="F881" s="12" t="s">
        <v>25</v>
      </c>
      <c r="G881" s="12" t="s">
        <v>26</v>
      </c>
      <c r="H881" s="12">
        <v>10593</v>
      </c>
      <c r="I881" s="12" t="s">
        <v>33</v>
      </c>
      <c r="J881" s="26">
        <v>0.3</v>
      </c>
      <c r="K881" s="12">
        <v>9000</v>
      </c>
      <c r="L881" s="14">
        <v>45311</v>
      </c>
      <c r="M881" s="8" t="str">
        <f t="shared" si="39"/>
        <v>Below Target</v>
      </c>
      <c r="N881" s="20">
        <f t="shared" si="40"/>
        <v>30</v>
      </c>
      <c r="O881" s="22">
        <f t="shared" si="41"/>
        <v>7415.1</v>
      </c>
    </row>
    <row r="882" spans="1:15" x14ac:dyDescent="0.3">
      <c r="A882" s="12" t="s">
        <v>1121</v>
      </c>
      <c r="B882" s="12" t="s">
        <v>579</v>
      </c>
      <c r="C882" s="12" t="s">
        <v>30</v>
      </c>
      <c r="D882" s="12" t="s">
        <v>31</v>
      </c>
      <c r="E882" s="12" t="s">
        <v>46</v>
      </c>
      <c r="F882" s="12" t="s">
        <v>39</v>
      </c>
      <c r="G882" s="12" t="s">
        <v>36</v>
      </c>
      <c r="H882" s="12">
        <v>15365</v>
      </c>
      <c r="I882" s="12" t="s">
        <v>27</v>
      </c>
      <c r="J882" s="26"/>
      <c r="K882" s="12">
        <v>17000</v>
      </c>
      <c r="L882" s="14">
        <v>45292</v>
      </c>
      <c r="M882" s="8" t="str">
        <f t="shared" si="39"/>
        <v>Below Target</v>
      </c>
      <c r="N882" s="20">
        <f t="shared" si="40"/>
        <v>15</v>
      </c>
      <c r="O882" s="22">
        <f t="shared" si="41"/>
        <v>13060.25</v>
      </c>
    </row>
    <row r="883" spans="1:15" x14ac:dyDescent="0.3">
      <c r="A883" s="12" t="s">
        <v>1122</v>
      </c>
      <c r="B883" s="12" t="s">
        <v>86</v>
      </c>
      <c r="C883" s="12" t="s">
        <v>61</v>
      </c>
      <c r="D883" s="12" t="s">
        <v>62</v>
      </c>
      <c r="E883" s="12" t="s">
        <v>32</v>
      </c>
      <c r="F883" s="12" t="s">
        <v>17</v>
      </c>
      <c r="G883" s="12" t="s">
        <v>18</v>
      </c>
      <c r="H883" s="12">
        <v>8512</v>
      </c>
      <c r="I883" s="12" t="s">
        <v>27</v>
      </c>
      <c r="J883" s="26"/>
      <c r="K883" s="12">
        <v>9000</v>
      </c>
      <c r="L883" s="14">
        <v>45295</v>
      </c>
      <c r="M883" s="8" t="str">
        <f t="shared" si="39"/>
        <v>Below Target</v>
      </c>
      <c r="N883" s="20">
        <f t="shared" si="40"/>
        <v>15</v>
      </c>
      <c r="O883" s="22">
        <f t="shared" si="41"/>
        <v>7235.2</v>
      </c>
    </row>
    <row r="884" spans="1:15" x14ac:dyDescent="0.3">
      <c r="A884" s="12" t="s">
        <v>1123</v>
      </c>
      <c r="B884" s="12" t="s">
        <v>190</v>
      </c>
      <c r="C884" s="12" t="s">
        <v>30</v>
      </c>
      <c r="D884" s="12" t="s">
        <v>31</v>
      </c>
      <c r="E884" s="12" t="s">
        <v>32</v>
      </c>
      <c r="F884" s="12" t="s">
        <v>17</v>
      </c>
      <c r="G884" s="12" t="s">
        <v>18</v>
      </c>
      <c r="H884" s="12">
        <v>15963</v>
      </c>
      <c r="I884" s="12"/>
      <c r="J884" s="26"/>
      <c r="K884" s="12">
        <v>17000</v>
      </c>
      <c r="L884" s="14">
        <v>45336</v>
      </c>
      <c r="M884" s="8" t="str">
        <f t="shared" si="39"/>
        <v>Target Achieved</v>
      </c>
      <c r="N884" s="20">
        <f t="shared" si="40"/>
        <v>0</v>
      </c>
      <c r="O884" s="22">
        <f t="shared" si="41"/>
        <v>15963</v>
      </c>
    </row>
    <row r="885" spans="1:15" x14ac:dyDescent="0.3">
      <c r="A885" s="12" t="s">
        <v>1124</v>
      </c>
      <c r="B885" s="12" t="s">
        <v>337</v>
      </c>
      <c r="C885" s="12" t="s">
        <v>30</v>
      </c>
      <c r="D885" s="12" t="s">
        <v>31</v>
      </c>
      <c r="E885" s="12" t="s">
        <v>16</v>
      </c>
      <c r="F885" s="12" t="s">
        <v>17</v>
      </c>
      <c r="G885" s="12" t="s">
        <v>36</v>
      </c>
      <c r="H885" s="12">
        <v>16562</v>
      </c>
      <c r="I885" s="12"/>
      <c r="J885" s="26"/>
      <c r="K885" s="12">
        <v>17000</v>
      </c>
      <c r="L885" s="14">
        <v>45326</v>
      </c>
      <c r="M885" s="8" t="str">
        <f t="shared" si="39"/>
        <v>Target Achieved</v>
      </c>
      <c r="N885" s="20">
        <f t="shared" si="40"/>
        <v>0</v>
      </c>
      <c r="O885" s="22">
        <f t="shared" si="41"/>
        <v>16562</v>
      </c>
    </row>
    <row r="886" spans="1:15" x14ac:dyDescent="0.3">
      <c r="A886" s="12" t="s">
        <v>1125</v>
      </c>
      <c r="B886" s="12" t="s">
        <v>817</v>
      </c>
      <c r="C886" s="12" t="s">
        <v>44</v>
      </c>
      <c r="D886" s="12" t="s">
        <v>45</v>
      </c>
      <c r="E886" s="12" t="s">
        <v>46</v>
      </c>
      <c r="F886" s="12" t="s">
        <v>25</v>
      </c>
      <c r="G886" s="12" t="s">
        <v>18</v>
      </c>
      <c r="H886" s="12">
        <v>13275</v>
      </c>
      <c r="I886" s="12"/>
      <c r="J886" s="26"/>
      <c r="K886" s="12">
        <v>13000</v>
      </c>
      <c r="L886" s="14">
        <v>45345</v>
      </c>
      <c r="M886" s="8" t="str">
        <f t="shared" si="39"/>
        <v>Target Achieved</v>
      </c>
      <c r="N886" s="20">
        <f t="shared" si="40"/>
        <v>0</v>
      </c>
      <c r="O886" s="22">
        <f t="shared" si="41"/>
        <v>13275</v>
      </c>
    </row>
    <row r="887" spans="1:15" x14ac:dyDescent="0.3">
      <c r="A887" s="12" t="s">
        <v>1126</v>
      </c>
      <c r="B887" s="12" t="s">
        <v>827</v>
      </c>
      <c r="C887" s="12" t="s">
        <v>61</v>
      </c>
      <c r="D887" s="12" t="s">
        <v>62</v>
      </c>
      <c r="E887" s="12" t="s">
        <v>32</v>
      </c>
      <c r="F887" s="12" t="s">
        <v>17</v>
      </c>
      <c r="G887" s="12" t="s">
        <v>26</v>
      </c>
      <c r="H887" s="12">
        <v>7514</v>
      </c>
      <c r="I887" s="12" t="s">
        <v>19</v>
      </c>
      <c r="J887" s="26">
        <v>0.2</v>
      </c>
      <c r="K887" s="12">
        <v>9000</v>
      </c>
      <c r="L887" s="14">
        <v>45292</v>
      </c>
      <c r="M887" s="8" t="str">
        <f t="shared" si="39"/>
        <v>Below Target</v>
      </c>
      <c r="N887" s="20">
        <f t="shared" si="40"/>
        <v>20</v>
      </c>
      <c r="O887" s="22">
        <f t="shared" si="41"/>
        <v>6011.2</v>
      </c>
    </row>
    <row r="888" spans="1:15" x14ac:dyDescent="0.3">
      <c r="A888" s="12" t="s">
        <v>1127</v>
      </c>
      <c r="B888" s="12" t="s">
        <v>21</v>
      </c>
      <c r="C888" s="12" t="s">
        <v>14</v>
      </c>
      <c r="D888" s="12" t="s">
        <v>15</v>
      </c>
      <c r="E888" s="12" t="s">
        <v>32</v>
      </c>
      <c r="F888" s="12" t="s">
        <v>39</v>
      </c>
      <c r="G888" s="12" t="s">
        <v>36</v>
      </c>
      <c r="H888" s="12">
        <v>14694</v>
      </c>
      <c r="I888" s="12"/>
      <c r="J888" s="26"/>
      <c r="K888" s="12">
        <v>14000</v>
      </c>
      <c r="L888" s="14">
        <v>45300</v>
      </c>
      <c r="M888" s="8" t="str">
        <f t="shared" si="39"/>
        <v>Target Achieved</v>
      </c>
      <c r="N888" s="20">
        <f t="shared" si="40"/>
        <v>0</v>
      </c>
      <c r="O888" s="22">
        <f t="shared" si="41"/>
        <v>14694</v>
      </c>
    </row>
    <row r="889" spans="1:15" x14ac:dyDescent="0.3">
      <c r="A889" s="12" t="s">
        <v>1128</v>
      </c>
      <c r="B889" s="12" t="s">
        <v>843</v>
      </c>
      <c r="C889" s="12" t="s">
        <v>61</v>
      </c>
      <c r="D889" s="12" t="s">
        <v>62</v>
      </c>
      <c r="E889" s="12" t="s">
        <v>46</v>
      </c>
      <c r="F889" s="12" t="s">
        <v>39</v>
      </c>
      <c r="G889" s="12" t="s">
        <v>26</v>
      </c>
      <c r="H889" s="12">
        <v>10810</v>
      </c>
      <c r="I889" s="12"/>
      <c r="J889" s="26"/>
      <c r="K889" s="12">
        <v>9000</v>
      </c>
      <c r="L889" s="14">
        <v>45331</v>
      </c>
      <c r="M889" s="8" t="str">
        <f t="shared" si="39"/>
        <v>Target Achieved</v>
      </c>
      <c r="N889" s="20">
        <f t="shared" si="40"/>
        <v>0</v>
      </c>
      <c r="O889" s="22">
        <f t="shared" si="41"/>
        <v>10810</v>
      </c>
    </row>
    <row r="890" spans="1:15" x14ac:dyDescent="0.3">
      <c r="A890" s="12" t="s">
        <v>1129</v>
      </c>
      <c r="B890" s="12" t="s">
        <v>429</v>
      </c>
      <c r="C890" s="12" t="s">
        <v>61</v>
      </c>
      <c r="D890" s="12" t="s">
        <v>62</v>
      </c>
      <c r="E890" s="12" t="s">
        <v>16</v>
      </c>
      <c r="F890" s="12" t="s">
        <v>17</v>
      </c>
      <c r="G890" s="12" t="s">
        <v>36</v>
      </c>
      <c r="H890" s="12">
        <v>8455</v>
      </c>
      <c r="I890" s="12" t="s">
        <v>19</v>
      </c>
      <c r="J890" s="26">
        <v>0.2</v>
      </c>
      <c r="K890" s="12">
        <v>9000</v>
      </c>
      <c r="L890" s="14">
        <v>45303</v>
      </c>
      <c r="M890" s="8" t="str">
        <f t="shared" si="39"/>
        <v>Below Target</v>
      </c>
      <c r="N890" s="20">
        <f t="shared" si="40"/>
        <v>20</v>
      </c>
      <c r="O890" s="22">
        <f t="shared" si="41"/>
        <v>6764</v>
      </c>
    </row>
    <row r="891" spans="1:15" x14ac:dyDescent="0.3">
      <c r="A891" s="12" t="s">
        <v>1130</v>
      </c>
      <c r="B891" s="12" t="s">
        <v>617</v>
      </c>
      <c r="C891" s="12" t="s">
        <v>14</v>
      </c>
      <c r="D891" s="12" t="s">
        <v>15</v>
      </c>
      <c r="E891" s="12" t="s">
        <v>16</v>
      </c>
      <c r="F891" s="12" t="s">
        <v>17</v>
      </c>
      <c r="G891" s="12" t="s">
        <v>26</v>
      </c>
      <c r="H891" s="12">
        <v>12969</v>
      </c>
      <c r="I891" s="12" t="s">
        <v>27</v>
      </c>
      <c r="J891" s="26"/>
      <c r="K891" s="12">
        <v>14000</v>
      </c>
      <c r="L891" s="14">
        <v>45309</v>
      </c>
      <c r="M891" s="8" t="str">
        <f t="shared" si="39"/>
        <v>Below Target</v>
      </c>
      <c r="N891" s="20">
        <f t="shared" si="40"/>
        <v>15</v>
      </c>
      <c r="O891" s="22">
        <f t="shared" si="41"/>
        <v>11023.65</v>
      </c>
    </row>
    <row r="892" spans="1:15" x14ac:dyDescent="0.3">
      <c r="A892" s="12" t="s">
        <v>1131</v>
      </c>
      <c r="B892" s="12" t="s">
        <v>512</v>
      </c>
      <c r="C892" s="12" t="s">
        <v>30</v>
      </c>
      <c r="D892" s="12" t="s">
        <v>31</v>
      </c>
      <c r="E892" s="12" t="s">
        <v>32</v>
      </c>
      <c r="F892" s="12" t="s">
        <v>25</v>
      </c>
      <c r="G892" s="12" t="s">
        <v>26</v>
      </c>
      <c r="H892" s="12">
        <v>16979</v>
      </c>
      <c r="I892" s="12" t="s">
        <v>33</v>
      </c>
      <c r="J892" s="26">
        <v>0.3</v>
      </c>
      <c r="K892" s="12">
        <v>17000</v>
      </c>
      <c r="L892" s="14">
        <v>45299</v>
      </c>
      <c r="M892" s="8" t="str">
        <f t="shared" si="39"/>
        <v>Below Target</v>
      </c>
      <c r="N892" s="20">
        <f t="shared" si="40"/>
        <v>30</v>
      </c>
      <c r="O892" s="22">
        <f t="shared" si="41"/>
        <v>11885.3</v>
      </c>
    </row>
    <row r="893" spans="1:15" x14ac:dyDescent="0.3">
      <c r="A893" s="12" t="s">
        <v>1132</v>
      </c>
      <c r="B893" s="12" t="s">
        <v>356</v>
      </c>
      <c r="C893" s="12" t="s">
        <v>14</v>
      </c>
      <c r="D893" s="12" t="s">
        <v>15</v>
      </c>
      <c r="E893" s="12" t="s">
        <v>32</v>
      </c>
      <c r="F893" s="12" t="s">
        <v>39</v>
      </c>
      <c r="G893" s="12" t="s">
        <v>26</v>
      </c>
      <c r="H893" s="12">
        <v>14156</v>
      </c>
      <c r="I893" s="12" t="s">
        <v>33</v>
      </c>
      <c r="J893" s="26">
        <v>0.3</v>
      </c>
      <c r="K893" s="12">
        <v>14000</v>
      </c>
      <c r="L893" s="14">
        <v>45321</v>
      </c>
      <c r="M893" s="8" t="str">
        <f t="shared" si="39"/>
        <v>Below Target</v>
      </c>
      <c r="N893" s="20">
        <f t="shared" si="40"/>
        <v>30</v>
      </c>
      <c r="O893" s="22">
        <f t="shared" si="41"/>
        <v>9909.2000000000007</v>
      </c>
    </row>
    <row r="894" spans="1:15" x14ac:dyDescent="0.3">
      <c r="A894" s="12" t="s">
        <v>1133</v>
      </c>
      <c r="B894" s="12" t="s">
        <v>905</v>
      </c>
      <c r="C894" s="12" t="s">
        <v>14</v>
      </c>
      <c r="D894" s="12" t="s">
        <v>15</v>
      </c>
      <c r="E894" s="12" t="s">
        <v>32</v>
      </c>
      <c r="F894" s="12" t="s">
        <v>17</v>
      </c>
      <c r="G894" s="12" t="s">
        <v>26</v>
      </c>
      <c r="H894" s="12">
        <v>15037</v>
      </c>
      <c r="I894" s="12" t="s">
        <v>22</v>
      </c>
      <c r="J894" s="26">
        <v>0.1</v>
      </c>
      <c r="K894" s="12">
        <v>14000</v>
      </c>
      <c r="L894" s="14">
        <v>45335</v>
      </c>
      <c r="M894" s="8" t="str">
        <f t="shared" si="39"/>
        <v>Below Target</v>
      </c>
      <c r="N894" s="20">
        <f t="shared" si="40"/>
        <v>10</v>
      </c>
      <c r="O894" s="22">
        <f t="shared" si="41"/>
        <v>13533.3</v>
      </c>
    </row>
    <row r="895" spans="1:15" x14ac:dyDescent="0.3">
      <c r="A895" s="12" t="s">
        <v>1134</v>
      </c>
      <c r="B895" s="12" t="s">
        <v>416</v>
      </c>
      <c r="C895" s="12" t="s">
        <v>30</v>
      </c>
      <c r="D895" s="12" t="s">
        <v>31</v>
      </c>
      <c r="E895" s="12" t="s">
        <v>16</v>
      </c>
      <c r="F895" s="12" t="s">
        <v>25</v>
      </c>
      <c r="G895" s="12" t="s">
        <v>36</v>
      </c>
      <c r="H895" s="12">
        <v>17191</v>
      </c>
      <c r="I895" s="12" t="s">
        <v>22</v>
      </c>
      <c r="J895" s="26">
        <v>0.1</v>
      </c>
      <c r="K895" s="12">
        <v>17000</v>
      </c>
      <c r="L895" s="14">
        <v>45322</v>
      </c>
      <c r="M895" s="8" t="str">
        <f t="shared" si="39"/>
        <v>Below Target</v>
      </c>
      <c r="N895" s="20">
        <f t="shared" si="40"/>
        <v>10</v>
      </c>
      <c r="O895" s="22">
        <f t="shared" si="41"/>
        <v>15471.9</v>
      </c>
    </row>
    <row r="896" spans="1:15" x14ac:dyDescent="0.3">
      <c r="A896" s="12" t="s">
        <v>1135</v>
      </c>
      <c r="B896" s="12" t="s">
        <v>330</v>
      </c>
      <c r="C896" s="12" t="s">
        <v>61</v>
      </c>
      <c r="D896" s="12" t="s">
        <v>62</v>
      </c>
      <c r="E896" s="12" t="s">
        <v>16</v>
      </c>
      <c r="F896" s="12" t="s">
        <v>39</v>
      </c>
      <c r="G896" s="12" t="s">
        <v>36</v>
      </c>
      <c r="H896" s="12">
        <v>8724</v>
      </c>
      <c r="I896" s="12" t="s">
        <v>33</v>
      </c>
      <c r="J896" s="26">
        <v>0.3</v>
      </c>
      <c r="K896" s="12">
        <v>9000</v>
      </c>
      <c r="L896" s="14">
        <v>45343</v>
      </c>
      <c r="M896" s="8" t="str">
        <f t="shared" si="39"/>
        <v>Below Target</v>
      </c>
      <c r="N896" s="20">
        <f t="shared" si="40"/>
        <v>30</v>
      </c>
      <c r="O896" s="22">
        <f t="shared" si="41"/>
        <v>6106.8</v>
      </c>
    </row>
    <row r="897" spans="1:15" x14ac:dyDescent="0.3">
      <c r="A897" s="12" t="s">
        <v>1136</v>
      </c>
      <c r="B897" s="12" t="s">
        <v>361</v>
      </c>
      <c r="C897" s="12" t="s">
        <v>44</v>
      </c>
      <c r="D897" s="12" t="s">
        <v>45</v>
      </c>
      <c r="E897" s="12" t="s">
        <v>32</v>
      </c>
      <c r="F897" s="12" t="s">
        <v>39</v>
      </c>
      <c r="G897" s="12" t="s">
        <v>26</v>
      </c>
      <c r="H897" s="12">
        <v>14069</v>
      </c>
      <c r="I897" s="12" t="s">
        <v>33</v>
      </c>
      <c r="J897" s="26">
        <v>0.3</v>
      </c>
      <c r="K897" s="12">
        <v>13000</v>
      </c>
      <c r="L897" s="14">
        <v>45338</v>
      </c>
      <c r="M897" s="8" t="str">
        <f t="shared" si="39"/>
        <v>Below Target</v>
      </c>
      <c r="N897" s="20">
        <f t="shared" si="40"/>
        <v>30</v>
      </c>
      <c r="O897" s="22">
        <f t="shared" si="41"/>
        <v>9848.2999999999993</v>
      </c>
    </row>
    <row r="898" spans="1:15" x14ac:dyDescent="0.3">
      <c r="A898" s="12" t="s">
        <v>1137</v>
      </c>
      <c r="B898" s="12" t="s">
        <v>522</v>
      </c>
      <c r="C898" s="12" t="s">
        <v>30</v>
      </c>
      <c r="D898" s="12" t="s">
        <v>31</v>
      </c>
      <c r="E898" s="12" t="s">
        <v>32</v>
      </c>
      <c r="F898" s="12" t="s">
        <v>39</v>
      </c>
      <c r="G898" s="12" t="s">
        <v>36</v>
      </c>
      <c r="H898" s="12">
        <v>17368</v>
      </c>
      <c r="I898" s="12" t="s">
        <v>19</v>
      </c>
      <c r="J898" s="26">
        <v>0.2</v>
      </c>
      <c r="K898" s="12">
        <v>17000</v>
      </c>
      <c r="L898" s="14">
        <v>45328</v>
      </c>
      <c r="M898" s="8" t="str">
        <f t="shared" ref="M898:M961" si="42">IF(J898&gt;=N898,"Target Achieved","Below Target")</f>
        <v>Below Target</v>
      </c>
      <c r="N898" s="20">
        <f t="shared" si="40"/>
        <v>20</v>
      </c>
      <c r="O898" s="22">
        <f t="shared" si="41"/>
        <v>13894.4</v>
      </c>
    </row>
    <row r="899" spans="1:15" x14ac:dyDescent="0.3">
      <c r="A899" s="12" t="s">
        <v>1138</v>
      </c>
      <c r="B899" s="12" t="s">
        <v>68</v>
      </c>
      <c r="C899" s="12" t="s">
        <v>30</v>
      </c>
      <c r="D899" s="12" t="s">
        <v>31</v>
      </c>
      <c r="E899" s="12" t="s">
        <v>16</v>
      </c>
      <c r="F899" s="12" t="s">
        <v>39</v>
      </c>
      <c r="G899" s="12" t="s">
        <v>18</v>
      </c>
      <c r="H899" s="12">
        <v>16174</v>
      </c>
      <c r="I899" s="12"/>
      <c r="J899" s="26"/>
      <c r="K899" s="12">
        <v>17000</v>
      </c>
      <c r="L899" s="14">
        <v>45297</v>
      </c>
      <c r="M899" s="8" t="str">
        <f t="shared" si="42"/>
        <v>Target Achieved</v>
      </c>
      <c r="N899" s="20">
        <f t="shared" ref="N899:N962" si="43">IFERROR(VALUE(RIGHT(I899,2)),0)</f>
        <v>0</v>
      </c>
      <c r="O899" s="22">
        <f t="shared" ref="O899:O962" si="44">H899-H899*N899/100</f>
        <v>16174</v>
      </c>
    </row>
    <row r="900" spans="1:15" x14ac:dyDescent="0.3">
      <c r="A900" s="12" t="s">
        <v>1139</v>
      </c>
      <c r="B900" s="12" t="s">
        <v>440</v>
      </c>
      <c r="C900" s="12" t="s">
        <v>14</v>
      </c>
      <c r="D900" s="12" t="s">
        <v>15</v>
      </c>
      <c r="E900" s="12" t="s">
        <v>46</v>
      </c>
      <c r="F900" s="12" t="s">
        <v>17</v>
      </c>
      <c r="G900" s="12" t="s">
        <v>18</v>
      </c>
      <c r="H900" s="12">
        <v>14522</v>
      </c>
      <c r="I900" s="12" t="s">
        <v>33</v>
      </c>
      <c r="J900" s="26">
        <v>0.3</v>
      </c>
      <c r="K900" s="12">
        <v>14000</v>
      </c>
      <c r="L900" s="14">
        <v>45309</v>
      </c>
      <c r="M900" s="8" t="str">
        <f t="shared" si="42"/>
        <v>Below Target</v>
      </c>
      <c r="N900" s="20">
        <f t="shared" si="43"/>
        <v>30</v>
      </c>
      <c r="O900" s="22">
        <f t="shared" si="44"/>
        <v>10165.4</v>
      </c>
    </row>
    <row r="901" spans="1:15" x14ac:dyDescent="0.3">
      <c r="A901" s="12" t="s">
        <v>1140</v>
      </c>
      <c r="B901" s="12" t="s">
        <v>643</v>
      </c>
      <c r="C901" s="12" t="s">
        <v>14</v>
      </c>
      <c r="D901" s="12" t="s">
        <v>15</v>
      </c>
      <c r="E901" s="12" t="s">
        <v>16</v>
      </c>
      <c r="F901" s="12" t="s">
        <v>25</v>
      </c>
      <c r="G901" s="12" t="s">
        <v>26</v>
      </c>
      <c r="H901" s="12">
        <v>12715</v>
      </c>
      <c r="I901" s="12" t="s">
        <v>27</v>
      </c>
      <c r="J901" s="26"/>
      <c r="K901" s="12">
        <v>14000</v>
      </c>
      <c r="L901" s="14">
        <v>45339</v>
      </c>
      <c r="M901" s="8" t="str">
        <f t="shared" si="42"/>
        <v>Below Target</v>
      </c>
      <c r="N901" s="20">
        <f t="shared" si="43"/>
        <v>15</v>
      </c>
      <c r="O901" s="22">
        <f t="shared" si="44"/>
        <v>10807.75</v>
      </c>
    </row>
    <row r="902" spans="1:15" x14ac:dyDescent="0.3">
      <c r="A902" s="12" t="s">
        <v>1141</v>
      </c>
      <c r="B902" s="12" t="s">
        <v>113</v>
      </c>
      <c r="C902" s="12" t="s">
        <v>61</v>
      </c>
      <c r="D902" s="12" t="s">
        <v>62</v>
      </c>
      <c r="E902" s="12" t="s">
        <v>46</v>
      </c>
      <c r="F902" s="12" t="s">
        <v>25</v>
      </c>
      <c r="G902" s="12" t="s">
        <v>36</v>
      </c>
      <c r="H902" s="12">
        <v>10205</v>
      </c>
      <c r="I902" s="12" t="s">
        <v>19</v>
      </c>
      <c r="J902" s="26">
        <v>0.2</v>
      </c>
      <c r="K902" s="12">
        <v>9000</v>
      </c>
      <c r="L902" s="14">
        <v>45323</v>
      </c>
      <c r="M902" s="8" t="str">
        <f t="shared" si="42"/>
        <v>Below Target</v>
      </c>
      <c r="N902" s="20">
        <f t="shared" si="43"/>
        <v>20</v>
      </c>
      <c r="O902" s="22">
        <f t="shared" si="44"/>
        <v>8164</v>
      </c>
    </row>
    <row r="903" spans="1:15" x14ac:dyDescent="0.3">
      <c r="A903" s="12" t="s">
        <v>1142</v>
      </c>
      <c r="B903" s="12" t="s">
        <v>135</v>
      </c>
      <c r="C903" s="12" t="s">
        <v>14</v>
      </c>
      <c r="D903" s="12" t="s">
        <v>15</v>
      </c>
      <c r="E903" s="12" t="s">
        <v>46</v>
      </c>
      <c r="F903" s="12" t="s">
        <v>25</v>
      </c>
      <c r="G903" s="12" t="s">
        <v>18</v>
      </c>
      <c r="H903" s="12">
        <v>14439</v>
      </c>
      <c r="I903" s="12" t="s">
        <v>19</v>
      </c>
      <c r="J903" s="26">
        <v>0.2</v>
      </c>
      <c r="K903" s="12">
        <v>14000</v>
      </c>
      <c r="L903" s="14">
        <v>45345</v>
      </c>
      <c r="M903" s="8" t="str">
        <f t="shared" si="42"/>
        <v>Below Target</v>
      </c>
      <c r="N903" s="20">
        <f t="shared" si="43"/>
        <v>20</v>
      </c>
      <c r="O903" s="22">
        <f t="shared" si="44"/>
        <v>11551.2</v>
      </c>
    </row>
    <row r="904" spans="1:15" x14ac:dyDescent="0.3">
      <c r="A904" s="12" t="s">
        <v>1143</v>
      </c>
      <c r="B904" s="12" t="s">
        <v>157</v>
      </c>
      <c r="C904" s="12" t="s">
        <v>61</v>
      </c>
      <c r="D904" s="12" t="s">
        <v>62</v>
      </c>
      <c r="E904" s="12" t="s">
        <v>46</v>
      </c>
      <c r="F904" s="12" t="s">
        <v>25</v>
      </c>
      <c r="G904" s="12" t="s">
        <v>26</v>
      </c>
      <c r="H904" s="12">
        <v>8802</v>
      </c>
      <c r="I904" s="12" t="s">
        <v>19</v>
      </c>
      <c r="J904" s="26">
        <v>0.2</v>
      </c>
      <c r="K904" s="12">
        <v>9000</v>
      </c>
      <c r="L904" s="14">
        <v>45305</v>
      </c>
      <c r="M904" s="8" t="str">
        <f t="shared" si="42"/>
        <v>Below Target</v>
      </c>
      <c r="N904" s="20">
        <f t="shared" si="43"/>
        <v>20</v>
      </c>
      <c r="O904" s="22">
        <f t="shared" si="44"/>
        <v>7041.6</v>
      </c>
    </row>
    <row r="905" spans="1:15" x14ac:dyDescent="0.3">
      <c r="A905" s="12" t="s">
        <v>1144</v>
      </c>
      <c r="B905" s="12" t="s">
        <v>233</v>
      </c>
      <c r="C905" s="12" t="s">
        <v>30</v>
      </c>
      <c r="D905" s="12" t="s">
        <v>31</v>
      </c>
      <c r="E905" s="12" t="s">
        <v>32</v>
      </c>
      <c r="F905" s="12" t="s">
        <v>39</v>
      </c>
      <c r="G905" s="12" t="s">
        <v>36</v>
      </c>
      <c r="H905" s="12">
        <v>18094</v>
      </c>
      <c r="I905" s="12" t="s">
        <v>22</v>
      </c>
      <c r="J905" s="26">
        <v>0.1</v>
      </c>
      <c r="K905" s="12">
        <v>17000</v>
      </c>
      <c r="L905" s="14">
        <v>45295</v>
      </c>
      <c r="M905" s="8" t="str">
        <f t="shared" si="42"/>
        <v>Below Target</v>
      </c>
      <c r="N905" s="20">
        <f t="shared" si="43"/>
        <v>10</v>
      </c>
      <c r="O905" s="22">
        <f t="shared" si="44"/>
        <v>16284.6</v>
      </c>
    </row>
    <row r="906" spans="1:15" x14ac:dyDescent="0.3">
      <c r="A906" s="12" t="s">
        <v>1145</v>
      </c>
      <c r="B906" s="12" t="s">
        <v>429</v>
      </c>
      <c r="C906" s="12" t="s">
        <v>61</v>
      </c>
      <c r="D906" s="12" t="s">
        <v>62</v>
      </c>
      <c r="E906" s="12" t="s">
        <v>46</v>
      </c>
      <c r="F906" s="12" t="s">
        <v>17</v>
      </c>
      <c r="G906" s="12" t="s">
        <v>36</v>
      </c>
      <c r="H906" s="12">
        <v>10056</v>
      </c>
      <c r="I906" s="12" t="s">
        <v>27</v>
      </c>
      <c r="J906" s="26"/>
      <c r="K906" s="12">
        <v>9000</v>
      </c>
      <c r="L906" s="14">
        <v>45306</v>
      </c>
      <c r="M906" s="8" t="str">
        <f t="shared" si="42"/>
        <v>Below Target</v>
      </c>
      <c r="N906" s="20">
        <f t="shared" si="43"/>
        <v>15</v>
      </c>
      <c r="O906" s="22">
        <f t="shared" si="44"/>
        <v>8547.6</v>
      </c>
    </row>
    <row r="907" spans="1:15" x14ac:dyDescent="0.3">
      <c r="A907" s="12" t="s">
        <v>1146</v>
      </c>
      <c r="B907" s="12" t="s">
        <v>274</v>
      </c>
      <c r="C907" s="12" t="s">
        <v>61</v>
      </c>
      <c r="D907" s="12" t="s">
        <v>62</v>
      </c>
      <c r="E907" s="12" t="s">
        <v>46</v>
      </c>
      <c r="F907" s="12" t="s">
        <v>17</v>
      </c>
      <c r="G907" s="12" t="s">
        <v>18</v>
      </c>
      <c r="H907" s="12">
        <v>9172</v>
      </c>
      <c r="I907" s="12"/>
      <c r="J907" s="26"/>
      <c r="K907" s="12">
        <v>9000</v>
      </c>
      <c r="L907" s="14">
        <v>45292</v>
      </c>
      <c r="M907" s="8" t="str">
        <f t="shared" si="42"/>
        <v>Target Achieved</v>
      </c>
      <c r="N907" s="20">
        <f t="shared" si="43"/>
        <v>0</v>
      </c>
      <c r="O907" s="22">
        <f t="shared" si="44"/>
        <v>9172</v>
      </c>
    </row>
    <row r="908" spans="1:15" x14ac:dyDescent="0.3">
      <c r="A908" s="12" t="s">
        <v>1147</v>
      </c>
      <c r="B908" s="12" t="s">
        <v>443</v>
      </c>
      <c r="C908" s="12" t="s">
        <v>61</v>
      </c>
      <c r="D908" s="12" t="s">
        <v>62</v>
      </c>
      <c r="E908" s="12" t="s">
        <v>46</v>
      </c>
      <c r="F908" s="12" t="s">
        <v>39</v>
      </c>
      <c r="G908" s="12" t="s">
        <v>36</v>
      </c>
      <c r="H908" s="12">
        <v>10939</v>
      </c>
      <c r="I908" s="12" t="s">
        <v>27</v>
      </c>
      <c r="J908" s="26"/>
      <c r="K908" s="12">
        <v>9000</v>
      </c>
      <c r="L908" s="14">
        <v>45335</v>
      </c>
      <c r="M908" s="8" t="str">
        <f t="shared" si="42"/>
        <v>Below Target</v>
      </c>
      <c r="N908" s="20">
        <f t="shared" si="43"/>
        <v>15</v>
      </c>
      <c r="O908" s="22">
        <f t="shared" si="44"/>
        <v>9298.15</v>
      </c>
    </row>
    <row r="909" spans="1:15" x14ac:dyDescent="0.3">
      <c r="A909" s="12" t="s">
        <v>1148</v>
      </c>
      <c r="B909" s="12" t="s">
        <v>76</v>
      </c>
      <c r="C909" s="12" t="s">
        <v>30</v>
      </c>
      <c r="D909" s="12" t="s">
        <v>31</v>
      </c>
      <c r="E909" s="12" t="s">
        <v>46</v>
      </c>
      <c r="F909" s="12" t="s">
        <v>39</v>
      </c>
      <c r="G909" s="12" t="s">
        <v>26</v>
      </c>
      <c r="H909" s="12">
        <v>18515</v>
      </c>
      <c r="I909" s="12" t="s">
        <v>33</v>
      </c>
      <c r="J909" s="26">
        <v>0.3</v>
      </c>
      <c r="K909" s="12">
        <v>17000</v>
      </c>
      <c r="L909" s="14">
        <v>45313</v>
      </c>
      <c r="M909" s="8" t="str">
        <f t="shared" si="42"/>
        <v>Below Target</v>
      </c>
      <c r="N909" s="20">
        <f t="shared" si="43"/>
        <v>30</v>
      </c>
      <c r="O909" s="22">
        <f t="shared" si="44"/>
        <v>12960.5</v>
      </c>
    </row>
    <row r="910" spans="1:15" x14ac:dyDescent="0.3">
      <c r="A910" s="12" t="s">
        <v>1149</v>
      </c>
      <c r="B910" s="12" t="s">
        <v>361</v>
      </c>
      <c r="C910" s="12" t="s">
        <v>14</v>
      </c>
      <c r="D910" s="12" t="s">
        <v>15</v>
      </c>
      <c r="E910" s="12" t="s">
        <v>46</v>
      </c>
      <c r="F910" s="12" t="s">
        <v>39</v>
      </c>
      <c r="G910" s="12" t="s">
        <v>26</v>
      </c>
      <c r="H910" s="12">
        <v>13602</v>
      </c>
      <c r="I910" s="12"/>
      <c r="J910" s="26"/>
      <c r="K910" s="12">
        <v>14000</v>
      </c>
      <c r="L910" s="14">
        <v>45341</v>
      </c>
      <c r="M910" s="8" t="str">
        <f t="shared" si="42"/>
        <v>Target Achieved</v>
      </c>
      <c r="N910" s="20">
        <f t="shared" si="43"/>
        <v>0</v>
      </c>
      <c r="O910" s="22">
        <f t="shared" si="44"/>
        <v>13602</v>
      </c>
    </row>
    <row r="911" spans="1:15" x14ac:dyDescent="0.3">
      <c r="A911" s="12" t="s">
        <v>1150</v>
      </c>
      <c r="B911" s="12" t="s">
        <v>305</v>
      </c>
      <c r="C911" s="12" t="s">
        <v>44</v>
      </c>
      <c r="D911" s="12" t="s">
        <v>45</v>
      </c>
      <c r="E911" s="12" t="s">
        <v>16</v>
      </c>
      <c r="F911" s="12" t="s">
        <v>39</v>
      </c>
      <c r="G911" s="12" t="s">
        <v>26</v>
      </c>
      <c r="H911" s="12">
        <v>14155</v>
      </c>
      <c r="I911" s="12" t="s">
        <v>19</v>
      </c>
      <c r="J911" s="26">
        <v>0.2</v>
      </c>
      <c r="K911" s="12">
        <v>13000</v>
      </c>
      <c r="L911" s="14">
        <v>45325</v>
      </c>
      <c r="M911" s="8" t="str">
        <f t="shared" si="42"/>
        <v>Below Target</v>
      </c>
      <c r="N911" s="20">
        <f t="shared" si="43"/>
        <v>20</v>
      </c>
      <c r="O911" s="22">
        <f t="shared" si="44"/>
        <v>11324</v>
      </c>
    </row>
    <row r="912" spans="1:15" x14ac:dyDescent="0.3">
      <c r="A912" s="12" t="s">
        <v>1151</v>
      </c>
      <c r="B912" s="12" t="s">
        <v>150</v>
      </c>
      <c r="C912" s="12" t="s">
        <v>44</v>
      </c>
      <c r="D912" s="12" t="s">
        <v>45</v>
      </c>
      <c r="E912" s="12" t="s">
        <v>46</v>
      </c>
      <c r="F912" s="12" t="s">
        <v>39</v>
      </c>
      <c r="G912" s="12" t="s">
        <v>18</v>
      </c>
      <c r="H912" s="12">
        <v>13755</v>
      </c>
      <c r="I912" s="12" t="s">
        <v>22</v>
      </c>
      <c r="J912" s="26">
        <v>0.1</v>
      </c>
      <c r="K912" s="12">
        <v>13000</v>
      </c>
      <c r="L912" s="14">
        <v>45345</v>
      </c>
      <c r="M912" s="8" t="str">
        <f t="shared" si="42"/>
        <v>Below Target</v>
      </c>
      <c r="N912" s="20">
        <f t="shared" si="43"/>
        <v>10</v>
      </c>
      <c r="O912" s="22">
        <f t="shared" si="44"/>
        <v>12379.5</v>
      </c>
    </row>
    <row r="913" spans="1:15" x14ac:dyDescent="0.3">
      <c r="A913" s="12" t="s">
        <v>1152</v>
      </c>
      <c r="B913" s="12" t="s">
        <v>43</v>
      </c>
      <c r="C913" s="12" t="s">
        <v>61</v>
      </c>
      <c r="D913" s="12" t="s">
        <v>62</v>
      </c>
      <c r="E913" s="12" t="s">
        <v>32</v>
      </c>
      <c r="F913" s="12" t="s">
        <v>39</v>
      </c>
      <c r="G913" s="12" t="s">
        <v>18</v>
      </c>
      <c r="H913" s="12">
        <v>9807</v>
      </c>
      <c r="I913" s="12"/>
      <c r="J913" s="26"/>
      <c r="K913" s="12">
        <v>9000</v>
      </c>
      <c r="L913" s="14">
        <v>45314</v>
      </c>
      <c r="M913" s="8" t="str">
        <f t="shared" si="42"/>
        <v>Target Achieved</v>
      </c>
      <c r="N913" s="20">
        <f t="shared" si="43"/>
        <v>0</v>
      </c>
      <c r="O913" s="22">
        <f t="shared" si="44"/>
        <v>9807</v>
      </c>
    </row>
    <row r="914" spans="1:15" x14ac:dyDescent="0.3">
      <c r="A914" s="12" t="s">
        <v>1153</v>
      </c>
      <c r="B914" s="12" t="s">
        <v>220</v>
      </c>
      <c r="C914" s="12" t="s">
        <v>30</v>
      </c>
      <c r="D914" s="12" t="s">
        <v>31</v>
      </c>
      <c r="E914" s="12" t="s">
        <v>46</v>
      </c>
      <c r="F914" s="12" t="s">
        <v>25</v>
      </c>
      <c r="G914" s="12" t="s">
        <v>18</v>
      </c>
      <c r="H914" s="12">
        <v>15097</v>
      </c>
      <c r="I914" s="12" t="s">
        <v>27</v>
      </c>
      <c r="J914" s="26"/>
      <c r="K914" s="12">
        <v>17000</v>
      </c>
      <c r="L914" s="14">
        <v>45297</v>
      </c>
      <c r="M914" s="8" t="str">
        <f t="shared" si="42"/>
        <v>Below Target</v>
      </c>
      <c r="N914" s="20">
        <f t="shared" si="43"/>
        <v>15</v>
      </c>
      <c r="O914" s="22">
        <f t="shared" si="44"/>
        <v>12832.45</v>
      </c>
    </row>
    <row r="915" spans="1:15" x14ac:dyDescent="0.3">
      <c r="A915" s="12" t="s">
        <v>1154</v>
      </c>
      <c r="B915" s="12" t="s">
        <v>109</v>
      </c>
      <c r="C915" s="12" t="s">
        <v>44</v>
      </c>
      <c r="D915" s="12" t="s">
        <v>45</v>
      </c>
      <c r="E915" s="12" t="s">
        <v>16</v>
      </c>
      <c r="F915" s="12" t="s">
        <v>39</v>
      </c>
      <c r="G915" s="12" t="s">
        <v>18</v>
      </c>
      <c r="H915" s="12">
        <v>13900</v>
      </c>
      <c r="I915" s="12" t="s">
        <v>22</v>
      </c>
      <c r="J915" s="26">
        <v>0.1</v>
      </c>
      <c r="K915" s="12">
        <v>13000</v>
      </c>
      <c r="L915" s="14">
        <v>45297</v>
      </c>
      <c r="M915" s="8" t="str">
        <f t="shared" si="42"/>
        <v>Below Target</v>
      </c>
      <c r="N915" s="20">
        <f t="shared" si="43"/>
        <v>10</v>
      </c>
      <c r="O915" s="22">
        <f t="shared" si="44"/>
        <v>12510</v>
      </c>
    </row>
    <row r="916" spans="1:15" x14ac:dyDescent="0.3">
      <c r="A916" s="12" t="s">
        <v>1155</v>
      </c>
      <c r="B916" s="12" t="s">
        <v>460</v>
      </c>
      <c r="C916" s="12" t="s">
        <v>44</v>
      </c>
      <c r="D916" s="12" t="s">
        <v>45</v>
      </c>
      <c r="E916" s="12" t="s">
        <v>46</v>
      </c>
      <c r="F916" s="12" t="s">
        <v>39</v>
      </c>
      <c r="G916" s="12" t="s">
        <v>26</v>
      </c>
      <c r="H916" s="12">
        <v>13318</v>
      </c>
      <c r="I916" s="12" t="s">
        <v>19</v>
      </c>
      <c r="J916" s="26">
        <v>0.2</v>
      </c>
      <c r="K916" s="12">
        <v>13000</v>
      </c>
      <c r="L916" s="14">
        <v>45349</v>
      </c>
      <c r="M916" s="8" t="str">
        <f t="shared" si="42"/>
        <v>Below Target</v>
      </c>
      <c r="N916" s="20">
        <f t="shared" si="43"/>
        <v>20</v>
      </c>
      <c r="O916" s="22">
        <f t="shared" si="44"/>
        <v>10654.4</v>
      </c>
    </row>
    <row r="917" spans="1:15" x14ac:dyDescent="0.3">
      <c r="A917" s="12" t="s">
        <v>1156</v>
      </c>
      <c r="B917" s="12" t="s">
        <v>173</v>
      </c>
      <c r="C917" s="12" t="s">
        <v>44</v>
      </c>
      <c r="D917" s="12" t="s">
        <v>45</v>
      </c>
      <c r="E917" s="12" t="s">
        <v>46</v>
      </c>
      <c r="F917" s="12" t="s">
        <v>17</v>
      </c>
      <c r="G917" s="12" t="s">
        <v>36</v>
      </c>
      <c r="H917" s="12">
        <v>13705</v>
      </c>
      <c r="I917" s="12" t="s">
        <v>22</v>
      </c>
      <c r="J917" s="26">
        <v>0.1</v>
      </c>
      <c r="K917" s="12">
        <v>13000</v>
      </c>
      <c r="L917" s="14">
        <v>45332</v>
      </c>
      <c r="M917" s="8" t="str">
        <f t="shared" si="42"/>
        <v>Below Target</v>
      </c>
      <c r="N917" s="20">
        <f t="shared" si="43"/>
        <v>10</v>
      </c>
      <c r="O917" s="22">
        <f t="shared" si="44"/>
        <v>12334.5</v>
      </c>
    </row>
    <row r="918" spans="1:15" x14ac:dyDescent="0.3">
      <c r="A918" s="12" t="s">
        <v>1157</v>
      </c>
      <c r="B918" s="12" t="s">
        <v>123</v>
      </c>
      <c r="C918" s="12" t="s">
        <v>61</v>
      </c>
      <c r="D918" s="12" t="s">
        <v>62</v>
      </c>
      <c r="E918" s="12" t="s">
        <v>16</v>
      </c>
      <c r="F918" s="12" t="s">
        <v>39</v>
      </c>
      <c r="G918" s="12" t="s">
        <v>36</v>
      </c>
      <c r="H918" s="12">
        <v>8054</v>
      </c>
      <c r="I918" s="12" t="s">
        <v>19</v>
      </c>
      <c r="J918" s="26">
        <v>0.2</v>
      </c>
      <c r="K918" s="12">
        <v>9000</v>
      </c>
      <c r="L918" s="14">
        <v>45341</v>
      </c>
      <c r="M918" s="8" t="str">
        <f t="shared" si="42"/>
        <v>Below Target</v>
      </c>
      <c r="N918" s="20">
        <f t="shared" si="43"/>
        <v>20</v>
      </c>
      <c r="O918" s="22">
        <f t="shared" si="44"/>
        <v>6443.2</v>
      </c>
    </row>
    <row r="919" spans="1:15" x14ac:dyDescent="0.3">
      <c r="A919" s="12" t="s">
        <v>1158</v>
      </c>
      <c r="B919" s="12" t="s">
        <v>263</v>
      </c>
      <c r="C919" s="12" t="s">
        <v>14</v>
      </c>
      <c r="D919" s="12" t="s">
        <v>15</v>
      </c>
      <c r="E919" s="12" t="s">
        <v>46</v>
      </c>
      <c r="F919" s="12" t="s">
        <v>17</v>
      </c>
      <c r="G919" s="12" t="s">
        <v>36</v>
      </c>
      <c r="H919" s="12">
        <v>12246</v>
      </c>
      <c r="I919" s="12" t="s">
        <v>33</v>
      </c>
      <c r="J919" s="26">
        <v>0.3</v>
      </c>
      <c r="K919" s="12">
        <v>14000</v>
      </c>
      <c r="L919" s="14">
        <v>45344</v>
      </c>
      <c r="M919" s="8" t="str">
        <f t="shared" si="42"/>
        <v>Below Target</v>
      </c>
      <c r="N919" s="20">
        <f t="shared" si="43"/>
        <v>30</v>
      </c>
      <c r="O919" s="22">
        <f t="shared" si="44"/>
        <v>8572.2000000000007</v>
      </c>
    </row>
    <row r="920" spans="1:15" x14ac:dyDescent="0.3">
      <c r="A920" s="12" t="s">
        <v>1159</v>
      </c>
      <c r="B920" s="12" t="s">
        <v>58</v>
      </c>
      <c r="C920" s="12" t="s">
        <v>61</v>
      </c>
      <c r="D920" s="12" t="s">
        <v>62</v>
      </c>
      <c r="E920" s="12" t="s">
        <v>32</v>
      </c>
      <c r="F920" s="12" t="s">
        <v>17</v>
      </c>
      <c r="G920" s="12" t="s">
        <v>18</v>
      </c>
      <c r="H920" s="12">
        <v>9499</v>
      </c>
      <c r="I920" s="12"/>
      <c r="J920" s="26"/>
      <c r="K920" s="12">
        <v>9000</v>
      </c>
      <c r="L920" s="14">
        <v>45303</v>
      </c>
      <c r="M920" s="8" t="str">
        <f t="shared" si="42"/>
        <v>Target Achieved</v>
      </c>
      <c r="N920" s="20">
        <f t="shared" si="43"/>
        <v>0</v>
      </c>
      <c r="O920" s="22">
        <f t="shared" si="44"/>
        <v>9499</v>
      </c>
    </row>
    <row r="921" spans="1:15" x14ac:dyDescent="0.3">
      <c r="A921" s="12" t="s">
        <v>1160</v>
      </c>
      <c r="B921" s="12" t="s">
        <v>591</v>
      </c>
      <c r="C921" s="12" t="s">
        <v>14</v>
      </c>
      <c r="D921" s="12" t="s">
        <v>15</v>
      </c>
      <c r="E921" s="12" t="s">
        <v>32</v>
      </c>
      <c r="F921" s="12" t="s">
        <v>39</v>
      </c>
      <c r="G921" s="12" t="s">
        <v>36</v>
      </c>
      <c r="H921" s="12">
        <v>12894</v>
      </c>
      <c r="I921" s="12" t="s">
        <v>27</v>
      </c>
      <c r="J921" s="26"/>
      <c r="K921" s="12">
        <v>14000</v>
      </c>
      <c r="L921" s="14">
        <v>45333</v>
      </c>
      <c r="M921" s="8" t="str">
        <f t="shared" si="42"/>
        <v>Below Target</v>
      </c>
      <c r="N921" s="20">
        <f t="shared" si="43"/>
        <v>15</v>
      </c>
      <c r="O921" s="22">
        <f t="shared" si="44"/>
        <v>10959.9</v>
      </c>
    </row>
    <row r="922" spans="1:15" x14ac:dyDescent="0.3">
      <c r="A922" s="12" t="s">
        <v>1161</v>
      </c>
      <c r="B922" s="12" t="s">
        <v>245</v>
      </c>
      <c r="C922" s="12" t="s">
        <v>30</v>
      </c>
      <c r="D922" s="12" t="s">
        <v>31</v>
      </c>
      <c r="E922" s="12" t="s">
        <v>32</v>
      </c>
      <c r="F922" s="12" t="s">
        <v>25</v>
      </c>
      <c r="G922" s="12" t="s">
        <v>18</v>
      </c>
      <c r="H922" s="12">
        <v>15288</v>
      </c>
      <c r="I922" s="12" t="s">
        <v>27</v>
      </c>
      <c r="J922" s="26"/>
      <c r="K922" s="12">
        <v>17000</v>
      </c>
      <c r="L922" s="14">
        <v>45338</v>
      </c>
      <c r="M922" s="8" t="str">
        <f t="shared" si="42"/>
        <v>Below Target</v>
      </c>
      <c r="N922" s="20">
        <f t="shared" si="43"/>
        <v>15</v>
      </c>
      <c r="O922" s="22">
        <f t="shared" si="44"/>
        <v>12994.8</v>
      </c>
    </row>
    <row r="923" spans="1:15" x14ac:dyDescent="0.3">
      <c r="A923" s="12" t="s">
        <v>1162</v>
      </c>
      <c r="B923" s="12" t="s">
        <v>443</v>
      </c>
      <c r="C923" s="12" t="s">
        <v>61</v>
      </c>
      <c r="D923" s="12" t="s">
        <v>62</v>
      </c>
      <c r="E923" s="12" t="s">
        <v>32</v>
      </c>
      <c r="F923" s="12" t="s">
        <v>17</v>
      </c>
      <c r="G923" s="12" t="s">
        <v>18</v>
      </c>
      <c r="H923" s="12">
        <v>9674</v>
      </c>
      <c r="I923" s="12" t="s">
        <v>22</v>
      </c>
      <c r="J923" s="26">
        <v>0.1</v>
      </c>
      <c r="K923" s="12">
        <v>9000</v>
      </c>
      <c r="L923" s="14">
        <v>45351</v>
      </c>
      <c r="M923" s="8" t="str">
        <f t="shared" si="42"/>
        <v>Below Target</v>
      </c>
      <c r="N923" s="20">
        <f t="shared" si="43"/>
        <v>10</v>
      </c>
      <c r="O923" s="22">
        <f t="shared" si="44"/>
        <v>8706.6</v>
      </c>
    </row>
    <row r="924" spans="1:15" x14ac:dyDescent="0.3">
      <c r="A924" s="12" t="s">
        <v>1163</v>
      </c>
      <c r="B924" s="12" t="s">
        <v>68</v>
      </c>
      <c r="C924" s="12" t="s">
        <v>61</v>
      </c>
      <c r="D924" s="12" t="s">
        <v>62</v>
      </c>
      <c r="E924" s="12" t="s">
        <v>46</v>
      </c>
      <c r="F924" s="12" t="s">
        <v>25</v>
      </c>
      <c r="G924" s="12" t="s">
        <v>26</v>
      </c>
      <c r="H924" s="12">
        <v>8350</v>
      </c>
      <c r="I924" s="12"/>
      <c r="J924" s="26"/>
      <c r="K924" s="12">
        <v>9000</v>
      </c>
      <c r="L924" s="14">
        <v>45328</v>
      </c>
      <c r="M924" s="8" t="str">
        <f t="shared" si="42"/>
        <v>Target Achieved</v>
      </c>
      <c r="N924" s="20">
        <f t="shared" si="43"/>
        <v>0</v>
      </c>
      <c r="O924" s="22">
        <f t="shared" si="44"/>
        <v>8350</v>
      </c>
    </row>
    <row r="925" spans="1:15" x14ac:dyDescent="0.3">
      <c r="A925" s="12" t="s">
        <v>1164</v>
      </c>
      <c r="B925" s="12" t="s">
        <v>166</v>
      </c>
      <c r="C925" s="12" t="s">
        <v>61</v>
      </c>
      <c r="D925" s="12" t="s">
        <v>62</v>
      </c>
      <c r="E925" s="12" t="s">
        <v>46</v>
      </c>
      <c r="F925" s="12" t="s">
        <v>17</v>
      </c>
      <c r="G925" s="12" t="s">
        <v>36</v>
      </c>
      <c r="H925" s="12">
        <v>10457</v>
      </c>
      <c r="I925" s="12" t="s">
        <v>22</v>
      </c>
      <c r="J925" s="26">
        <v>0.1</v>
      </c>
      <c r="K925" s="12">
        <v>9000</v>
      </c>
      <c r="L925" s="14">
        <v>45326</v>
      </c>
      <c r="M925" s="8" t="str">
        <f t="shared" si="42"/>
        <v>Below Target</v>
      </c>
      <c r="N925" s="20">
        <f t="shared" si="43"/>
        <v>10</v>
      </c>
      <c r="O925" s="22">
        <f t="shared" si="44"/>
        <v>9411.2999999999993</v>
      </c>
    </row>
    <row r="926" spans="1:15" x14ac:dyDescent="0.3">
      <c r="A926" s="12" t="s">
        <v>1165</v>
      </c>
      <c r="B926" s="12" t="s">
        <v>500</v>
      </c>
      <c r="C926" s="12" t="s">
        <v>61</v>
      </c>
      <c r="D926" s="12" t="s">
        <v>62</v>
      </c>
      <c r="E926" s="12" t="s">
        <v>16</v>
      </c>
      <c r="F926" s="12" t="s">
        <v>17</v>
      </c>
      <c r="G926" s="12" t="s">
        <v>18</v>
      </c>
      <c r="H926" s="12">
        <v>9323</v>
      </c>
      <c r="I926" s="12" t="s">
        <v>27</v>
      </c>
      <c r="J926" s="26"/>
      <c r="K926" s="12">
        <v>9000</v>
      </c>
      <c r="L926" s="14">
        <v>45351</v>
      </c>
      <c r="M926" s="8" t="str">
        <f t="shared" si="42"/>
        <v>Below Target</v>
      </c>
      <c r="N926" s="20">
        <f t="shared" si="43"/>
        <v>15</v>
      </c>
      <c r="O926" s="22">
        <f t="shared" si="44"/>
        <v>7924.55</v>
      </c>
    </row>
    <row r="927" spans="1:15" x14ac:dyDescent="0.3">
      <c r="A927" s="12" t="s">
        <v>1166</v>
      </c>
      <c r="B927" s="12" t="s">
        <v>282</v>
      </c>
      <c r="C927" s="12" t="s">
        <v>30</v>
      </c>
      <c r="D927" s="12" t="s">
        <v>31</v>
      </c>
      <c r="E927" s="12" t="s">
        <v>46</v>
      </c>
      <c r="F927" s="12" t="s">
        <v>25</v>
      </c>
      <c r="G927" s="12" t="s">
        <v>26</v>
      </c>
      <c r="H927" s="12">
        <v>18927</v>
      </c>
      <c r="I927" s="12" t="s">
        <v>22</v>
      </c>
      <c r="J927" s="26">
        <v>0.1</v>
      </c>
      <c r="K927" s="12">
        <v>17000</v>
      </c>
      <c r="L927" s="14">
        <v>45315</v>
      </c>
      <c r="M927" s="8" t="str">
        <f t="shared" si="42"/>
        <v>Below Target</v>
      </c>
      <c r="N927" s="20">
        <f t="shared" si="43"/>
        <v>10</v>
      </c>
      <c r="O927" s="22">
        <f t="shared" si="44"/>
        <v>17034.3</v>
      </c>
    </row>
    <row r="928" spans="1:15" x14ac:dyDescent="0.3">
      <c r="A928" s="12" t="s">
        <v>1167</v>
      </c>
      <c r="B928" s="12" t="s">
        <v>105</v>
      </c>
      <c r="C928" s="12" t="s">
        <v>30</v>
      </c>
      <c r="D928" s="12" t="s">
        <v>31</v>
      </c>
      <c r="E928" s="12" t="s">
        <v>32</v>
      </c>
      <c r="F928" s="12" t="s">
        <v>17</v>
      </c>
      <c r="G928" s="12" t="s">
        <v>36</v>
      </c>
      <c r="H928" s="12">
        <v>17653</v>
      </c>
      <c r="I928" s="12" t="s">
        <v>19</v>
      </c>
      <c r="J928" s="26">
        <v>0.2</v>
      </c>
      <c r="K928" s="12">
        <v>17000</v>
      </c>
      <c r="L928" s="14">
        <v>45303</v>
      </c>
      <c r="M928" s="8" t="str">
        <f t="shared" si="42"/>
        <v>Below Target</v>
      </c>
      <c r="N928" s="20">
        <f t="shared" si="43"/>
        <v>20</v>
      </c>
      <c r="O928" s="22">
        <f t="shared" si="44"/>
        <v>14122.4</v>
      </c>
    </row>
    <row r="929" spans="1:15" x14ac:dyDescent="0.3">
      <c r="A929" s="12" t="s">
        <v>1168</v>
      </c>
      <c r="B929" s="12" t="s">
        <v>184</v>
      </c>
      <c r="C929" s="12" t="s">
        <v>61</v>
      </c>
      <c r="D929" s="12" t="s">
        <v>62</v>
      </c>
      <c r="E929" s="12" t="s">
        <v>16</v>
      </c>
      <c r="F929" s="12" t="s">
        <v>25</v>
      </c>
      <c r="G929" s="12" t="s">
        <v>36</v>
      </c>
      <c r="H929" s="12">
        <v>9850</v>
      </c>
      <c r="I929" s="12"/>
      <c r="J929" s="26"/>
      <c r="K929" s="12">
        <v>9000</v>
      </c>
      <c r="L929" s="14">
        <v>45349</v>
      </c>
      <c r="M929" s="8" t="str">
        <f t="shared" si="42"/>
        <v>Target Achieved</v>
      </c>
      <c r="N929" s="20">
        <f t="shared" si="43"/>
        <v>0</v>
      </c>
      <c r="O929" s="22">
        <f t="shared" si="44"/>
        <v>9850</v>
      </c>
    </row>
    <row r="930" spans="1:15" x14ac:dyDescent="0.3">
      <c r="A930" s="12" t="s">
        <v>1169</v>
      </c>
      <c r="B930" s="12" t="s">
        <v>21</v>
      </c>
      <c r="C930" s="12" t="s">
        <v>30</v>
      </c>
      <c r="D930" s="12" t="s">
        <v>31</v>
      </c>
      <c r="E930" s="12" t="s">
        <v>46</v>
      </c>
      <c r="F930" s="12" t="s">
        <v>25</v>
      </c>
      <c r="G930" s="12" t="s">
        <v>26</v>
      </c>
      <c r="H930" s="12">
        <v>16793</v>
      </c>
      <c r="I930" s="12" t="s">
        <v>19</v>
      </c>
      <c r="J930" s="26">
        <v>0.2</v>
      </c>
      <c r="K930" s="12">
        <v>17000</v>
      </c>
      <c r="L930" s="14">
        <v>45300</v>
      </c>
      <c r="M930" s="8" t="str">
        <f t="shared" si="42"/>
        <v>Below Target</v>
      </c>
      <c r="N930" s="20">
        <f t="shared" si="43"/>
        <v>20</v>
      </c>
      <c r="O930" s="22">
        <f t="shared" si="44"/>
        <v>13434.4</v>
      </c>
    </row>
    <row r="931" spans="1:15" x14ac:dyDescent="0.3">
      <c r="A931" s="12" t="s">
        <v>1170</v>
      </c>
      <c r="B931" s="12" t="s">
        <v>192</v>
      </c>
      <c r="C931" s="12" t="s">
        <v>14</v>
      </c>
      <c r="D931" s="12" t="s">
        <v>15</v>
      </c>
      <c r="E931" s="12" t="s">
        <v>16</v>
      </c>
      <c r="F931" s="12" t="s">
        <v>39</v>
      </c>
      <c r="G931" s="12" t="s">
        <v>18</v>
      </c>
      <c r="H931" s="12">
        <v>14003</v>
      </c>
      <c r="I931" s="12"/>
      <c r="J931" s="26"/>
      <c r="K931" s="12">
        <v>14000</v>
      </c>
      <c r="L931" s="14">
        <v>45296</v>
      </c>
      <c r="M931" s="8" t="str">
        <f t="shared" si="42"/>
        <v>Target Achieved</v>
      </c>
      <c r="N931" s="20">
        <f t="shared" si="43"/>
        <v>0</v>
      </c>
      <c r="O931" s="22">
        <f t="shared" si="44"/>
        <v>14003</v>
      </c>
    </row>
    <row r="932" spans="1:15" x14ac:dyDescent="0.3">
      <c r="A932" s="12" t="s">
        <v>1171</v>
      </c>
      <c r="B932" s="12" t="s">
        <v>133</v>
      </c>
      <c r="C932" s="12" t="s">
        <v>30</v>
      </c>
      <c r="D932" s="12" t="s">
        <v>31</v>
      </c>
      <c r="E932" s="12" t="s">
        <v>46</v>
      </c>
      <c r="F932" s="12" t="s">
        <v>39</v>
      </c>
      <c r="G932" s="12" t="s">
        <v>36</v>
      </c>
      <c r="H932" s="12">
        <v>18959</v>
      </c>
      <c r="I932" s="12" t="s">
        <v>22</v>
      </c>
      <c r="J932" s="26">
        <v>0.1</v>
      </c>
      <c r="K932" s="12">
        <v>17000</v>
      </c>
      <c r="L932" s="14">
        <v>45294</v>
      </c>
      <c r="M932" s="8" t="str">
        <f t="shared" si="42"/>
        <v>Below Target</v>
      </c>
      <c r="N932" s="20">
        <f t="shared" si="43"/>
        <v>10</v>
      </c>
      <c r="O932" s="22">
        <f t="shared" si="44"/>
        <v>17063.099999999999</v>
      </c>
    </row>
    <row r="933" spans="1:15" x14ac:dyDescent="0.3">
      <c r="A933" s="12" t="s">
        <v>1172</v>
      </c>
      <c r="B933" s="12" t="s">
        <v>327</v>
      </c>
      <c r="C933" s="12" t="s">
        <v>30</v>
      </c>
      <c r="D933" s="12" t="s">
        <v>31</v>
      </c>
      <c r="E933" s="12" t="s">
        <v>16</v>
      </c>
      <c r="F933" s="12" t="s">
        <v>25</v>
      </c>
      <c r="G933" s="12" t="s">
        <v>36</v>
      </c>
      <c r="H933" s="12">
        <v>15484</v>
      </c>
      <c r="I933" s="12" t="s">
        <v>19</v>
      </c>
      <c r="J933" s="26">
        <v>0.2</v>
      </c>
      <c r="K933" s="12">
        <v>17000</v>
      </c>
      <c r="L933" s="14">
        <v>45343</v>
      </c>
      <c r="M933" s="8" t="str">
        <f t="shared" si="42"/>
        <v>Below Target</v>
      </c>
      <c r="N933" s="20">
        <f t="shared" si="43"/>
        <v>20</v>
      </c>
      <c r="O933" s="22">
        <f t="shared" si="44"/>
        <v>12387.2</v>
      </c>
    </row>
    <row r="934" spans="1:15" x14ac:dyDescent="0.3">
      <c r="A934" s="12" t="s">
        <v>1173</v>
      </c>
      <c r="B934" s="12" t="s">
        <v>92</v>
      </c>
      <c r="C934" s="12" t="s">
        <v>61</v>
      </c>
      <c r="D934" s="12" t="s">
        <v>62</v>
      </c>
      <c r="E934" s="12" t="s">
        <v>16</v>
      </c>
      <c r="F934" s="12" t="s">
        <v>39</v>
      </c>
      <c r="G934" s="12" t="s">
        <v>18</v>
      </c>
      <c r="H934" s="12">
        <v>10035</v>
      </c>
      <c r="I934" s="12" t="s">
        <v>27</v>
      </c>
      <c r="J934" s="26"/>
      <c r="K934" s="12">
        <v>9000</v>
      </c>
      <c r="L934" s="14">
        <v>45306</v>
      </c>
      <c r="M934" s="8" t="str">
        <f t="shared" si="42"/>
        <v>Below Target</v>
      </c>
      <c r="N934" s="20">
        <f t="shared" si="43"/>
        <v>15</v>
      </c>
      <c r="O934" s="22">
        <f t="shared" si="44"/>
        <v>8529.75</v>
      </c>
    </row>
    <row r="935" spans="1:15" x14ac:dyDescent="0.3">
      <c r="A935" s="12" t="s">
        <v>1174</v>
      </c>
      <c r="B935" s="12" t="s">
        <v>403</v>
      </c>
      <c r="C935" s="12" t="s">
        <v>14</v>
      </c>
      <c r="D935" s="12" t="s">
        <v>15</v>
      </c>
      <c r="E935" s="12" t="s">
        <v>16</v>
      </c>
      <c r="F935" s="12" t="s">
        <v>25</v>
      </c>
      <c r="G935" s="12" t="s">
        <v>36</v>
      </c>
      <c r="H935" s="12">
        <v>14678</v>
      </c>
      <c r="I935" s="12" t="s">
        <v>22</v>
      </c>
      <c r="J935" s="26">
        <v>0.1</v>
      </c>
      <c r="K935" s="12">
        <v>14000</v>
      </c>
      <c r="L935" s="14">
        <v>45322</v>
      </c>
      <c r="M935" s="8" t="str">
        <f t="shared" si="42"/>
        <v>Below Target</v>
      </c>
      <c r="N935" s="20">
        <f t="shared" si="43"/>
        <v>10</v>
      </c>
      <c r="O935" s="22">
        <f t="shared" si="44"/>
        <v>13210.2</v>
      </c>
    </row>
    <row r="936" spans="1:15" x14ac:dyDescent="0.3">
      <c r="A936" s="12" t="s">
        <v>1175</v>
      </c>
      <c r="B936" s="12" t="s">
        <v>60</v>
      </c>
      <c r="C936" s="12" t="s">
        <v>14</v>
      </c>
      <c r="D936" s="12" t="s">
        <v>15</v>
      </c>
      <c r="E936" s="12" t="s">
        <v>32</v>
      </c>
      <c r="F936" s="12" t="s">
        <v>39</v>
      </c>
      <c r="G936" s="12" t="s">
        <v>26</v>
      </c>
      <c r="H936" s="12">
        <v>12534</v>
      </c>
      <c r="I936" s="12" t="s">
        <v>22</v>
      </c>
      <c r="J936" s="26">
        <v>0.1</v>
      </c>
      <c r="K936" s="12">
        <v>14000</v>
      </c>
      <c r="L936" s="14">
        <v>45303</v>
      </c>
      <c r="M936" s="8" t="str">
        <f t="shared" si="42"/>
        <v>Below Target</v>
      </c>
      <c r="N936" s="20">
        <f t="shared" si="43"/>
        <v>10</v>
      </c>
      <c r="O936" s="22">
        <f t="shared" si="44"/>
        <v>11280.6</v>
      </c>
    </row>
    <row r="937" spans="1:15" x14ac:dyDescent="0.3">
      <c r="A937" s="12" t="s">
        <v>1176</v>
      </c>
      <c r="B937" s="12" t="s">
        <v>1032</v>
      </c>
      <c r="C937" s="12" t="s">
        <v>30</v>
      </c>
      <c r="D937" s="12" t="s">
        <v>31</v>
      </c>
      <c r="E937" s="12" t="s">
        <v>32</v>
      </c>
      <c r="F937" s="12" t="s">
        <v>17</v>
      </c>
      <c r="G937" s="12" t="s">
        <v>26</v>
      </c>
      <c r="H937" s="12">
        <v>15699</v>
      </c>
      <c r="I937" s="12" t="s">
        <v>27</v>
      </c>
      <c r="J937" s="26"/>
      <c r="K937" s="12">
        <v>17000</v>
      </c>
      <c r="L937" s="14">
        <v>45296</v>
      </c>
      <c r="M937" s="8" t="str">
        <f t="shared" si="42"/>
        <v>Below Target</v>
      </c>
      <c r="N937" s="20">
        <f t="shared" si="43"/>
        <v>15</v>
      </c>
      <c r="O937" s="22">
        <f t="shared" si="44"/>
        <v>13344.15</v>
      </c>
    </row>
    <row r="938" spans="1:15" x14ac:dyDescent="0.3">
      <c r="A938" s="12" t="s">
        <v>1177</v>
      </c>
      <c r="B938" s="12" t="s">
        <v>319</v>
      </c>
      <c r="C938" s="12" t="s">
        <v>14</v>
      </c>
      <c r="D938" s="12" t="s">
        <v>15</v>
      </c>
      <c r="E938" s="12" t="s">
        <v>32</v>
      </c>
      <c r="F938" s="12" t="s">
        <v>17</v>
      </c>
      <c r="G938" s="12" t="s">
        <v>26</v>
      </c>
      <c r="H938" s="12">
        <v>15273</v>
      </c>
      <c r="I938" s="12" t="s">
        <v>27</v>
      </c>
      <c r="J938" s="26"/>
      <c r="K938" s="12">
        <v>14000</v>
      </c>
      <c r="L938" s="14">
        <v>45306</v>
      </c>
      <c r="M938" s="8" t="str">
        <f t="shared" si="42"/>
        <v>Below Target</v>
      </c>
      <c r="N938" s="20">
        <f t="shared" si="43"/>
        <v>15</v>
      </c>
      <c r="O938" s="22">
        <f t="shared" si="44"/>
        <v>12982.05</v>
      </c>
    </row>
    <row r="939" spans="1:15" x14ac:dyDescent="0.3">
      <c r="A939" s="12" t="s">
        <v>1178</v>
      </c>
      <c r="B939" s="12" t="s">
        <v>200</v>
      </c>
      <c r="C939" s="12" t="s">
        <v>44</v>
      </c>
      <c r="D939" s="12" t="s">
        <v>45</v>
      </c>
      <c r="E939" s="12" t="s">
        <v>46</v>
      </c>
      <c r="F939" s="12" t="s">
        <v>17</v>
      </c>
      <c r="G939" s="12" t="s">
        <v>26</v>
      </c>
      <c r="H939" s="12">
        <v>13778</v>
      </c>
      <c r="I939" s="12"/>
      <c r="J939" s="26"/>
      <c r="K939" s="12">
        <v>13000</v>
      </c>
      <c r="L939" s="14">
        <v>45312</v>
      </c>
      <c r="M939" s="8" t="str">
        <f t="shared" si="42"/>
        <v>Target Achieved</v>
      </c>
      <c r="N939" s="20">
        <f t="shared" si="43"/>
        <v>0</v>
      </c>
      <c r="O939" s="22">
        <f t="shared" si="44"/>
        <v>13778</v>
      </c>
    </row>
    <row r="940" spans="1:15" x14ac:dyDescent="0.3">
      <c r="A940" s="12" t="s">
        <v>1179</v>
      </c>
      <c r="B940" s="12" t="s">
        <v>21</v>
      </c>
      <c r="C940" s="12" t="s">
        <v>44</v>
      </c>
      <c r="D940" s="12" t="s">
        <v>45</v>
      </c>
      <c r="E940" s="12" t="s">
        <v>46</v>
      </c>
      <c r="F940" s="12" t="s">
        <v>25</v>
      </c>
      <c r="G940" s="12" t="s">
        <v>18</v>
      </c>
      <c r="H940" s="12">
        <v>13429</v>
      </c>
      <c r="I940" s="12" t="s">
        <v>19</v>
      </c>
      <c r="J940" s="26">
        <v>0.2</v>
      </c>
      <c r="K940" s="12">
        <v>13000</v>
      </c>
      <c r="L940" s="14">
        <v>45313</v>
      </c>
      <c r="M940" s="8" t="str">
        <f t="shared" si="42"/>
        <v>Below Target</v>
      </c>
      <c r="N940" s="20">
        <f t="shared" si="43"/>
        <v>20</v>
      </c>
      <c r="O940" s="22">
        <f t="shared" si="44"/>
        <v>10743.2</v>
      </c>
    </row>
    <row r="941" spans="1:15" x14ac:dyDescent="0.3">
      <c r="A941" s="12" t="s">
        <v>1180</v>
      </c>
      <c r="B941" s="12" t="s">
        <v>78</v>
      </c>
      <c r="C941" s="12" t="s">
        <v>30</v>
      </c>
      <c r="D941" s="12" t="s">
        <v>31</v>
      </c>
      <c r="E941" s="12" t="s">
        <v>32</v>
      </c>
      <c r="F941" s="12" t="s">
        <v>17</v>
      </c>
      <c r="G941" s="12" t="s">
        <v>18</v>
      </c>
      <c r="H941" s="12">
        <v>17852</v>
      </c>
      <c r="I941" s="12" t="s">
        <v>33</v>
      </c>
      <c r="J941" s="26">
        <v>0.3</v>
      </c>
      <c r="K941" s="12">
        <v>17000</v>
      </c>
      <c r="L941" s="14">
        <v>45327</v>
      </c>
      <c r="M941" s="8" t="str">
        <f t="shared" si="42"/>
        <v>Below Target</v>
      </c>
      <c r="N941" s="20">
        <f t="shared" si="43"/>
        <v>30</v>
      </c>
      <c r="O941" s="22">
        <f t="shared" si="44"/>
        <v>12496.4</v>
      </c>
    </row>
    <row r="942" spans="1:15" x14ac:dyDescent="0.3">
      <c r="A942" s="12" t="s">
        <v>1181</v>
      </c>
      <c r="B942" s="12" t="s">
        <v>429</v>
      </c>
      <c r="C942" s="12" t="s">
        <v>44</v>
      </c>
      <c r="D942" s="12" t="s">
        <v>45</v>
      </c>
      <c r="E942" s="12" t="s">
        <v>16</v>
      </c>
      <c r="F942" s="12" t="s">
        <v>25</v>
      </c>
      <c r="G942" s="12" t="s">
        <v>18</v>
      </c>
      <c r="H942" s="12">
        <v>11409</v>
      </c>
      <c r="I942" s="12" t="s">
        <v>27</v>
      </c>
      <c r="J942" s="26"/>
      <c r="K942" s="12">
        <v>13000</v>
      </c>
      <c r="L942" s="14">
        <v>45316</v>
      </c>
      <c r="M942" s="8" t="str">
        <f t="shared" si="42"/>
        <v>Below Target</v>
      </c>
      <c r="N942" s="20">
        <f t="shared" si="43"/>
        <v>15</v>
      </c>
      <c r="O942" s="22">
        <f t="shared" si="44"/>
        <v>9697.65</v>
      </c>
    </row>
    <row r="943" spans="1:15" x14ac:dyDescent="0.3">
      <c r="A943" s="12" t="s">
        <v>1182</v>
      </c>
      <c r="B943" s="12" t="s">
        <v>72</v>
      </c>
      <c r="C943" s="12" t="s">
        <v>14</v>
      </c>
      <c r="D943" s="12" t="s">
        <v>15</v>
      </c>
      <c r="E943" s="12" t="s">
        <v>46</v>
      </c>
      <c r="F943" s="12" t="s">
        <v>25</v>
      </c>
      <c r="G943" s="12" t="s">
        <v>18</v>
      </c>
      <c r="H943" s="12">
        <v>12029</v>
      </c>
      <c r="I943" s="12" t="s">
        <v>19</v>
      </c>
      <c r="J943" s="26">
        <v>0.2</v>
      </c>
      <c r="K943" s="12">
        <v>14000</v>
      </c>
      <c r="L943" s="14">
        <v>45351</v>
      </c>
      <c r="M943" s="8" t="str">
        <f t="shared" si="42"/>
        <v>Below Target</v>
      </c>
      <c r="N943" s="20">
        <f t="shared" si="43"/>
        <v>20</v>
      </c>
      <c r="O943" s="22">
        <f t="shared" si="44"/>
        <v>9623.2000000000007</v>
      </c>
    </row>
    <row r="944" spans="1:15" x14ac:dyDescent="0.3">
      <c r="A944" s="12" t="s">
        <v>1183</v>
      </c>
      <c r="B944" s="12" t="s">
        <v>173</v>
      </c>
      <c r="C944" s="12" t="s">
        <v>30</v>
      </c>
      <c r="D944" s="12" t="s">
        <v>31</v>
      </c>
      <c r="E944" s="12" t="s">
        <v>46</v>
      </c>
      <c r="F944" s="12" t="s">
        <v>39</v>
      </c>
      <c r="G944" s="12" t="s">
        <v>36</v>
      </c>
      <c r="H944" s="12">
        <v>17835</v>
      </c>
      <c r="I944" s="12" t="s">
        <v>19</v>
      </c>
      <c r="J944" s="26">
        <v>0.2</v>
      </c>
      <c r="K944" s="12">
        <v>17000</v>
      </c>
      <c r="L944" s="14">
        <v>45305</v>
      </c>
      <c r="M944" s="8" t="str">
        <f t="shared" si="42"/>
        <v>Below Target</v>
      </c>
      <c r="N944" s="20">
        <f t="shared" si="43"/>
        <v>20</v>
      </c>
      <c r="O944" s="22">
        <f t="shared" si="44"/>
        <v>14268</v>
      </c>
    </row>
    <row r="945" spans="1:15" x14ac:dyDescent="0.3">
      <c r="A945" s="12" t="s">
        <v>1184</v>
      </c>
      <c r="B945" s="12" t="s">
        <v>113</v>
      </c>
      <c r="C945" s="12" t="s">
        <v>30</v>
      </c>
      <c r="D945" s="12" t="s">
        <v>31</v>
      </c>
      <c r="E945" s="12" t="s">
        <v>16</v>
      </c>
      <c r="F945" s="12" t="s">
        <v>17</v>
      </c>
      <c r="G945" s="12" t="s">
        <v>36</v>
      </c>
      <c r="H945" s="12">
        <v>15979</v>
      </c>
      <c r="I945" s="12" t="s">
        <v>19</v>
      </c>
      <c r="J945" s="26">
        <v>0.2</v>
      </c>
      <c r="K945" s="12">
        <v>17000</v>
      </c>
      <c r="L945" s="14">
        <v>45331</v>
      </c>
      <c r="M945" s="8" t="str">
        <f t="shared" si="42"/>
        <v>Below Target</v>
      </c>
      <c r="N945" s="20">
        <f t="shared" si="43"/>
        <v>20</v>
      </c>
      <c r="O945" s="22">
        <f t="shared" si="44"/>
        <v>12783.2</v>
      </c>
    </row>
    <row r="946" spans="1:15" x14ac:dyDescent="0.3">
      <c r="A946" s="12" t="s">
        <v>1185</v>
      </c>
      <c r="B946" s="12" t="s">
        <v>464</v>
      </c>
      <c r="C946" s="12" t="s">
        <v>44</v>
      </c>
      <c r="D946" s="12" t="s">
        <v>45</v>
      </c>
      <c r="E946" s="12" t="s">
        <v>16</v>
      </c>
      <c r="F946" s="12" t="s">
        <v>17</v>
      </c>
      <c r="G946" s="12" t="s">
        <v>26</v>
      </c>
      <c r="H946" s="12">
        <v>14892</v>
      </c>
      <c r="I946" s="12" t="s">
        <v>22</v>
      </c>
      <c r="J946" s="26">
        <v>0.1</v>
      </c>
      <c r="K946" s="12">
        <v>13000</v>
      </c>
      <c r="L946" s="14">
        <v>45332</v>
      </c>
      <c r="M946" s="8" t="str">
        <f t="shared" si="42"/>
        <v>Below Target</v>
      </c>
      <c r="N946" s="20">
        <f t="shared" si="43"/>
        <v>10</v>
      </c>
      <c r="O946" s="22">
        <f t="shared" si="44"/>
        <v>13402.8</v>
      </c>
    </row>
    <row r="947" spans="1:15" x14ac:dyDescent="0.3">
      <c r="A947" s="12" t="s">
        <v>1186</v>
      </c>
      <c r="B947" s="12" t="s">
        <v>393</v>
      </c>
      <c r="C947" s="12" t="s">
        <v>30</v>
      </c>
      <c r="D947" s="12" t="s">
        <v>31</v>
      </c>
      <c r="E947" s="12" t="s">
        <v>46</v>
      </c>
      <c r="F947" s="12" t="s">
        <v>17</v>
      </c>
      <c r="G947" s="12" t="s">
        <v>18</v>
      </c>
      <c r="H947" s="12">
        <v>17284</v>
      </c>
      <c r="I947" s="12" t="s">
        <v>19</v>
      </c>
      <c r="J947" s="26">
        <v>0.2</v>
      </c>
      <c r="K947" s="12">
        <v>17000</v>
      </c>
      <c r="L947" s="14">
        <v>45304</v>
      </c>
      <c r="M947" s="8" t="str">
        <f t="shared" si="42"/>
        <v>Below Target</v>
      </c>
      <c r="N947" s="20">
        <f t="shared" si="43"/>
        <v>20</v>
      </c>
      <c r="O947" s="22">
        <f t="shared" si="44"/>
        <v>13827.2</v>
      </c>
    </row>
    <row r="948" spans="1:15" x14ac:dyDescent="0.3">
      <c r="A948" s="12" t="s">
        <v>1187</v>
      </c>
      <c r="B948" s="12" t="s">
        <v>241</v>
      </c>
      <c r="C948" s="12" t="s">
        <v>14</v>
      </c>
      <c r="D948" s="12" t="s">
        <v>15</v>
      </c>
      <c r="E948" s="12" t="s">
        <v>16</v>
      </c>
      <c r="F948" s="12" t="s">
        <v>17</v>
      </c>
      <c r="G948" s="12" t="s">
        <v>26</v>
      </c>
      <c r="H948" s="12">
        <v>14078</v>
      </c>
      <c r="I948" s="12" t="s">
        <v>19</v>
      </c>
      <c r="J948" s="26">
        <v>0.2</v>
      </c>
      <c r="K948" s="12">
        <v>14000</v>
      </c>
      <c r="L948" s="14">
        <v>45321</v>
      </c>
      <c r="M948" s="8" t="str">
        <f t="shared" si="42"/>
        <v>Below Target</v>
      </c>
      <c r="N948" s="20">
        <f t="shared" si="43"/>
        <v>20</v>
      </c>
      <c r="O948" s="22">
        <f t="shared" si="44"/>
        <v>11262.4</v>
      </c>
    </row>
    <row r="949" spans="1:15" x14ac:dyDescent="0.3">
      <c r="A949" s="12" t="s">
        <v>1188</v>
      </c>
      <c r="B949" s="12" t="s">
        <v>426</v>
      </c>
      <c r="C949" s="12" t="s">
        <v>44</v>
      </c>
      <c r="D949" s="12" t="s">
        <v>45</v>
      </c>
      <c r="E949" s="12" t="s">
        <v>46</v>
      </c>
      <c r="F949" s="12" t="s">
        <v>25</v>
      </c>
      <c r="G949" s="12" t="s">
        <v>18</v>
      </c>
      <c r="H949" s="12">
        <v>11461</v>
      </c>
      <c r="I949" s="12" t="s">
        <v>19</v>
      </c>
      <c r="J949" s="26">
        <v>0.2</v>
      </c>
      <c r="K949" s="12">
        <v>13000</v>
      </c>
      <c r="L949" s="14">
        <v>45335</v>
      </c>
      <c r="M949" s="8" t="str">
        <f t="shared" si="42"/>
        <v>Below Target</v>
      </c>
      <c r="N949" s="20">
        <f t="shared" si="43"/>
        <v>20</v>
      </c>
      <c r="O949" s="22">
        <f t="shared" si="44"/>
        <v>9168.7999999999993</v>
      </c>
    </row>
    <row r="950" spans="1:15" x14ac:dyDescent="0.3">
      <c r="A950" s="12" t="s">
        <v>1189</v>
      </c>
      <c r="B950" s="12" t="s">
        <v>1190</v>
      </c>
      <c r="C950" s="12" t="s">
        <v>61</v>
      </c>
      <c r="D950" s="12" t="s">
        <v>62</v>
      </c>
      <c r="E950" s="12" t="s">
        <v>32</v>
      </c>
      <c r="F950" s="12" t="s">
        <v>25</v>
      </c>
      <c r="G950" s="12" t="s">
        <v>26</v>
      </c>
      <c r="H950" s="12">
        <v>10779</v>
      </c>
      <c r="I950" s="12" t="s">
        <v>22</v>
      </c>
      <c r="J950" s="26">
        <v>0.1</v>
      </c>
      <c r="K950" s="12">
        <v>9000</v>
      </c>
      <c r="L950" s="14">
        <v>45295</v>
      </c>
      <c r="M950" s="8" t="str">
        <f t="shared" si="42"/>
        <v>Below Target</v>
      </c>
      <c r="N950" s="20">
        <f t="shared" si="43"/>
        <v>10</v>
      </c>
      <c r="O950" s="22">
        <f t="shared" si="44"/>
        <v>9701.1</v>
      </c>
    </row>
    <row r="951" spans="1:15" x14ac:dyDescent="0.3">
      <c r="A951" s="12" t="s">
        <v>1191</v>
      </c>
      <c r="B951" s="12" t="s">
        <v>317</v>
      </c>
      <c r="C951" s="12" t="s">
        <v>30</v>
      </c>
      <c r="D951" s="12" t="s">
        <v>31</v>
      </c>
      <c r="E951" s="12" t="s">
        <v>32</v>
      </c>
      <c r="F951" s="12" t="s">
        <v>17</v>
      </c>
      <c r="G951" s="12" t="s">
        <v>36</v>
      </c>
      <c r="H951" s="12">
        <v>16369</v>
      </c>
      <c r="I951" s="12" t="s">
        <v>27</v>
      </c>
      <c r="J951" s="26"/>
      <c r="K951" s="12">
        <v>17000</v>
      </c>
      <c r="L951" s="14">
        <v>45343</v>
      </c>
      <c r="M951" s="8" t="str">
        <f t="shared" si="42"/>
        <v>Below Target</v>
      </c>
      <c r="N951" s="20">
        <f t="shared" si="43"/>
        <v>15</v>
      </c>
      <c r="O951" s="22">
        <f t="shared" si="44"/>
        <v>13913.65</v>
      </c>
    </row>
    <row r="952" spans="1:15" x14ac:dyDescent="0.3">
      <c r="A952" s="12" t="s">
        <v>1192</v>
      </c>
      <c r="B952" s="12" t="s">
        <v>148</v>
      </c>
      <c r="C952" s="12" t="s">
        <v>61</v>
      </c>
      <c r="D952" s="12" t="s">
        <v>62</v>
      </c>
      <c r="E952" s="12" t="s">
        <v>32</v>
      </c>
      <c r="F952" s="12" t="s">
        <v>25</v>
      </c>
      <c r="G952" s="12" t="s">
        <v>26</v>
      </c>
      <c r="H952" s="12">
        <v>7214</v>
      </c>
      <c r="I952" s="12" t="s">
        <v>27</v>
      </c>
      <c r="J952" s="26"/>
      <c r="K952" s="12">
        <v>9000</v>
      </c>
      <c r="L952" s="14">
        <v>45303</v>
      </c>
      <c r="M952" s="8" t="str">
        <f t="shared" si="42"/>
        <v>Below Target</v>
      </c>
      <c r="N952" s="20">
        <f t="shared" si="43"/>
        <v>15</v>
      </c>
      <c r="O952" s="22">
        <f t="shared" si="44"/>
        <v>6131.9</v>
      </c>
    </row>
    <row r="953" spans="1:15" x14ac:dyDescent="0.3">
      <c r="A953" s="12" t="s">
        <v>1193</v>
      </c>
      <c r="B953" s="12" t="s">
        <v>135</v>
      </c>
      <c r="C953" s="12" t="s">
        <v>14</v>
      </c>
      <c r="D953" s="12" t="s">
        <v>15</v>
      </c>
      <c r="E953" s="12" t="s">
        <v>46</v>
      </c>
      <c r="F953" s="12" t="s">
        <v>39</v>
      </c>
      <c r="G953" s="12" t="s">
        <v>18</v>
      </c>
      <c r="H953" s="12">
        <v>12290</v>
      </c>
      <c r="I953" s="12" t="s">
        <v>19</v>
      </c>
      <c r="J953" s="26">
        <v>0.2</v>
      </c>
      <c r="K953" s="12">
        <v>14000</v>
      </c>
      <c r="L953" s="14">
        <v>45338</v>
      </c>
      <c r="M953" s="8" t="str">
        <f t="shared" si="42"/>
        <v>Below Target</v>
      </c>
      <c r="N953" s="20">
        <f t="shared" si="43"/>
        <v>20</v>
      </c>
      <c r="O953" s="22">
        <f t="shared" si="44"/>
        <v>9832</v>
      </c>
    </row>
    <row r="954" spans="1:15" x14ac:dyDescent="0.3">
      <c r="A954" s="12" t="s">
        <v>1194</v>
      </c>
      <c r="B954" s="12" t="s">
        <v>600</v>
      </c>
      <c r="C954" s="12" t="s">
        <v>30</v>
      </c>
      <c r="D954" s="12" t="s">
        <v>31</v>
      </c>
      <c r="E954" s="12" t="s">
        <v>46</v>
      </c>
      <c r="F954" s="12" t="s">
        <v>25</v>
      </c>
      <c r="G954" s="12" t="s">
        <v>26</v>
      </c>
      <c r="H954" s="12">
        <v>17772</v>
      </c>
      <c r="I954" s="12" t="s">
        <v>33</v>
      </c>
      <c r="J954" s="26">
        <v>0.3</v>
      </c>
      <c r="K954" s="12">
        <v>17000</v>
      </c>
      <c r="L954" s="14">
        <v>45306</v>
      </c>
      <c r="M954" s="8" t="str">
        <f t="shared" si="42"/>
        <v>Below Target</v>
      </c>
      <c r="N954" s="20">
        <f t="shared" si="43"/>
        <v>30</v>
      </c>
      <c r="O954" s="22">
        <f t="shared" si="44"/>
        <v>12440.4</v>
      </c>
    </row>
    <row r="955" spans="1:15" x14ac:dyDescent="0.3">
      <c r="A955" s="12" t="s">
        <v>1195</v>
      </c>
      <c r="B955" s="12" t="s">
        <v>652</v>
      </c>
      <c r="C955" s="12" t="s">
        <v>30</v>
      </c>
      <c r="D955" s="12" t="s">
        <v>31</v>
      </c>
      <c r="E955" s="12" t="s">
        <v>32</v>
      </c>
      <c r="F955" s="12" t="s">
        <v>25</v>
      </c>
      <c r="G955" s="12" t="s">
        <v>18</v>
      </c>
      <c r="H955" s="12">
        <v>18021</v>
      </c>
      <c r="I955" s="12"/>
      <c r="J955" s="26"/>
      <c r="K955" s="12">
        <v>17000</v>
      </c>
      <c r="L955" s="14">
        <v>45347</v>
      </c>
      <c r="M955" s="8" t="str">
        <f t="shared" si="42"/>
        <v>Target Achieved</v>
      </c>
      <c r="N955" s="20">
        <f t="shared" si="43"/>
        <v>0</v>
      </c>
      <c r="O955" s="22">
        <f t="shared" si="44"/>
        <v>18021</v>
      </c>
    </row>
    <row r="956" spans="1:15" x14ac:dyDescent="0.3">
      <c r="A956" s="12" t="s">
        <v>1196</v>
      </c>
      <c r="B956" s="12" t="s">
        <v>414</v>
      </c>
      <c r="C956" s="12" t="s">
        <v>44</v>
      </c>
      <c r="D956" s="12" t="s">
        <v>45</v>
      </c>
      <c r="E956" s="12" t="s">
        <v>32</v>
      </c>
      <c r="F956" s="12" t="s">
        <v>17</v>
      </c>
      <c r="G956" s="12" t="s">
        <v>26</v>
      </c>
      <c r="H956" s="12">
        <v>12984</v>
      </c>
      <c r="I956" s="12" t="s">
        <v>22</v>
      </c>
      <c r="J956" s="26">
        <v>0.1</v>
      </c>
      <c r="K956" s="12">
        <v>13000</v>
      </c>
      <c r="L956" s="14">
        <v>45348</v>
      </c>
      <c r="M956" s="8" t="str">
        <f t="shared" si="42"/>
        <v>Below Target</v>
      </c>
      <c r="N956" s="20">
        <f t="shared" si="43"/>
        <v>10</v>
      </c>
      <c r="O956" s="22">
        <f t="shared" si="44"/>
        <v>11685.6</v>
      </c>
    </row>
    <row r="957" spans="1:15" x14ac:dyDescent="0.3">
      <c r="A957" s="12" t="s">
        <v>1197</v>
      </c>
      <c r="B957" s="12" t="s">
        <v>186</v>
      </c>
      <c r="C957" s="12" t="s">
        <v>44</v>
      </c>
      <c r="D957" s="12" t="s">
        <v>45</v>
      </c>
      <c r="E957" s="12" t="s">
        <v>16</v>
      </c>
      <c r="F957" s="12" t="s">
        <v>17</v>
      </c>
      <c r="G957" s="12" t="s">
        <v>18</v>
      </c>
      <c r="H957" s="12">
        <v>12586</v>
      </c>
      <c r="I957" s="12" t="s">
        <v>33</v>
      </c>
      <c r="J957" s="26">
        <v>0.3</v>
      </c>
      <c r="K957" s="12">
        <v>13000</v>
      </c>
      <c r="L957" s="14">
        <v>45300</v>
      </c>
      <c r="M957" s="8" t="str">
        <f t="shared" si="42"/>
        <v>Below Target</v>
      </c>
      <c r="N957" s="20">
        <f t="shared" si="43"/>
        <v>30</v>
      </c>
      <c r="O957" s="22">
        <f t="shared" si="44"/>
        <v>8810.2000000000007</v>
      </c>
    </row>
    <row r="958" spans="1:15" x14ac:dyDescent="0.3">
      <c r="A958" s="12" t="s">
        <v>1198</v>
      </c>
      <c r="B958" s="12" t="s">
        <v>483</v>
      </c>
      <c r="C958" s="12" t="s">
        <v>44</v>
      </c>
      <c r="D958" s="12" t="s">
        <v>45</v>
      </c>
      <c r="E958" s="12" t="s">
        <v>16</v>
      </c>
      <c r="F958" s="12" t="s">
        <v>17</v>
      </c>
      <c r="G958" s="12" t="s">
        <v>36</v>
      </c>
      <c r="H958" s="12">
        <v>11828</v>
      </c>
      <c r="I958" s="12" t="s">
        <v>33</v>
      </c>
      <c r="J958" s="26">
        <v>0.3</v>
      </c>
      <c r="K958" s="12">
        <v>13000</v>
      </c>
      <c r="L958" s="14">
        <v>45300</v>
      </c>
      <c r="M958" s="8" t="str">
        <f t="shared" si="42"/>
        <v>Below Target</v>
      </c>
      <c r="N958" s="20">
        <f t="shared" si="43"/>
        <v>30</v>
      </c>
      <c r="O958" s="22">
        <f t="shared" si="44"/>
        <v>8279.6</v>
      </c>
    </row>
    <row r="959" spans="1:15" x14ac:dyDescent="0.3">
      <c r="A959" s="12" t="s">
        <v>1199</v>
      </c>
      <c r="B959" s="12" t="s">
        <v>190</v>
      </c>
      <c r="C959" s="12" t="s">
        <v>14</v>
      </c>
      <c r="D959" s="12" t="s">
        <v>15</v>
      </c>
      <c r="E959" s="12" t="s">
        <v>46</v>
      </c>
      <c r="F959" s="12" t="s">
        <v>25</v>
      </c>
      <c r="G959" s="12" t="s">
        <v>18</v>
      </c>
      <c r="H959" s="12">
        <v>15488</v>
      </c>
      <c r="I959" s="12"/>
      <c r="J959" s="26"/>
      <c r="K959" s="12">
        <v>14000</v>
      </c>
      <c r="L959" s="14">
        <v>45321</v>
      </c>
      <c r="M959" s="8" t="str">
        <f t="shared" si="42"/>
        <v>Target Achieved</v>
      </c>
      <c r="N959" s="20">
        <f t="shared" si="43"/>
        <v>0</v>
      </c>
      <c r="O959" s="22">
        <f t="shared" si="44"/>
        <v>15488</v>
      </c>
    </row>
    <row r="960" spans="1:15" x14ac:dyDescent="0.3">
      <c r="A960" s="12" t="s">
        <v>1200</v>
      </c>
      <c r="B960" s="12" t="s">
        <v>186</v>
      </c>
      <c r="C960" s="12" t="s">
        <v>30</v>
      </c>
      <c r="D960" s="12" t="s">
        <v>31</v>
      </c>
      <c r="E960" s="12" t="s">
        <v>32</v>
      </c>
      <c r="F960" s="12" t="s">
        <v>17</v>
      </c>
      <c r="G960" s="12" t="s">
        <v>26</v>
      </c>
      <c r="H960" s="12">
        <v>15642</v>
      </c>
      <c r="I960" s="12" t="s">
        <v>27</v>
      </c>
      <c r="J960" s="26"/>
      <c r="K960" s="12">
        <v>17000</v>
      </c>
      <c r="L960" s="14">
        <v>45349</v>
      </c>
      <c r="M960" s="8" t="str">
        <f t="shared" si="42"/>
        <v>Below Target</v>
      </c>
      <c r="N960" s="20">
        <f t="shared" si="43"/>
        <v>15</v>
      </c>
      <c r="O960" s="22">
        <f t="shared" si="44"/>
        <v>13295.7</v>
      </c>
    </row>
    <row r="961" spans="1:15" x14ac:dyDescent="0.3">
      <c r="A961" s="12" t="s">
        <v>1201</v>
      </c>
      <c r="B961" s="12" t="s">
        <v>720</v>
      </c>
      <c r="C961" s="12" t="s">
        <v>44</v>
      </c>
      <c r="D961" s="12" t="s">
        <v>45</v>
      </c>
      <c r="E961" s="12" t="s">
        <v>32</v>
      </c>
      <c r="F961" s="12" t="s">
        <v>17</v>
      </c>
      <c r="G961" s="12" t="s">
        <v>26</v>
      </c>
      <c r="H961" s="12">
        <v>13003</v>
      </c>
      <c r="I961" s="12" t="s">
        <v>19</v>
      </c>
      <c r="J961" s="26">
        <v>0.2</v>
      </c>
      <c r="K961" s="12">
        <v>13000</v>
      </c>
      <c r="L961" s="14">
        <v>45329</v>
      </c>
      <c r="M961" s="8" t="str">
        <f t="shared" si="42"/>
        <v>Below Target</v>
      </c>
      <c r="N961" s="20">
        <f t="shared" si="43"/>
        <v>20</v>
      </c>
      <c r="O961" s="22">
        <f t="shared" si="44"/>
        <v>10402.4</v>
      </c>
    </row>
    <row r="962" spans="1:15" x14ac:dyDescent="0.3">
      <c r="A962" s="12" t="s">
        <v>1202</v>
      </c>
      <c r="B962" s="12" t="s">
        <v>752</v>
      </c>
      <c r="C962" s="12" t="s">
        <v>61</v>
      </c>
      <c r="D962" s="12" t="s">
        <v>62</v>
      </c>
      <c r="E962" s="12" t="s">
        <v>46</v>
      </c>
      <c r="F962" s="12" t="s">
        <v>25</v>
      </c>
      <c r="G962" s="12" t="s">
        <v>26</v>
      </c>
      <c r="H962" s="12">
        <v>8753</v>
      </c>
      <c r="I962" s="12" t="s">
        <v>19</v>
      </c>
      <c r="J962" s="26">
        <v>0.2</v>
      </c>
      <c r="K962" s="12">
        <v>9000</v>
      </c>
      <c r="L962" s="14">
        <v>45307</v>
      </c>
      <c r="M962" s="8" t="str">
        <f t="shared" ref="M962:M1001" si="45">IF(J962&gt;=N962,"Target Achieved","Below Target")</f>
        <v>Below Target</v>
      </c>
      <c r="N962" s="20">
        <f t="shared" si="43"/>
        <v>20</v>
      </c>
      <c r="O962" s="22">
        <f t="shared" si="44"/>
        <v>7002.4</v>
      </c>
    </row>
    <row r="963" spans="1:15" x14ac:dyDescent="0.3">
      <c r="A963" s="12" t="s">
        <v>1203</v>
      </c>
      <c r="B963" s="12" t="s">
        <v>666</v>
      </c>
      <c r="C963" s="12" t="s">
        <v>44</v>
      </c>
      <c r="D963" s="12" t="s">
        <v>45</v>
      </c>
      <c r="E963" s="12" t="s">
        <v>16</v>
      </c>
      <c r="F963" s="12" t="s">
        <v>25</v>
      </c>
      <c r="G963" s="12" t="s">
        <v>26</v>
      </c>
      <c r="H963" s="12">
        <v>14679</v>
      </c>
      <c r="I963" s="12" t="s">
        <v>22</v>
      </c>
      <c r="J963" s="26">
        <v>0.1</v>
      </c>
      <c r="K963" s="12">
        <v>13000</v>
      </c>
      <c r="L963" s="14">
        <v>45318</v>
      </c>
      <c r="M963" s="8" t="str">
        <f t="shared" si="45"/>
        <v>Below Target</v>
      </c>
      <c r="N963" s="20">
        <f t="shared" ref="N963:N1001" si="46">IFERROR(VALUE(RIGHT(I963,2)),0)</f>
        <v>10</v>
      </c>
      <c r="O963" s="22">
        <f t="shared" ref="O963:O1001" si="47">H963-H963*N963/100</f>
        <v>13211.1</v>
      </c>
    </row>
    <row r="964" spans="1:15" x14ac:dyDescent="0.3">
      <c r="A964" s="12" t="s">
        <v>1204</v>
      </c>
      <c r="B964" s="12" t="s">
        <v>161</v>
      </c>
      <c r="C964" s="12" t="s">
        <v>61</v>
      </c>
      <c r="D964" s="12" t="s">
        <v>62</v>
      </c>
      <c r="E964" s="12" t="s">
        <v>16</v>
      </c>
      <c r="F964" s="12" t="s">
        <v>39</v>
      </c>
      <c r="G964" s="12" t="s">
        <v>18</v>
      </c>
      <c r="H964" s="12">
        <v>8743</v>
      </c>
      <c r="I964" s="12" t="s">
        <v>27</v>
      </c>
      <c r="J964" s="26"/>
      <c r="K964" s="12">
        <v>9000</v>
      </c>
      <c r="L964" s="14">
        <v>45317</v>
      </c>
      <c r="M964" s="8" t="str">
        <f t="shared" si="45"/>
        <v>Below Target</v>
      </c>
      <c r="N964" s="20">
        <f t="shared" si="46"/>
        <v>15</v>
      </c>
      <c r="O964" s="22">
        <f t="shared" si="47"/>
        <v>7431.55</v>
      </c>
    </row>
    <row r="965" spans="1:15" x14ac:dyDescent="0.3">
      <c r="A965" s="12" t="s">
        <v>1205</v>
      </c>
      <c r="B965" s="12" t="s">
        <v>157</v>
      </c>
      <c r="C965" s="12" t="s">
        <v>14</v>
      </c>
      <c r="D965" s="12" t="s">
        <v>15</v>
      </c>
      <c r="E965" s="12" t="s">
        <v>46</v>
      </c>
      <c r="F965" s="12" t="s">
        <v>17</v>
      </c>
      <c r="G965" s="12" t="s">
        <v>18</v>
      </c>
      <c r="H965" s="12">
        <v>12340</v>
      </c>
      <c r="I965" s="12" t="s">
        <v>27</v>
      </c>
      <c r="J965" s="26"/>
      <c r="K965" s="12">
        <v>14000</v>
      </c>
      <c r="L965" s="14">
        <v>45340</v>
      </c>
      <c r="M965" s="8" t="str">
        <f t="shared" si="45"/>
        <v>Below Target</v>
      </c>
      <c r="N965" s="20">
        <f t="shared" si="46"/>
        <v>15</v>
      </c>
      <c r="O965" s="22">
        <f t="shared" si="47"/>
        <v>10489</v>
      </c>
    </row>
    <row r="966" spans="1:15" x14ac:dyDescent="0.3">
      <c r="A966" s="12" t="s">
        <v>1206</v>
      </c>
      <c r="B966" s="12" t="s">
        <v>190</v>
      </c>
      <c r="C966" s="12" t="s">
        <v>61</v>
      </c>
      <c r="D966" s="12" t="s">
        <v>62</v>
      </c>
      <c r="E966" s="12" t="s">
        <v>32</v>
      </c>
      <c r="F966" s="12" t="s">
        <v>25</v>
      </c>
      <c r="G966" s="12" t="s">
        <v>36</v>
      </c>
      <c r="H966" s="12">
        <v>8211</v>
      </c>
      <c r="I966" s="12" t="s">
        <v>19</v>
      </c>
      <c r="J966" s="26">
        <v>0.2</v>
      </c>
      <c r="K966" s="12">
        <v>9000</v>
      </c>
      <c r="L966" s="14">
        <v>45333</v>
      </c>
      <c r="M966" s="8" t="str">
        <f t="shared" si="45"/>
        <v>Below Target</v>
      </c>
      <c r="N966" s="20">
        <f t="shared" si="46"/>
        <v>20</v>
      </c>
      <c r="O966" s="22">
        <f t="shared" si="47"/>
        <v>6568.8</v>
      </c>
    </row>
    <row r="967" spans="1:15" x14ac:dyDescent="0.3">
      <c r="A967" s="12" t="s">
        <v>1207</v>
      </c>
      <c r="B967" s="12" t="s">
        <v>43</v>
      </c>
      <c r="C967" s="12" t="s">
        <v>61</v>
      </c>
      <c r="D967" s="12" t="s">
        <v>62</v>
      </c>
      <c r="E967" s="12" t="s">
        <v>16</v>
      </c>
      <c r="F967" s="12" t="s">
        <v>17</v>
      </c>
      <c r="G967" s="12" t="s">
        <v>18</v>
      </c>
      <c r="H967" s="12">
        <v>9880</v>
      </c>
      <c r="I967" s="12"/>
      <c r="J967" s="26"/>
      <c r="K967" s="12">
        <v>9000</v>
      </c>
      <c r="L967" s="14">
        <v>45346</v>
      </c>
      <c r="M967" s="8" t="str">
        <f t="shared" si="45"/>
        <v>Target Achieved</v>
      </c>
      <c r="N967" s="20">
        <f t="shared" si="46"/>
        <v>0</v>
      </c>
      <c r="O967" s="22">
        <f t="shared" si="47"/>
        <v>9880</v>
      </c>
    </row>
    <row r="968" spans="1:15" x14ac:dyDescent="0.3">
      <c r="A968" s="12" t="s">
        <v>1208</v>
      </c>
      <c r="B968" s="12" t="s">
        <v>233</v>
      </c>
      <c r="C968" s="12" t="s">
        <v>14</v>
      </c>
      <c r="D968" s="12" t="s">
        <v>15</v>
      </c>
      <c r="E968" s="12" t="s">
        <v>46</v>
      </c>
      <c r="F968" s="12" t="s">
        <v>17</v>
      </c>
      <c r="G968" s="12" t="s">
        <v>18</v>
      </c>
      <c r="H968" s="12">
        <v>15580</v>
      </c>
      <c r="I968" s="12"/>
      <c r="J968" s="26"/>
      <c r="K968" s="12">
        <v>14000</v>
      </c>
      <c r="L968" s="14">
        <v>45303</v>
      </c>
      <c r="M968" s="8" t="str">
        <f t="shared" si="45"/>
        <v>Target Achieved</v>
      </c>
      <c r="N968" s="20">
        <f t="shared" si="46"/>
        <v>0</v>
      </c>
      <c r="O968" s="22">
        <f t="shared" si="47"/>
        <v>15580</v>
      </c>
    </row>
    <row r="969" spans="1:15" x14ac:dyDescent="0.3">
      <c r="A969" s="12" t="s">
        <v>1209</v>
      </c>
      <c r="B969" s="12" t="s">
        <v>140</v>
      </c>
      <c r="C969" s="12" t="s">
        <v>30</v>
      </c>
      <c r="D969" s="12" t="s">
        <v>31</v>
      </c>
      <c r="E969" s="12" t="s">
        <v>16</v>
      </c>
      <c r="F969" s="12" t="s">
        <v>17</v>
      </c>
      <c r="G969" s="12" t="s">
        <v>26</v>
      </c>
      <c r="H969" s="12">
        <v>17594</v>
      </c>
      <c r="I969" s="12" t="s">
        <v>22</v>
      </c>
      <c r="J969" s="26">
        <v>0.1</v>
      </c>
      <c r="K969" s="12">
        <v>17000</v>
      </c>
      <c r="L969" s="14">
        <v>45347</v>
      </c>
      <c r="M969" s="8" t="str">
        <f t="shared" si="45"/>
        <v>Below Target</v>
      </c>
      <c r="N969" s="20">
        <f t="shared" si="46"/>
        <v>10</v>
      </c>
      <c r="O969" s="22">
        <f t="shared" si="47"/>
        <v>15834.6</v>
      </c>
    </row>
    <row r="970" spans="1:15" x14ac:dyDescent="0.3">
      <c r="A970" s="12" t="s">
        <v>1210</v>
      </c>
      <c r="B970" s="12" t="s">
        <v>13</v>
      </c>
      <c r="C970" s="12" t="s">
        <v>61</v>
      </c>
      <c r="D970" s="12" t="s">
        <v>62</v>
      </c>
      <c r="E970" s="12" t="s">
        <v>16</v>
      </c>
      <c r="F970" s="12" t="s">
        <v>17</v>
      </c>
      <c r="G970" s="12" t="s">
        <v>26</v>
      </c>
      <c r="H970" s="12">
        <v>7133</v>
      </c>
      <c r="I970" s="12" t="s">
        <v>33</v>
      </c>
      <c r="J970" s="26">
        <v>0.3</v>
      </c>
      <c r="K970" s="12">
        <v>9000</v>
      </c>
      <c r="L970" s="14">
        <v>45319</v>
      </c>
      <c r="M970" s="8" t="str">
        <f t="shared" si="45"/>
        <v>Below Target</v>
      </c>
      <c r="N970" s="20">
        <f t="shared" si="46"/>
        <v>30</v>
      </c>
      <c r="O970" s="22">
        <f t="shared" si="47"/>
        <v>4993.1000000000004</v>
      </c>
    </row>
    <row r="971" spans="1:15" x14ac:dyDescent="0.3">
      <c r="A971" s="12" t="s">
        <v>1211</v>
      </c>
      <c r="B971" s="12" t="s">
        <v>1073</v>
      </c>
      <c r="C971" s="12" t="s">
        <v>44</v>
      </c>
      <c r="D971" s="12" t="s">
        <v>45</v>
      </c>
      <c r="E971" s="12" t="s">
        <v>16</v>
      </c>
      <c r="F971" s="12" t="s">
        <v>25</v>
      </c>
      <c r="G971" s="12" t="s">
        <v>26</v>
      </c>
      <c r="H971" s="12">
        <v>14607</v>
      </c>
      <c r="I971" s="12" t="s">
        <v>33</v>
      </c>
      <c r="J971" s="26">
        <v>0.3</v>
      </c>
      <c r="K971" s="12">
        <v>13000</v>
      </c>
      <c r="L971" s="14">
        <v>45339</v>
      </c>
      <c r="M971" s="8" t="str">
        <f t="shared" si="45"/>
        <v>Below Target</v>
      </c>
      <c r="N971" s="20">
        <f t="shared" si="46"/>
        <v>30</v>
      </c>
      <c r="O971" s="22">
        <f t="shared" si="47"/>
        <v>10224.9</v>
      </c>
    </row>
    <row r="972" spans="1:15" x14ac:dyDescent="0.3">
      <c r="A972" s="12" t="s">
        <v>1212</v>
      </c>
      <c r="B972" s="12" t="s">
        <v>987</v>
      </c>
      <c r="C972" s="12" t="s">
        <v>30</v>
      </c>
      <c r="D972" s="12" t="s">
        <v>31</v>
      </c>
      <c r="E972" s="12" t="s">
        <v>32</v>
      </c>
      <c r="F972" s="12" t="s">
        <v>25</v>
      </c>
      <c r="G972" s="12" t="s">
        <v>36</v>
      </c>
      <c r="H972" s="12">
        <v>16497</v>
      </c>
      <c r="I972" s="12"/>
      <c r="J972" s="26"/>
      <c r="K972" s="12">
        <v>17000</v>
      </c>
      <c r="L972" s="14">
        <v>45331</v>
      </c>
      <c r="M972" s="8" t="str">
        <f t="shared" si="45"/>
        <v>Target Achieved</v>
      </c>
      <c r="N972" s="20">
        <f t="shared" si="46"/>
        <v>0</v>
      </c>
      <c r="O972" s="22">
        <f t="shared" si="47"/>
        <v>16497</v>
      </c>
    </row>
    <row r="973" spans="1:15" x14ac:dyDescent="0.3">
      <c r="A973" s="12" t="s">
        <v>1213</v>
      </c>
      <c r="B973" s="12" t="s">
        <v>125</v>
      </c>
      <c r="C973" s="12" t="s">
        <v>30</v>
      </c>
      <c r="D973" s="12" t="s">
        <v>31</v>
      </c>
      <c r="E973" s="12" t="s">
        <v>32</v>
      </c>
      <c r="F973" s="12" t="s">
        <v>39</v>
      </c>
      <c r="G973" s="12" t="s">
        <v>26</v>
      </c>
      <c r="H973" s="12">
        <v>17887</v>
      </c>
      <c r="I973" s="12" t="s">
        <v>22</v>
      </c>
      <c r="J973" s="26">
        <v>0.1</v>
      </c>
      <c r="K973" s="12">
        <v>17000</v>
      </c>
      <c r="L973" s="14">
        <v>45327</v>
      </c>
      <c r="M973" s="8" t="str">
        <f t="shared" si="45"/>
        <v>Below Target</v>
      </c>
      <c r="N973" s="20">
        <f t="shared" si="46"/>
        <v>10</v>
      </c>
      <c r="O973" s="22">
        <f t="shared" si="47"/>
        <v>16098.3</v>
      </c>
    </row>
    <row r="974" spans="1:15" x14ac:dyDescent="0.3">
      <c r="A974" s="12" t="s">
        <v>1214</v>
      </c>
      <c r="B974" s="12" t="s">
        <v>276</v>
      </c>
      <c r="C974" s="12" t="s">
        <v>44</v>
      </c>
      <c r="D974" s="12" t="s">
        <v>45</v>
      </c>
      <c r="E974" s="12" t="s">
        <v>32</v>
      </c>
      <c r="F974" s="12" t="s">
        <v>17</v>
      </c>
      <c r="G974" s="12" t="s">
        <v>18</v>
      </c>
      <c r="H974" s="12">
        <v>13210</v>
      </c>
      <c r="I974" s="12" t="s">
        <v>22</v>
      </c>
      <c r="J974" s="26">
        <v>0.1</v>
      </c>
      <c r="K974" s="12">
        <v>13000</v>
      </c>
      <c r="L974" s="14">
        <v>45333</v>
      </c>
      <c r="M974" s="8" t="str">
        <f t="shared" si="45"/>
        <v>Below Target</v>
      </c>
      <c r="N974" s="20">
        <f t="shared" si="46"/>
        <v>10</v>
      </c>
      <c r="O974" s="22">
        <f t="shared" si="47"/>
        <v>11889</v>
      </c>
    </row>
    <row r="975" spans="1:15" x14ac:dyDescent="0.3">
      <c r="A975" s="12" t="s">
        <v>1215</v>
      </c>
      <c r="B975" s="12" t="s">
        <v>483</v>
      </c>
      <c r="C975" s="12" t="s">
        <v>44</v>
      </c>
      <c r="D975" s="12" t="s">
        <v>45</v>
      </c>
      <c r="E975" s="12" t="s">
        <v>16</v>
      </c>
      <c r="F975" s="12" t="s">
        <v>25</v>
      </c>
      <c r="G975" s="12" t="s">
        <v>36</v>
      </c>
      <c r="H975" s="12">
        <v>12444</v>
      </c>
      <c r="I975" s="12" t="s">
        <v>33</v>
      </c>
      <c r="J975" s="26">
        <v>0.3</v>
      </c>
      <c r="K975" s="12">
        <v>13000</v>
      </c>
      <c r="L975" s="14">
        <v>45324</v>
      </c>
      <c r="M975" s="8" t="str">
        <f t="shared" si="45"/>
        <v>Below Target</v>
      </c>
      <c r="N975" s="20">
        <f t="shared" si="46"/>
        <v>30</v>
      </c>
      <c r="O975" s="22">
        <f t="shared" si="47"/>
        <v>8710.7999999999993</v>
      </c>
    </row>
    <row r="976" spans="1:15" x14ac:dyDescent="0.3">
      <c r="A976" s="12" t="s">
        <v>1216</v>
      </c>
      <c r="B976" s="12" t="s">
        <v>90</v>
      </c>
      <c r="C976" s="12" t="s">
        <v>30</v>
      </c>
      <c r="D976" s="12" t="s">
        <v>31</v>
      </c>
      <c r="E976" s="12" t="s">
        <v>32</v>
      </c>
      <c r="F976" s="12" t="s">
        <v>25</v>
      </c>
      <c r="G976" s="12" t="s">
        <v>36</v>
      </c>
      <c r="H976" s="12">
        <v>16414</v>
      </c>
      <c r="I976" s="12"/>
      <c r="J976" s="26"/>
      <c r="K976" s="12">
        <v>17000</v>
      </c>
      <c r="L976" s="14">
        <v>45323</v>
      </c>
      <c r="M976" s="8" t="str">
        <f t="shared" si="45"/>
        <v>Target Achieved</v>
      </c>
      <c r="N976" s="20">
        <f t="shared" si="46"/>
        <v>0</v>
      </c>
      <c r="O976" s="22">
        <f t="shared" si="47"/>
        <v>16414</v>
      </c>
    </row>
    <row r="977" spans="1:15" x14ac:dyDescent="0.3">
      <c r="A977" s="12" t="s">
        <v>1217</v>
      </c>
      <c r="B977" s="12" t="s">
        <v>168</v>
      </c>
      <c r="C977" s="12" t="s">
        <v>14</v>
      </c>
      <c r="D977" s="12" t="s">
        <v>15</v>
      </c>
      <c r="E977" s="12" t="s">
        <v>46</v>
      </c>
      <c r="F977" s="12" t="s">
        <v>39</v>
      </c>
      <c r="G977" s="12" t="s">
        <v>26</v>
      </c>
      <c r="H977" s="12">
        <v>14778</v>
      </c>
      <c r="I977" s="12" t="s">
        <v>27</v>
      </c>
      <c r="J977" s="26"/>
      <c r="K977" s="12">
        <v>14000</v>
      </c>
      <c r="L977" s="14">
        <v>45349</v>
      </c>
      <c r="M977" s="8" t="str">
        <f t="shared" si="45"/>
        <v>Below Target</v>
      </c>
      <c r="N977" s="20">
        <f t="shared" si="46"/>
        <v>15</v>
      </c>
      <c r="O977" s="22">
        <f t="shared" si="47"/>
        <v>12561.3</v>
      </c>
    </row>
    <row r="978" spans="1:15" x14ac:dyDescent="0.3">
      <c r="A978" s="12" t="s">
        <v>1218</v>
      </c>
      <c r="B978" s="12" t="s">
        <v>48</v>
      </c>
      <c r="C978" s="12" t="s">
        <v>30</v>
      </c>
      <c r="D978" s="12" t="s">
        <v>31</v>
      </c>
      <c r="E978" s="12" t="s">
        <v>16</v>
      </c>
      <c r="F978" s="12" t="s">
        <v>39</v>
      </c>
      <c r="G978" s="12" t="s">
        <v>18</v>
      </c>
      <c r="H978" s="12">
        <v>15771</v>
      </c>
      <c r="I978" s="12"/>
      <c r="J978" s="26"/>
      <c r="K978" s="12">
        <v>17000</v>
      </c>
      <c r="L978" s="14">
        <v>45297</v>
      </c>
      <c r="M978" s="8" t="str">
        <f t="shared" si="45"/>
        <v>Target Achieved</v>
      </c>
      <c r="N978" s="20">
        <f t="shared" si="46"/>
        <v>0</v>
      </c>
      <c r="O978" s="22">
        <f t="shared" si="47"/>
        <v>15771</v>
      </c>
    </row>
    <row r="979" spans="1:15" x14ac:dyDescent="0.3">
      <c r="A979" s="12" t="s">
        <v>1219</v>
      </c>
      <c r="B979" s="12" t="s">
        <v>66</v>
      </c>
      <c r="C979" s="12" t="s">
        <v>44</v>
      </c>
      <c r="D979" s="12" t="s">
        <v>45</v>
      </c>
      <c r="E979" s="12" t="s">
        <v>46</v>
      </c>
      <c r="F979" s="12" t="s">
        <v>25</v>
      </c>
      <c r="G979" s="12" t="s">
        <v>18</v>
      </c>
      <c r="H979" s="12">
        <v>11674</v>
      </c>
      <c r="I979" s="12" t="s">
        <v>33</v>
      </c>
      <c r="J979" s="26">
        <v>0.3</v>
      </c>
      <c r="K979" s="12">
        <v>13000</v>
      </c>
      <c r="L979" s="14">
        <v>45299</v>
      </c>
      <c r="M979" s="8" t="str">
        <f t="shared" si="45"/>
        <v>Below Target</v>
      </c>
      <c r="N979" s="20">
        <f t="shared" si="46"/>
        <v>30</v>
      </c>
      <c r="O979" s="22">
        <f t="shared" si="47"/>
        <v>8171.8</v>
      </c>
    </row>
    <row r="980" spans="1:15" x14ac:dyDescent="0.3">
      <c r="A980" s="12" t="s">
        <v>1220</v>
      </c>
      <c r="B980" s="12" t="s">
        <v>153</v>
      </c>
      <c r="C980" s="12" t="s">
        <v>61</v>
      </c>
      <c r="D980" s="12" t="s">
        <v>62</v>
      </c>
      <c r="E980" s="12" t="s">
        <v>32</v>
      </c>
      <c r="F980" s="12" t="s">
        <v>25</v>
      </c>
      <c r="G980" s="12" t="s">
        <v>26</v>
      </c>
      <c r="H980" s="12">
        <v>10899</v>
      </c>
      <c r="I980" s="12" t="s">
        <v>22</v>
      </c>
      <c r="J980" s="26">
        <v>0.1</v>
      </c>
      <c r="K980" s="12">
        <v>9000</v>
      </c>
      <c r="L980" s="14">
        <v>45310</v>
      </c>
      <c r="M980" s="8" t="str">
        <f t="shared" si="45"/>
        <v>Below Target</v>
      </c>
      <c r="N980" s="20">
        <f t="shared" si="46"/>
        <v>10</v>
      </c>
      <c r="O980" s="22">
        <f t="shared" si="47"/>
        <v>9809.1</v>
      </c>
    </row>
    <row r="981" spans="1:15" x14ac:dyDescent="0.3">
      <c r="A981" s="12" t="s">
        <v>1221</v>
      </c>
      <c r="B981" s="12" t="s">
        <v>274</v>
      </c>
      <c r="C981" s="12" t="s">
        <v>44</v>
      </c>
      <c r="D981" s="12" t="s">
        <v>45</v>
      </c>
      <c r="E981" s="12" t="s">
        <v>46</v>
      </c>
      <c r="F981" s="12" t="s">
        <v>17</v>
      </c>
      <c r="G981" s="12" t="s">
        <v>36</v>
      </c>
      <c r="H981" s="12">
        <v>12818</v>
      </c>
      <c r="I981" s="12" t="s">
        <v>22</v>
      </c>
      <c r="J981" s="26">
        <v>0.1</v>
      </c>
      <c r="K981" s="12">
        <v>13000</v>
      </c>
      <c r="L981" s="14">
        <v>45310</v>
      </c>
      <c r="M981" s="8" t="str">
        <f t="shared" si="45"/>
        <v>Below Target</v>
      </c>
      <c r="N981" s="20">
        <f t="shared" si="46"/>
        <v>10</v>
      </c>
      <c r="O981" s="22">
        <f t="shared" si="47"/>
        <v>11536.2</v>
      </c>
    </row>
    <row r="982" spans="1:15" x14ac:dyDescent="0.3">
      <c r="A982" s="12" t="s">
        <v>1222</v>
      </c>
      <c r="B982" s="12" t="s">
        <v>229</v>
      </c>
      <c r="C982" s="12" t="s">
        <v>14</v>
      </c>
      <c r="D982" s="12" t="s">
        <v>15</v>
      </c>
      <c r="E982" s="12" t="s">
        <v>32</v>
      </c>
      <c r="F982" s="12" t="s">
        <v>39</v>
      </c>
      <c r="G982" s="12" t="s">
        <v>26</v>
      </c>
      <c r="H982" s="12">
        <v>13375</v>
      </c>
      <c r="I982" s="12"/>
      <c r="J982" s="26"/>
      <c r="K982" s="12">
        <v>14000</v>
      </c>
      <c r="L982" s="14">
        <v>45329</v>
      </c>
      <c r="M982" s="8" t="str">
        <f t="shared" si="45"/>
        <v>Target Achieved</v>
      </c>
      <c r="N982" s="20">
        <f t="shared" si="46"/>
        <v>0</v>
      </c>
      <c r="O982" s="22">
        <f t="shared" si="47"/>
        <v>13375</v>
      </c>
    </row>
    <row r="983" spans="1:15" x14ac:dyDescent="0.3">
      <c r="A983" s="12" t="s">
        <v>1223</v>
      </c>
      <c r="B983" s="12" t="s">
        <v>150</v>
      </c>
      <c r="C983" s="12" t="s">
        <v>30</v>
      </c>
      <c r="D983" s="12" t="s">
        <v>31</v>
      </c>
      <c r="E983" s="12" t="s">
        <v>46</v>
      </c>
      <c r="F983" s="12" t="s">
        <v>39</v>
      </c>
      <c r="G983" s="12" t="s">
        <v>26</v>
      </c>
      <c r="H983" s="12">
        <v>17854</v>
      </c>
      <c r="I983" s="12" t="s">
        <v>27</v>
      </c>
      <c r="J983" s="26"/>
      <c r="K983" s="12">
        <v>17000</v>
      </c>
      <c r="L983" s="14">
        <v>45345</v>
      </c>
      <c r="M983" s="8" t="str">
        <f t="shared" si="45"/>
        <v>Below Target</v>
      </c>
      <c r="N983" s="20">
        <f t="shared" si="46"/>
        <v>15</v>
      </c>
      <c r="O983" s="22">
        <f t="shared" si="47"/>
        <v>15175.9</v>
      </c>
    </row>
    <row r="984" spans="1:15" x14ac:dyDescent="0.3">
      <c r="A984" s="12" t="s">
        <v>1224</v>
      </c>
      <c r="B984" s="12" t="s">
        <v>544</v>
      </c>
      <c r="C984" s="12" t="s">
        <v>61</v>
      </c>
      <c r="D984" s="12" t="s">
        <v>62</v>
      </c>
      <c r="E984" s="12" t="s">
        <v>46</v>
      </c>
      <c r="F984" s="12" t="s">
        <v>39</v>
      </c>
      <c r="G984" s="12" t="s">
        <v>18</v>
      </c>
      <c r="H984" s="12">
        <v>10679</v>
      </c>
      <c r="I984" s="12" t="s">
        <v>33</v>
      </c>
      <c r="J984" s="26">
        <v>0.3</v>
      </c>
      <c r="K984" s="12">
        <v>9000</v>
      </c>
      <c r="L984" s="14">
        <v>45302</v>
      </c>
      <c r="M984" s="8" t="str">
        <f t="shared" si="45"/>
        <v>Below Target</v>
      </c>
      <c r="N984" s="20">
        <f t="shared" si="46"/>
        <v>30</v>
      </c>
      <c r="O984" s="22">
        <f t="shared" si="47"/>
        <v>7475.3</v>
      </c>
    </row>
    <row r="985" spans="1:15" x14ac:dyDescent="0.3">
      <c r="A985" s="12" t="s">
        <v>1225</v>
      </c>
      <c r="B985" s="12" t="s">
        <v>1073</v>
      </c>
      <c r="C985" s="12" t="s">
        <v>44</v>
      </c>
      <c r="D985" s="12" t="s">
        <v>45</v>
      </c>
      <c r="E985" s="12" t="s">
        <v>46</v>
      </c>
      <c r="F985" s="12" t="s">
        <v>17</v>
      </c>
      <c r="G985" s="12" t="s">
        <v>36</v>
      </c>
      <c r="H985" s="12">
        <v>14152</v>
      </c>
      <c r="I985" s="12" t="s">
        <v>22</v>
      </c>
      <c r="J985" s="26">
        <v>0.1</v>
      </c>
      <c r="K985" s="12">
        <v>13000</v>
      </c>
      <c r="L985" s="14">
        <v>45301</v>
      </c>
      <c r="M985" s="8" t="str">
        <f t="shared" si="45"/>
        <v>Below Target</v>
      </c>
      <c r="N985" s="20">
        <f t="shared" si="46"/>
        <v>10</v>
      </c>
      <c r="O985" s="22">
        <f t="shared" si="47"/>
        <v>12736.8</v>
      </c>
    </row>
    <row r="986" spans="1:15" x14ac:dyDescent="0.3">
      <c r="A986" s="12" t="s">
        <v>1226</v>
      </c>
      <c r="B986" s="12" t="s">
        <v>1105</v>
      </c>
      <c r="C986" s="12" t="s">
        <v>61</v>
      </c>
      <c r="D986" s="12" t="s">
        <v>62</v>
      </c>
      <c r="E986" s="12" t="s">
        <v>32</v>
      </c>
      <c r="F986" s="12" t="s">
        <v>39</v>
      </c>
      <c r="G986" s="12" t="s">
        <v>18</v>
      </c>
      <c r="H986" s="12">
        <v>9915</v>
      </c>
      <c r="I986" s="12" t="s">
        <v>27</v>
      </c>
      <c r="J986" s="26"/>
      <c r="K986" s="12">
        <v>9000</v>
      </c>
      <c r="L986" s="14">
        <v>45310</v>
      </c>
      <c r="M986" s="8" t="str">
        <f t="shared" si="45"/>
        <v>Below Target</v>
      </c>
      <c r="N986" s="20">
        <f t="shared" si="46"/>
        <v>15</v>
      </c>
      <c r="O986" s="22">
        <f t="shared" si="47"/>
        <v>8427.75</v>
      </c>
    </row>
    <row r="987" spans="1:15" x14ac:dyDescent="0.3">
      <c r="A987" s="12" t="s">
        <v>1227</v>
      </c>
      <c r="B987" s="12" t="s">
        <v>175</v>
      </c>
      <c r="C987" s="12" t="s">
        <v>44</v>
      </c>
      <c r="D987" s="12" t="s">
        <v>45</v>
      </c>
      <c r="E987" s="12" t="s">
        <v>32</v>
      </c>
      <c r="F987" s="12" t="s">
        <v>25</v>
      </c>
      <c r="G987" s="12" t="s">
        <v>18</v>
      </c>
      <c r="H987" s="12">
        <v>11168</v>
      </c>
      <c r="I987" s="12" t="s">
        <v>33</v>
      </c>
      <c r="J987" s="26">
        <v>0.3</v>
      </c>
      <c r="K987" s="12">
        <v>13000</v>
      </c>
      <c r="L987" s="14">
        <v>45328</v>
      </c>
      <c r="M987" s="8" t="str">
        <f t="shared" si="45"/>
        <v>Below Target</v>
      </c>
      <c r="N987" s="20">
        <f t="shared" si="46"/>
        <v>30</v>
      </c>
      <c r="O987" s="22">
        <f t="shared" si="47"/>
        <v>7817.6</v>
      </c>
    </row>
    <row r="988" spans="1:15" x14ac:dyDescent="0.3">
      <c r="A988" s="12" t="s">
        <v>1228</v>
      </c>
      <c r="B988" s="12" t="s">
        <v>429</v>
      </c>
      <c r="C988" s="12" t="s">
        <v>30</v>
      </c>
      <c r="D988" s="12" t="s">
        <v>31</v>
      </c>
      <c r="E988" s="12" t="s">
        <v>46</v>
      </c>
      <c r="F988" s="12" t="s">
        <v>25</v>
      </c>
      <c r="G988" s="12" t="s">
        <v>18</v>
      </c>
      <c r="H988" s="12">
        <v>17303</v>
      </c>
      <c r="I988" s="12" t="s">
        <v>22</v>
      </c>
      <c r="J988" s="26">
        <v>0.1</v>
      </c>
      <c r="K988" s="12">
        <v>17000</v>
      </c>
      <c r="L988" s="14">
        <v>45334</v>
      </c>
      <c r="M988" s="8" t="str">
        <f t="shared" si="45"/>
        <v>Below Target</v>
      </c>
      <c r="N988" s="20">
        <f t="shared" si="46"/>
        <v>10</v>
      </c>
      <c r="O988" s="22">
        <f t="shared" si="47"/>
        <v>15572.7</v>
      </c>
    </row>
    <row r="989" spans="1:15" x14ac:dyDescent="0.3">
      <c r="A989" s="12" t="s">
        <v>1229</v>
      </c>
      <c r="B989" s="12" t="s">
        <v>282</v>
      </c>
      <c r="C989" s="12" t="s">
        <v>44</v>
      </c>
      <c r="D989" s="12" t="s">
        <v>45</v>
      </c>
      <c r="E989" s="12" t="s">
        <v>46</v>
      </c>
      <c r="F989" s="12" t="s">
        <v>17</v>
      </c>
      <c r="G989" s="12" t="s">
        <v>26</v>
      </c>
      <c r="H989" s="12">
        <v>14995</v>
      </c>
      <c r="I989" s="12" t="s">
        <v>19</v>
      </c>
      <c r="J989" s="26">
        <v>0.2</v>
      </c>
      <c r="K989" s="12">
        <v>13000</v>
      </c>
      <c r="L989" s="14">
        <v>45326</v>
      </c>
      <c r="M989" s="8" t="str">
        <f t="shared" si="45"/>
        <v>Below Target</v>
      </c>
      <c r="N989" s="20">
        <f t="shared" si="46"/>
        <v>20</v>
      </c>
      <c r="O989" s="22">
        <f t="shared" si="47"/>
        <v>11996</v>
      </c>
    </row>
    <row r="990" spans="1:15" x14ac:dyDescent="0.3">
      <c r="A990" s="12" t="s">
        <v>1230</v>
      </c>
      <c r="B990" s="12" t="s">
        <v>222</v>
      </c>
      <c r="C990" s="12" t="s">
        <v>14</v>
      </c>
      <c r="D990" s="12" t="s">
        <v>15</v>
      </c>
      <c r="E990" s="12" t="s">
        <v>46</v>
      </c>
      <c r="F990" s="12" t="s">
        <v>17</v>
      </c>
      <c r="G990" s="12" t="s">
        <v>18</v>
      </c>
      <c r="H990" s="12">
        <v>15882</v>
      </c>
      <c r="I990" s="12"/>
      <c r="J990" s="26"/>
      <c r="K990" s="12">
        <v>14000</v>
      </c>
      <c r="L990" s="14">
        <v>45351</v>
      </c>
      <c r="M990" s="8" t="str">
        <f t="shared" si="45"/>
        <v>Target Achieved</v>
      </c>
      <c r="N990" s="20">
        <f t="shared" si="46"/>
        <v>0</v>
      </c>
      <c r="O990" s="22">
        <f t="shared" si="47"/>
        <v>15882</v>
      </c>
    </row>
    <row r="991" spans="1:15" x14ac:dyDescent="0.3">
      <c r="A991" s="12" t="s">
        <v>1231</v>
      </c>
      <c r="B991" s="12" t="s">
        <v>728</v>
      </c>
      <c r="C991" s="12" t="s">
        <v>14</v>
      </c>
      <c r="D991" s="12" t="s">
        <v>15</v>
      </c>
      <c r="E991" s="12" t="s">
        <v>16</v>
      </c>
      <c r="F991" s="12" t="s">
        <v>39</v>
      </c>
      <c r="G991" s="12" t="s">
        <v>26</v>
      </c>
      <c r="H991" s="12">
        <v>13356</v>
      </c>
      <c r="I991" s="12" t="s">
        <v>33</v>
      </c>
      <c r="J991" s="26">
        <v>0.3</v>
      </c>
      <c r="K991" s="12">
        <v>14000</v>
      </c>
      <c r="L991" s="14">
        <v>45322</v>
      </c>
      <c r="M991" s="8" t="str">
        <f t="shared" si="45"/>
        <v>Below Target</v>
      </c>
      <c r="N991" s="20">
        <f t="shared" si="46"/>
        <v>30</v>
      </c>
      <c r="O991" s="22">
        <f t="shared" si="47"/>
        <v>9349.2000000000007</v>
      </c>
    </row>
    <row r="992" spans="1:15" x14ac:dyDescent="0.3">
      <c r="A992" s="12" t="s">
        <v>1232</v>
      </c>
      <c r="B992" s="12" t="s">
        <v>111</v>
      </c>
      <c r="C992" s="12" t="s">
        <v>44</v>
      </c>
      <c r="D992" s="12" t="s">
        <v>45</v>
      </c>
      <c r="E992" s="12" t="s">
        <v>16</v>
      </c>
      <c r="F992" s="12" t="s">
        <v>39</v>
      </c>
      <c r="G992" s="12" t="s">
        <v>36</v>
      </c>
      <c r="H992" s="12">
        <v>12387</v>
      </c>
      <c r="I992" s="12" t="s">
        <v>22</v>
      </c>
      <c r="J992" s="26">
        <v>0.1</v>
      </c>
      <c r="K992" s="12">
        <v>13000</v>
      </c>
      <c r="L992" s="14">
        <v>45338</v>
      </c>
      <c r="M992" s="8" t="str">
        <f t="shared" si="45"/>
        <v>Below Target</v>
      </c>
      <c r="N992" s="20">
        <f t="shared" si="46"/>
        <v>10</v>
      </c>
      <c r="O992" s="22">
        <f t="shared" si="47"/>
        <v>11148.3</v>
      </c>
    </row>
    <row r="993" spans="1:15" x14ac:dyDescent="0.3">
      <c r="A993" s="12" t="s">
        <v>1233</v>
      </c>
      <c r="B993" s="12" t="s">
        <v>711</v>
      </c>
      <c r="C993" s="12" t="s">
        <v>44</v>
      </c>
      <c r="D993" s="12" t="s">
        <v>45</v>
      </c>
      <c r="E993" s="12" t="s">
        <v>16</v>
      </c>
      <c r="F993" s="12" t="s">
        <v>39</v>
      </c>
      <c r="G993" s="12" t="s">
        <v>18</v>
      </c>
      <c r="H993" s="12">
        <v>12261</v>
      </c>
      <c r="I993" s="12" t="s">
        <v>22</v>
      </c>
      <c r="J993" s="26">
        <v>0.1</v>
      </c>
      <c r="K993" s="12">
        <v>13000</v>
      </c>
      <c r="L993" s="14">
        <v>45317</v>
      </c>
      <c r="M993" s="8" t="str">
        <f t="shared" si="45"/>
        <v>Below Target</v>
      </c>
      <c r="N993" s="20">
        <f t="shared" si="46"/>
        <v>10</v>
      </c>
      <c r="O993" s="22">
        <f t="shared" si="47"/>
        <v>11034.9</v>
      </c>
    </row>
    <row r="994" spans="1:15" x14ac:dyDescent="0.3">
      <c r="A994" s="12" t="s">
        <v>1234</v>
      </c>
      <c r="B994" s="12" t="s">
        <v>837</v>
      </c>
      <c r="C994" s="12" t="s">
        <v>44</v>
      </c>
      <c r="D994" s="12" t="s">
        <v>45</v>
      </c>
      <c r="E994" s="12" t="s">
        <v>46</v>
      </c>
      <c r="F994" s="12" t="s">
        <v>17</v>
      </c>
      <c r="G994" s="12" t="s">
        <v>18</v>
      </c>
      <c r="H994" s="12">
        <v>12336</v>
      </c>
      <c r="I994" s="12" t="s">
        <v>22</v>
      </c>
      <c r="J994" s="26">
        <v>0.1</v>
      </c>
      <c r="K994" s="12">
        <v>13000</v>
      </c>
      <c r="L994" s="14">
        <v>45330</v>
      </c>
      <c r="M994" s="8" t="str">
        <f t="shared" si="45"/>
        <v>Below Target</v>
      </c>
      <c r="N994" s="20">
        <f t="shared" si="46"/>
        <v>10</v>
      </c>
      <c r="O994" s="22">
        <f t="shared" si="47"/>
        <v>11102.4</v>
      </c>
    </row>
    <row r="995" spans="1:15" x14ac:dyDescent="0.3">
      <c r="A995" s="12" t="s">
        <v>1235</v>
      </c>
      <c r="B995" s="12" t="s">
        <v>239</v>
      </c>
      <c r="C995" s="12" t="s">
        <v>44</v>
      </c>
      <c r="D995" s="12" t="s">
        <v>45</v>
      </c>
      <c r="E995" s="12" t="s">
        <v>46</v>
      </c>
      <c r="F995" s="12" t="s">
        <v>25</v>
      </c>
      <c r="G995" s="12" t="s">
        <v>18</v>
      </c>
      <c r="H995" s="12">
        <v>11342</v>
      </c>
      <c r="I995" s="12" t="s">
        <v>27</v>
      </c>
      <c r="J995" s="26"/>
      <c r="K995" s="12">
        <v>13000</v>
      </c>
      <c r="L995" s="14">
        <v>45346</v>
      </c>
      <c r="M995" s="8" t="str">
        <f t="shared" si="45"/>
        <v>Below Target</v>
      </c>
      <c r="N995" s="20">
        <f t="shared" si="46"/>
        <v>15</v>
      </c>
      <c r="O995" s="22">
        <f t="shared" si="47"/>
        <v>9640.7000000000007</v>
      </c>
    </row>
    <row r="996" spans="1:15" x14ac:dyDescent="0.3">
      <c r="A996" s="12" t="s">
        <v>1236</v>
      </c>
      <c r="B996" s="12" t="s">
        <v>332</v>
      </c>
      <c r="C996" s="12" t="s">
        <v>14</v>
      </c>
      <c r="D996" s="12" t="s">
        <v>15</v>
      </c>
      <c r="E996" s="12" t="s">
        <v>16</v>
      </c>
      <c r="F996" s="12" t="s">
        <v>17</v>
      </c>
      <c r="G996" s="12" t="s">
        <v>18</v>
      </c>
      <c r="H996" s="12">
        <v>14008</v>
      </c>
      <c r="I996" s="12" t="s">
        <v>33</v>
      </c>
      <c r="J996" s="26">
        <v>0.3</v>
      </c>
      <c r="K996" s="12">
        <v>14000</v>
      </c>
      <c r="L996" s="14">
        <v>45330</v>
      </c>
      <c r="M996" s="8" t="str">
        <f t="shared" si="45"/>
        <v>Below Target</v>
      </c>
      <c r="N996" s="20">
        <f t="shared" si="46"/>
        <v>30</v>
      </c>
      <c r="O996" s="22">
        <f t="shared" si="47"/>
        <v>9805.6</v>
      </c>
    </row>
    <row r="997" spans="1:15" x14ac:dyDescent="0.3">
      <c r="A997" s="12" t="s">
        <v>1237</v>
      </c>
      <c r="B997" s="12" t="s">
        <v>86</v>
      </c>
      <c r="C997" s="12" t="s">
        <v>14</v>
      </c>
      <c r="D997" s="12" t="s">
        <v>15</v>
      </c>
      <c r="E997" s="12" t="s">
        <v>16</v>
      </c>
      <c r="F997" s="12" t="s">
        <v>17</v>
      </c>
      <c r="G997" s="12" t="s">
        <v>36</v>
      </c>
      <c r="H997" s="12">
        <v>12605</v>
      </c>
      <c r="I997" s="12"/>
      <c r="J997" s="26"/>
      <c r="K997" s="12">
        <v>14000</v>
      </c>
      <c r="L997" s="14">
        <v>45315</v>
      </c>
      <c r="M997" s="8" t="str">
        <f t="shared" si="45"/>
        <v>Target Achieved</v>
      </c>
      <c r="N997" s="20">
        <f t="shared" si="46"/>
        <v>0</v>
      </c>
      <c r="O997" s="22">
        <f t="shared" si="47"/>
        <v>12605</v>
      </c>
    </row>
    <row r="998" spans="1:15" x14ac:dyDescent="0.3">
      <c r="A998" s="12" t="s">
        <v>1238</v>
      </c>
      <c r="B998" s="12" t="s">
        <v>474</v>
      </c>
      <c r="C998" s="12" t="s">
        <v>14</v>
      </c>
      <c r="D998" s="12" t="s">
        <v>15</v>
      </c>
      <c r="E998" s="12" t="s">
        <v>46</v>
      </c>
      <c r="F998" s="12" t="s">
        <v>17</v>
      </c>
      <c r="G998" s="12" t="s">
        <v>36</v>
      </c>
      <c r="H998" s="12">
        <v>13261</v>
      </c>
      <c r="I998" s="12"/>
      <c r="J998" s="26"/>
      <c r="K998" s="12">
        <v>14000</v>
      </c>
      <c r="L998" s="14">
        <v>45347</v>
      </c>
      <c r="M998" s="8" t="str">
        <f t="shared" si="45"/>
        <v>Target Achieved</v>
      </c>
      <c r="N998" s="20">
        <f t="shared" si="46"/>
        <v>0</v>
      </c>
      <c r="O998" s="22">
        <f t="shared" si="47"/>
        <v>13261</v>
      </c>
    </row>
    <row r="999" spans="1:15" x14ac:dyDescent="0.3">
      <c r="A999" s="12" t="s">
        <v>1239</v>
      </c>
      <c r="B999" s="12" t="s">
        <v>905</v>
      </c>
      <c r="C999" s="12" t="s">
        <v>44</v>
      </c>
      <c r="D999" s="12" t="s">
        <v>45</v>
      </c>
      <c r="E999" s="12" t="s">
        <v>16</v>
      </c>
      <c r="F999" s="12" t="s">
        <v>17</v>
      </c>
      <c r="G999" s="12" t="s">
        <v>26</v>
      </c>
      <c r="H999" s="12">
        <v>12702</v>
      </c>
      <c r="I999" s="12"/>
      <c r="J999" s="26"/>
      <c r="K999" s="12">
        <v>13000</v>
      </c>
      <c r="L999" s="14">
        <v>45310</v>
      </c>
      <c r="M999" s="8" t="str">
        <f t="shared" si="45"/>
        <v>Target Achieved</v>
      </c>
      <c r="N999" s="20">
        <f t="shared" si="46"/>
        <v>0</v>
      </c>
      <c r="O999" s="22">
        <f t="shared" si="47"/>
        <v>12702</v>
      </c>
    </row>
    <row r="1000" spans="1:15" x14ac:dyDescent="0.3">
      <c r="A1000" s="12" t="s">
        <v>1240</v>
      </c>
      <c r="B1000" s="12" t="s">
        <v>135</v>
      </c>
      <c r="C1000" s="12" t="s">
        <v>61</v>
      </c>
      <c r="D1000" s="12" t="s">
        <v>62</v>
      </c>
      <c r="E1000" s="12" t="s">
        <v>16</v>
      </c>
      <c r="F1000" s="12" t="s">
        <v>17</v>
      </c>
      <c r="G1000" s="12" t="s">
        <v>18</v>
      </c>
      <c r="H1000" s="12">
        <v>10422</v>
      </c>
      <c r="I1000" s="12" t="s">
        <v>27</v>
      </c>
      <c r="J1000" s="26"/>
      <c r="K1000" s="12">
        <v>9000</v>
      </c>
      <c r="L1000" s="14">
        <v>45330</v>
      </c>
      <c r="M1000" s="8" t="str">
        <f t="shared" si="45"/>
        <v>Below Target</v>
      </c>
      <c r="N1000" s="20">
        <f t="shared" si="46"/>
        <v>15</v>
      </c>
      <c r="O1000" s="22">
        <f t="shared" si="47"/>
        <v>8858.7000000000007</v>
      </c>
    </row>
    <row r="1001" spans="1:15" x14ac:dyDescent="0.3">
      <c r="A1001" s="12" t="s">
        <v>1241</v>
      </c>
      <c r="B1001" s="12" t="s">
        <v>843</v>
      </c>
      <c r="C1001" s="12" t="s">
        <v>44</v>
      </c>
      <c r="D1001" s="12" t="s">
        <v>45</v>
      </c>
      <c r="E1001" s="12" t="s">
        <v>46</v>
      </c>
      <c r="F1001" s="12" t="s">
        <v>17</v>
      </c>
      <c r="G1001" s="12" t="s">
        <v>26</v>
      </c>
      <c r="H1001" s="12">
        <v>12373</v>
      </c>
      <c r="I1001" s="12" t="s">
        <v>22</v>
      </c>
      <c r="J1001" s="26">
        <v>0.1</v>
      </c>
      <c r="K1001" s="12">
        <v>13000</v>
      </c>
      <c r="L1001" s="14">
        <v>45351</v>
      </c>
      <c r="M1001" s="8" t="str">
        <f t="shared" si="45"/>
        <v>Below Target</v>
      </c>
      <c r="N1001" s="20">
        <f t="shared" si="46"/>
        <v>10</v>
      </c>
      <c r="O1001" s="22">
        <f t="shared" si="47"/>
        <v>11135.7</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2FF42-CE96-4269-969D-54C6C1541583}">
  <dimension ref="A1:M1002"/>
  <sheetViews>
    <sheetView workbookViewId="0">
      <selection activeCell="L2" sqref="L2"/>
    </sheetView>
  </sheetViews>
  <sheetFormatPr defaultRowHeight="14.4" x14ac:dyDescent="0.3"/>
  <cols>
    <col min="1" max="1" width="12" bestFit="1" customWidth="1"/>
    <col min="2" max="2" width="15.44140625" bestFit="1" customWidth="1"/>
    <col min="3" max="3" width="10.77734375" bestFit="1" customWidth="1"/>
    <col min="4" max="4" width="14.88671875" bestFit="1" customWidth="1"/>
    <col min="5" max="5" width="7.5546875" bestFit="1" customWidth="1"/>
    <col min="6" max="6" width="15.6640625" bestFit="1" customWidth="1"/>
    <col min="7" max="7" width="10.5546875" bestFit="1" customWidth="1"/>
    <col min="8" max="8" width="19.21875" bestFit="1" customWidth="1"/>
    <col min="9" max="9" width="10.6640625" bestFit="1" customWidth="1"/>
    <col min="10" max="10" width="14.44140625" bestFit="1" customWidth="1"/>
    <col min="11" max="11" width="24.77734375" bestFit="1" customWidth="1"/>
    <col min="12" max="12" width="9.21875" customWidth="1"/>
    <col min="13" max="13" width="16.21875" bestFit="1" customWidth="1"/>
  </cols>
  <sheetData>
    <row r="1" spans="1:13" x14ac:dyDescent="0.3">
      <c r="A1" s="24" t="s">
        <v>1259</v>
      </c>
      <c r="K1" s="24" t="s">
        <v>1268</v>
      </c>
    </row>
    <row r="2" spans="1:13" ht="18" x14ac:dyDescent="0.3">
      <c r="A2" s="17" t="s">
        <v>1246</v>
      </c>
      <c r="B2" s="17" t="s">
        <v>1</v>
      </c>
      <c r="C2" s="17" t="s">
        <v>1252</v>
      </c>
      <c r="D2" s="17" t="s">
        <v>1253</v>
      </c>
      <c r="E2" s="17" t="s">
        <v>1254</v>
      </c>
      <c r="F2" s="17" t="s">
        <v>1255</v>
      </c>
      <c r="G2" s="17" t="s">
        <v>1256</v>
      </c>
      <c r="H2" s="17" t="s">
        <v>1257</v>
      </c>
      <c r="I2" s="17" t="s">
        <v>1258</v>
      </c>
      <c r="J2" s="12"/>
      <c r="K2" s="25" t="s">
        <v>1269</v>
      </c>
      <c r="L2" s="25">
        <f>COUNTIFS(edtech_dataset!D:D,"Data Analytics",edtech_dataset!G:G,"Web")</f>
        <v>65</v>
      </c>
      <c r="M2" s="12"/>
    </row>
    <row r="3" spans="1:13" ht="18" x14ac:dyDescent="0.3">
      <c r="A3" s="30" t="s">
        <v>83</v>
      </c>
      <c r="B3" s="15" t="str" cm="1">
        <f t="array" ref="B3:I3">VLOOKUP(A3,edtech_dataset!A1:L1001,{2,3,4,5,6,7,8,10},FALSE)</f>
        <v>Kunal Gupta</v>
      </c>
      <c r="C3" s="15" t="str">
        <v>C204</v>
      </c>
      <c r="D3" s="15" t="str">
        <v>UI UX Design</v>
      </c>
      <c r="E3" s="15" t="str">
        <v>B1</v>
      </c>
      <c r="F3" s="15" t="str">
        <v>Saurabh</v>
      </c>
      <c r="G3" s="15" t="str">
        <v>Web</v>
      </c>
      <c r="H3" s="15">
        <v>7262</v>
      </c>
      <c r="I3" s="16">
        <v>0.3</v>
      </c>
      <c r="J3" s="12"/>
      <c r="K3" s="12"/>
      <c r="L3" s="14"/>
    </row>
    <row r="4" spans="1:13" x14ac:dyDescent="0.3">
      <c r="A4" s="12"/>
      <c r="B4" s="12"/>
      <c r="C4" s="12"/>
      <c r="D4" s="12"/>
      <c r="E4" s="12"/>
      <c r="F4" s="12"/>
      <c r="G4" s="12"/>
      <c r="H4" s="12"/>
      <c r="I4" s="12"/>
      <c r="J4" s="12"/>
      <c r="K4" s="12"/>
      <c r="L4" s="14"/>
    </row>
    <row r="5" spans="1:13" x14ac:dyDescent="0.3">
      <c r="A5" s="12"/>
      <c r="B5" s="12"/>
      <c r="C5" s="12"/>
      <c r="D5" s="12"/>
      <c r="E5" s="12"/>
      <c r="F5" s="12"/>
      <c r="G5" s="12"/>
      <c r="H5" s="12"/>
      <c r="I5" s="12"/>
      <c r="J5" s="12"/>
      <c r="K5" s="12"/>
      <c r="L5" s="14"/>
    </row>
    <row r="6" spans="1:13" x14ac:dyDescent="0.3">
      <c r="A6" s="12"/>
      <c r="B6" s="12"/>
      <c r="C6" s="12"/>
      <c r="D6" s="12"/>
      <c r="E6" s="12"/>
      <c r="F6" s="12"/>
      <c r="G6" s="12"/>
      <c r="H6" s="12"/>
      <c r="I6" s="12"/>
      <c r="J6" s="12"/>
      <c r="K6" s="12"/>
      <c r="L6" s="14"/>
    </row>
    <row r="7" spans="1:13" x14ac:dyDescent="0.3">
      <c r="A7" s="12"/>
      <c r="B7" s="12"/>
      <c r="C7" s="12"/>
      <c r="D7" s="12"/>
      <c r="E7" s="12"/>
      <c r="F7" s="12"/>
      <c r="G7" s="12"/>
      <c r="H7" s="12"/>
      <c r="I7" s="12"/>
      <c r="J7" s="12"/>
      <c r="K7" s="12"/>
      <c r="L7" s="14"/>
    </row>
    <row r="8" spans="1:13" x14ac:dyDescent="0.3">
      <c r="A8" s="12"/>
      <c r="B8" s="12"/>
      <c r="C8" s="12"/>
      <c r="D8" s="12"/>
      <c r="E8" s="12"/>
      <c r="F8" s="12"/>
      <c r="G8" s="12"/>
      <c r="H8" s="12"/>
      <c r="I8" s="12"/>
      <c r="J8" s="12"/>
      <c r="K8" s="12"/>
      <c r="L8" s="14"/>
    </row>
    <row r="9" spans="1:13" x14ac:dyDescent="0.3">
      <c r="A9" s="12"/>
      <c r="B9" s="12"/>
      <c r="C9" s="12"/>
      <c r="D9" s="12"/>
      <c r="E9" s="12"/>
      <c r="F9" s="12"/>
      <c r="G9" s="12"/>
      <c r="H9" s="12"/>
      <c r="I9" s="12"/>
      <c r="J9" s="12"/>
      <c r="K9" s="12"/>
      <c r="L9" s="14"/>
    </row>
    <row r="10" spans="1:13" x14ac:dyDescent="0.3">
      <c r="A10" s="12"/>
      <c r="B10" s="12"/>
      <c r="C10" s="12"/>
      <c r="D10" s="12"/>
      <c r="E10" s="12"/>
      <c r="F10" s="12"/>
      <c r="G10" s="12"/>
      <c r="H10" s="12"/>
      <c r="I10" s="12"/>
      <c r="J10" s="12"/>
      <c r="K10" s="12"/>
      <c r="L10" s="14"/>
    </row>
    <row r="11" spans="1:13" x14ac:dyDescent="0.3">
      <c r="A11" s="12"/>
      <c r="B11" s="12"/>
      <c r="C11" s="12"/>
      <c r="D11" s="12"/>
      <c r="E11" s="12"/>
      <c r="F11" s="12"/>
      <c r="G11" s="12"/>
      <c r="H11" s="12"/>
      <c r="I11" s="12"/>
      <c r="J11" s="12"/>
      <c r="K11" s="12"/>
      <c r="L11" s="14"/>
    </row>
    <row r="12" spans="1:13" x14ac:dyDescent="0.3">
      <c r="A12" s="12"/>
      <c r="B12" s="12"/>
      <c r="C12" s="12"/>
      <c r="D12" s="12"/>
      <c r="E12" s="12"/>
      <c r="F12" s="12"/>
      <c r="G12" s="12"/>
      <c r="H12" s="12"/>
      <c r="I12" s="12"/>
      <c r="J12" s="12"/>
      <c r="K12" s="12"/>
      <c r="L12" s="14"/>
    </row>
    <row r="13" spans="1:13" x14ac:dyDescent="0.3">
      <c r="A13" s="12"/>
      <c r="B13" s="12"/>
      <c r="C13" s="12"/>
      <c r="D13" s="12"/>
      <c r="E13" s="12"/>
      <c r="F13" s="12"/>
      <c r="G13" s="12"/>
      <c r="H13" s="12"/>
      <c r="I13" s="12"/>
      <c r="J13" s="12"/>
      <c r="K13" s="12"/>
      <c r="L13" s="14"/>
    </row>
    <row r="14" spans="1:13" x14ac:dyDescent="0.3">
      <c r="A14" s="12"/>
      <c r="B14" s="12"/>
      <c r="C14" s="12"/>
      <c r="D14" s="12"/>
      <c r="E14" s="12"/>
      <c r="F14" s="12"/>
      <c r="G14" s="12"/>
      <c r="H14" s="12"/>
      <c r="I14" s="12"/>
      <c r="J14" s="12"/>
      <c r="K14" s="12"/>
      <c r="L14" s="14"/>
    </row>
    <row r="15" spans="1:13" x14ac:dyDescent="0.3">
      <c r="A15" s="12"/>
      <c r="B15" s="12"/>
      <c r="C15" s="12"/>
      <c r="D15" s="12"/>
      <c r="E15" s="12"/>
      <c r="F15" s="12"/>
      <c r="G15" s="12"/>
      <c r="H15" s="12"/>
      <c r="I15" s="12"/>
      <c r="J15" s="12"/>
      <c r="K15" s="12"/>
      <c r="L15" s="14"/>
    </row>
    <row r="16" spans="1:13" x14ac:dyDescent="0.3">
      <c r="A16" s="12"/>
      <c r="B16" s="12"/>
      <c r="C16" s="12"/>
      <c r="D16" s="12"/>
      <c r="E16" s="12"/>
      <c r="F16" s="12"/>
      <c r="G16" s="12"/>
      <c r="H16" s="12"/>
      <c r="I16" s="12"/>
      <c r="J16" s="12"/>
      <c r="K16" s="12"/>
      <c r="L16" s="14"/>
    </row>
    <row r="17" spans="1:12" x14ac:dyDescent="0.3">
      <c r="A17" s="12"/>
      <c r="B17" s="12"/>
      <c r="C17" s="12"/>
      <c r="D17" s="12"/>
      <c r="E17" s="12"/>
      <c r="F17" s="12"/>
      <c r="G17" s="12"/>
      <c r="H17" s="12"/>
      <c r="I17" s="12"/>
      <c r="J17" s="12"/>
      <c r="K17" s="12"/>
      <c r="L17" s="14"/>
    </row>
    <row r="18" spans="1:12" x14ac:dyDescent="0.3">
      <c r="A18" s="12"/>
      <c r="B18" s="12"/>
      <c r="C18" s="12"/>
      <c r="D18" s="12"/>
      <c r="E18" s="12"/>
      <c r="F18" s="12"/>
      <c r="G18" s="12"/>
      <c r="H18" s="12"/>
      <c r="I18" s="12"/>
      <c r="J18" s="12"/>
      <c r="K18" s="12"/>
      <c r="L18" s="14"/>
    </row>
    <row r="19" spans="1:12" x14ac:dyDescent="0.3">
      <c r="A19" s="12"/>
      <c r="B19" s="12"/>
      <c r="C19" s="12"/>
      <c r="D19" s="12"/>
      <c r="E19" s="12"/>
      <c r="F19" s="12"/>
      <c r="G19" s="12"/>
      <c r="H19" s="12"/>
      <c r="I19" s="12"/>
      <c r="J19" s="12"/>
      <c r="K19" s="12"/>
      <c r="L19" s="14"/>
    </row>
    <row r="20" spans="1:12" x14ac:dyDescent="0.3">
      <c r="A20" s="12"/>
      <c r="B20" s="12"/>
      <c r="C20" s="12"/>
      <c r="D20" s="12"/>
      <c r="E20" s="12"/>
      <c r="F20" s="12"/>
      <c r="G20" s="12"/>
      <c r="H20" s="12"/>
      <c r="I20" s="12"/>
      <c r="J20" s="12"/>
      <c r="K20" s="12"/>
      <c r="L20" s="14"/>
    </row>
    <row r="21" spans="1:12" x14ac:dyDescent="0.3">
      <c r="A21" s="12"/>
      <c r="B21" s="12"/>
      <c r="C21" s="12"/>
      <c r="D21" s="12"/>
      <c r="E21" s="12"/>
      <c r="F21" s="12"/>
      <c r="G21" s="12"/>
      <c r="H21" s="12"/>
      <c r="I21" s="12"/>
      <c r="J21" s="12"/>
      <c r="K21" s="12"/>
      <c r="L21" s="14"/>
    </row>
    <row r="22" spans="1:12" x14ac:dyDescent="0.3">
      <c r="A22" s="12"/>
      <c r="B22" s="12"/>
      <c r="C22" s="12"/>
      <c r="D22" s="12"/>
      <c r="E22" s="12"/>
      <c r="F22" s="12"/>
      <c r="G22" s="12"/>
      <c r="H22" s="12"/>
      <c r="I22" s="12"/>
      <c r="J22" s="12"/>
      <c r="K22" s="12"/>
      <c r="L22" s="14"/>
    </row>
    <row r="23" spans="1:12" x14ac:dyDescent="0.3">
      <c r="A23" s="12"/>
      <c r="B23" s="12"/>
      <c r="C23" s="12"/>
      <c r="D23" s="12"/>
      <c r="E23" s="12"/>
      <c r="F23" s="12"/>
      <c r="G23" s="12"/>
      <c r="H23" s="12"/>
      <c r="I23" s="12"/>
      <c r="J23" s="12"/>
      <c r="K23" s="12"/>
      <c r="L23" s="14"/>
    </row>
    <row r="24" spans="1:12" x14ac:dyDescent="0.3">
      <c r="A24" s="12"/>
      <c r="B24" s="12"/>
      <c r="C24" s="12"/>
      <c r="D24" s="12"/>
      <c r="E24" s="12"/>
      <c r="F24" s="12"/>
      <c r="G24" s="12"/>
      <c r="H24" s="12"/>
      <c r="I24" s="12"/>
      <c r="J24" s="12"/>
      <c r="K24" s="12"/>
      <c r="L24" s="14"/>
    </row>
    <row r="25" spans="1:12" x14ac:dyDescent="0.3">
      <c r="A25" s="12"/>
      <c r="B25" s="12"/>
      <c r="C25" s="12"/>
      <c r="D25" s="12"/>
      <c r="E25" s="12"/>
      <c r="F25" s="12"/>
      <c r="G25" s="12"/>
      <c r="H25" s="12"/>
      <c r="I25" s="12"/>
      <c r="J25" s="12"/>
      <c r="K25" s="12"/>
      <c r="L25" s="14"/>
    </row>
    <row r="26" spans="1:12" x14ac:dyDescent="0.3">
      <c r="A26" s="12"/>
      <c r="B26" s="12"/>
      <c r="C26" s="12"/>
      <c r="D26" s="12"/>
      <c r="E26" s="12"/>
      <c r="F26" s="12"/>
      <c r="G26" s="12"/>
      <c r="H26" s="12"/>
      <c r="I26" s="12"/>
      <c r="J26" s="12"/>
      <c r="K26" s="12"/>
      <c r="L26" s="14"/>
    </row>
    <row r="27" spans="1:12" x14ac:dyDescent="0.3">
      <c r="A27" s="12"/>
      <c r="B27" s="12"/>
      <c r="C27" s="12"/>
      <c r="D27" s="12"/>
      <c r="E27" s="12"/>
      <c r="F27" s="12"/>
      <c r="G27" s="12"/>
      <c r="H27" s="12"/>
      <c r="I27" s="12"/>
      <c r="J27" s="12"/>
      <c r="K27" s="12"/>
      <c r="L27" s="14"/>
    </row>
    <row r="28" spans="1:12" x14ac:dyDescent="0.3">
      <c r="A28" s="12"/>
      <c r="B28" s="12"/>
      <c r="C28" s="12"/>
      <c r="D28" s="12"/>
      <c r="E28" s="12"/>
      <c r="F28" s="12"/>
      <c r="G28" s="12"/>
      <c r="H28" s="12"/>
      <c r="I28" s="12"/>
      <c r="J28" s="12"/>
      <c r="K28" s="12"/>
      <c r="L28" s="14"/>
    </row>
    <row r="29" spans="1:12" x14ac:dyDescent="0.3">
      <c r="A29" s="12"/>
      <c r="B29" s="12"/>
      <c r="C29" s="12"/>
      <c r="D29" s="12"/>
      <c r="E29" s="12"/>
      <c r="F29" s="12"/>
      <c r="G29" s="12"/>
      <c r="H29" s="12"/>
      <c r="I29" s="12"/>
      <c r="J29" s="12"/>
      <c r="K29" s="12"/>
      <c r="L29" s="14"/>
    </row>
    <row r="30" spans="1:12" x14ac:dyDescent="0.3">
      <c r="A30" s="12"/>
      <c r="B30" s="12"/>
      <c r="C30" s="12"/>
      <c r="D30" s="12"/>
      <c r="E30" s="12"/>
      <c r="F30" s="12"/>
      <c r="G30" s="12"/>
      <c r="H30" s="12"/>
      <c r="I30" s="12"/>
      <c r="J30" s="12"/>
      <c r="K30" s="12"/>
      <c r="L30" s="14"/>
    </row>
    <row r="31" spans="1:12" x14ac:dyDescent="0.3">
      <c r="A31" s="12"/>
      <c r="B31" s="12"/>
      <c r="C31" s="12"/>
      <c r="D31" s="12"/>
      <c r="E31" s="12"/>
      <c r="F31" s="12"/>
      <c r="G31" s="12"/>
      <c r="H31" s="12"/>
      <c r="I31" s="12"/>
      <c r="J31" s="12"/>
      <c r="K31" s="12"/>
      <c r="L31" s="14"/>
    </row>
    <row r="32" spans="1:12" x14ac:dyDescent="0.3">
      <c r="A32" s="12"/>
      <c r="B32" s="12"/>
      <c r="C32" s="12"/>
      <c r="D32" s="12"/>
      <c r="E32" s="12"/>
      <c r="F32" s="12"/>
      <c r="G32" s="12"/>
      <c r="H32" s="12"/>
      <c r="I32" s="12"/>
      <c r="J32" s="12"/>
      <c r="K32" s="12"/>
      <c r="L32" s="14"/>
    </row>
    <row r="33" spans="1:12" x14ac:dyDescent="0.3">
      <c r="A33" s="12"/>
      <c r="B33" s="12"/>
      <c r="C33" s="12"/>
      <c r="D33" s="12"/>
      <c r="E33" s="12"/>
      <c r="F33" s="12"/>
      <c r="G33" s="12"/>
      <c r="H33" s="12"/>
      <c r="I33" s="12"/>
      <c r="J33" s="12"/>
      <c r="K33" s="12"/>
      <c r="L33" s="14"/>
    </row>
    <row r="34" spans="1:12" x14ac:dyDescent="0.3">
      <c r="A34" s="12"/>
      <c r="B34" s="12"/>
      <c r="C34" s="12"/>
      <c r="D34" s="12"/>
      <c r="E34" s="12"/>
      <c r="F34" s="12"/>
      <c r="G34" s="12"/>
      <c r="H34" s="12"/>
      <c r="I34" s="12"/>
      <c r="J34" s="12"/>
      <c r="K34" s="12"/>
      <c r="L34" s="14"/>
    </row>
    <row r="35" spans="1:12" x14ac:dyDescent="0.3">
      <c r="A35" s="12"/>
      <c r="B35" s="12"/>
      <c r="C35" s="12"/>
      <c r="D35" s="12"/>
      <c r="E35" s="12"/>
      <c r="F35" s="12"/>
      <c r="G35" s="12"/>
      <c r="H35" s="12"/>
      <c r="I35" s="12"/>
      <c r="J35" s="12"/>
      <c r="K35" s="12"/>
      <c r="L35" s="14"/>
    </row>
    <row r="36" spans="1:12" x14ac:dyDescent="0.3">
      <c r="A36" s="12"/>
      <c r="B36" s="12"/>
      <c r="C36" s="12"/>
      <c r="D36" s="12"/>
      <c r="E36" s="12"/>
      <c r="F36" s="12"/>
      <c r="G36" s="12"/>
      <c r="H36" s="12"/>
      <c r="I36" s="12"/>
      <c r="J36" s="12"/>
      <c r="K36" s="12"/>
      <c r="L36" s="14"/>
    </row>
    <row r="37" spans="1:12" x14ac:dyDescent="0.3">
      <c r="A37" s="12"/>
      <c r="B37" s="12"/>
      <c r="C37" s="12"/>
      <c r="D37" s="12"/>
      <c r="E37" s="12"/>
      <c r="F37" s="12"/>
      <c r="G37" s="12"/>
      <c r="H37" s="12"/>
      <c r="I37" s="12"/>
      <c r="J37" s="12"/>
      <c r="K37" s="12"/>
      <c r="L37" s="14"/>
    </row>
    <row r="38" spans="1:12" x14ac:dyDescent="0.3">
      <c r="A38" s="12"/>
      <c r="B38" s="12"/>
      <c r="C38" s="12"/>
      <c r="D38" s="12"/>
      <c r="E38" s="12"/>
      <c r="F38" s="12"/>
      <c r="G38" s="12"/>
      <c r="H38" s="12"/>
      <c r="I38" s="12"/>
      <c r="J38" s="12"/>
      <c r="K38" s="12"/>
      <c r="L38" s="14"/>
    </row>
    <row r="39" spans="1:12" x14ac:dyDescent="0.3">
      <c r="A39" s="12"/>
      <c r="B39" s="12"/>
      <c r="C39" s="12"/>
      <c r="D39" s="12"/>
      <c r="E39" s="12"/>
      <c r="F39" s="12"/>
      <c r="G39" s="12"/>
      <c r="H39" s="12"/>
      <c r="I39" s="12"/>
      <c r="J39" s="12"/>
      <c r="K39" s="12"/>
      <c r="L39" s="14"/>
    </row>
    <row r="40" spans="1:12" x14ac:dyDescent="0.3">
      <c r="A40" s="12"/>
      <c r="B40" s="12"/>
      <c r="C40" s="12"/>
      <c r="D40" s="12"/>
      <c r="E40" s="12"/>
      <c r="F40" s="12"/>
      <c r="G40" s="12"/>
      <c r="H40" s="12"/>
      <c r="I40" s="12"/>
      <c r="J40" s="12"/>
      <c r="K40" s="12"/>
      <c r="L40" s="14"/>
    </row>
    <row r="41" spans="1:12" x14ac:dyDescent="0.3">
      <c r="A41" s="12"/>
      <c r="B41" s="12"/>
      <c r="C41" s="12"/>
      <c r="D41" s="12"/>
      <c r="E41" s="12"/>
      <c r="F41" s="12"/>
      <c r="G41" s="12"/>
      <c r="H41" s="12"/>
      <c r="I41" s="12"/>
      <c r="J41" s="12"/>
      <c r="K41" s="12"/>
      <c r="L41" s="14"/>
    </row>
    <row r="42" spans="1:12" x14ac:dyDescent="0.3">
      <c r="A42" s="12"/>
      <c r="B42" s="12"/>
      <c r="C42" s="12"/>
      <c r="D42" s="12"/>
      <c r="E42" s="12"/>
      <c r="F42" s="12"/>
      <c r="G42" s="12"/>
      <c r="H42" s="12"/>
      <c r="I42" s="12"/>
      <c r="J42" s="12"/>
      <c r="K42" s="12"/>
      <c r="L42" s="14"/>
    </row>
    <row r="43" spans="1:12" x14ac:dyDescent="0.3">
      <c r="A43" s="12"/>
      <c r="B43" s="12"/>
      <c r="C43" s="12"/>
      <c r="D43" s="12"/>
      <c r="E43" s="12"/>
      <c r="F43" s="12"/>
      <c r="G43" s="12"/>
      <c r="H43" s="12"/>
      <c r="I43" s="12"/>
      <c r="J43" s="12"/>
      <c r="K43" s="12"/>
      <c r="L43" s="14"/>
    </row>
    <row r="44" spans="1:12" x14ac:dyDescent="0.3">
      <c r="A44" s="12"/>
      <c r="B44" s="12"/>
      <c r="C44" s="12"/>
      <c r="D44" s="12"/>
      <c r="E44" s="12"/>
      <c r="F44" s="12"/>
      <c r="G44" s="12"/>
      <c r="H44" s="12"/>
      <c r="I44" s="12"/>
      <c r="J44" s="12"/>
      <c r="K44" s="12"/>
      <c r="L44" s="14"/>
    </row>
    <row r="45" spans="1:12" x14ac:dyDescent="0.3">
      <c r="A45" s="12"/>
      <c r="B45" s="12"/>
      <c r="C45" s="12"/>
      <c r="D45" s="12"/>
      <c r="E45" s="12"/>
      <c r="F45" s="12"/>
      <c r="G45" s="12"/>
      <c r="H45" s="12"/>
      <c r="I45" s="12"/>
      <c r="J45" s="12"/>
      <c r="K45" s="12"/>
      <c r="L45" s="14"/>
    </row>
    <row r="46" spans="1:12" x14ac:dyDescent="0.3">
      <c r="A46" s="12"/>
      <c r="B46" s="12"/>
      <c r="C46" s="12"/>
      <c r="D46" s="12"/>
      <c r="E46" s="12"/>
      <c r="F46" s="12"/>
      <c r="G46" s="12"/>
      <c r="H46" s="12"/>
      <c r="I46" s="12"/>
      <c r="J46" s="12"/>
      <c r="K46" s="12"/>
      <c r="L46" s="14"/>
    </row>
    <row r="47" spans="1:12" x14ac:dyDescent="0.3">
      <c r="A47" s="12"/>
      <c r="B47" s="12"/>
      <c r="C47" s="12"/>
      <c r="D47" s="12"/>
      <c r="E47" s="12"/>
      <c r="F47" s="12"/>
      <c r="G47" s="12"/>
      <c r="H47" s="12"/>
      <c r="I47" s="12"/>
      <c r="J47" s="12"/>
      <c r="K47" s="12"/>
      <c r="L47" s="14"/>
    </row>
    <row r="48" spans="1:12" x14ac:dyDescent="0.3">
      <c r="A48" s="12"/>
      <c r="B48" s="12"/>
      <c r="C48" s="12"/>
      <c r="D48" s="12"/>
      <c r="E48" s="12"/>
      <c r="F48" s="12"/>
      <c r="G48" s="12"/>
      <c r="H48" s="12"/>
      <c r="I48" s="12"/>
      <c r="J48" s="12"/>
      <c r="K48" s="12"/>
      <c r="L48" s="14"/>
    </row>
    <row r="49" spans="1:12" x14ac:dyDescent="0.3">
      <c r="A49" s="12"/>
      <c r="B49" s="12"/>
      <c r="C49" s="12"/>
      <c r="D49" s="12"/>
      <c r="E49" s="12"/>
      <c r="F49" s="12"/>
      <c r="G49" s="12"/>
      <c r="H49" s="12"/>
      <c r="I49" s="12"/>
      <c r="J49" s="12"/>
      <c r="K49" s="12"/>
      <c r="L49" s="14"/>
    </row>
    <row r="50" spans="1:12" x14ac:dyDescent="0.3">
      <c r="A50" s="12"/>
      <c r="B50" s="12"/>
      <c r="C50" s="12"/>
      <c r="D50" s="12"/>
      <c r="E50" s="12"/>
      <c r="F50" s="12"/>
      <c r="G50" s="12"/>
      <c r="H50" s="12"/>
      <c r="I50" s="12"/>
      <c r="J50" s="12"/>
      <c r="K50" s="12"/>
      <c r="L50" s="14"/>
    </row>
    <row r="51" spans="1:12" x14ac:dyDescent="0.3">
      <c r="A51" s="12"/>
      <c r="B51" s="12"/>
      <c r="C51" s="12"/>
      <c r="D51" s="12"/>
      <c r="E51" s="12"/>
      <c r="F51" s="12"/>
      <c r="G51" s="12"/>
      <c r="H51" s="12"/>
      <c r="I51" s="12"/>
      <c r="J51" s="12"/>
      <c r="K51" s="12"/>
      <c r="L51" s="14"/>
    </row>
    <row r="52" spans="1:12" x14ac:dyDescent="0.3">
      <c r="A52" s="12"/>
      <c r="B52" s="12"/>
      <c r="C52" s="12"/>
      <c r="D52" s="12"/>
      <c r="E52" s="12"/>
      <c r="F52" s="12"/>
      <c r="G52" s="12"/>
      <c r="H52" s="12"/>
      <c r="I52" s="12"/>
      <c r="J52" s="12"/>
      <c r="K52" s="12"/>
      <c r="L52" s="14"/>
    </row>
    <row r="53" spans="1:12" x14ac:dyDescent="0.3">
      <c r="A53" s="12"/>
      <c r="B53" s="12"/>
      <c r="C53" s="12"/>
      <c r="D53" s="12"/>
      <c r="E53" s="12"/>
      <c r="F53" s="12"/>
      <c r="G53" s="12"/>
      <c r="H53" s="12"/>
      <c r="I53" s="12"/>
      <c r="J53" s="12"/>
      <c r="K53" s="12"/>
      <c r="L53" s="14"/>
    </row>
    <row r="54" spans="1:12" x14ac:dyDescent="0.3">
      <c r="A54" s="12"/>
      <c r="B54" s="12"/>
      <c r="C54" s="12"/>
      <c r="D54" s="12"/>
      <c r="E54" s="12"/>
      <c r="F54" s="12"/>
      <c r="G54" s="12"/>
      <c r="H54" s="12"/>
      <c r="I54" s="12"/>
      <c r="J54" s="12"/>
      <c r="K54" s="12"/>
      <c r="L54" s="14"/>
    </row>
    <row r="55" spans="1:12" x14ac:dyDescent="0.3">
      <c r="A55" s="12"/>
      <c r="B55" s="12"/>
      <c r="C55" s="12"/>
      <c r="D55" s="12"/>
      <c r="E55" s="12"/>
      <c r="F55" s="12"/>
      <c r="G55" s="12"/>
      <c r="H55" s="12"/>
      <c r="I55" s="12"/>
      <c r="J55" s="12"/>
      <c r="K55" s="12"/>
      <c r="L55" s="14"/>
    </row>
    <row r="56" spans="1:12" x14ac:dyDescent="0.3">
      <c r="A56" s="12"/>
      <c r="B56" s="12"/>
      <c r="C56" s="12"/>
      <c r="D56" s="12"/>
      <c r="E56" s="12"/>
      <c r="F56" s="12"/>
      <c r="G56" s="12"/>
      <c r="H56" s="12"/>
      <c r="I56" s="12"/>
      <c r="J56" s="12"/>
      <c r="K56" s="12"/>
      <c r="L56" s="14"/>
    </row>
    <row r="57" spans="1:12" x14ac:dyDescent="0.3">
      <c r="A57" s="12"/>
      <c r="B57" s="12"/>
      <c r="C57" s="12"/>
      <c r="D57" s="12"/>
      <c r="E57" s="12"/>
      <c r="F57" s="12"/>
      <c r="G57" s="12"/>
      <c r="H57" s="12"/>
      <c r="I57" s="12"/>
      <c r="J57" s="12"/>
      <c r="K57" s="12"/>
      <c r="L57" s="14"/>
    </row>
    <row r="58" spans="1:12" x14ac:dyDescent="0.3">
      <c r="A58" s="12"/>
      <c r="B58" s="12"/>
      <c r="C58" s="12"/>
      <c r="D58" s="12"/>
      <c r="E58" s="12"/>
      <c r="F58" s="12"/>
      <c r="G58" s="12"/>
      <c r="H58" s="12"/>
      <c r="I58" s="12"/>
      <c r="J58" s="12"/>
      <c r="K58" s="12"/>
      <c r="L58" s="14"/>
    </row>
    <row r="59" spans="1:12" x14ac:dyDescent="0.3">
      <c r="A59" s="12"/>
      <c r="B59" s="12"/>
      <c r="C59" s="12"/>
      <c r="D59" s="12"/>
      <c r="E59" s="12"/>
      <c r="F59" s="12"/>
      <c r="G59" s="12"/>
      <c r="H59" s="12"/>
      <c r="I59" s="12"/>
      <c r="J59" s="12"/>
      <c r="K59" s="12"/>
      <c r="L59" s="14"/>
    </row>
    <row r="60" spans="1:12" x14ac:dyDescent="0.3">
      <c r="A60" s="12"/>
      <c r="B60" s="12"/>
      <c r="C60" s="12"/>
      <c r="D60" s="12"/>
      <c r="E60" s="12"/>
      <c r="F60" s="12"/>
      <c r="G60" s="12"/>
      <c r="H60" s="12"/>
      <c r="I60" s="12"/>
      <c r="J60" s="12"/>
      <c r="K60" s="12"/>
      <c r="L60" s="14"/>
    </row>
    <row r="61" spans="1:12" x14ac:dyDescent="0.3">
      <c r="A61" s="12"/>
      <c r="B61" s="12"/>
      <c r="C61" s="12"/>
      <c r="D61" s="12"/>
      <c r="E61" s="12"/>
      <c r="F61" s="12"/>
      <c r="G61" s="12"/>
      <c r="H61" s="12"/>
      <c r="I61" s="12"/>
      <c r="J61" s="12"/>
      <c r="K61" s="12"/>
      <c r="L61" s="14"/>
    </row>
    <row r="62" spans="1:12" x14ac:dyDescent="0.3">
      <c r="A62" s="12"/>
      <c r="B62" s="12"/>
      <c r="C62" s="12"/>
      <c r="D62" s="12"/>
      <c r="E62" s="12"/>
      <c r="F62" s="12"/>
      <c r="G62" s="12"/>
      <c r="H62" s="12"/>
      <c r="I62" s="12"/>
      <c r="J62" s="12"/>
      <c r="K62" s="12"/>
      <c r="L62" s="14"/>
    </row>
    <row r="63" spans="1:12" x14ac:dyDescent="0.3">
      <c r="A63" s="12"/>
      <c r="B63" s="12"/>
      <c r="C63" s="12"/>
      <c r="D63" s="12"/>
      <c r="E63" s="12"/>
      <c r="F63" s="12"/>
      <c r="G63" s="12"/>
      <c r="H63" s="12"/>
      <c r="I63" s="12"/>
      <c r="J63" s="12"/>
      <c r="K63" s="12"/>
      <c r="L63" s="14"/>
    </row>
    <row r="64" spans="1:12" x14ac:dyDescent="0.3">
      <c r="A64" s="12"/>
      <c r="B64" s="12"/>
      <c r="C64" s="12"/>
      <c r="D64" s="12"/>
      <c r="E64" s="12"/>
      <c r="F64" s="12"/>
      <c r="G64" s="12"/>
      <c r="H64" s="12"/>
      <c r="I64" s="12"/>
      <c r="J64" s="12"/>
      <c r="K64" s="12"/>
      <c r="L64" s="14"/>
    </row>
    <row r="65" spans="1:12" x14ac:dyDescent="0.3">
      <c r="A65" s="12"/>
      <c r="B65" s="12"/>
      <c r="C65" s="12"/>
      <c r="D65" s="12"/>
      <c r="E65" s="12"/>
      <c r="F65" s="12"/>
      <c r="G65" s="12"/>
      <c r="H65" s="12"/>
      <c r="I65" s="12"/>
      <c r="J65" s="12"/>
      <c r="K65" s="12"/>
      <c r="L65" s="14"/>
    </row>
    <row r="66" spans="1:12" x14ac:dyDescent="0.3">
      <c r="A66" s="12"/>
      <c r="B66" s="12"/>
      <c r="C66" s="12"/>
      <c r="D66" s="12"/>
      <c r="E66" s="12"/>
      <c r="F66" s="12"/>
      <c r="G66" s="12"/>
      <c r="H66" s="12"/>
      <c r="I66" s="12"/>
      <c r="J66" s="12"/>
      <c r="K66" s="12"/>
      <c r="L66" s="14"/>
    </row>
    <row r="67" spans="1:12" x14ac:dyDescent="0.3">
      <c r="A67" s="12"/>
      <c r="B67" s="12"/>
      <c r="C67" s="12"/>
      <c r="D67" s="12"/>
      <c r="E67" s="12"/>
      <c r="F67" s="12"/>
      <c r="G67" s="12"/>
      <c r="H67" s="12"/>
      <c r="I67" s="12"/>
      <c r="J67" s="12"/>
      <c r="K67" s="12"/>
      <c r="L67" s="14"/>
    </row>
    <row r="68" spans="1:12" x14ac:dyDescent="0.3">
      <c r="A68" s="12"/>
      <c r="B68" s="12"/>
      <c r="C68" s="12"/>
      <c r="D68" s="12"/>
      <c r="E68" s="12"/>
      <c r="F68" s="12"/>
      <c r="G68" s="12"/>
      <c r="H68" s="12"/>
      <c r="I68" s="12"/>
      <c r="J68" s="12"/>
      <c r="K68" s="12"/>
      <c r="L68" s="14"/>
    </row>
    <row r="69" spans="1:12" x14ac:dyDescent="0.3">
      <c r="A69" s="12"/>
      <c r="B69" s="12"/>
      <c r="C69" s="12"/>
      <c r="D69" s="12"/>
      <c r="E69" s="12"/>
      <c r="F69" s="12"/>
      <c r="G69" s="12"/>
      <c r="H69" s="12"/>
      <c r="I69" s="12"/>
      <c r="J69" s="12"/>
      <c r="K69" s="12"/>
      <c r="L69" s="14"/>
    </row>
    <row r="70" spans="1:12" x14ac:dyDescent="0.3">
      <c r="A70" s="12"/>
      <c r="B70" s="12"/>
      <c r="C70" s="12"/>
      <c r="D70" s="12"/>
      <c r="E70" s="12"/>
      <c r="F70" s="12"/>
      <c r="G70" s="12"/>
      <c r="H70" s="12"/>
      <c r="I70" s="12"/>
      <c r="J70" s="12"/>
      <c r="K70" s="12"/>
      <c r="L70" s="14"/>
    </row>
    <row r="71" spans="1:12" x14ac:dyDescent="0.3">
      <c r="A71" s="12"/>
      <c r="B71" s="12"/>
      <c r="C71" s="12"/>
      <c r="D71" s="12"/>
      <c r="E71" s="12"/>
      <c r="F71" s="12"/>
      <c r="G71" s="12"/>
      <c r="H71" s="12"/>
      <c r="I71" s="12"/>
      <c r="J71" s="12"/>
      <c r="K71" s="12"/>
      <c r="L71" s="14"/>
    </row>
    <row r="72" spans="1:12" x14ac:dyDescent="0.3">
      <c r="A72" s="12"/>
      <c r="B72" s="12"/>
      <c r="C72" s="12"/>
      <c r="D72" s="12"/>
      <c r="E72" s="12"/>
      <c r="F72" s="12"/>
      <c r="G72" s="12"/>
      <c r="H72" s="12"/>
      <c r="I72" s="12"/>
      <c r="J72" s="12"/>
      <c r="K72" s="12"/>
      <c r="L72" s="14"/>
    </row>
    <row r="73" spans="1:12" x14ac:dyDescent="0.3">
      <c r="A73" s="12"/>
      <c r="B73" s="12"/>
      <c r="C73" s="12"/>
      <c r="D73" s="12"/>
      <c r="E73" s="12"/>
      <c r="F73" s="12"/>
      <c r="G73" s="12"/>
      <c r="H73" s="12"/>
      <c r="I73" s="12"/>
      <c r="J73" s="12"/>
      <c r="K73" s="12"/>
      <c r="L73" s="14"/>
    </row>
    <row r="74" spans="1:12" x14ac:dyDescent="0.3">
      <c r="A74" s="12"/>
      <c r="B74" s="12"/>
      <c r="C74" s="12"/>
      <c r="D74" s="12"/>
      <c r="E74" s="12"/>
      <c r="F74" s="12"/>
      <c r="G74" s="12"/>
      <c r="H74" s="12"/>
      <c r="I74" s="12"/>
      <c r="J74" s="12"/>
      <c r="K74" s="12"/>
      <c r="L74" s="14"/>
    </row>
    <row r="75" spans="1:12" x14ac:dyDescent="0.3">
      <c r="A75" s="12"/>
      <c r="B75" s="12"/>
      <c r="C75" s="12"/>
      <c r="D75" s="12"/>
      <c r="E75" s="12"/>
      <c r="F75" s="12"/>
      <c r="G75" s="12"/>
      <c r="H75" s="12"/>
      <c r="I75" s="12"/>
      <c r="J75" s="12"/>
      <c r="K75" s="12"/>
      <c r="L75" s="14"/>
    </row>
    <row r="76" spans="1:12" x14ac:dyDescent="0.3">
      <c r="A76" s="12"/>
      <c r="B76" s="12"/>
      <c r="C76" s="12"/>
      <c r="D76" s="12"/>
      <c r="E76" s="12"/>
      <c r="F76" s="12"/>
      <c r="G76" s="12"/>
      <c r="H76" s="12"/>
      <c r="I76" s="12"/>
      <c r="J76" s="12"/>
      <c r="K76" s="12"/>
      <c r="L76" s="14"/>
    </row>
    <row r="77" spans="1:12" x14ac:dyDescent="0.3">
      <c r="A77" s="12"/>
      <c r="B77" s="12"/>
      <c r="C77" s="12"/>
      <c r="D77" s="12"/>
      <c r="E77" s="12"/>
      <c r="F77" s="12"/>
      <c r="G77" s="12"/>
      <c r="H77" s="12"/>
      <c r="I77" s="12"/>
      <c r="J77" s="12"/>
      <c r="K77" s="12"/>
      <c r="L77" s="14"/>
    </row>
    <row r="78" spans="1:12" x14ac:dyDescent="0.3">
      <c r="A78" s="12"/>
      <c r="B78" s="12"/>
      <c r="C78" s="12"/>
      <c r="D78" s="12"/>
      <c r="E78" s="12"/>
      <c r="F78" s="12"/>
      <c r="G78" s="12"/>
      <c r="H78" s="12"/>
      <c r="I78" s="12"/>
      <c r="J78" s="12"/>
      <c r="K78" s="12"/>
      <c r="L78" s="14"/>
    </row>
    <row r="79" spans="1:12" x14ac:dyDescent="0.3">
      <c r="A79" s="12"/>
      <c r="B79" s="12"/>
      <c r="C79" s="12"/>
      <c r="D79" s="12"/>
      <c r="E79" s="12"/>
      <c r="F79" s="12"/>
      <c r="G79" s="12"/>
      <c r="H79" s="12"/>
      <c r="I79" s="12"/>
      <c r="J79" s="12"/>
      <c r="K79" s="12"/>
      <c r="L79" s="14"/>
    </row>
    <row r="80" spans="1:12" x14ac:dyDescent="0.3">
      <c r="A80" s="12"/>
      <c r="B80" s="12"/>
      <c r="C80" s="12"/>
      <c r="D80" s="12"/>
      <c r="E80" s="12"/>
      <c r="F80" s="12"/>
      <c r="G80" s="12"/>
      <c r="H80" s="12"/>
      <c r="I80" s="12"/>
      <c r="J80" s="12"/>
      <c r="K80" s="12"/>
      <c r="L80" s="14"/>
    </row>
    <row r="81" spans="1:12" x14ac:dyDescent="0.3">
      <c r="A81" s="12"/>
      <c r="B81" s="12"/>
      <c r="C81" s="12"/>
      <c r="D81" s="12"/>
      <c r="E81" s="12"/>
      <c r="F81" s="12"/>
      <c r="G81" s="12"/>
      <c r="H81" s="12"/>
      <c r="I81" s="12"/>
      <c r="J81" s="12"/>
      <c r="K81" s="12"/>
      <c r="L81" s="14"/>
    </row>
    <row r="82" spans="1:12" x14ac:dyDescent="0.3">
      <c r="A82" s="12"/>
      <c r="B82" s="12"/>
      <c r="C82" s="12"/>
      <c r="D82" s="12"/>
      <c r="E82" s="12"/>
      <c r="F82" s="12"/>
      <c r="G82" s="12"/>
      <c r="H82" s="12"/>
      <c r="I82" s="12"/>
      <c r="J82" s="12"/>
      <c r="K82" s="12"/>
      <c r="L82" s="14"/>
    </row>
    <row r="83" spans="1:12" x14ac:dyDescent="0.3">
      <c r="A83" s="12"/>
      <c r="B83" s="12"/>
      <c r="C83" s="12"/>
      <c r="D83" s="12"/>
      <c r="E83" s="12"/>
      <c r="F83" s="12"/>
      <c r="G83" s="12"/>
      <c r="H83" s="12"/>
      <c r="I83" s="12"/>
      <c r="J83" s="12"/>
      <c r="K83" s="12"/>
      <c r="L83" s="14"/>
    </row>
    <row r="84" spans="1:12" x14ac:dyDescent="0.3">
      <c r="A84" s="12"/>
      <c r="B84" s="12"/>
      <c r="C84" s="12"/>
      <c r="D84" s="12"/>
      <c r="E84" s="12"/>
      <c r="F84" s="12"/>
      <c r="G84" s="12"/>
      <c r="H84" s="12"/>
      <c r="I84" s="12"/>
      <c r="J84" s="12"/>
      <c r="K84" s="12"/>
      <c r="L84" s="14"/>
    </row>
    <row r="85" spans="1:12" x14ac:dyDescent="0.3">
      <c r="A85" s="12"/>
      <c r="B85" s="12"/>
      <c r="C85" s="12"/>
      <c r="D85" s="12"/>
      <c r="E85" s="12"/>
      <c r="F85" s="12"/>
      <c r="G85" s="12"/>
      <c r="H85" s="12"/>
      <c r="I85" s="12"/>
      <c r="J85" s="12"/>
      <c r="K85" s="12"/>
      <c r="L85" s="14"/>
    </row>
    <row r="86" spans="1:12" x14ac:dyDescent="0.3">
      <c r="A86" s="12"/>
      <c r="B86" s="12"/>
      <c r="C86" s="12"/>
      <c r="D86" s="12"/>
      <c r="E86" s="12"/>
      <c r="F86" s="12"/>
      <c r="G86" s="12"/>
      <c r="H86" s="12"/>
      <c r="I86" s="12"/>
      <c r="J86" s="12"/>
      <c r="K86" s="12"/>
      <c r="L86" s="14"/>
    </row>
    <row r="87" spans="1:12" x14ac:dyDescent="0.3">
      <c r="A87" s="12"/>
      <c r="B87" s="12"/>
      <c r="C87" s="12"/>
      <c r="D87" s="12"/>
      <c r="E87" s="12"/>
      <c r="F87" s="12"/>
      <c r="G87" s="12"/>
      <c r="H87" s="12"/>
      <c r="I87" s="12"/>
      <c r="J87" s="12"/>
      <c r="K87" s="12"/>
      <c r="L87" s="14"/>
    </row>
    <row r="88" spans="1:12" x14ac:dyDescent="0.3">
      <c r="A88" s="12"/>
      <c r="B88" s="12"/>
      <c r="C88" s="12"/>
      <c r="D88" s="12"/>
      <c r="E88" s="12"/>
      <c r="F88" s="12"/>
      <c r="G88" s="12"/>
      <c r="H88" s="12"/>
      <c r="I88" s="12"/>
      <c r="J88" s="12"/>
      <c r="K88" s="12"/>
      <c r="L88" s="14"/>
    </row>
    <row r="89" spans="1:12" x14ac:dyDescent="0.3">
      <c r="A89" s="12"/>
      <c r="B89" s="12"/>
      <c r="C89" s="12"/>
      <c r="D89" s="12"/>
      <c r="E89" s="12"/>
      <c r="F89" s="12"/>
      <c r="G89" s="12"/>
      <c r="H89" s="12"/>
      <c r="I89" s="12"/>
      <c r="J89" s="12"/>
      <c r="K89" s="12"/>
      <c r="L89" s="14"/>
    </row>
    <row r="90" spans="1:12" x14ac:dyDescent="0.3">
      <c r="A90" s="12"/>
      <c r="B90" s="12"/>
      <c r="C90" s="12"/>
      <c r="D90" s="12"/>
      <c r="E90" s="12"/>
      <c r="F90" s="12"/>
      <c r="G90" s="12"/>
      <c r="H90" s="12"/>
      <c r="I90" s="12"/>
      <c r="J90" s="12"/>
      <c r="K90" s="12"/>
      <c r="L90" s="14"/>
    </row>
    <row r="91" spans="1:12" x14ac:dyDescent="0.3">
      <c r="A91" s="12"/>
      <c r="B91" s="12"/>
      <c r="C91" s="12"/>
      <c r="D91" s="12"/>
      <c r="E91" s="12"/>
      <c r="F91" s="12"/>
      <c r="G91" s="12"/>
      <c r="H91" s="12"/>
      <c r="I91" s="12"/>
      <c r="J91" s="12"/>
      <c r="K91" s="12"/>
      <c r="L91" s="14"/>
    </row>
    <row r="92" spans="1:12" x14ac:dyDescent="0.3">
      <c r="A92" s="12"/>
      <c r="B92" s="12"/>
      <c r="C92" s="12"/>
      <c r="D92" s="12"/>
      <c r="E92" s="12"/>
      <c r="F92" s="12"/>
      <c r="G92" s="12"/>
      <c r="H92" s="12"/>
      <c r="I92" s="12"/>
      <c r="J92" s="12"/>
      <c r="K92" s="12"/>
      <c r="L92" s="14"/>
    </row>
    <row r="93" spans="1:12" x14ac:dyDescent="0.3">
      <c r="A93" s="12"/>
      <c r="B93" s="12"/>
      <c r="C93" s="12"/>
      <c r="D93" s="12"/>
      <c r="E93" s="12"/>
      <c r="F93" s="12"/>
      <c r="G93" s="12"/>
      <c r="H93" s="12"/>
      <c r="I93" s="12"/>
      <c r="J93" s="12"/>
      <c r="K93" s="12"/>
      <c r="L93" s="14"/>
    </row>
    <row r="94" spans="1:12" x14ac:dyDescent="0.3">
      <c r="A94" s="12"/>
      <c r="B94" s="12"/>
      <c r="C94" s="12"/>
      <c r="D94" s="12"/>
      <c r="E94" s="12"/>
      <c r="F94" s="12"/>
      <c r="G94" s="12"/>
      <c r="H94" s="12"/>
      <c r="I94" s="12"/>
      <c r="J94" s="12"/>
      <c r="K94" s="12"/>
      <c r="L94" s="14"/>
    </row>
    <row r="95" spans="1:12" x14ac:dyDescent="0.3">
      <c r="A95" s="12"/>
      <c r="B95" s="12"/>
      <c r="C95" s="12"/>
      <c r="D95" s="12"/>
      <c r="E95" s="12"/>
      <c r="F95" s="12"/>
      <c r="G95" s="12"/>
      <c r="H95" s="12"/>
      <c r="I95" s="12"/>
      <c r="J95" s="12"/>
      <c r="K95" s="12"/>
      <c r="L95" s="14"/>
    </row>
    <row r="96" spans="1:12" x14ac:dyDescent="0.3">
      <c r="A96" s="12"/>
      <c r="B96" s="12"/>
      <c r="C96" s="12"/>
      <c r="D96" s="12"/>
      <c r="E96" s="12"/>
      <c r="F96" s="12"/>
      <c r="G96" s="12"/>
      <c r="H96" s="12"/>
      <c r="I96" s="12"/>
      <c r="J96" s="12"/>
      <c r="K96" s="12"/>
      <c r="L96" s="14"/>
    </row>
    <row r="97" spans="1:12" x14ac:dyDescent="0.3">
      <c r="A97" s="12"/>
      <c r="B97" s="12"/>
      <c r="C97" s="12"/>
      <c r="D97" s="12"/>
      <c r="E97" s="12"/>
      <c r="F97" s="12"/>
      <c r="G97" s="12"/>
      <c r="H97" s="12"/>
      <c r="I97" s="12"/>
      <c r="J97" s="12"/>
      <c r="K97" s="12"/>
      <c r="L97" s="14"/>
    </row>
    <row r="98" spans="1:12" x14ac:dyDescent="0.3">
      <c r="A98" s="12"/>
      <c r="B98" s="12"/>
      <c r="C98" s="12"/>
      <c r="D98" s="12"/>
      <c r="E98" s="12"/>
      <c r="F98" s="12"/>
      <c r="G98" s="12"/>
      <c r="H98" s="12"/>
      <c r="I98" s="12"/>
      <c r="J98" s="12"/>
      <c r="K98" s="12"/>
      <c r="L98" s="14"/>
    </row>
    <row r="99" spans="1:12" x14ac:dyDescent="0.3">
      <c r="A99" s="12"/>
      <c r="B99" s="12"/>
      <c r="C99" s="12"/>
      <c r="D99" s="12"/>
      <c r="E99" s="12"/>
      <c r="F99" s="12"/>
      <c r="G99" s="12"/>
      <c r="H99" s="12"/>
      <c r="I99" s="12"/>
      <c r="J99" s="12"/>
      <c r="K99" s="12"/>
      <c r="L99" s="14"/>
    </row>
    <row r="100" spans="1:12" x14ac:dyDescent="0.3">
      <c r="A100" s="12"/>
      <c r="B100" s="12"/>
      <c r="C100" s="12"/>
      <c r="D100" s="12"/>
      <c r="E100" s="12"/>
      <c r="F100" s="12"/>
      <c r="G100" s="12"/>
      <c r="H100" s="12"/>
      <c r="I100" s="12"/>
      <c r="J100" s="12"/>
      <c r="K100" s="12"/>
      <c r="L100" s="14"/>
    </row>
    <row r="101" spans="1:12" x14ac:dyDescent="0.3">
      <c r="A101" s="12"/>
      <c r="B101" s="12"/>
      <c r="C101" s="12"/>
      <c r="D101" s="12"/>
      <c r="E101" s="12"/>
      <c r="F101" s="12"/>
      <c r="G101" s="12"/>
      <c r="H101" s="12"/>
      <c r="I101" s="12"/>
      <c r="J101" s="12"/>
      <c r="K101" s="12"/>
      <c r="L101" s="14"/>
    </row>
    <row r="102" spans="1:12" x14ac:dyDescent="0.3">
      <c r="A102" s="12"/>
      <c r="B102" s="12"/>
      <c r="C102" s="12"/>
      <c r="D102" s="12"/>
      <c r="E102" s="12"/>
      <c r="F102" s="12"/>
      <c r="G102" s="12"/>
      <c r="H102" s="12"/>
      <c r="I102" s="12"/>
      <c r="J102" s="12"/>
      <c r="K102" s="12"/>
      <c r="L102" s="14"/>
    </row>
    <row r="103" spans="1:12" x14ac:dyDescent="0.3">
      <c r="A103" s="12"/>
      <c r="B103" s="12"/>
      <c r="C103" s="12"/>
      <c r="D103" s="12"/>
      <c r="E103" s="12"/>
      <c r="F103" s="12"/>
      <c r="G103" s="12"/>
      <c r="H103" s="12"/>
      <c r="I103" s="12"/>
      <c r="J103" s="12"/>
      <c r="K103" s="12"/>
      <c r="L103" s="14"/>
    </row>
    <row r="104" spans="1:12" x14ac:dyDescent="0.3">
      <c r="A104" s="12"/>
      <c r="B104" s="12"/>
      <c r="C104" s="12"/>
      <c r="D104" s="12"/>
      <c r="E104" s="12"/>
      <c r="F104" s="12"/>
      <c r="G104" s="12"/>
      <c r="H104" s="12"/>
      <c r="I104" s="12"/>
      <c r="J104" s="12"/>
      <c r="K104" s="12"/>
      <c r="L104" s="14"/>
    </row>
    <row r="105" spans="1:12" x14ac:dyDescent="0.3">
      <c r="A105" s="12"/>
      <c r="B105" s="12"/>
      <c r="C105" s="12"/>
      <c r="D105" s="12"/>
      <c r="E105" s="12"/>
      <c r="F105" s="12"/>
      <c r="G105" s="12"/>
      <c r="H105" s="12"/>
      <c r="I105" s="12"/>
      <c r="J105" s="12"/>
      <c r="K105" s="12"/>
      <c r="L105" s="14"/>
    </row>
    <row r="106" spans="1:12" x14ac:dyDescent="0.3">
      <c r="A106" s="12"/>
      <c r="B106" s="12"/>
      <c r="C106" s="12"/>
      <c r="D106" s="12"/>
      <c r="E106" s="12"/>
      <c r="F106" s="12"/>
      <c r="G106" s="12"/>
      <c r="H106" s="12"/>
      <c r="I106" s="12"/>
      <c r="J106" s="12"/>
      <c r="K106" s="12"/>
      <c r="L106" s="14"/>
    </row>
    <row r="107" spans="1:12" x14ac:dyDescent="0.3">
      <c r="A107" s="12"/>
      <c r="B107" s="12"/>
      <c r="C107" s="12"/>
      <c r="D107" s="12"/>
      <c r="E107" s="12"/>
      <c r="F107" s="12"/>
      <c r="G107" s="12"/>
      <c r="H107" s="12"/>
      <c r="I107" s="12"/>
      <c r="J107" s="12"/>
      <c r="K107" s="12"/>
      <c r="L107" s="14"/>
    </row>
    <row r="108" spans="1:12" x14ac:dyDescent="0.3">
      <c r="A108" s="12"/>
      <c r="B108" s="12"/>
      <c r="C108" s="12"/>
      <c r="D108" s="12"/>
      <c r="E108" s="12"/>
      <c r="F108" s="12"/>
      <c r="G108" s="12"/>
      <c r="H108" s="12"/>
      <c r="I108" s="12"/>
      <c r="J108" s="12"/>
      <c r="K108" s="12"/>
      <c r="L108" s="14"/>
    </row>
    <row r="109" spans="1:12" x14ac:dyDescent="0.3">
      <c r="A109" s="12"/>
      <c r="B109" s="12"/>
      <c r="C109" s="12"/>
      <c r="D109" s="12"/>
      <c r="E109" s="12"/>
      <c r="F109" s="12"/>
      <c r="G109" s="12"/>
      <c r="H109" s="12"/>
      <c r="I109" s="12"/>
      <c r="J109" s="12"/>
      <c r="K109" s="12"/>
      <c r="L109" s="14"/>
    </row>
    <row r="110" spans="1:12" x14ac:dyDescent="0.3">
      <c r="A110" s="12"/>
      <c r="B110" s="12"/>
      <c r="C110" s="12"/>
      <c r="D110" s="12"/>
      <c r="E110" s="12"/>
      <c r="F110" s="12"/>
      <c r="G110" s="12"/>
      <c r="H110" s="12"/>
      <c r="I110" s="12"/>
      <c r="J110" s="12"/>
      <c r="K110" s="12"/>
      <c r="L110" s="14"/>
    </row>
    <row r="111" spans="1:12" x14ac:dyDescent="0.3">
      <c r="A111" s="12"/>
      <c r="B111" s="12"/>
      <c r="C111" s="12"/>
      <c r="D111" s="12"/>
      <c r="E111" s="12"/>
      <c r="F111" s="12"/>
      <c r="G111" s="12"/>
      <c r="H111" s="12"/>
      <c r="I111" s="12"/>
      <c r="J111" s="12"/>
      <c r="K111" s="12"/>
      <c r="L111" s="14"/>
    </row>
    <row r="112" spans="1:12" x14ac:dyDescent="0.3">
      <c r="A112" s="12"/>
      <c r="B112" s="12"/>
      <c r="C112" s="12"/>
      <c r="D112" s="12"/>
      <c r="E112" s="12"/>
      <c r="F112" s="12"/>
      <c r="G112" s="12"/>
      <c r="H112" s="12"/>
      <c r="I112" s="12"/>
      <c r="J112" s="12"/>
      <c r="K112" s="12"/>
      <c r="L112" s="14"/>
    </row>
    <row r="113" spans="1:12" x14ac:dyDescent="0.3">
      <c r="A113" s="12"/>
      <c r="B113" s="12"/>
      <c r="C113" s="12"/>
      <c r="D113" s="12"/>
      <c r="E113" s="12"/>
      <c r="F113" s="12"/>
      <c r="G113" s="12"/>
      <c r="H113" s="12"/>
      <c r="I113" s="12"/>
      <c r="J113" s="12"/>
      <c r="K113" s="12"/>
      <c r="L113" s="14"/>
    </row>
    <row r="114" spans="1:12" x14ac:dyDescent="0.3">
      <c r="A114" s="12"/>
      <c r="B114" s="12"/>
      <c r="C114" s="12"/>
      <c r="D114" s="12"/>
      <c r="E114" s="12"/>
      <c r="F114" s="12"/>
      <c r="G114" s="12"/>
      <c r="H114" s="12"/>
      <c r="I114" s="12"/>
      <c r="J114" s="12"/>
      <c r="K114" s="12"/>
      <c r="L114" s="14"/>
    </row>
    <row r="115" spans="1:12" x14ac:dyDescent="0.3">
      <c r="A115" s="12"/>
      <c r="B115" s="12"/>
      <c r="C115" s="12"/>
      <c r="D115" s="12"/>
      <c r="E115" s="12"/>
      <c r="F115" s="12"/>
      <c r="G115" s="12"/>
      <c r="H115" s="12"/>
      <c r="I115" s="12"/>
      <c r="J115" s="12"/>
      <c r="K115" s="12"/>
      <c r="L115" s="14"/>
    </row>
    <row r="116" spans="1:12" x14ac:dyDescent="0.3">
      <c r="A116" s="12"/>
      <c r="B116" s="12"/>
      <c r="C116" s="12"/>
      <c r="D116" s="12"/>
      <c r="E116" s="12"/>
      <c r="F116" s="12"/>
      <c r="G116" s="12"/>
      <c r="H116" s="12"/>
      <c r="I116" s="12"/>
      <c r="J116" s="12"/>
      <c r="K116" s="12"/>
      <c r="L116" s="14"/>
    </row>
    <row r="117" spans="1:12" x14ac:dyDescent="0.3">
      <c r="A117" s="12"/>
      <c r="B117" s="12"/>
      <c r="C117" s="12"/>
      <c r="D117" s="12"/>
      <c r="E117" s="12"/>
      <c r="F117" s="12"/>
      <c r="G117" s="12"/>
      <c r="H117" s="12"/>
      <c r="I117" s="12"/>
      <c r="J117" s="12"/>
      <c r="K117" s="12"/>
      <c r="L117" s="14"/>
    </row>
    <row r="118" spans="1:12" x14ac:dyDescent="0.3">
      <c r="A118" s="12"/>
      <c r="B118" s="12"/>
      <c r="C118" s="12"/>
      <c r="D118" s="12"/>
      <c r="E118" s="12"/>
      <c r="F118" s="12"/>
      <c r="G118" s="12"/>
      <c r="H118" s="12"/>
      <c r="I118" s="12"/>
      <c r="J118" s="12"/>
      <c r="K118" s="12"/>
      <c r="L118" s="14"/>
    </row>
    <row r="119" spans="1:12" x14ac:dyDescent="0.3">
      <c r="A119" s="12"/>
      <c r="B119" s="12"/>
      <c r="C119" s="12"/>
      <c r="D119" s="12"/>
      <c r="E119" s="12"/>
      <c r="F119" s="12"/>
      <c r="G119" s="12"/>
      <c r="H119" s="12"/>
      <c r="I119" s="12"/>
      <c r="J119" s="12"/>
      <c r="K119" s="12"/>
      <c r="L119" s="14"/>
    </row>
    <row r="120" spans="1:12" x14ac:dyDescent="0.3">
      <c r="A120" s="12"/>
      <c r="B120" s="12"/>
      <c r="C120" s="12"/>
      <c r="D120" s="12"/>
      <c r="E120" s="12"/>
      <c r="F120" s="12"/>
      <c r="G120" s="12"/>
      <c r="H120" s="12"/>
      <c r="I120" s="12"/>
      <c r="J120" s="12"/>
      <c r="K120" s="12"/>
      <c r="L120" s="14"/>
    </row>
    <row r="121" spans="1:12" x14ac:dyDescent="0.3">
      <c r="A121" s="12"/>
      <c r="B121" s="12"/>
      <c r="C121" s="12"/>
      <c r="D121" s="12"/>
      <c r="E121" s="12"/>
      <c r="F121" s="12"/>
      <c r="G121" s="12"/>
      <c r="H121" s="12"/>
      <c r="I121" s="12"/>
      <c r="J121" s="12"/>
      <c r="K121" s="12"/>
      <c r="L121" s="14"/>
    </row>
    <row r="122" spans="1:12" x14ac:dyDescent="0.3">
      <c r="A122" s="12"/>
      <c r="B122" s="12"/>
      <c r="C122" s="12"/>
      <c r="D122" s="12"/>
      <c r="E122" s="12"/>
      <c r="F122" s="12"/>
      <c r="G122" s="12"/>
      <c r="H122" s="12"/>
      <c r="I122" s="12"/>
      <c r="J122" s="12"/>
      <c r="K122" s="12"/>
      <c r="L122" s="14"/>
    </row>
    <row r="123" spans="1:12" x14ac:dyDescent="0.3">
      <c r="A123" s="12"/>
      <c r="B123" s="12"/>
      <c r="C123" s="12"/>
      <c r="D123" s="12"/>
      <c r="E123" s="12"/>
      <c r="F123" s="12"/>
      <c r="G123" s="12"/>
      <c r="H123" s="12"/>
      <c r="I123" s="12"/>
      <c r="J123" s="12"/>
      <c r="K123" s="12"/>
      <c r="L123" s="14"/>
    </row>
    <row r="124" spans="1:12" x14ac:dyDescent="0.3">
      <c r="A124" s="12"/>
      <c r="B124" s="12"/>
      <c r="C124" s="12"/>
      <c r="D124" s="12"/>
      <c r="E124" s="12"/>
      <c r="F124" s="12"/>
      <c r="G124" s="12"/>
      <c r="H124" s="12"/>
      <c r="I124" s="12"/>
      <c r="J124" s="12"/>
      <c r="K124" s="12"/>
      <c r="L124" s="14"/>
    </row>
    <row r="125" spans="1:12" x14ac:dyDescent="0.3">
      <c r="A125" s="12"/>
      <c r="B125" s="12"/>
      <c r="C125" s="12"/>
      <c r="D125" s="12"/>
      <c r="E125" s="12"/>
      <c r="F125" s="12"/>
      <c r="G125" s="12"/>
      <c r="H125" s="12"/>
      <c r="I125" s="12"/>
      <c r="J125" s="12"/>
      <c r="K125" s="12"/>
      <c r="L125" s="14"/>
    </row>
    <row r="126" spans="1:12" x14ac:dyDescent="0.3">
      <c r="A126" s="12"/>
      <c r="B126" s="12"/>
      <c r="C126" s="12"/>
      <c r="D126" s="12"/>
      <c r="E126" s="12"/>
      <c r="F126" s="12"/>
      <c r="G126" s="12"/>
      <c r="H126" s="12"/>
      <c r="I126" s="12"/>
      <c r="J126" s="12"/>
      <c r="K126" s="12"/>
      <c r="L126" s="14"/>
    </row>
    <row r="127" spans="1:12" x14ac:dyDescent="0.3">
      <c r="A127" s="12"/>
      <c r="B127" s="12"/>
      <c r="C127" s="12"/>
      <c r="D127" s="12"/>
      <c r="E127" s="12"/>
      <c r="F127" s="12"/>
      <c r="G127" s="12"/>
      <c r="H127" s="12"/>
      <c r="I127" s="12"/>
      <c r="J127" s="12"/>
      <c r="K127" s="12"/>
      <c r="L127" s="14"/>
    </row>
    <row r="128" spans="1:12" x14ac:dyDescent="0.3">
      <c r="A128" s="12"/>
      <c r="B128" s="12"/>
      <c r="C128" s="12"/>
      <c r="D128" s="12"/>
      <c r="E128" s="12"/>
      <c r="F128" s="12"/>
      <c r="G128" s="12"/>
      <c r="H128" s="12"/>
      <c r="I128" s="12"/>
      <c r="J128" s="12"/>
      <c r="K128" s="12"/>
      <c r="L128" s="14"/>
    </row>
    <row r="129" spans="1:12" x14ac:dyDescent="0.3">
      <c r="A129" s="12"/>
      <c r="B129" s="12"/>
      <c r="C129" s="12"/>
      <c r="D129" s="12"/>
      <c r="E129" s="12"/>
      <c r="F129" s="12"/>
      <c r="G129" s="12"/>
      <c r="H129" s="12"/>
      <c r="I129" s="12"/>
      <c r="J129" s="12"/>
      <c r="K129" s="12"/>
      <c r="L129" s="14"/>
    </row>
    <row r="130" spans="1:12" x14ac:dyDescent="0.3">
      <c r="A130" s="12"/>
      <c r="B130" s="12"/>
      <c r="C130" s="12"/>
      <c r="D130" s="12"/>
      <c r="E130" s="12"/>
      <c r="F130" s="12"/>
      <c r="G130" s="12"/>
      <c r="H130" s="12"/>
      <c r="I130" s="12"/>
      <c r="J130" s="12"/>
      <c r="K130" s="12"/>
      <c r="L130" s="14"/>
    </row>
    <row r="131" spans="1:12" x14ac:dyDescent="0.3">
      <c r="A131" s="12"/>
      <c r="B131" s="12"/>
      <c r="C131" s="12"/>
      <c r="D131" s="12"/>
      <c r="E131" s="12"/>
      <c r="F131" s="12"/>
      <c r="G131" s="12"/>
      <c r="H131" s="12"/>
      <c r="I131" s="12"/>
      <c r="J131" s="12"/>
      <c r="K131" s="12"/>
      <c r="L131" s="14"/>
    </row>
    <row r="132" spans="1:12" x14ac:dyDescent="0.3">
      <c r="A132" s="12"/>
      <c r="B132" s="12"/>
      <c r="C132" s="12"/>
      <c r="D132" s="12"/>
      <c r="E132" s="12"/>
      <c r="F132" s="12"/>
      <c r="G132" s="12"/>
      <c r="H132" s="12"/>
      <c r="I132" s="12"/>
      <c r="J132" s="12"/>
      <c r="K132" s="12"/>
      <c r="L132" s="14"/>
    </row>
    <row r="133" spans="1:12" x14ac:dyDescent="0.3">
      <c r="A133" s="12"/>
      <c r="B133" s="12"/>
      <c r="C133" s="12"/>
      <c r="D133" s="12"/>
      <c r="E133" s="12"/>
      <c r="F133" s="12"/>
      <c r="G133" s="12"/>
      <c r="H133" s="12"/>
      <c r="I133" s="12"/>
      <c r="J133" s="12"/>
      <c r="K133" s="12"/>
      <c r="L133" s="14"/>
    </row>
    <row r="134" spans="1:12" x14ac:dyDescent="0.3">
      <c r="A134" s="12"/>
      <c r="B134" s="12"/>
      <c r="C134" s="12"/>
      <c r="D134" s="12"/>
      <c r="E134" s="12"/>
      <c r="F134" s="12"/>
      <c r="G134" s="12"/>
      <c r="H134" s="12"/>
      <c r="I134" s="12"/>
      <c r="J134" s="12"/>
      <c r="K134" s="12"/>
      <c r="L134" s="14"/>
    </row>
    <row r="135" spans="1:12" x14ac:dyDescent="0.3">
      <c r="A135" s="12"/>
      <c r="B135" s="12"/>
      <c r="C135" s="12"/>
      <c r="D135" s="12"/>
      <c r="E135" s="12"/>
      <c r="F135" s="12"/>
      <c r="G135" s="12"/>
      <c r="H135" s="12"/>
      <c r="I135" s="12"/>
      <c r="J135" s="12"/>
      <c r="K135" s="12"/>
      <c r="L135" s="14"/>
    </row>
    <row r="136" spans="1:12" x14ac:dyDescent="0.3">
      <c r="A136" s="12"/>
      <c r="B136" s="12"/>
      <c r="C136" s="12"/>
      <c r="D136" s="12"/>
      <c r="E136" s="12"/>
      <c r="F136" s="12"/>
      <c r="G136" s="12"/>
      <c r="H136" s="12"/>
      <c r="I136" s="12"/>
      <c r="J136" s="12"/>
      <c r="K136" s="12"/>
      <c r="L136" s="14"/>
    </row>
    <row r="137" spans="1:12" x14ac:dyDescent="0.3">
      <c r="A137" s="12"/>
      <c r="B137" s="12"/>
      <c r="C137" s="12"/>
      <c r="D137" s="12"/>
      <c r="E137" s="12"/>
      <c r="F137" s="12"/>
      <c r="G137" s="12"/>
      <c r="H137" s="12"/>
      <c r="I137" s="12"/>
      <c r="J137" s="12"/>
      <c r="K137" s="12"/>
      <c r="L137" s="14"/>
    </row>
    <row r="138" spans="1:12" x14ac:dyDescent="0.3">
      <c r="A138" s="12"/>
      <c r="B138" s="12"/>
      <c r="C138" s="12"/>
      <c r="D138" s="12"/>
      <c r="E138" s="12"/>
      <c r="F138" s="12"/>
      <c r="G138" s="12"/>
      <c r="H138" s="12"/>
      <c r="I138" s="12"/>
      <c r="J138" s="12"/>
      <c r="K138" s="12"/>
      <c r="L138" s="14"/>
    </row>
    <row r="139" spans="1:12" x14ac:dyDescent="0.3">
      <c r="A139" s="12"/>
      <c r="B139" s="12"/>
      <c r="C139" s="12"/>
      <c r="D139" s="12"/>
      <c r="E139" s="12"/>
      <c r="F139" s="12"/>
      <c r="G139" s="12"/>
      <c r="H139" s="12"/>
      <c r="I139" s="12"/>
      <c r="J139" s="12"/>
      <c r="K139" s="12"/>
      <c r="L139" s="14"/>
    </row>
    <row r="140" spans="1:12" x14ac:dyDescent="0.3">
      <c r="A140" s="12"/>
      <c r="B140" s="12"/>
      <c r="C140" s="12"/>
      <c r="D140" s="12"/>
      <c r="E140" s="12"/>
      <c r="F140" s="12"/>
      <c r="G140" s="12"/>
      <c r="H140" s="12"/>
      <c r="I140" s="12"/>
      <c r="J140" s="12"/>
      <c r="K140" s="12"/>
      <c r="L140" s="14"/>
    </row>
    <row r="141" spans="1:12" x14ac:dyDescent="0.3">
      <c r="A141" s="12"/>
      <c r="B141" s="12"/>
      <c r="C141" s="12"/>
      <c r="D141" s="12"/>
      <c r="E141" s="12"/>
      <c r="F141" s="12"/>
      <c r="G141" s="12"/>
      <c r="H141" s="12"/>
      <c r="I141" s="12"/>
      <c r="J141" s="12"/>
      <c r="K141" s="12"/>
      <c r="L141" s="14"/>
    </row>
    <row r="142" spans="1:12" x14ac:dyDescent="0.3">
      <c r="A142" s="12"/>
      <c r="B142" s="12"/>
      <c r="C142" s="12"/>
      <c r="D142" s="12"/>
      <c r="E142" s="12"/>
      <c r="F142" s="12"/>
      <c r="G142" s="12"/>
      <c r="H142" s="12"/>
      <c r="I142" s="12"/>
      <c r="J142" s="12"/>
      <c r="K142" s="12"/>
      <c r="L142" s="14"/>
    </row>
    <row r="143" spans="1:12" x14ac:dyDescent="0.3">
      <c r="A143" s="12"/>
      <c r="B143" s="12"/>
      <c r="C143" s="12"/>
      <c r="D143" s="12"/>
      <c r="E143" s="12"/>
      <c r="F143" s="12"/>
      <c r="G143" s="12"/>
      <c r="H143" s="12"/>
      <c r="I143" s="12"/>
      <c r="J143" s="12"/>
      <c r="K143" s="12"/>
      <c r="L143" s="14"/>
    </row>
    <row r="144" spans="1:12" x14ac:dyDescent="0.3">
      <c r="A144" s="12"/>
      <c r="B144" s="12"/>
      <c r="C144" s="12"/>
      <c r="D144" s="12"/>
      <c r="E144" s="12"/>
      <c r="F144" s="12"/>
      <c r="G144" s="12"/>
      <c r="H144" s="12"/>
      <c r="I144" s="12"/>
      <c r="J144" s="12"/>
      <c r="K144" s="12"/>
      <c r="L144" s="14"/>
    </row>
    <row r="145" spans="1:12" x14ac:dyDescent="0.3">
      <c r="A145" s="12"/>
      <c r="B145" s="12"/>
      <c r="C145" s="12"/>
      <c r="D145" s="12"/>
      <c r="E145" s="12"/>
      <c r="F145" s="12"/>
      <c r="G145" s="12"/>
      <c r="H145" s="12"/>
      <c r="I145" s="12"/>
      <c r="J145" s="12"/>
      <c r="K145" s="12"/>
      <c r="L145" s="14"/>
    </row>
    <row r="146" spans="1:12" x14ac:dyDescent="0.3">
      <c r="A146" s="12"/>
      <c r="B146" s="12"/>
      <c r="C146" s="12"/>
      <c r="D146" s="12"/>
      <c r="E146" s="12"/>
      <c r="F146" s="12"/>
      <c r="G146" s="12"/>
      <c r="H146" s="12"/>
      <c r="I146" s="12"/>
      <c r="J146" s="12"/>
      <c r="K146" s="12"/>
      <c r="L146" s="14"/>
    </row>
    <row r="147" spans="1:12" x14ac:dyDescent="0.3">
      <c r="A147" s="12"/>
      <c r="B147" s="12"/>
      <c r="C147" s="12"/>
      <c r="D147" s="12"/>
      <c r="E147" s="12"/>
      <c r="F147" s="12"/>
      <c r="G147" s="12"/>
      <c r="H147" s="12"/>
      <c r="I147" s="12"/>
      <c r="J147" s="12"/>
      <c r="K147" s="12"/>
      <c r="L147" s="14"/>
    </row>
    <row r="148" spans="1:12" x14ac:dyDescent="0.3">
      <c r="A148" s="12"/>
      <c r="B148" s="12"/>
      <c r="C148" s="12"/>
      <c r="D148" s="12"/>
      <c r="E148" s="12"/>
      <c r="F148" s="12"/>
      <c r="G148" s="12"/>
      <c r="H148" s="12"/>
      <c r="I148" s="12"/>
      <c r="J148" s="12"/>
      <c r="K148" s="12"/>
      <c r="L148" s="14"/>
    </row>
    <row r="149" spans="1:12" x14ac:dyDescent="0.3">
      <c r="A149" s="12"/>
      <c r="B149" s="12"/>
      <c r="C149" s="12"/>
      <c r="D149" s="12"/>
      <c r="E149" s="12"/>
      <c r="F149" s="12"/>
      <c r="G149" s="12"/>
      <c r="H149" s="12"/>
      <c r="I149" s="12"/>
      <c r="J149" s="12"/>
      <c r="K149" s="12"/>
      <c r="L149" s="14"/>
    </row>
    <row r="150" spans="1:12" x14ac:dyDescent="0.3">
      <c r="A150" s="12"/>
      <c r="B150" s="12"/>
      <c r="C150" s="12"/>
      <c r="D150" s="12"/>
      <c r="E150" s="12"/>
      <c r="F150" s="12"/>
      <c r="G150" s="12"/>
      <c r="H150" s="12"/>
      <c r="I150" s="12"/>
      <c r="J150" s="12"/>
      <c r="K150" s="12"/>
      <c r="L150" s="14"/>
    </row>
    <row r="151" spans="1:12" x14ac:dyDescent="0.3">
      <c r="A151" s="12"/>
      <c r="B151" s="12"/>
      <c r="C151" s="12"/>
      <c r="D151" s="12"/>
      <c r="E151" s="12"/>
      <c r="F151" s="12"/>
      <c r="G151" s="12"/>
      <c r="H151" s="12"/>
      <c r="I151" s="12"/>
      <c r="J151" s="12"/>
      <c r="K151" s="12"/>
      <c r="L151" s="14"/>
    </row>
    <row r="152" spans="1:12" x14ac:dyDescent="0.3">
      <c r="A152" s="12"/>
      <c r="B152" s="12"/>
      <c r="C152" s="12"/>
      <c r="D152" s="12"/>
      <c r="E152" s="12"/>
      <c r="F152" s="12"/>
      <c r="G152" s="12"/>
      <c r="H152" s="12"/>
      <c r="I152" s="12"/>
      <c r="J152" s="12"/>
      <c r="K152" s="12"/>
      <c r="L152" s="14"/>
    </row>
    <row r="153" spans="1:12" x14ac:dyDescent="0.3">
      <c r="A153" s="12"/>
      <c r="B153" s="12"/>
      <c r="C153" s="12"/>
      <c r="D153" s="12"/>
      <c r="E153" s="12"/>
      <c r="F153" s="12"/>
      <c r="G153" s="12"/>
      <c r="H153" s="12"/>
      <c r="I153" s="12"/>
      <c r="J153" s="12"/>
      <c r="K153" s="12"/>
      <c r="L153" s="14"/>
    </row>
    <row r="154" spans="1:12" x14ac:dyDescent="0.3">
      <c r="A154" s="12"/>
      <c r="B154" s="12"/>
      <c r="C154" s="12"/>
      <c r="D154" s="12"/>
      <c r="E154" s="12"/>
      <c r="F154" s="12"/>
      <c r="G154" s="12"/>
      <c r="H154" s="12"/>
      <c r="I154" s="12"/>
      <c r="J154" s="12"/>
      <c r="K154" s="12"/>
      <c r="L154" s="14"/>
    </row>
    <row r="155" spans="1:12" x14ac:dyDescent="0.3">
      <c r="A155" s="12"/>
      <c r="B155" s="12"/>
      <c r="C155" s="12"/>
      <c r="D155" s="12"/>
      <c r="E155" s="12"/>
      <c r="F155" s="12"/>
      <c r="G155" s="12"/>
      <c r="H155" s="12"/>
      <c r="I155" s="12"/>
      <c r="J155" s="12"/>
      <c r="K155" s="12"/>
      <c r="L155" s="14"/>
    </row>
    <row r="156" spans="1:12" x14ac:dyDescent="0.3">
      <c r="A156" s="12"/>
      <c r="B156" s="12"/>
      <c r="C156" s="12"/>
      <c r="D156" s="12"/>
      <c r="E156" s="12"/>
      <c r="F156" s="12"/>
      <c r="G156" s="12"/>
      <c r="H156" s="12"/>
      <c r="I156" s="12"/>
      <c r="J156" s="12"/>
      <c r="K156" s="12"/>
      <c r="L156" s="14"/>
    </row>
    <row r="157" spans="1:12" x14ac:dyDescent="0.3">
      <c r="A157" s="12"/>
      <c r="B157" s="12"/>
      <c r="C157" s="12"/>
      <c r="D157" s="12"/>
      <c r="E157" s="12"/>
      <c r="F157" s="12"/>
      <c r="G157" s="12"/>
      <c r="H157" s="12"/>
      <c r="I157" s="12"/>
      <c r="J157" s="12"/>
      <c r="K157" s="12"/>
      <c r="L157" s="14"/>
    </row>
    <row r="158" spans="1:12" x14ac:dyDescent="0.3">
      <c r="A158" s="12"/>
      <c r="B158" s="12"/>
      <c r="C158" s="12"/>
      <c r="D158" s="12"/>
      <c r="E158" s="12"/>
      <c r="F158" s="12"/>
      <c r="G158" s="12"/>
      <c r="H158" s="12"/>
      <c r="I158" s="12"/>
      <c r="J158" s="12"/>
      <c r="K158" s="12"/>
      <c r="L158" s="14"/>
    </row>
    <row r="159" spans="1:12" x14ac:dyDescent="0.3">
      <c r="A159" s="12"/>
      <c r="B159" s="12"/>
      <c r="C159" s="12"/>
      <c r="D159" s="12"/>
      <c r="E159" s="12"/>
      <c r="F159" s="12"/>
      <c r="G159" s="12"/>
      <c r="H159" s="12"/>
      <c r="I159" s="12"/>
      <c r="J159" s="12"/>
      <c r="K159" s="12"/>
      <c r="L159" s="14"/>
    </row>
    <row r="160" spans="1:12" x14ac:dyDescent="0.3">
      <c r="A160" s="12"/>
      <c r="B160" s="12"/>
      <c r="C160" s="12"/>
      <c r="D160" s="12"/>
      <c r="E160" s="12"/>
      <c r="F160" s="12"/>
      <c r="G160" s="12"/>
      <c r="H160" s="12"/>
      <c r="I160" s="12"/>
      <c r="J160" s="12"/>
      <c r="K160" s="12"/>
      <c r="L160" s="14"/>
    </row>
    <row r="161" spans="1:12" x14ac:dyDescent="0.3">
      <c r="A161" s="12"/>
      <c r="B161" s="12"/>
      <c r="C161" s="12"/>
      <c r="D161" s="12"/>
      <c r="E161" s="12"/>
      <c r="F161" s="12"/>
      <c r="G161" s="12"/>
      <c r="H161" s="12"/>
      <c r="I161" s="12"/>
      <c r="J161" s="12"/>
      <c r="K161" s="12"/>
      <c r="L161" s="14"/>
    </row>
    <row r="162" spans="1:12" x14ac:dyDescent="0.3">
      <c r="A162" s="12"/>
      <c r="B162" s="12"/>
      <c r="C162" s="12"/>
      <c r="D162" s="12"/>
      <c r="E162" s="12"/>
      <c r="F162" s="12"/>
      <c r="G162" s="12"/>
      <c r="H162" s="12"/>
      <c r="I162" s="12"/>
      <c r="J162" s="12"/>
      <c r="K162" s="12"/>
      <c r="L162" s="14"/>
    </row>
    <row r="163" spans="1:12" x14ac:dyDescent="0.3">
      <c r="A163" s="12"/>
      <c r="B163" s="12"/>
      <c r="C163" s="12"/>
      <c r="D163" s="12"/>
      <c r="E163" s="12"/>
      <c r="F163" s="12"/>
      <c r="G163" s="12"/>
      <c r="H163" s="12"/>
      <c r="I163" s="12"/>
      <c r="J163" s="12"/>
      <c r="K163" s="12"/>
      <c r="L163" s="14"/>
    </row>
    <row r="164" spans="1:12" x14ac:dyDescent="0.3">
      <c r="A164" s="12"/>
      <c r="B164" s="12"/>
      <c r="C164" s="12"/>
      <c r="D164" s="12"/>
      <c r="E164" s="12"/>
      <c r="F164" s="12"/>
      <c r="G164" s="12"/>
      <c r="H164" s="12"/>
      <c r="I164" s="12"/>
      <c r="J164" s="12"/>
      <c r="K164" s="12"/>
      <c r="L164" s="14"/>
    </row>
    <row r="165" spans="1:12" x14ac:dyDescent="0.3">
      <c r="A165" s="12"/>
      <c r="B165" s="12"/>
      <c r="C165" s="12"/>
      <c r="D165" s="12"/>
      <c r="E165" s="12"/>
      <c r="F165" s="12"/>
      <c r="G165" s="12"/>
      <c r="H165" s="12"/>
      <c r="I165" s="12"/>
      <c r="J165" s="12"/>
      <c r="K165" s="12"/>
      <c r="L165" s="14"/>
    </row>
    <row r="166" spans="1:12" x14ac:dyDescent="0.3">
      <c r="A166" s="12"/>
      <c r="B166" s="12"/>
      <c r="C166" s="12"/>
      <c r="D166" s="12"/>
      <c r="E166" s="12"/>
      <c r="F166" s="12"/>
      <c r="G166" s="12"/>
      <c r="H166" s="12"/>
      <c r="I166" s="12"/>
      <c r="J166" s="12"/>
      <c r="K166" s="12"/>
      <c r="L166" s="14"/>
    </row>
    <row r="167" spans="1:12" x14ac:dyDescent="0.3">
      <c r="A167" s="12"/>
      <c r="B167" s="12"/>
      <c r="C167" s="12"/>
      <c r="D167" s="12"/>
      <c r="E167" s="12"/>
      <c r="F167" s="12"/>
      <c r="G167" s="12"/>
      <c r="H167" s="12"/>
      <c r="I167" s="12"/>
      <c r="J167" s="12"/>
      <c r="K167" s="12"/>
      <c r="L167" s="14"/>
    </row>
    <row r="168" spans="1:12" x14ac:dyDescent="0.3">
      <c r="A168" s="12"/>
      <c r="B168" s="12"/>
      <c r="C168" s="12"/>
      <c r="D168" s="12"/>
      <c r="E168" s="12"/>
      <c r="F168" s="12"/>
      <c r="G168" s="12"/>
      <c r="H168" s="12"/>
      <c r="I168" s="12"/>
      <c r="J168" s="12"/>
      <c r="K168" s="12"/>
      <c r="L168" s="14"/>
    </row>
    <row r="169" spans="1:12" x14ac:dyDescent="0.3">
      <c r="A169" s="12"/>
      <c r="B169" s="12"/>
      <c r="C169" s="12"/>
      <c r="D169" s="12"/>
      <c r="E169" s="12"/>
      <c r="F169" s="12"/>
      <c r="G169" s="12"/>
      <c r="H169" s="12"/>
      <c r="I169" s="12"/>
      <c r="J169" s="12"/>
      <c r="K169" s="12"/>
      <c r="L169" s="14"/>
    </row>
    <row r="170" spans="1:12" x14ac:dyDescent="0.3">
      <c r="A170" s="12"/>
      <c r="B170" s="12"/>
      <c r="C170" s="12"/>
      <c r="D170" s="12"/>
      <c r="E170" s="12"/>
      <c r="F170" s="12"/>
      <c r="G170" s="12"/>
      <c r="H170" s="12"/>
      <c r="I170" s="12"/>
      <c r="J170" s="12"/>
      <c r="K170" s="12"/>
      <c r="L170" s="14"/>
    </row>
    <row r="171" spans="1:12" x14ac:dyDescent="0.3">
      <c r="A171" s="12"/>
      <c r="B171" s="12"/>
      <c r="C171" s="12"/>
      <c r="D171" s="12"/>
      <c r="E171" s="12"/>
      <c r="F171" s="12"/>
      <c r="G171" s="12"/>
      <c r="H171" s="12"/>
      <c r="I171" s="12"/>
      <c r="J171" s="12"/>
      <c r="K171" s="12"/>
      <c r="L171" s="14"/>
    </row>
    <row r="172" spans="1:12" x14ac:dyDescent="0.3">
      <c r="A172" s="12"/>
      <c r="B172" s="12"/>
      <c r="C172" s="12"/>
      <c r="D172" s="12"/>
      <c r="E172" s="12"/>
      <c r="F172" s="12"/>
      <c r="G172" s="12"/>
      <c r="H172" s="12"/>
      <c r="I172" s="12"/>
      <c r="J172" s="12"/>
      <c r="K172" s="12"/>
      <c r="L172" s="14"/>
    </row>
    <row r="173" spans="1:12" x14ac:dyDescent="0.3">
      <c r="A173" s="12"/>
      <c r="B173" s="12"/>
      <c r="C173" s="12"/>
      <c r="D173" s="12"/>
      <c r="E173" s="12"/>
      <c r="F173" s="12"/>
      <c r="G173" s="12"/>
      <c r="H173" s="12"/>
      <c r="I173" s="12"/>
      <c r="J173" s="12"/>
      <c r="K173" s="12"/>
      <c r="L173" s="14"/>
    </row>
    <row r="174" spans="1:12" x14ac:dyDescent="0.3">
      <c r="A174" s="12"/>
      <c r="B174" s="12"/>
      <c r="C174" s="12"/>
      <c r="D174" s="12"/>
      <c r="E174" s="12"/>
      <c r="F174" s="12"/>
      <c r="G174" s="12"/>
      <c r="H174" s="12"/>
      <c r="I174" s="12"/>
      <c r="J174" s="12"/>
      <c r="K174" s="12"/>
      <c r="L174" s="14"/>
    </row>
    <row r="175" spans="1:12" x14ac:dyDescent="0.3">
      <c r="A175" s="12"/>
      <c r="B175" s="12"/>
      <c r="C175" s="12"/>
      <c r="D175" s="12"/>
      <c r="E175" s="12"/>
      <c r="F175" s="12"/>
      <c r="G175" s="12"/>
      <c r="H175" s="12"/>
      <c r="I175" s="12"/>
      <c r="J175" s="12"/>
      <c r="K175" s="12"/>
      <c r="L175" s="14"/>
    </row>
    <row r="176" spans="1:12" x14ac:dyDescent="0.3">
      <c r="A176" s="12"/>
      <c r="B176" s="12"/>
      <c r="C176" s="12"/>
      <c r="D176" s="12"/>
      <c r="E176" s="12"/>
      <c r="F176" s="12"/>
      <c r="G176" s="12"/>
      <c r="H176" s="12"/>
      <c r="I176" s="12"/>
      <c r="J176" s="12"/>
      <c r="K176" s="12"/>
      <c r="L176" s="14"/>
    </row>
    <row r="177" spans="1:12" x14ac:dyDescent="0.3">
      <c r="A177" s="12"/>
      <c r="B177" s="12"/>
      <c r="C177" s="12"/>
      <c r="D177" s="12"/>
      <c r="E177" s="12"/>
      <c r="F177" s="12"/>
      <c r="G177" s="12"/>
      <c r="H177" s="12"/>
      <c r="I177" s="12"/>
      <c r="J177" s="12"/>
      <c r="K177" s="12"/>
      <c r="L177" s="14"/>
    </row>
    <row r="178" spans="1:12" x14ac:dyDescent="0.3">
      <c r="A178" s="12"/>
      <c r="B178" s="12"/>
      <c r="C178" s="12"/>
      <c r="D178" s="12"/>
      <c r="E178" s="12"/>
      <c r="F178" s="12"/>
      <c r="G178" s="12"/>
      <c r="H178" s="12"/>
      <c r="I178" s="12"/>
      <c r="J178" s="12"/>
      <c r="K178" s="12"/>
      <c r="L178" s="14"/>
    </row>
    <row r="179" spans="1:12" x14ac:dyDescent="0.3">
      <c r="A179" s="12"/>
      <c r="B179" s="12"/>
      <c r="C179" s="12"/>
      <c r="D179" s="12"/>
      <c r="E179" s="12"/>
      <c r="F179" s="12"/>
      <c r="G179" s="12"/>
      <c r="H179" s="12"/>
      <c r="I179" s="12"/>
      <c r="J179" s="12"/>
      <c r="K179" s="12"/>
      <c r="L179" s="14"/>
    </row>
    <row r="180" spans="1:12" x14ac:dyDescent="0.3">
      <c r="A180" s="12"/>
      <c r="B180" s="12"/>
      <c r="C180" s="12"/>
      <c r="D180" s="12"/>
      <c r="E180" s="12"/>
      <c r="F180" s="12"/>
      <c r="G180" s="12"/>
      <c r="H180" s="12"/>
      <c r="I180" s="12"/>
      <c r="J180" s="12"/>
      <c r="K180" s="12"/>
      <c r="L180" s="14"/>
    </row>
    <row r="181" spans="1:12" x14ac:dyDescent="0.3">
      <c r="A181" s="12"/>
      <c r="B181" s="12"/>
      <c r="C181" s="12"/>
      <c r="D181" s="12"/>
      <c r="E181" s="12"/>
      <c r="F181" s="12"/>
      <c r="G181" s="12"/>
      <c r="H181" s="12"/>
      <c r="I181" s="12"/>
      <c r="J181" s="12"/>
      <c r="K181" s="12"/>
      <c r="L181" s="14"/>
    </row>
    <row r="182" spans="1:12" x14ac:dyDescent="0.3">
      <c r="A182" s="12"/>
      <c r="B182" s="12"/>
      <c r="C182" s="12"/>
      <c r="D182" s="12"/>
      <c r="E182" s="12"/>
      <c r="F182" s="12"/>
      <c r="G182" s="12"/>
      <c r="H182" s="12"/>
      <c r="I182" s="12"/>
      <c r="J182" s="12"/>
      <c r="K182" s="12"/>
      <c r="L182" s="14"/>
    </row>
    <row r="183" spans="1:12" x14ac:dyDescent="0.3">
      <c r="A183" s="12"/>
      <c r="B183" s="12"/>
      <c r="C183" s="12"/>
      <c r="D183" s="12"/>
      <c r="E183" s="12"/>
      <c r="F183" s="12"/>
      <c r="G183" s="12"/>
      <c r="H183" s="12"/>
      <c r="I183" s="12"/>
      <c r="J183" s="12"/>
      <c r="K183" s="12"/>
      <c r="L183" s="14"/>
    </row>
    <row r="184" spans="1:12" x14ac:dyDescent="0.3">
      <c r="A184" s="12"/>
      <c r="B184" s="12"/>
      <c r="C184" s="12"/>
      <c r="D184" s="12"/>
      <c r="E184" s="12"/>
      <c r="F184" s="12"/>
      <c r="G184" s="12"/>
      <c r="H184" s="12"/>
      <c r="I184" s="12"/>
      <c r="J184" s="12"/>
      <c r="K184" s="12"/>
      <c r="L184" s="14"/>
    </row>
    <row r="185" spans="1:12" x14ac:dyDescent="0.3">
      <c r="A185" s="12"/>
      <c r="B185" s="12"/>
      <c r="C185" s="12"/>
      <c r="D185" s="12"/>
      <c r="E185" s="12"/>
      <c r="F185" s="12"/>
      <c r="G185" s="12"/>
      <c r="H185" s="12"/>
      <c r="I185" s="12"/>
      <c r="J185" s="12"/>
      <c r="K185" s="12"/>
      <c r="L185" s="14"/>
    </row>
    <row r="186" spans="1:12" x14ac:dyDescent="0.3">
      <c r="A186" s="12"/>
      <c r="B186" s="12"/>
      <c r="C186" s="12"/>
      <c r="D186" s="12"/>
      <c r="E186" s="12"/>
      <c r="F186" s="12"/>
      <c r="G186" s="12"/>
      <c r="H186" s="12"/>
      <c r="I186" s="12"/>
      <c r="J186" s="12"/>
      <c r="K186" s="12"/>
      <c r="L186" s="14"/>
    </row>
    <row r="187" spans="1:12" x14ac:dyDescent="0.3">
      <c r="A187" s="12"/>
      <c r="B187" s="12"/>
      <c r="C187" s="12"/>
      <c r="D187" s="12"/>
      <c r="E187" s="12"/>
      <c r="F187" s="12"/>
      <c r="G187" s="12"/>
      <c r="H187" s="12"/>
      <c r="I187" s="12"/>
      <c r="J187" s="12"/>
      <c r="K187" s="12"/>
      <c r="L187" s="14"/>
    </row>
    <row r="188" spans="1:12" x14ac:dyDescent="0.3">
      <c r="A188" s="12"/>
      <c r="B188" s="12"/>
      <c r="C188" s="12"/>
      <c r="D188" s="12"/>
      <c r="E188" s="12"/>
      <c r="F188" s="12"/>
      <c r="G188" s="12"/>
      <c r="H188" s="12"/>
      <c r="I188" s="12"/>
      <c r="J188" s="12"/>
      <c r="K188" s="12"/>
      <c r="L188" s="14"/>
    </row>
    <row r="189" spans="1:12" x14ac:dyDescent="0.3">
      <c r="A189" s="12"/>
      <c r="B189" s="12"/>
      <c r="C189" s="12"/>
      <c r="D189" s="12"/>
      <c r="E189" s="12"/>
      <c r="F189" s="12"/>
      <c r="G189" s="12"/>
      <c r="H189" s="12"/>
      <c r="I189" s="12"/>
      <c r="J189" s="12"/>
      <c r="K189" s="12"/>
      <c r="L189" s="14"/>
    </row>
    <row r="190" spans="1:12" x14ac:dyDescent="0.3">
      <c r="A190" s="12"/>
      <c r="B190" s="12"/>
      <c r="C190" s="12"/>
      <c r="D190" s="12"/>
      <c r="E190" s="12"/>
      <c r="F190" s="12"/>
      <c r="G190" s="12"/>
      <c r="H190" s="12"/>
      <c r="I190" s="12"/>
      <c r="J190" s="12"/>
      <c r="K190" s="12"/>
      <c r="L190" s="14"/>
    </row>
    <row r="191" spans="1:12" x14ac:dyDescent="0.3">
      <c r="A191" s="12"/>
      <c r="B191" s="12"/>
      <c r="C191" s="12"/>
      <c r="D191" s="12"/>
      <c r="E191" s="12"/>
      <c r="F191" s="12"/>
      <c r="G191" s="12"/>
      <c r="H191" s="12"/>
      <c r="I191" s="12"/>
      <c r="J191" s="12"/>
      <c r="K191" s="12"/>
      <c r="L191" s="14"/>
    </row>
    <row r="192" spans="1:12" x14ac:dyDescent="0.3">
      <c r="A192" s="12"/>
      <c r="B192" s="12"/>
      <c r="C192" s="12"/>
      <c r="D192" s="12"/>
      <c r="E192" s="12"/>
      <c r="F192" s="12"/>
      <c r="G192" s="12"/>
      <c r="H192" s="12"/>
      <c r="I192" s="12"/>
      <c r="J192" s="12"/>
      <c r="K192" s="12"/>
      <c r="L192" s="14"/>
    </row>
    <row r="193" spans="1:12" x14ac:dyDescent="0.3">
      <c r="A193" s="12"/>
      <c r="B193" s="12"/>
      <c r="C193" s="12"/>
      <c r="D193" s="12"/>
      <c r="E193" s="12"/>
      <c r="F193" s="12"/>
      <c r="G193" s="12"/>
      <c r="H193" s="12"/>
      <c r="I193" s="12"/>
      <c r="J193" s="12"/>
      <c r="K193" s="12"/>
      <c r="L193" s="14"/>
    </row>
    <row r="194" spans="1:12" x14ac:dyDescent="0.3">
      <c r="A194" s="12"/>
      <c r="B194" s="12"/>
      <c r="C194" s="12"/>
      <c r="D194" s="12"/>
      <c r="E194" s="12"/>
      <c r="F194" s="12"/>
      <c r="G194" s="12"/>
      <c r="H194" s="12"/>
      <c r="I194" s="12"/>
      <c r="J194" s="12"/>
      <c r="K194" s="12"/>
      <c r="L194" s="14"/>
    </row>
    <row r="195" spans="1:12" x14ac:dyDescent="0.3">
      <c r="A195" s="12"/>
      <c r="B195" s="12"/>
      <c r="C195" s="12"/>
      <c r="D195" s="12"/>
      <c r="E195" s="12"/>
      <c r="F195" s="12"/>
      <c r="G195" s="12"/>
      <c r="H195" s="12"/>
      <c r="I195" s="12"/>
      <c r="J195" s="12"/>
      <c r="K195" s="12"/>
      <c r="L195" s="14"/>
    </row>
    <row r="196" spans="1:12" x14ac:dyDescent="0.3">
      <c r="A196" s="12"/>
      <c r="B196" s="12"/>
      <c r="C196" s="12"/>
      <c r="D196" s="12"/>
      <c r="E196" s="12"/>
      <c r="F196" s="12"/>
      <c r="G196" s="12"/>
      <c r="H196" s="12"/>
      <c r="I196" s="12"/>
      <c r="J196" s="12"/>
      <c r="K196" s="12"/>
      <c r="L196" s="14"/>
    </row>
    <row r="197" spans="1:12" x14ac:dyDescent="0.3">
      <c r="A197" s="12"/>
      <c r="B197" s="12"/>
      <c r="C197" s="12"/>
      <c r="D197" s="12"/>
      <c r="E197" s="12"/>
      <c r="F197" s="12"/>
      <c r="G197" s="12"/>
      <c r="H197" s="12"/>
      <c r="I197" s="12"/>
      <c r="J197" s="12"/>
      <c r="K197" s="12"/>
      <c r="L197" s="14"/>
    </row>
    <row r="198" spans="1:12" x14ac:dyDescent="0.3">
      <c r="A198" s="12"/>
      <c r="B198" s="12"/>
      <c r="C198" s="12"/>
      <c r="D198" s="12"/>
      <c r="E198" s="12"/>
      <c r="F198" s="12"/>
      <c r="G198" s="12"/>
      <c r="H198" s="12"/>
      <c r="I198" s="12"/>
      <c r="J198" s="12"/>
      <c r="K198" s="12"/>
      <c r="L198" s="14"/>
    </row>
    <row r="199" spans="1:12" x14ac:dyDescent="0.3">
      <c r="A199" s="12"/>
      <c r="B199" s="12"/>
      <c r="C199" s="12"/>
      <c r="D199" s="12"/>
      <c r="E199" s="12"/>
      <c r="F199" s="12"/>
      <c r="G199" s="12"/>
      <c r="H199" s="12"/>
      <c r="I199" s="12"/>
      <c r="J199" s="12"/>
      <c r="K199" s="12"/>
      <c r="L199" s="14"/>
    </row>
    <row r="200" spans="1:12" x14ac:dyDescent="0.3">
      <c r="A200" s="12"/>
      <c r="B200" s="12"/>
      <c r="C200" s="12"/>
      <c r="D200" s="12"/>
      <c r="E200" s="12"/>
      <c r="F200" s="12"/>
      <c r="G200" s="12"/>
      <c r="H200" s="12"/>
      <c r="I200" s="12"/>
      <c r="J200" s="12"/>
      <c r="K200" s="12"/>
      <c r="L200" s="14"/>
    </row>
    <row r="201" spans="1:12" x14ac:dyDescent="0.3">
      <c r="A201" s="12"/>
      <c r="B201" s="12"/>
      <c r="C201" s="12"/>
      <c r="D201" s="12"/>
      <c r="E201" s="12"/>
      <c r="F201" s="12"/>
      <c r="G201" s="12"/>
      <c r="H201" s="12"/>
      <c r="I201" s="12"/>
      <c r="J201" s="12"/>
      <c r="K201" s="12"/>
      <c r="L201" s="14"/>
    </row>
    <row r="202" spans="1:12" x14ac:dyDescent="0.3">
      <c r="A202" s="12"/>
      <c r="B202" s="12"/>
      <c r="C202" s="12"/>
      <c r="D202" s="12"/>
      <c r="E202" s="12"/>
      <c r="F202" s="12"/>
      <c r="G202" s="12"/>
      <c r="H202" s="12"/>
      <c r="I202" s="12"/>
      <c r="J202" s="12"/>
      <c r="K202" s="12"/>
      <c r="L202" s="14"/>
    </row>
    <row r="203" spans="1:12" x14ac:dyDescent="0.3">
      <c r="A203" s="12"/>
      <c r="B203" s="12"/>
      <c r="C203" s="12"/>
      <c r="D203" s="12"/>
      <c r="E203" s="12"/>
      <c r="F203" s="12"/>
      <c r="G203" s="12"/>
      <c r="H203" s="12"/>
      <c r="I203" s="12"/>
      <c r="J203" s="12"/>
      <c r="K203" s="12"/>
      <c r="L203" s="14"/>
    </row>
    <row r="204" spans="1:12" x14ac:dyDescent="0.3">
      <c r="A204" s="12"/>
      <c r="B204" s="12"/>
      <c r="C204" s="12"/>
      <c r="D204" s="12"/>
      <c r="E204" s="12"/>
      <c r="F204" s="12"/>
      <c r="G204" s="12"/>
      <c r="H204" s="12"/>
      <c r="I204" s="12"/>
      <c r="J204" s="12"/>
      <c r="K204" s="12"/>
      <c r="L204" s="14"/>
    </row>
    <row r="205" spans="1:12" x14ac:dyDescent="0.3">
      <c r="A205" s="12"/>
      <c r="B205" s="12"/>
      <c r="C205" s="12"/>
      <c r="D205" s="12"/>
      <c r="E205" s="12"/>
      <c r="F205" s="12"/>
      <c r="G205" s="12"/>
      <c r="H205" s="12"/>
      <c r="I205" s="12"/>
      <c r="J205" s="12"/>
      <c r="K205" s="12"/>
      <c r="L205" s="14"/>
    </row>
    <row r="206" spans="1:12" x14ac:dyDescent="0.3">
      <c r="A206" s="12"/>
      <c r="B206" s="12"/>
      <c r="C206" s="12"/>
      <c r="D206" s="12"/>
      <c r="E206" s="12"/>
      <c r="F206" s="12"/>
      <c r="G206" s="12"/>
      <c r="H206" s="12"/>
      <c r="I206" s="12"/>
      <c r="J206" s="12"/>
      <c r="K206" s="12"/>
      <c r="L206" s="14"/>
    </row>
    <row r="207" spans="1:12" x14ac:dyDescent="0.3">
      <c r="A207" s="12"/>
      <c r="B207" s="12"/>
      <c r="C207" s="12"/>
      <c r="D207" s="12"/>
      <c r="E207" s="12"/>
      <c r="F207" s="12"/>
      <c r="G207" s="12"/>
      <c r="H207" s="12"/>
      <c r="I207" s="12"/>
      <c r="J207" s="12"/>
      <c r="K207" s="12"/>
      <c r="L207" s="14"/>
    </row>
    <row r="208" spans="1:12" x14ac:dyDescent="0.3">
      <c r="A208" s="12"/>
      <c r="B208" s="12"/>
      <c r="C208" s="12"/>
      <c r="D208" s="12"/>
      <c r="E208" s="12"/>
      <c r="F208" s="12"/>
      <c r="G208" s="12"/>
      <c r="H208" s="12"/>
      <c r="I208" s="12"/>
      <c r="J208" s="12"/>
      <c r="K208" s="12"/>
      <c r="L208" s="14"/>
    </row>
    <row r="209" spans="1:12" x14ac:dyDescent="0.3">
      <c r="A209" s="12"/>
      <c r="B209" s="12"/>
      <c r="C209" s="12"/>
      <c r="D209" s="12"/>
      <c r="E209" s="12"/>
      <c r="F209" s="12"/>
      <c r="G209" s="12"/>
      <c r="H209" s="12"/>
      <c r="I209" s="12"/>
      <c r="J209" s="12"/>
      <c r="K209" s="12"/>
      <c r="L209" s="14"/>
    </row>
    <row r="210" spans="1:12" x14ac:dyDescent="0.3">
      <c r="A210" s="12"/>
      <c r="B210" s="12"/>
      <c r="C210" s="12"/>
      <c r="D210" s="12"/>
      <c r="E210" s="12"/>
      <c r="F210" s="12"/>
      <c r="G210" s="12"/>
      <c r="H210" s="12"/>
      <c r="I210" s="12"/>
      <c r="J210" s="12"/>
      <c r="K210" s="12"/>
      <c r="L210" s="14"/>
    </row>
    <row r="211" spans="1:12" x14ac:dyDescent="0.3">
      <c r="A211" s="12"/>
      <c r="B211" s="12"/>
      <c r="C211" s="12"/>
      <c r="D211" s="12"/>
      <c r="E211" s="12"/>
      <c r="F211" s="12"/>
      <c r="G211" s="12"/>
      <c r="H211" s="12"/>
      <c r="I211" s="12"/>
      <c r="J211" s="12"/>
      <c r="K211" s="12"/>
      <c r="L211" s="14"/>
    </row>
    <row r="212" spans="1:12" x14ac:dyDescent="0.3">
      <c r="A212" s="12"/>
      <c r="B212" s="12"/>
      <c r="C212" s="12"/>
      <c r="D212" s="12"/>
      <c r="E212" s="12"/>
      <c r="F212" s="12"/>
      <c r="G212" s="12"/>
      <c r="H212" s="12"/>
      <c r="I212" s="12"/>
      <c r="J212" s="12"/>
      <c r="K212" s="12"/>
      <c r="L212" s="14"/>
    </row>
    <row r="213" spans="1:12" x14ac:dyDescent="0.3">
      <c r="A213" s="12"/>
      <c r="B213" s="12"/>
      <c r="C213" s="12"/>
      <c r="D213" s="12"/>
      <c r="E213" s="12"/>
      <c r="F213" s="12"/>
      <c r="G213" s="12"/>
      <c r="H213" s="12"/>
      <c r="I213" s="12"/>
      <c r="J213" s="12"/>
      <c r="K213" s="12"/>
      <c r="L213" s="14"/>
    </row>
    <row r="214" spans="1:12" x14ac:dyDescent="0.3">
      <c r="A214" s="12"/>
      <c r="B214" s="12"/>
      <c r="C214" s="12"/>
      <c r="D214" s="12"/>
      <c r="E214" s="12"/>
      <c r="F214" s="12"/>
      <c r="G214" s="12"/>
      <c r="H214" s="12"/>
      <c r="I214" s="12"/>
      <c r="J214" s="12"/>
      <c r="K214" s="12"/>
      <c r="L214" s="14"/>
    </row>
    <row r="215" spans="1:12" x14ac:dyDescent="0.3">
      <c r="A215" s="12"/>
      <c r="B215" s="12"/>
      <c r="C215" s="12"/>
      <c r="D215" s="12"/>
      <c r="E215" s="12"/>
      <c r="F215" s="12"/>
      <c r="G215" s="12"/>
      <c r="H215" s="12"/>
      <c r="I215" s="12"/>
      <c r="J215" s="12"/>
      <c r="K215" s="12"/>
      <c r="L215" s="14"/>
    </row>
    <row r="216" spans="1:12" x14ac:dyDescent="0.3">
      <c r="A216" s="12"/>
      <c r="B216" s="12"/>
      <c r="C216" s="12"/>
      <c r="D216" s="12"/>
      <c r="E216" s="12"/>
      <c r="F216" s="12"/>
      <c r="G216" s="12"/>
      <c r="H216" s="12"/>
      <c r="I216" s="12"/>
      <c r="J216" s="12"/>
      <c r="K216" s="12"/>
      <c r="L216" s="14"/>
    </row>
    <row r="217" spans="1:12" x14ac:dyDescent="0.3">
      <c r="A217" s="12"/>
      <c r="B217" s="12"/>
      <c r="C217" s="12"/>
      <c r="D217" s="12"/>
      <c r="E217" s="12"/>
      <c r="F217" s="12"/>
      <c r="G217" s="12"/>
      <c r="H217" s="12"/>
      <c r="I217" s="12"/>
      <c r="J217" s="12"/>
      <c r="K217" s="12"/>
      <c r="L217" s="14"/>
    </row>
    <row r="218" spans="1:12" x14ac:dyDescent="0.3">
      <c r="A218" s="12"/>
      <c r="B218" s="12"/>
      <c r="C218" s="12"/>
      <c r="D218" s="12"/>
      <c r="E218" s="12"/>
      <c r="F218" s="12"/>
      <c r="G218" s="12"/>
      <c r="H218" s="12"/>
      <c r="I218" s="12"/>
      <c r="J218" s="12"/>
      <c r="K218" s="12"/>
      <c r="L218" s="14"/>
    </row>
    <row r="219" spans="1:12" x14ac:dyDescent="0.3">
      <c r="A219" s="12"/>
      <c r="B219" s="12"/>
      <c r="C219" s="12"/>
      <c r="D219" s="12"/>
      <c r="E219" s="12"/>
      <c r="F219" s="12"/>
      <c r="G219" s="12"/>
      <c r="H219" s="12"/>
      <c r="I219" s="12"/>
      <c r="J219" s="12"/>
      <c r="K219" s="12"/>
      <c r="L219" s="14"/>
    </row>
    <row r="220" spans="1:12" x14ac:dyDescent="0.3">
      <c r="A220" s="12"/>
      <c r="B220" s="12"/>
      <c r="C220" s="12"/>
      <c r="D220" s="12"/>
      <c r="E220" s="12"/>
      <c r="F220" s="12"/>
      <c r="G220" s="12"/>
      <c r="H220" s="12"/>
      <c r="I220" s="12"/>
      <c r="J220" s="12"/>
      <c r="K220" s="12"/>
      <c r="L220" s="14"/>
    </row>
    <row r="221" spans="1:12" x14ac:dyDescent="0.3">
      <c r="A221" s="12"/>
      <c r="B221" s="12"/>
      <c r="C221" s="12"/>
      <c r="D221" s="12"/>
      <c r="E221" s="12"/>
      <c r="F221" s="12"/>
      <c r="G221" s="12"/>
      <c r="H221" s="12"/>
      <c r="I221" s="12"/>
      <c r="J221" s="12"/>
      <c r="K221" s="12"/>
      <c r="L221" s="14"/>
    </row>
    <row r="222" spans="1:12" x14ac:dyDescent="0.3">
      <c r="A222" s="12"/>
      <c r="B222" s="12"/>
      <c r="C222" s="12"/>
      <c r="D222" s="12"/>
      <c r="E222" s="12"/>
      <c r="F222" s="12"/>
      <c r="G222" s="12"/>
      <c r="H222" s="12"/>
      <c r="I222" s="12"/>
      <c r="J222" s="12"/>
      <c r="K222" s="12"/>
      <c r="L222" s="14"/>
    </row>
    <row r="223" spans="1:12" x14ac:dyDescent="0.3">
      <c r="A223" s="12"/>
      <c r="B223" s="12"/>
      <c r="C223" s="12"/>
      <c r="D223" s="12"/>
      <c r="E223" s="12"/>
      <c r="F223" s="12"/>
      <c r="G223" s="12"/>
      <c r="H223" s="12"/>
      <c r="I223" s="12"/>
      <c r="J223" s="12"/>
      <c r="K223" s="12"/>
      <c r="L223" s="14"/>
    </row>
    <row r="224" spans="1:12" x14ac:dyDescent="0.3">
      <c r="A224" s="12"/>
      <c r="B224" s="12"/>
      <c r="C224" s="12"/>
      <c r="D224" s="12"/>
      <c r="E224" s="12"/>
      <c r="F224" s="12"/>
      <c r="G224" s="12"/>
      <c r="H224" s="12"/>
      <c r="I224" s="12"/>
      <c r="J224" s="12"/>
      <c r="K224" s="12"/>
      <c r="L224" s="14"/>
    </row>
    <row r="225" spans="1:12" x14ac:dyDescent="0.3">
      <c r="A225" s="12"/>
      <c r="B225" s="12"/>
      <c r="C225" s="12"/>
      <c r="D225" s="12"/>
      <c r="E225" s="12"/>
      <c r="F225" s="12"/>
      <c r="G225" s="12"/>
      <c r="H225" s="12"/>
      <c r="I225" s="12"/>
      <c r="J225" s="12"/>
      <c r="K225" s="12"/>
      <c r="L225" s="14"/>
    </row>
    <row r="226" spans="1:12" x14ac:dyDescent="0.3">
      <c r="A226" s="12"/>
      <c r="B226" s="12"/>
      <c r="C226" s="12"/>
      <c r="D226" s="12"/>
      <c r="E226" s="12"/>
      <c r="F226" s="12"/>
      <c r="G226" s="12"/>
      <c r="H226" s="12"/>
      <c r="I226" s="12"/>
      <c r="J226" s="12"/>
      <c r="K226" s="12"/>
      <c r="L226" s="14"/>
    </row>
    <row r="227" spans="1:12" x14ac:dyDescent="0.3">
      <c r="A227" s="12"/>
      <c r="B227" s="12"/>
      <c r="C227" s="12"/>
      <c r="D227" s="12"/>
      <c r="E227" s="12"/>
      <c r="F227" s="12"/>
      <c r="G227" s="12"/>
      <c r="H227" s="12"/>
      <c r="I227" s="12"/>
      <c r="J227" s="12"/>
      <c r="K227" s="12"/>
      <c r="L227" s="14"/>
    </row>
    <row r="228" spans="1:12" x14ac:dyDescent="0.3">
      <c r="A228" s="12"/>
      <c r="B228" s="12"/>
      <c r="C228" s="12"/>
      <c r="D228" s="12"/>
      <c r="E228" s="12"/>
      <c r="F228" s="12"/>
      <c r="G228" s="12"/>
      <c r="H228" s="12"/>
      <c r="I228" s="12"/>
      <c r="J228" s="12"/>
      <c r="K228" s="12"/>
      <c r="L228" s="14"/>
    </row>
    <row r="229" spans="1:12" x14ac:dyDescent="0.3">
      <c r="A229" s="12"/>
      <c r="B229" s="12"/>
      <c r="C229" s="12"/>
      <c r="D229" s="12"/>
      <c r="E229" s="12"/>
      <c r="F229" s="12"/>
      <c r="G229" s="12"/>
      <c r="H229" s="12"/>
      <c r="I229" s="12"/>
      <c r="J229" s="12"/>
      <c r="K229" s="12"/>
      <c r="L229" s="14"/>
    </row>
    <row r="230" spans="1:12" x14ac:dyDescent="0.3">
      <c r="A230" s="12"/>
      <c r="B230" s="12"/>
      <c r="C230" s="12"/>
      <c r="D230" s="12"/>
      <c r="E230" s="12"/>
      <c r="F230" s="12"/>
      <c r="G230" s="12"/>
      <c r="H230" s="12"/>
      <c r="I230" s="12"/>
      <c r="J230" s="12"/>
      <c r="K230" s="12"/>
      <c r="L230" s="14"/>
    </row>
    <row r="231" spans="1:12" x14ac:dyDescent="0.3">
      <c r="A231" s="12"/>
      <c r="B231" s="12"/>
      <c r="C231" s="12"/>
      <c r="D231" s="12"/>
      <c r="E231" s="12"/>
      <c r="F231" s="12"/>
      <c r="G231" s="12"/>
      <c r="H231" s="12"/>
      <c r="I231" s="12"/>
      <c r="J231" s="12"/>
      <c r="K231" s="12"/>
      <c r="L231" s="14"/>
    </row>
    <row r="232" spans="1:12" x14ac:dyDescent="0.3">
      <c r="A232" s="12"/>
      <c r="B232" s="12"/>
      <c r="C232" s="12"/>
      <c r="D232" s="12"/>
      <c r="E232" s="12"/>
      <c r="F232" s="12"/>
      <c r="G232" s="12"/>
      <c r="H232" s="12"/>
      <c r="I232" s="12"/>
      <c r="J232" s="12"/>
      <c r="K232" s="12"/>
      <c r="L232" s="14"/>
    </row>
    <row r="233" spans="1:12" x14ac:dyDescent="0.3">
      <c r="A233" s="12"/>
      <c r="B233" s="12"/>
      <c r="C233" s="12"/>
      <c r="D233" s="12"/>
      <c r="E233" s="12"/>
      <c r="F233" s="12"/>
      <c r="G233" s="12"/>
      <c r="H233" s="12"/>
      <c r="I233" s="12"/>
      <c r="J233" s="12"/>
      <c r="K233" s="12"/>
      <c r="L233" s="14"/>
    </row>
    <row r="234" spans="1:12" x14ac:dyDescent="0.3">
      <c r="A234" s="12"/>
      <c r="B234" s="12"/>
      <c r="C234" s="12"/>
      <c r="D234" s="12"/>
      <c r="E234" s="12"/>
      <c r="F234" s="12"/>
      <c r="G234" s="12"/>
      <c r="H234" s="12"/>
      <c r="I234" s="12"/>
      <c r="J234" s="12"/>
      <c r="K234" s="12"/>
      <c r="L234" s="14"/>
    </row>
    <row r="235" spans="1:12" x14ac:dyDescent="0.3">
      <c r="A235" s="12"/>
      <c r="B235" s="12"/>
      <c r="C235" s="12"/>
      <c r="D235" s="12"/>
      <c r="E235" s="12"/>
      <c r="F235" s="12"/>
      <c r="G235" s="12"/>
      <c r="H235" s="12"/>
      <c r="I235" s="12"/>
      <c r="J235" s="12"/>
      <c r="K235" s="12"/>
      <c r="L235" s="14"/>
    </row>
    <row r="236" spans="1:12" x14ac:dyDescent="0.3">
      <c r="A236" s="12"/>
      <c r="B236" s="12"/>
      <c r="C236" s="12"/>
      <c r="D236" s="12"/>
      <c r="E236" s="12"/>
      <c r="F236" s="12"/>
      <c r="G236" s="12"/>
      <c r="H236" s="12"/>
      <c r="I236" s="12"/>
      <c r="J236" s="12"/>
      <c r="K236" s="12"/>
      <c r="L236" s="14"/>
    </row>
    <row r="237" spans="1:12" x14ac:dyDescent="0.3">
      <c r="A237" s="12"/>
      <c r="B237" s="12"/>
      <c r="C237" s="12"/>
      <c r="D237" s="12"/>
      <c r="E237" s="12"/>
      <c r="F237" s="12"/>
      <c r="G237" s="12"/>
      <c r="H237" s="12"/>
      <c r="I237" s="12"/>
      <c r="J237" s="12"/>
      <c r="K237" s="12"/>
      <c r="L237" s="14"/>
    </row>
    <row r="238" spans="1:12" x14ac:dyDescent="0.3">
      <c r="A238" s="12"/>
      <c r="B238" s="12"/>
      <c r="C238" s="12"/>
      <c r="D238" s="12"/>
      <c r="E238" s="12"/>
      <c r="F238" s="12"/>
      <c r="G238" s="12"/>
      <c r="H238" s="12"/>
      <c r="I238" s="12"/>
      <c r="J238" s="12"/>
      <c r="K238" s="12"/>
      <c r="L238" s="14"/>
    </row>
    <row r="239" spans="1:12" x14ac:dyDescent="0.3">
      <c r="A239" s="12"/>
      <c r="B239" s="12"/>
      <c r="C239" s="12"/>
      <c r="D239" s="12"/>
      <c r="E239" s="12"/>
      <c r="F239" s="12"/>
      <c r="G239" s="12"/>
      <c r="H239" s="12"/>
      <c r="I239" s="12"/>
      <c r="J239" s="12"/>
      <c r="K239" s="12"/>
      <c r="L239" s="14"/>
    </row>
    <row r="240" spans="1:12" x14ac:dyDescent="0.3">
      <c r="A240" s="12"/>
      <c r="B240" s="12"/>
      <c r="C240" s="12"/>
      <c r="D240" s="12"/>
      <c r="E240" s="12"/>
      <c r="F240" s="12"/>
      <c r="G240" s="12"/>
      <c r="H240" s="12"/>
      <c r="I240" s="12"/>
      <c r="J240" s="12"/>
      <c r="K240" s="12"/>
      <c r="L240" s="14"/>
    </row>
    <row r="241" spans="1:12" x14ac:dyDescent="0.3">
      <c r="A241" s="12"/>
      <c r="B241" s="12"/>
      <c r="C241" s="12"/>
      <c r="D241" s="12"/>
      <c r="E241" s="12"/>
      <c r="F241" s="12"/>
      <c r="G241" s="12"/>
      <c r="H241" s="12"/>
      <c r="I241" s="12"/>
      <c r="J241" s="12"/>
      <c r="K241" s="12"/>
      <c r="L241" s="14"/>
    </row>
    <row r="242" spans="1:12" x14ac:dyDescent="0.3">
      <c r="A242" s="12"/>
      <c r="B242" s="12"/>
      <c r="C242" s="12"/>
      <c r="D242" s="12"/>
      <c r="E242" s="12"/>
      <c r="F242" s="12"/>
      <c r="G242" s="12"/>
      <c r="H242" s="12"/>
      <c r="I242" s="12"/>
      <c r="J242" s="12"/>
      <c r="K242" s="12"/>
      <c r="L242" s="14"/>
    </row>
    <row r="243" spans="1:12" x14ac:dyDescent="0.3">
      <c r="A243" s="12"/>
      <c r="B243" s="12"/>
      <c r="C243" s="12"/>
      <c r="D243" s="12"/>
      <c r="E243" s="12"/>
      <c r="F243" s="12"/>
      <c r="G243" s="12"/>
      <c r="H243" s="12"/>
      <c r="I243" s="12"/>
      <c r="J243" s="12"/>
      <c r="K243" s="12"/>
      <c r="L243" s="14"/>
    </row>
    <row r="244" spans="1:12" x14ac:dyDescent="0.3">
      <c r="A244" s="12"/>
      <c r="B244" s="12"/>
      <c r="C244" s="12"/>
      <c r="D244" s="12"/>
      <c r="E244" s="12"/>
      <c r="F244" s="12"/>
      <c r="G244" s="12"/>
      <c r="H244" s="12"/>
      <c r="I244" s="12"/>
      <c r="J244" s="12"/>
      <c r="K244" s="12"/>
      <c r="L244" s="14"/>
    </row>
    <row r="245" spans="1:12" x14ac:dyDescent="0.3">
      <c r="A245" s="12"/>
      <c r="B245" s="12"/>
      <c r="C245" s="12"/>
      <c r="D245" s="12"/>
      <c r="E245" s="12"/>
      <c r="F245" s="12"/>
      <c r="G245" s="12"/>
      <c r="H245" s="12"/>
      <c r="I245" s="12"/>
      <c r="J245" s="12"/>
      <c r="K245" s="12"/>
      <c r="L245" s="14"/>
    </row>
    <row r="246" spans="1:12" x14ac:dyDescent="0.3">
      <c r="A246" s="12"/>
      <c r="B246" s="12"/>
      <c r="C246" s="12"/>
      <c r="D246" s="12"/>
      <c r="E246" s="12"/>
      <c r="F246" s="12"/>
      <c r="G246" s="12"/>
      <c r="H246" s="12"/>
      <c r="I246" s="12"/>
      <c r="J246" s="12"/>
      <c r="K246" s="12"/>
      <c r="L246" s="14"/>
    </row>
    <row r="247" spans="1:12" x14ac:dyDescent="0.3">
      <c r="A247" s="12"/>
      <c r="B247" s="12"/>
      <c r="C247" s="12"/>
      <c r="D247" s="12"/>
      <c r="E247" s="12"/>
      <c r="F247" s="12"/>
      <c r="G247" s="12"/>
      <c r="H247" s="12"/>
      <c r="I247" s="12"/>
      <c r="J247" s="12"/>
      <c r="K247" s="12"/>
      <c r="L247" s="14"/>
    </row>
    <row r="248" spans="1:12" x14ac:dyDescent="0.3">
      <c r="A248" s="12"/>
      <c r="B248" s="12"/>
      <c r="C248" s="12"/>
      <c r="D248" s="12"/>
      <c r="E248" s="12"/>
      <c r="F248" s="12"/>
      <c r="G248" s="12"/>
      <c r="H248" s="12"/>
      <c r="I248" s="12"/>
      <c r="J248" s="12"/>
      <c r="K248" s="12"/>
      <c r="L248" s="14"/>
    </row>
    <row r="249" spans="1:12" x14ac:dyDescent="0.3">
      <c r="A249" s="12"/>
      <c r="B249" s="12"/>
      <c r="C249" s="12"/>
      <c r="D249" s="12"/>
      <c r="E249" s="12"/>
      <c r="F249" s="12"/>
      <c r="G249" s="12"/>
      <c r="H249" s="12"/>
      <c r="I249" s="12"/>
      <c r="J249" s="12"/>
      <c r="K249" s="12"/>
      <c r="L249" s="14"/>
    </row>
    <row r="250" spans="1:12" x14ac:dyDescent="0.3">
      <c r="A250" s="12"/>
      <c r="B250" s="12"/>
      <c r="C250" s="12"/>
      <c r="D250" s="12"/>
      <c r="E250" s="12"/>
      <c r="F250" s="12"/>
      <c r="G250" s="12"/>
      <c r="H250" s="12"/>
      <c r="I250" s="12"/>
      <c r="J250" s="12"/>
      <c r="K250" s="12"/>
      <c r="L250" s="14"/>
    </row>
    <row r="251" spans="1:12" x14ac:dyDescent="0.3">
      <c r="A251" s="12"/>
      <c r="B251" s="12"/>
      <c r="C251" s="12"/>
      <c r="D251" s="12"/>
      <c r="E251" s="12"/>
      <c r="F251" s="12"/>
      <c r="G251" s="12"/>
      <c r="H251" s="12"/>
      <c r="I251" s="12"/>
      <c r="J251" s="12"/>
      <c r="K251" s="12"/>
      <c r="L251" s="14"/>
    </row>
    <row r="252" spans="1:12" x14ac:dyDescent="0.3">
      <c r="A252" s="12"/>
      <c r="B252" s="12"/>
      <c r="C252" s="12"/>
      <c r="D252" s="12"/>
      <c r="E252" s="12"/>
      <c r="F252" s="12"/>
      <c r="G252" s="12"/>
      <c r="H252" s="12"/>
      <c r="I252" s="12"/>
      <c r="J252" s="12"/>
      <c r="K252" s="12"/>
      <c r="L252" s="14"/>
    </row>
    <row r="253" spans="1:12" x14ac:dyDescent="0.3">
      <c r="A253" s="12"/>
      <c r="B253" s="12"/>
      <c r="C253" s="12"/>
      <c r="D253" s="12"/>
      <c r="E253" s="12"/>
      <c r="F253" s="12"/>
      <c r="G253" s="12"/>
      <c r="H253" s="12"/>
      <c r="I253" s="12"/>
      <c r="J253" s="12"/>
      <c r="K253" s="12"/>
      <c r="L253" s="14"/>
    </row>
    <row r="254" spans="1:12" x14ac:dyDescent="0.3">
      <c r="A254" s="12"/>
      <c r="B254" s="12"/>
      <c r="C254" s="12"/>
      <c r="D254" s="12"/>
      <c r="E254" s="12"/>
      <c r="F254" s="12"/>
      <c r="G254" s="12"/>
      <c r="H254" s="12"/>
      <c r="I254" s="12"/>
      <c r="J254" s="12"/>
      <c r="K254" s="12"/>
      <c r="L254" s="14"/>
    </row>
    <row r="255" spans="1:12" x14ac:dyDescent="0.3">
      <c r="A255" s="12"/>
      <c r="B255" s="12"/>
      <c r="C255" s="12"/>
      <c r="D255" s="12"/>
      <c r="E255" s="12"/>
      <c r="F255" s="12"/>
      <c r="G255" s="12"/>
      <c r="H255" s="12"/>
      <c r="I255" s="12"/>
      <c r="J255" s="12"/>
      <c r="K255" s="12"/>
      <c r="L255" s="14"/>
    </row>
    <row r="256" spans="1:12" x14ac:dyDescent="0.3">
      <c r="A256" s="12"/>
      <c r="B256" s="12"/>
      <c r="C256" s="12"/>
      <c r="D256" s="12"/>
      <c r="E256" s="12"/>
      <c r="F256" s="12"/>
      <c r="G256" s="12"/>
      <c r="H256" s="12"/>
      <c r="I256" s="12"/>
      <c r="J256" s="12"/>
      <c r="K256" s="12"/>
      <c r="L256" s="14"/>
    </row>
    <row r="257" spans="1:12" x14ac:dyDescent="0.3">
      <c r="A257" s="12"/>
      <c r="B257" s="12"/>
      <c r="C257" s="12"/>
      <c r="D257" s="12"/>
      <c r="E257" s="12"/>
      <c r="F257" s="12"/>
      <c r="G257" s="12"/>
      <c r="H257" s="12"/>
      <c r="I257" s="12"/>
      <c r="J257" s="12"/>
      <c r="K257" s="12"/>
      <c r="L257" s="14"/>
    </row>
    <row r="258" spans="1:12" x14ac:dyDescent="0.3">
      <c r="A258" s="12"/>
      <c r="B258" s="12"/>
      <c r="C258" s="12"/>
      <c r="D258" s="12"/>
      <c r="E258" s="12"/>
      <c r="F258" s="12"/>
      <c r="G258" s="12"/>
      <c r="H258" s="12"/>
      <c r="I258" s="12"/>
      <c r="J258" s="12"/>
      <c r="K258" s="12"/>
      <c r="L258" s="14"/>
    </row>
    <row r="259" spans="1:12" x14ac:dyDescent="0.3">
      <c r="A259" s="12"/>
      <c r="B259" s="12"/>
      <c r="C259" s="12"/>
      <c r="D259" s="12"/>
      <c r="E259" s="12"/>
      <c r="F259" s="12"/>
      <c r="G259" s="12"/>
      <c r="H259" s="12"/>
      <c r="I259" s="12"/>
      <c r="J259" s="12"/>
      <c r="K259" s="12"/>
      <c r="L259" s="14"/>
    </row>
    <row r="260" spans="1:12" x14ac:dyDescent="0.3">
      <c r="A260" s="12"/>
      <c r="B260" s="12"/>
      <c r="C260" s="12"/>
      <c r="D260" s="12"/>
      <c r="E260" s="12"/>
      <c r="F260" s="12"/>
      <c r="G260" s="12"/>
      <c r="H260" s="12"/>
      <c r="I260" s="12"/>
      <c r="J260" s="12"/>
      <c r="K260" s="12"/>
      <c r="L260" s="14"/>
    </row>
    <row r="261" spans="1:12" x14ac:dyDescent="0.3">
      <c r="A261" s="12"/>
      <c r="B261" s="12"/>
      <c r="C261" s="12"/>
      <c r="D261" s="12"/>
      <c r="E261" s="12"/>
      <c r="F261" s="12"/>
      <c r="G261" s="12"/>
      <c r="H261" s="12"/>
      <c r="I261" s="12"/>
      <c r="J261" s="12"/>
      <c r="K261" s="12"/>
      <c r="L261" s="14"/>
    </row>
    <row r="262" spans="1:12" x14ac:dyDescent="0.3">
      <c r="A262" s="12"/>
      <c r="B262" s="12"/>
      <c r="C262" s="12"/>
      <c r="D262" s="12"/>
      <c r="E262" s="12"/>
      <c r="F262" s="12"/>
      <c r="G262" s="12"/>
      <c r="H262" s="12"/>
      <c r="I262" s="12"/>
      <c r="J262" s="12"/>
      <c r="K262" s="12"/>
      <c r="L262" s="14"/>
    </row>
    <row r="263" spans="1:12" x14ac:dyDescent="0.3">
      <c r="A263" s="12"/>
      <c r="B263" s="12"/>
      <c r="C263" s="12"/>
      <c r="D263" s="12"/>
      <c r="E263" s="12"/>
      <c r="F263" s="12"/>
      <c r="G263" s="12"/>
      <c r="H263" s="12"/>
      <c r="I263" s="12"/>
      <c r="J263" s="12"/>
      <c r="K263" s="12"/>
      <c r="L263" s="14"/>
    </row>
    <row r="264" spans="1:12" x14ac:dyDescent="0.3">
      <c r="A264" s="12"/>
      <c r="B264" s="12"/>
      <c r="C264" s="12"/>
      <c r="D264" s="12"/>
      <c r="E264" s="12"/>
      <c r="F264" s="12"/>
      <c r="G264" s="12"/>
      <c r="H264" s="12"/>
      <c r="I264" s="12"/>
      <c r="J264" s="12"/>
      <c r="K264" s="12"/>
      <c r="L264" s="14"/>
    </row>
    <row r="265" spans="1:12" x14ac:dyDescent="0.3">
      <c r="A265" s="12"/>
      <c r="B265" s="12"/>
      <c r="C265" s="12"/>
      <c r="D265" s="12"/>
      <c r="E265" s="12"/>
      <c r="F265" s="12"/>
      <c r="G265" s="12"/>
      <c r="H265" s="12"/>
      <c r="I265" s="12"/>
      <c r="J265" s="12"/>
      <c r="K265" s="12"/>
      <c r="L265" s="14"/>
    </row>
    <row r="266" spans="1:12" x14ac:dyDescent="0.3">
      <c r="A266" s="12"/>
      <c r="B266" s="12"/>
      <c r="C266" s="12"/>
      <c r="D266" s="12"/>
      <c r="E266" s="12"/>
      <c r="F266" s="12"/>
      <c r="G266" s="12"/>
      <c r="H266" s="12"/>
      <c r="I266" s="12"/>
      <c r="J266" s="12"/>
      <c r="K266" s="12"/>
      <c r="L266" s="14"/>
    </row>
    <row r="267" spans="1:12" x14ac:dyDescent="0.3">
      <c r="A267" s="12"/>
      <c r="B267" s="12"/>
      <c r="C267" s="12"/>
      <c r="D267" s="12"/>
      <c r="E267" s="12"/>
      <c r="F267" s="12"/>
      <c r="G267" s="12"/>
      <c r="H267" s="12"/>
      <c r="I267" s="12"/>
      <c r="J267" s="12"/>
      <c r="K267" s="12"/>
      <c r="L267" s="14"/>
    </row>
    <row r="268" spans="1:12" x14ac:dyDescent="0.3">
      <c r="A268" s="12"/>
      <c r="B268" s="12"/>
      <c r="C268" s="12"/>
      <c r="D268" s="12"/>
      <c r="E268" s="12"/>
      <c r="F268" s="12"/>
      <c r="G268" s="12"/>
      <c r="H268" s="12"/>
      <c r="I268" s="12"/>
      <c r="J268" s="12"/>
      <c r="K268" s="12"/>
      <c r="L268" s="14"/>
    </row>
    <row r="269" spans="1:12" x14ac:dyDescent="0.3">
      <c r="A269" s="12"/>
      <c r="B269" s="12"/>
      <c r="C269" s="12"/>
      <c r="D269" s="12"/>
      <c r="E269" s="12"/>
      <c r="F269" s="12"/>
      <c r="G269" s="12"/>
      <c r="H269" s="12"/>
      <c r="I269" s="12"/>
      <c r="J269" s="12"/>
      <c r="K269" s="12"/>
      <c r="L269" s="14"/>
    </row>
    <row r="270" spans="1:12" x14ac:dyDescent="0.3">
      <c r="A270" s="12"/>
      <c r="B270" s="12"/>
      <c r="C270" s="12"/>
      <c r="D270" s="12"/>
      <c r="E270" s="12"/>
      <c r="F270" s="12"/>
      <c r="G270" s="12"/>
      <c r="H270" s="12"/>
      <c r="I270" s="12"/>
      <c r="J270" s="12"/>
      <c r="K270" s="12"/>
      <c r="L270" s="14"/>
    </row>
    <row r="271" spans="1:12" x14ac:dyDescent="0.3">
      <c r="A271" s="12"/>
      <c r="B271" s="12"/>
      <c r="C271" s="12"/>
      <c r="D271" s="12"/>
      <c r="E271" s="12"/>
      <c r="F271" s="12"/>
      <c r="G271" s="12"/>
      <c r="H271" s="12"/>
      <c r="I271" s="12"/>
      <c r="J271" s="12"/>
      <c r="K271" s="12"/>
      <c r="L271" s="14"/>
    </row>
    <row r="272" spans="1:12" x14ac:dyDescent="0.3">
      <c r="A272" s="12"/>
      <c r="B272" s="12"/>
      <c r="C272" s="12"/>
      <c r="D272" s="12"/>
      <c r="E272" s="12"/>
      <c r="F272" s="12"/>
      <c r="G272" s="12"/>
      <c r="H272" s="12"/>
      <c r="I272" s="12"/>
      <c r="J272" s="12"/>
      <c r="K272" s="12"/>
      <c r="L272" s="14"/>
    </row>
    <row r="273" spans="1:12" x14ac:dyDescent="0.3">
      <c r="A273" s="12"/>
      <c r="B273" s="12"/>
      <c r="C273" s="12"/>
      <c r="D273" s="12"/>
      <c r="E273" s="12"/>
      <c r="F273" s="12"/>
      <c r="G273" s="12"/>
      <c r="H273" s="12"/>
      <c r="I273" s="12"/>
      <c r="J273" s="12"/>
      <c r="K273" s="12"/>
      <c r="L273" s="14"/>
    </row>
    <row r="274" spans="1:12" x14ac:dyDescent="0.3">
      <c r="A274" s="12"/>
      <c r="B274" s="12"/>
      <c r="C274" s="12"/>
      <c r="D274" s="12"/>
      <c r="E274" s="12"/>
      <c r="F274" s="12"/>
      <c r="G274" s="12"/>
      <c r="H274" s="12"/>
      <c r="I274" s="12"/>
      <c r="J274" s="12"/>
      <c r="K274" s="12"/>
      <c r="L274" s="14"/>
    </row>
    <row r="275" spans="1:12" x14ac:dyDescent="0.3">
      <c r="A275" s="12"/>
      <c r="B275" s="12"/>
      <c r="C275" s="12"/>
      <c r="D275" s="12"/>
      <c r="E275" s="12"/>
      <c r="F275" s="12"/>
      <c r="G275" s="12"/>
      <c r="H275" s="12"/>
      <c r="I275" s="12"/>
      <c r="J275" s="12"/>
      <c r="K275" s="12"/>
      <c r="L275" s="14"/>
    </row>
    <row r="276" spans="1:12" x14ac:dyDescent="0.3">
      <c r="A276" s="12"/>
      <c r="B276" s="12"/>
      <c r="C276" s="12"/>
      <c r="D276" s="12"/>
      <c r="E276" s="12"/>
      <c r="F276" s="12"/>
      <c r="G276" s="12"/>
      <c r="H276" s="12"/>
      <c r="I276" s="12"/>
      <c r="J276" s="12"/>
      <c r="K276" s="12"/>
      <c r="L276" s="14"/>
    </row>
    <row r="277" spans="1:12" x14ac:dyDescent="0.3">
      <c r="A277" s="12"/>
      <c r="B277" s="12"/>
      <c r="C277" s="12"/>
      <c r="D277" s="12"/>
      <c r="E277" s="12"/>
      <c r="F277" s="12"/>
      <c r="G277" s="12"/>
      <c r="H277" s="12"/>
      <c r="I277" s="12"/>
      <c r="J277" s="12"/>
      <c r="K277" s="12"/>
      <c r="L277" s="14"/>
    </row>
    <row r="278" spans="1:12" x14ac:dyDescent="0.3">
      <c r="A278" s="12"/>
      <c r="B278" s="12"/>
      <c r="C278" s="12"/>
      <c r="D278" s="12"/>
      <c r="E278" s="12"/>
      <c r="F278" s="12"/>
      <c r="G278" s="12"/>
      <c r="H278" s="12"/>
      <c r="I278" s="12"/>
      <c r="J278" s="12"/>
      <c r="K278" s="12"/>
      <c r="L278" s="14"/>
    </row>
    <row r="279" spans="1:12" x14ac:dyDescent="0.3">
      <c r="A279" s="12"/>
      <c r="B279" s="12"/>
      <c r="C279" s="12"/>
      <c r="D279" s="12"/>
      <c r="E279" s="12"/>
      <c r="F279" s="12"/>
      <c r="G279" s="12"/>
      <c r="H279" s="12"/>
      <c r="I279" s="12"/>
      <c r="J279" s="12"/>
      <c r="K279" s="12"/>
      <c r="L279" s="14"/>
    </row>
    <row r="280" spans="1:12" x14ac:dyDescent="0.3">
      <c r="A280" s="12"/>
      <c r="B280" s="12"/>
      <c r="C280" s="12"/>
      <c r="D280" s="12"/>
      <c r="E280" s="12"/>
      <c r="F280" s="12"/>
      <c r="G280" s="12"/>
      <c r="H280" s="12"/>
      <c r="I280" s="12"/>
      <c r="J280" s="12"/>
      <c r="K280" s="12"/>
      <c r="L280" s="14"/>
    </row>
    <row r="281" spans="1:12" x14ac:dyDescent="0.3">
      <c r="A281" s="12"/>
      <c r="B281" s="12"/>
      <c r="C281" s="12"/>
      <c r="D281" s="12"/>
      <c r="E281" s="12"/>
      <c r="F281" s="12"/>
      <c r="G281" s="12"/>
      <c r="H281" s="12"/>
      <c r="I281" s="12"/>
      <c r="J281" s="12"/>
      <c r="K281" s="12"/>
      <c r="L281" s="14"/>
    </row>
    <row r="282" spans="1:12" x14ac:dyDescent="0.3">
      <c r="A282" s="12"/>
      <c r="B282" s="12"/>
      <c r="C282" s="12"/>
      <c r="D282" s="12"/>
      <c r="E282" s="12"/>
      <c r="F282" s="12"/>
      <c r="G282" s="12"/>
      <c r="H282" s="12"/>
      <c r="I282" s="12"/>
      <c r="J282" s="12"/>
      <c r="K282" s="12"/>
      <c r="L282" s="14"/>
    </row>
    <row r="283" spans="1:12" x14ac:dyDescent="0.3">
      <c r="A283" s="12"/>
      <c r="B283" s="12"/>
      <c r="C283" s="12"/>
      <c r="D283" s="12"/>
      <c r="E283" s="12"/>
      <c r="F283" s="12"/>
      <c r="G283" s="12"/>
      <c r="H283" s="12"/>
      <c r="I283" s="12"/>
      <c r="J283" s="12"/>
      <c r="K283" s="12"/>
      <c r="L283" s="14"/>
    </row>
    <row r="284" spans="1:12" x14ac:dyDescent="0.3">
      <c r="A284" s="12"/>
      <c r="B284" s="12"/>
      <c r="C284" s="12"/>
      <c r="D284" s="12"/>
      <c r="E284" s="12"/>
      <c r="F284" s="12"/>
      <c r="G284" s="12"/>
      <c r="H284" s="12"/>
      <c r="I284" s="12"/>
      <c r="J284" s="12"/>
      <c r="K284" s="12"/>
      <c r="L284" s="14"/>
    </row>
    <row r="285" spans="1:12" x14ac:dyDescent="0.3">
      <c r="A285" s="12"/>
      <c r="B285" s="12"/>
      <c r="C285" s="12"/>
      <c r="D285" s="12"/>
      <c r="E285" s="12"/>
      <c r="F285" s="12"/>
      <c r="G285" s="12"/>
      <c r="H285" s="12"/>
      <c r="I285" s="12"/>
      <c r="J285" s="12"/>
      <c r="K285" s="12"/>
      <c r="L285" s="14"/>
    </row>
    <row r="286" spans="1:12" x14ac:dyDescent="0.3">
      <c r="A286" s="12"/>
      <c r="B286" s="12"/>
      <c r="C286" s="12"/>
      <c r="D286" s="12"/>
      <c r="E286" s="12"/>
      <c r="F286" s="12"/>
      <c r="G286" s="12"/>
      <c r="H286" s="12"/>
      <c r="I286" s="12"/>
      <c r="J286" s="12"/>
      <c r="K286" s="12"/>
      <c r="L286" s="14"/>
    </row>
    <row r="287" spans="1:12" x14ac:dyDescent="0.3">
      <c r="A287" s="12"/>
      <c r="B287" s="12"/>
      <c r="C287" s="12"/>
      <c r="D287" s="12"/>
      <c r="E287" s="12"/>
      <c r="F287" s="12"/>
      <c r="G287" s="12"/>
      <c r="H287" s="12"/>
      <c r="I287" s="12"/>
      <c r="J287" s="12"/>
      <c r="K287" s="12"/>
      <c r="L287" s="14"/>
    </row>
    <row r="288" spans="1:12" x14ac:dyDescent="0.3">
      <c r="A288" s="12"/>
      <c r="B288" s="12"/>
      <c r="C288" s="12"/>
      <c r="D288" s="12"/>
      <c r="E288" s="12"/>
      <c r="F288" s="12"/>
      <c r="G288" s="12"/>
      <c r="H288" s="12"/>
      <c r="I288" s="12"/>
      <c r="J288" s="12"/>
      <c r="K288" s="12"/>
      <c r="L288" s="14"/>
    </row>
    <row r="289" spans="1:12" x14ac:dyDescent="0.3">
      <c r="A289" s="12"/>
      <c r="B289" s="12"/>
      <c r="C289" s="12"/>
      <c r="D289" s="12"/>
      <c r="E289" s="12"/>
      <c r="F289" s="12"/>
      <c r="G289" s="12"/>
      <c r="H289" s="12"/>
      <c r="I289" s="12"/>
      <c r="J289" s="12"/>
      <c r="K289" s="12"/>
      <c r="L289" s="14"/>
    </row>
    <row r="290" spans="1:12" x14ac:dyDescent="0.3">
      <c r="A290" s="12"/>
      <c r="B290" s="12"/>
      <c r="C290" s="12"/>
      <c r="D290" s="12"/>
      <c r="E290" s="12"/>
      <c r="F290" s="12"/>
      <c r="G290" s="12"/>
      <c r="H290" s="12"/>
      <c r="I290" s="12"/>
      <c r="J290" s="12"/>
      <c r="K290" s="12"/>
      <c r="L290" s="14"/>
    </row>
    <row r="291" spans="1:12" x14ac:dyDescent="0.3">
      <c r="A291" s="12"/>
      <c r="B291" s="12"/>
      <c r="C291" s="12"/>
      <c r="D291" s="12"/>
      <c r="E291" s="12"/>
      <c r="F291" s="12"/>
      <c r="G291" s="12"/>
      <c r="H291" s="12"/>
      <c r="I291" s="12"/>
      <c r="J291" s="12"/>
      <c r="K291" s="12"/>
      <c r="L291" s="14"/>
    </row>
    <row r="292" spans="1:12" x14ac:dyDescent="0.3">
      <c r="A292" s="12"/>
      <c r="B292" s="12"/>
      <c r="C292" s="12"/>
      <c r="D292" s="12"/>
      <c r="E292" s="12"/>
      <c r="F292" s="12"/>
      <c r="G292" s="12"/>
      <c r="H292" s="12"/>
      <c r="I292" s="12"/>
      <c r="J292" s="12"/>
      <c r="K292" s="12"/>
      <c r="L292" s="14"/>
    </row>
    <row r="293" spans="1:12" x14ac:dyDescent="0.3">
      <c r="A293" s="12"/>
      <c r="B293" s="12"/>
      <c r="C293" s="12"/>
      <c r="D293" s="12"/>
      <c r="E293" s="12"/>
      <c r="F293" s="12"/>
      <c r="G293" s="12"/>
      <c r="H293" s="12"/>
      <c r="I293" s="12"/>
      <c r="J293" s="12"/>
      <c r="K293" s="12"/>
      <c r="L293" s="14"/>
    </row>
    <row r="294" spans="1:12" x14ac:dyDescent="0.3">
      <c r="A294" s="12"/>
      <c r="B294" s="12"/>
      <c r="C294" s="12"/>
      <c r="D294" s="12"/>
      <c r="E294" s="12"/>
      <c r="F294" s="12"/>
      <c r="G294" s="12"/>
      <c r="H294" s="12"/>
      <c r="I294" s="12"/>
      <c r="J294" s="12"/>
      <c r="K294" s="12"/>
      <c r="L294" s="14"/>
    </row>
    <row r="295" spans="1:12" x14ac:dyDescent="0.3">
      <c r="A295" s="12"/>
      <c r="B295" s="12"/>
      <c r="C295" s="12"/>
      <c r="D295" s="12"/>
      <c r="E295" s="12"/>
      <c r="F295" s="12"/>
      <c r="G295" s="12"/>
      <c r="H295" s="12"/>
      <c r="I295" s="12"/>
      <c r="J295" s="12"/>
      <c r="K295" s="12"/>
      <c r="L295" s="14"/>
    </row>
    <row r="296" spans="1:12" x14ac:dyDescent="0.3">
      <c r="A296" s="12"/>
      <c r="B296" s="12"/>
      <c r="C296" s="12"/>
      <c r="D296" s="12"/>
      <c r="E296" s="12"/>
      <c r="F296" s="12"/>
      <c r="G296" s="12"/>
      <c r="H296" s="12"/>
      <c r="I296" s="12"/>
      <c r="J296" s="12"/>
      <c r="K296" s="12"/>
      <c r="L296" s="14"/>
    </row>
    <row r="297" spans="1:12" x14ac:dyDescent="0.3">
      <c r="A297" s="12"/>
      <c r="B297" s="12"/>
      <c r="C297" s="12"/>
      <c r="D297" s="12"/>
      <c r="E297" s="12"/>
      <c r="F297" s="12"/>
      <c r="G297" s="12"/>
      <c r="H297" s="12"/>
      <c r="I297" s="12"/>
      <c r="J297" s="12"/>
      <c r="K297" s="12"/>
      <c r="L297" s="14"/>
    </row>
    <row r="298" spans="1:12" x14ac:dyDescent="0.3">
      <c r="A298" s="12"/>
      <c r="B298" s="12"/>
      <c r="C298" s="12"/>
      <c r="D298" s="12"/>
      <c r="E298" s="12"/>
      <c r="F298" s="12"/>
      <c r="G298" s="12"/>
      <c r="H298" s="12"/>
      <c r="I298" s="12"/>
      <c r="J298" s="12"/>
      <c r="K298" s="12"/>
      <c r="L298" s="14"/>
    </row>
    <row r="299" spans="1:12" x14ac:dyDescent="0.3">
      <c r="A299" s="12"/>
      <c r="B299" s="12"/>
      <c r="C299" s="12"/>
      <c r="D299" s="12"/>
      <c r="E299" s="12"/>
      <c r="F299" s="12"/>
      <c r="G299" s="12"/>
      <c r="H299" s="12"/>
      <c r="I299" s="12"/>
      <c r="J299" s="12"/>
      <c r="K299" s="12"/>
      <c r="L299" s="14"/>
    </row>
    <row r="300" spans="1:12" x14ac:dyDescent="0.3">
      <c r="A300" s="12"/>
      <c r="B300" s="12"/>
      <c r="C300" s="12"/>
      <c r="D300" s="12"/>
      <c r="E300" s="12"/>
      <c r="F300" s="12"/>
      <c r="G300" s="12"/>
      <c r="H300" s="12"/>
      <c r="I300" s="12"/>
      <c r="J300" s="12"/>
      <c r="K300" s="12"/>
      <c r="L300" s="14"/>
    </row>
    <row r="301" spans="1:12" x14ac:dyDescent="0.3">
      <c r="A301" s="12"/>
      <c r="B301" s="12"/>
      <c r="C301" s="12"/>
      <c r="D301" s="12"/>
      <c r="E301" s="12"/>
      <c r="F301" s="12"/>
      <c r="G301" s="12"/>
      <c r="H301" s="12"/>
      <c r="I301" s="12"/>
      <c r="J301" s="12"/>
      <c r="K301" s="12"/>
      <c r="L301" s="14"/>
    </row>
    <row r="302" spans="1:12" x14ac:dyDescent="0.3">
      <c r="A302" s="12"/>
      <c r="B302" s="12"/>
      <c r="C302" s="12"/>
      <c r="D302" s="12"/>
      <c r="E302" s="12"/>
      <c r="F302" s="12"/>
      <c r="G302" s="12"/>
      <c r="H302" s="12"/>
      <c r="I302" s="12"/>
      <c r="J302" s="12"/>
      <c r="K302" s="12"/>
      <c r="L302" s="14"/>
    </row>
    <row r="303" spans="1:12" x14ac:dyDescent="0.3">
      <c r="A303" s="12"/>
      <c r="B303" s="12"/>
      <c r="C303" s="12"/>
      <c r="D303" s="12"/>
      <c r="E303" s="12"/>
      <c r="F303" s="12"/>
      <c r="G303" s="12"/>
      <c r="H303" s="12"/>
      <c r="I303" s="12"/>
      <c r="J303" s="12"/>
      <c r="K303" s="12"/>
      <c r="L303" s="14"/>
    </row>
    <row r="304" spans="1:12" x14ac:dyDescent="0.3">
      <c r="A304" s="12"/>
      <c r="B304" s="12"/>
      <c r="C304" s="12"/>
      <c r="D304" s="12"/>
      <c r="E304" s="12"/>
      <c r="F304" s="12"/>
      <c r="G304" s="12"/>
      <c r="H304" s="12"/>
      <c r="I304" s="12"/>
      <c r="J304" s="12"/>
      <c r="K304" s="12"/>
      <c r="L304" s="14"/>
    </row>
    <row r="305" spans="1:12" x14ac:dyDescent="0.3">
      <c r="A305" s="12"/>
      <c r="B305" s="12"/>
      <c r="C305" s="12"/>
      <c r="D305" s="12"/>
      <c r="E305" s="12"/>
      <c r="F305" s="12"/>
      <c r="G305" s="12"/>
      <c r="H305" s="12"/>
      <c r="I305" s="12"/>
      <c r="J305" s="12"/>
      <c r="K305" s="12"/>
      <c r="L305" s="14"/>
    </row>
    <row r="306" spans="1:12" x14ac:dyDescent="0.3">
      <c r="A306" s="12"/>
      <c r="B306" s="12"/>
      <c r="C306" s="12"/>
      <c r="D306" s="12"/>
      <c r="E306" s="12"/>
      <c r="F306" s="12"/>
      <c r="G306" s="12"/>
      <c r="H306" s="12"/>
      <c r="I306" s="12"/>
      <c r="J306" s="12"/>
      <c r="K306" s="12"/>
      <c r="L306" s="14"/>
    </row>
    <row r="307" spans="1:12" x14ac:dyDescent="0.3">
      <c r="A307" s="12"/>
      <c r="B307" s="12"/>
      <c r="C307" s="12"/>
      <c r="D307" s="12"/>
      <c r="E307" s="12"/>
      <c r="F307" s="12"/>
      <c r="G307" s="12"/>
      <c r="H307" s="12"/>
      <c r="I307" s="12"/>
      <c r="J307" s="12"/>
      <c r="K307" s="12"/>
      <c r="L307" s="14"/>
    </row>
    <row r="308" spans="1:12" x14ac:dyDescent="0.3">
      <c r="A308" s="12"/>
      <c r="B308" s="12"/>
      <c r="C308" s="12"/>
      <c r="D308" s="12"/>
      <c r="E308" s="12"/>
      <c r="F308" s="12"/>
      <c r="G308" s="12"/>
      <c r="H308" s="12"/>
      <c r="I308" s="12"/>
      <c r="J308" s="12"/>
      <c r="K308" s="12"/>
      <c r="L308" s="14"/>
    </row>
    <row r="309" spans="1:12" x14ac:dyDescent="0.3">
      <c r="A309" s="12"/>
      <c r="B309" s="12"/>
      <c r="C309" s="12"/>
      <c r="D309" s="12"/>
      <c r="E309" s="12"/>
      <c r="F309" s="12"/>
      <c r="G309" s="12"/>
      <c r="H309" s="12"/>
      <c r="I309" s="12"/>
      <c r="J309" s="12"/>
      <c r="K309" s="12"/>
      <c r="L309" s="14"/>
    </row>
    <row r="310" spans="1:12" x14ac:dyDescent="0.3">
      <c r="A310" s="12"/>
      <c r="B310" s="12"/>
      <c r="C310" s="12"/>
      <c r="D310" s="12"/>
      <c r="E310" s="12"/>
      <c r="F310" s="12"/>
      <c r="G310" s="12"/>
      <c r="H310" s="12"/>
      <c r="I310" s="12"/>
      <c r="J310" s="12"/>
      <c r="K310" s="12"/>
      <c r="L310" s="14"/>
    </row>
    <row r="311" spans="1:12" x14ac:dyDescent="0.3">
      <c r="A311" s="12"/>
      <c r="B311" s="12"/>
      <c r="C311" s="12"/>
      <c r="D311" s="12"/>
      <c r="E311" s="12"/>
      <c r="F311" s="12"/>
      <c r="G311" s="12"/>
      <c r="H311" s="12"/>
      <c r="I311" s="12"/>
      <c r="J311" s="12"/>
      <c r="K311" s="12"/>
      <c r="L311" s="14"/>
    </row>
    <row r="312" spans="1:12" x14ac:dyDescent="0.3">
      <c r="A312" s="12"/>
      <c r="B312" s="12"/>
      <c r="C312" s="12"/>
      <c r="D312" s="12"/>
      <c r="E312" s="12"/>
      <c r="F312" s="12"/>
      <c r="G312" s="12"/>
      <c r="H312" s="12"/>
      <c r="I312" s="12"/>
      <c r="J312" s="12"/>
      <c r="K312" s="12"/>
      <c r="L312" s="14"/>
    </row>
    <row r="313" spans="1:12" x14ac:dyDescent="0.3">
      <c r="A313" s="12"/>
      <c r="B313" s="12"/>
      <c r="C313" s="12"/>
      <c r="D313" s="12"/>
      <c r="E313" s="12"/>
      <c r="F313" s="12"/>
      <c r="G313" s="12"/>
      <c r="H313" s="12"/>
      <c r="I313" s="12"/>
      <c r="J313" s="12"/>
      <c r="K313" s="12"/>
      <c r="L313" s="14"/>
    </row>
    <row r="314" spans="1:12" x14ac:dyDescent="0.3">
      <c r="A314" s="12"/>
      <c r="B314" s="12"/>
      <c r="C314" s="12"/>
      <c r="D314" s="12"/>
      <c r="E314" s="12"/>
      <c r="F314" s="12"/>
      <c r="G314" s="12"/>
      <c r="H314" s="12"/>
      <c r="I314" s="12"/>
      <c r="J314" s="12"/>
      <c r="K314" s="12"/>
      <c r="L314" s="14"/>
    </row>
    <row r="315" spans="1:12" x14ac:dyDescent="0.3">
      <c r="A315" s="12"/>
      <c r="B315" s="12"/>
      <c r="C315" s="12"/>
      <c r="D315" s="12"/>
      <c r="E315" s="12"/>
      <c r="F315" s="12"/>
      <c r="G315" s="12"/>
      <c r="H315" s="12"/>
      <c r="I315" s="12"/>
      <c r="J315" s="12"/>
      <c r="K315" s="12"/>
      <c r="L315" s="14"/>
    </row>
    <row r="316" spans="1:12" x14ac:dyDescent="0.3">
      <c r="A316" s="12"/>
      <c r="B316" s="12"/>
      <c r="C316" s="12"/>
      <c r="D316" s="12"/>
      <c r="E316" s="12"/>
      <c r="F316" s="12"/>
      <c r="G316" s="12"/>
      <c r="H316" s="12"/>
      <c r="I316" s="12"/>
      <c r="J316" s="12"/>
      <c r="K316" s="12"/>
      <c r="L316" s="14"/>
    </row>
    <row r="317" spans="1:12" x14ac:dyDescent="0.3">
      <c r="A317" s="12"/>
      <c r="B317" s="12"/>
      <c r="C317" s="12"/>
      <c r="D317" s="12"/>
      <c r="E317" s="12"/>
      <c r="F317" s="12"/>
      <c r="G317" s="12"/>
      <c r="H317" s="12"/>
      <c r="I317" s="12"/>
      <c r="J317" s="12"/>
      <c r="K317" s="12"/>
      <c r="L317" s="14"/>
    </row>
    <row r="318" spans="1:12" x14ac:dyDescent="0.3">
      <c r="A318" s="12"/>
      <c r="B318" s="12"/>
      <c r="C318" s="12"/>
      <c r="D318" s="12"/>
      <c r="E318" s="12"/>
      <c r="F318" s="12"/>
      <c r="G318" s="12"/>
      <c r="H318" s="12"/>
      <c r="I318" s="12"/>
      <c r="J318" s="12"/>
      <c r="K318" s="12"/>
      <c r="L318" s="14"/>
    </row>
    <row r="319" spans="1:12" x14ac:dyDescent="0.3">
      <c r="A319" s="12"/>
      <c r="B319" s="12"/>
      <c r="C319" s="12"/>
      <c r="D319" s="12"/>
      <c r="E319" s="12"/>
      <c r="F319" s="12"/>
      <c r="G319" s="12"/>
      <c r="H319" s="12"/>
      <c r="I319" s="12"/>
      <c r="J319" s="12"/>
      <c r="K319" s="12"/>
      <c r="L319" s="14"/>
    </row>
    <row r="320" spans="1:12" x14ac:dyDescent="0.3">
      <c r="A320" s="12"/>
      <c r="B320" s="12"/>
      <c r="C320" s="12"/>
      <c r="D320" s="12"/>
      <c r="E320" s="12"/>
      <c r="F320" s="12"/>
      <c r="G320" s="12"/>
      <c r="H320" s="12"/>
      <c r="I320" s="12"/>
      <c r="J320" s="12"/>
      <c r="K320" s="12"/>
      <c r="L320" s="14"/>
    </row>
    <row r="321" spans="1:12" x14ac:dyDescent="0.3">
      <c r="A321" s="12"/>
      <c r="B321" s="12"/>
      <c r="C321" s="12"/>
      <c r="D321" s="12"/>
      <c r="E321" s="12"/>
      <c r="F321" s="12"/>
      <c r="G321" s="12"/>
      <c r="H321" s="12"/>
      <c r="I321" s="12"/>
      <c r="J321" s="12"/>
      <c r="K321" s="12"/>
      <c r="L321" s="14"/>
    </row>
    <row r="322" spans="1:12" x14ac:dyDescent="0.3">
      <c r="A322" s="12"/>
      <c r="B322" s="12"/>
      <c r="C322" s="12"/>
      <c r="D322" s="12"/>
      <c r="E322" s="12"/>
      <c r="F322" s="12"/>
      <c r="G322" s="12"/>
      <c r="H322" s="12"/>
      <c r="I322" s="12"/>
      <c r="J322" s="12"/>
      <c r="K322" s="12"/>
      <c r="L322" s="14"/>
    </row>
    <row r="323" spans="1:12" x14ac:dyDescent="0.3">
      <c r="A323" s="12"/>
      <c r="B323" s="12"/>
      <c r="C323" s="12"/>
      <c r="D323" s="12"/>
      <c r="E323" s="12"/>
      <c r="F323" s="12"/>
      <c r="G323" s="12"/>
      <c r="H323" s="12"/>
      <c r="I323" s="12"/>
      <c r="J323" s="12"/>
      <c r="K323" s="12"/>
      <c r="L323" s="14"/>
    </row>
    <row r="324" spans="1:12" x14ac:dyDescent="0.3">
      <c r="A324" s="12"/>
      <c r="B324" s="12"/>
      <c r="C324" s="12"/>
      <c r="D324" s="12"/>
      <c r="E324" s="12"/>
      <c r="F324" s="12"/>
      <c r="G324" s="12"/>
      <c r="H324" s="12"/>
      <c r="I324" s="12"/>
      <c r="J324" s="12"/>
      <c r="K324" s="12"/>
      <c r="L324" s="14"/>
    </row>
    <row r="325" spans="1:12" x14ac:dyDescent="0.3">
      <c r="A325" s="12"/>
      <c r="B325" s="12"/>
      <c r="C325" s="12"/>
      <c r="D325" s="12"/>
      <c r="E325" s="12"/>
      <c r="F325" s="12"/>
      <c r="G325" s="12"/>
      <c r="H325" s="12"/>
      <c r="I325" s="12"/>
      <c r="J325" s="12"/>
      <c r="K325" s="12"/>
      <c r="L325" s="14"/>
    </row>
    <row r="326" spans="1:12" x14ac:dyDescent="0.3">
      <c r="A326" s="12"/>
      <c r="B326" s="12"/>
      <c r="C326" s="12"/>
      <c r="D326" s="12"/>
      <c r="E326" s="12"/>
      <c r="F326" s="12"/>
      <c r="G326" s="12"/>
      <c r="H326" s="12"/>
      <c r="I326" s="12"/>
      <c r="J326" s="12"/>
      <c r="K326" s="12"/>
      <c r="L326" s="14"/>
    </row>
    <row r="327" spans="1:12" x14ac:dyDescent="0.3">
      <c r="A327" s="12"/>
      <c r="B327" s="12"/>
      <c r="C327" s="12"/>
      <c r="D327" s="12"/>
      <c r="E327" s="12"/>
      <c r="F327" s="12"/>
      <c r="G327" s="12"/>
      <c r="H327" s="12"/>
      <c r="I327" s="12"/>
      <c r="J327" s="12"/>
      <c r="K327" s="12"/>
      <c r="L327" s="14"/>
    </row>
    <row r="328" spans="1:12" x14ac:dyDescent="0.3">
      <c r="A328" s="12"/>
      <c r="B328" s="12"/>
      <c r="C328" s="12"/>
      <c r="D328" s="12"/>
      <c r="E328" s="12"/>
      <c r="F328" s="12"/>
      <c r="G328" s="12"/>
      <c r="H328" s="12"/>
      <c r="I328" s="12"/>
      <c r="J328" s="12"/>
      <c r="K328" s="12"/>
      <c r="L328" s="14"/>
    </row>
    <row r="329" spans="1:12" x14ac:dyDescent="0.3">
      <c r="A329" s="12"/>
      <c r="B329" s="12"/>
      <c r="C329" s="12"/>
      <c r="D329" s="12"/>
      <c r="E329" s="12"/>
      <c r="F329" s="12"/>
      <c r="G329" s="12"/>
      <c r="H329" s="12"/>
      <c r="I329" s="12"/>
      <c r="J329" s="12"/>
      <c r="K329" s="12"/>
      <c r="L329" s="14"/>
    </row>
    <row r="330" spans="1:12" x14ac:dyDescent="0.3">
      <c r="A330" s="12"/>
      <c r="B330" s="12"/>
      <c r="C330" s="12"/>
      <c r="D330" s="12"/>
      <c r="E330" s="12"/>
      <c r="F330" s="12"/>
      <c r="G330" s="12"/>
      <c r="H330" s="12"/>
      <c r="I330" s="12"/>
      <c r="J330" s="12"/>
      <c r="K330" s="12"/>
      <c r="L330" s="14"/>
    </row>
    <row r="331" spans="1:12" x14ac:dyDescent="0.3">
      <c r="A331" s="12"/>
      <c r="B331" s="12"/>
      <c r="C331" s="12"/>
      <c r="D331" s="12"/>
      <c r="E331" s="12"/>
      <c r="F331" s="12"/>
      <c r="G331" s="12"/>
      <c r="H331" s="12"/>
      <c r="I331" s="12"/>
      <c r="J331" s="12"/>
      <c r="K331" s="12"/>
      <c r="L331" s="14"/>
    </row>
    <row r="332" spans="1:12" x14ac:dyDescent="0.3">
      <c r="A332" s="12"/>
      <c r="B332" s="12"/>
      <c r="C332" s="12"/>
      <c r="D332" s="12"/>
      <c r="E332" s="12"/>
      <c r="F332" s="12"/>
      <c r="G332" s="12"/>
      <c r="H332" s="12"/>
      <c r="I332" s="12"/>
      <c r="J332" s="12"/>
      <c r="K332" s="12"/>
      <c r="L332" s="14"/>
    </row>
    <row r="333" spans="1:12" x14ac:dyDescent="0.3">
      <c r="A333" s="12"/>
      <c r="B333" s="12"/>
      <c r="C333" s="12"/>
      <c r="D333" s="12"/>
      <c r="E333" s="12"/>
      <c r="F333" s="12"/>
      <c r="G333" s="12"/>
      <c r="H333" s="12"/>
      <c r="I333" s="12"/>
      <c r="J333" s="12"/>
      <c r="K333" s="12"/>
      <c r="L333" s="14"/>
    </row>
    <row r="334" spans="1:12" x14ac:dyDescent="0.3">
      <c r="A334" s="12"/>
      <c r="B334" s="12"/>
      <c r="C334" s="12"/>
      <c r="D334" s="12"/>
      <c r="E334" s="12"/>
      <c r="F334" s="12"/>
      <c r="G334" s="12"/>
      <c r="H334" s="12"/>
      <c r="I334" s="12"/>
      <c r="J334" s="12"/>
      <c r="K334" s="12"/>
      <c r="L334" s="14"/>
    </row>
    <row r="335" spans="1:12" x14ac:dyDescent="0.3">
      <c r="A335" s="12"/>
      <c r="B335" s="12"/>
      <c r="C335" s="12"/>
      <c r="D335" s="12"/>
      <c r="E335" s="12"/>
      <c r="F335" s="12"/>
      <c r="G335" s="12"/>
      <c r="H335" s="12"/>
      <c r="I335" s="12"/>
      <c r="J335" s="12"/>
      <c r="K335" s="12"/>
      <c r="L335" s="14"/>
    </row>
    <row r="336" spans="1:12" x14ac:dyDescent="0.3">
      <c r="A336" s="12"/>
      <c r="B336" s="12"/>
      <c r="C336" s="12"/>
      <c r="D336" s="12"/>
      <c r="E336" s="12"/>
      <c r="F336" s="12"/>
      <c r="G336" s="12"/>
      <c r="H336" s="12"/>
      <c r="I336" s="12"/>
      <c r="J336" s="12"/>
      <c r="K336" s="12"/>
      <c r="L336" s="14"/>
    </row>
    <row r="337" spans="1:12" x14ac:dyDescent="0.3">
      <c r="A337" s="12"/>
      <c r="B337" s="12"/>
      <c r="C337" s="12"/>
      <c r="D337" s="12"/>
      <c r="E337" s="12"/>
      <c r="F337" s="12"/>
      <c r="G337" s="12"/>
      <c r="H337" s="12"/>
      <c r="I337" s="12"/>
      <c r="J337" s="12"/>
      <c r="K337" s="12"/>
      <c r="L337" s="14"/>
    </row>
    <row r="338" spans="1:12" x14ac:dyDescent="0.3">
      <c r="A338" s="12"/>
      <c r="B338" s="12"/>
      <c r="C338" s="12"/>
      <c r="D338" s="12"/>
      <c r="E338" s="12"/>
      <c r="F338" s="12"/>
      <c r="G338" s="12"/>
      <c r="H338" s="12"/>
      <c r="I338" s="12"/>
      <c r="J338" s="12"/>
      <c r="K338" s="12"/>
      <c r="L338" s="14"/>
    </row>
    <row r="339" spans="1:12" x14ac:dyDescent="0.3">
      <c r="A339" s="12"/>
      <c r="B339" s="12"/>
      <c r="C339" s="12"/>
      <c r="D339" s="12"/>
      <c r="E339" s="12"/>
      <c r="F339" s="12"/>
      <c r="G339" s="12"/>
      <c r="H339" s="12"/>
      <c r="I339" s="12"/>
      <c r="J339" s="12"/>
      <c r="K339" s="12"/>
      <c r="L339" s="14"/>
    </row>
    <row r="340" spans="1:12" x14ac:dyDescent="0.3">
      <c r="A340" s="12"/>
      <c r="B340" s="12"/>
      <c r="C340" s="12"/>
      <c r="D340" s="12"/>
      <c r="E340" s="12"/>
      <c r="F340" s="12"/>
      <c r="G340" s="12"/>
      <c r="H340" s="12"/>
      <c r="I340" s="12"/>
      <c r="J340" s="12"/>
      <c r="K340" s="12"/>
      <c r="L340" s="14"/>
    </row>
    <row r="341" spans="1:12" x14ac:dyDescent="0.3">
      <c r="A341" s="12"/>
      <c r="B341" s="12"/>
      <c r="C341" s="12"/>
      <c r="D341" s="12"/>
      <c r="E341" s="12"/>
      <c r="F341" s="12"/>
      <c r="G341" s="12"/>
      <c r="H341" s="12"/>
      <c r="I341" s="12"/>
      <c r="J341" s="12"/>
      <c r="K341" s="12"/>
      <c r="L341" s="14"/>
    </row>
    <row r="342" spans="1:12" x14ac:dyDescent="0.3">
      <c r="A342" s="12"/>
      <c r="B342" s="12"/>
      <c r="C342" s="12"/>
      <c r="D342" s="12"/>
      <c r="E342" s="12"/>
      <c r="F342" s="12"/>
      <c r="G342" s="12"/>
      <c r="H342" s="12"/>
      <c r="I342" s="12"/>
      <c r="J342" s="12"/>
      <c r="K342" s="12"/>
      <c r="L342" s="14"/>
    </row>
    <row r="343" spans="1:12" x14ac:dyDescent="0.3">
      <c r="A343" s="12"/>
      <c r="B343" s="12"/>
      <c r="C343" s="12"/>
      <c r="D343" s="12"/>
      <c r="E343" s="12"/>
      <c r="F343" s="12"/>
      <c r="G343" s="12"/>
      <c r="H343" s="12"/>
      <c r="I343" s="12"/>
      <c r="J343" s="12"/>
      <c r="K343" s="12"/>
      <c r="L343" s="14"/>
    </row>
    <row r="344" spans="1:12" x14ac:dyDescent="0.3">
      <c r="A344" s="12"/>
      <c r="B344" s="12"/>
      <c r="C344" s="12"/>
      <c r="D344" s="12"/>
      <c r="E344" s="12"/>
      <c r="F344" s="12"/>
      <c r="G344" s="12"/>
      <c r="H344" s="12"/>
      <c r="I344" s="12"/>
      <c r="J344" s="12"/>
      <c r="K344" s="12"/>
      <c r="L344" s="14"/>
    </row>
    <row r="345" spans="1:12" x14ac:dyDescent="0.3">
      <c r="A345" s="12"/>
      <c r="B345" s="12"/>
      <c r="C345" s="12"/>
      <c r="D345" s="12"/>
      <c r="E345" s="12"/>
      <c r="F345" s="12"/>
      <c r="G345" s="12"/>
      <c r="H345" s="12"/>
      <c r="I345" s="12"/>
      <c r="J345" s="12"/>
      <c r="K345" s="12"/>
      <c r="L345" s="14"/>
    </row>
    <row r="346" spans="1:12" x14ac:dyDescent="0.3">
      <c r="A346" s="12"/>
      <c r="B346" s="12"/>
      <c r="C346" s="12"/>
      <c r="D346" s="12"/>
      <c r="E346" s="12"/>
      <c r="F346" s="12"/>
      <c r="G346" s="12"/>
      <c r="H346" s="12"/>
      <c r="I346" s="12"/>
      <c r="J346" s="12"/>
      <c r="K346" s="12"/>
      <c r="L346" s="14"/>
    </row>
    <row r="347" spans="1:12" x14ac:dyDescent="0.3">
      <c r="A347" s="12"/>
      <c r="B347" s="12"/>
      <c r="C347" s="12"/>
      <c r="D347" s="12"/>
      <c r="E347" s="12"/>
      <c r="F347" s="12"/>
      <c r="G347" s="12"/>
      <c r="H347" s="12"/>
      <c r="I347" s="12"/>
      <c r="J347" s="12"/>
      <c r="K347" s="12"/>
      <c r="L347" s="14"/>
    </row>
    <row r="348" spans="1:12" x14ac:dyDescent="0.3">
      <c r="A348" s="12"/>
      <c r="B348" s="12"/>
      <c r="C348" s="12"/>
      <c r="D348" s="12"/>
      <c r="E348" s="12"/>
      <c r="F348" s="12"/>
      <c r="G348" s="12"/>
      <c r="H348" s="12"/>
      <c r="I348" s="12"/>
      <c r="J348" s="12"/>
      <c r="K348" s="12"/>
      <c r="L348" s="14"/>
    </row>
    <row r="349" spans="1:12" x14ac:dyDescent="0.3">
      <c r="A349" s="12"/>
      <c r="B349" s="12"/>
      <c r="C349" s="12"/>
      <c r="D349" s="12"/>
      <c r="E349" s="12"/>
      <c r="F349" s="12"/>
      <c r="G349" s="12"/>
      <c r="H349" s="12"/>
      <c r="I349" s="12"/>
      <c r="J349" s="12"/>
      <c r="K349" s="12"/>
      <c r="L349" s="14"/>
    </row>
    <row r="350" spans="1:12" x14ac:dyDescent="0.3">
      <c r="A350" s="12"/>
      <c r="B350" s="12"/>
      <c r="C350" s="12"/>
      <c r="D350" s="12"/>
      <c r="E350" s="12"/>
      <c r="F350" s="12"/>
      <c r="G350" s="12"/>
      <c r="H350" s="12"/>
      <c r="I350" s="12"/>
      <c r="J350" s="12"/>
      <c r="K350" s="12"/>
      <c r="L350" s="14"/>
    </row>
    <row r="351" spans="1:12" x14ac:dyDescent="0.3">
      <c r="A351" s="12"/>
      <c r="B351" s="12"/>
      <c r="C351" s="12"/>
      <c r="D351" s="12"/>
      <c r="E351" s="12"/>
      <c r="F351" s="12"/>
      <c r="G351" s="12"/>
      <c r="H351" s="12"/>
      <c r="I351" s="12"/>
      <c r="J351" s="12"/>
      <c r="K351" s="12"/>
      <c r="L351" s="14"/>
    </row>
    <row r="352" spans="1:12" x14ac:dyDescent="0.3">
      <c r="A352" s="12"/>
      <c r="B352" s="12"/>
      <c r="C352" s="12"/>
      <c r="D352" s="12"/>
      <c r="E352" s="12"/>
      <c r="F352" s="12"/>
      <c r="G352" s="12"/>
      <c r="H352" s="12"/>
      <c r="I352" s="12"/>
      <c r="J352" s="12"/>
      <c r="K352" s="12"/>
      <c r="L352" s="14"/>
    </row>
    <row r="353" spans="1:12" x14ac:dyDescent="0.3">
      <c r="A353" s="12"/>
      <c r="B353" s="12"/>
      <c r="C353" s="12"/>
      <c r="D353" s="12"/>
      <c r="E353" s="12"/>
      <c r="F353" s="12"/>
      <c r="G353" s="12"/>
      <c r="H353" s="12"/>
      <c r="I353" s="12"/>
      <c r="J353" s="12"/>
      <c r="K353" s="12"/>
      <c r="L353" s="14"/>
    </row>
    <row r="354" spans="1:12" x14ac:dyDescent="0.3">
      <c r="A354" s="12"/>
      <c r="B354" s="12"/>
      <c r="C354" s="12"/>
      <c r="D354" s="12"/>
      <c r="E354" s="12"/>
      <c r="F354" s="12"/>
      <c r="G354" s="12"/>
      <c r="H354" s="12"/>
      <c r="I354" s="12"/>
      <c r="J354" s="12"/>
      <c r="K354" s="12"/>
      <c r="L354" s="14"/>
    </row>
    <row r="355" spans="1:12" x14ac:dyDescent="0.3">
      <c r="A355" s="12"/>
      <c r="B355" s="12"/>
      <c r="C355" s="12"/>
      <c r="D355" s="12"/>
      <c r="E355" s="12"/>
      <c r="F355" s="12"/>
      <c r="G355" s="12"/>
      <c r="H355" s="12"/>
      <c r="I355" s="12"/>
      <c r="J355" s="12"/>
      <c r="K355" s="12"/>
      <c r="L355" s="14"/>
    </row>
    <row r="356" spans="1:12" x14ac:dyDescent="0.3">
      <c r="A356" s="12"/>
      <c r="B356" s="12"/>
      <c r="C356" s="12"/>
      <c r="D356" s="12"/>
      <c r="E356" s="12"/>
      <c r="F356" s="12"/>
      <c r="G356" s="12"/>
      <c r="H356" s="12"/>
      <c r="I356" s="12"/>
      <c r="J356" s="12"/>
      <c r="K356" s="12"/>
      <c r="L356" s="14"/>
    </row>
    <row r="357" spans="1:12" x14ac:dyDescent="0.3">
      <c r="A357" s="12"/>
      <c r="B357" s="12"/>
      <c r="C357" s="12"/>
      <c r="D357" s="12"/>
      <c r="E357" s="12"/>
      <c r="F357" s="12"/>
      <c r="G357" s="12"/>
      <c r="H357" s="12"/>
      <c r="I357" s="12"/>
      <c r="J357" s="12"/>
      <c r="K357" s="12"/>
      <c r="L357" s="14"/>
    </row>
    <row r="358" spans="1:12" x14ac:dyDescent="0.3">
      <c r="A358" s="12"/>
      <c r="B358" s="12"/>
      <c r="C358" s="12"/>
      <c r="D358" s="12"/>
      <c r="E358" s="12"/>
      <c r="F358" s="12"/>
      <c r="G358" s="12"/>
      <c r="H358" s="12"/>
      <c r="I358" s="12"/>
      <c r="J358" s="12"/>
      <c r="K358" s="12"/>
      <c r="L358" s="14"/>
    </row>
    <row r="359" spans="1:12" x14ac:dyDescent="0.3">
      <c r="A359" s="12"/>
      <c r="B359" s="12"/>
      <c r="C359" s="12"/>
      <c r="D359" s="12"/>
      <c r="E359" s="12"/>
      <c r="F359" s="12"/>
      <c r="G359" s="12"/>
      <c r="H359" s="12"/>
      <c r="I359" s="12"/>
      <c r="J359" s="12"/>
      <c r="K359" s="12"/>
      <c r="L359" s="14"/>
    </row>
    <row r="360" spans="1:12" x14ac:dyDescent="0.3">
      <c r="A360" s="12"/>
      <c r="B360" s="12"/>
      <c r="C360" s="12"/>
      <c r="D360" s="12"/>
      <c r="E360" s="12"/>
      <c r="F360" s="12"/>
      <c r="G360" s="12"/>
      <c r="H360" s="12"/>
      <c r="I360" s="12"/>
      <c r="J360" s="12"/>
      <c r="K360" s="12"/>
      <c r="L360" s="14"/>
    </row>
    <row r="361" spans="1:12" x14ac:dyDescent="0.3">
      <c r="A361" s="12"/>
      <c r="B361" s="12"/>
      <c r="C361" s="12"/>
      <c r="D361" s="12"/>
      <c r="E361" s="12"/>
      <c r="F361" s="12"/>
      <c r="G361" s="12"/>
      <c r="H361" s="12"/>
      <c r="I361" s="12"/>
      <c r="J361" s="12"/>
      <c r="K361" s="12"/>
      <c r="L361" s="14"/>
    </row>
    <row r="362" spans="1:12" x14ac:dyDescent="0.3">
      <c r="A362" s="12"/>
      <c r="B362" s="12"/>
      <c r="C362" s="12"/>
      <c r="D362" s="12"/>
      <c r="E362" s="12"/>
      <c r="F362" s="12"/>
      <c r="G362" s="12"/>
      <c r="H362" s="12"/>
      <c r="I362" s="12"/>
      <c r="J362" s="12"/>
      <c r="K362" s="12"/>
      <c r="L362" s="14"/>
    </row>
    <row r="363" spans="1:12" x14ac:dyDescent="0.3">
      <c r="A363" s="12"/>
      <c r="B363" s="12"/>
      <c r="C363" s="12"/>
      <c r="D363" s="12"/>
      <c r="E363" s="12"/>
      <c r="F363" s="12"/>
      <c r="G363" s="12"/>
      <c r="H363" s="12"/>
      <c r="I363" s="12"/>
      <c r="J363" s="12"/>
      <c r="K363" s="12"/>
      <c r="L363" s="14"/>
    </row>
    <row r="364" spans="1:12" x14ac:dyDescent="0.3">
      <c r="A364" s="12"/>
      <c r="B364" s="12"/>
      <c r="C364" s="12"/>
      <c r="D364" s="12"/>
      <c r="E364" s="12"/>
      <c r="F364" s="12"/>
      <c r="G364" s="12"/>
      <c r="H364" s="12"/>
      <c r="I364" s="12"/>
      <c r="J364" s="12"/>
      <c r="K364" s="12"/>
      <c r="L364" s="14"/>
    </row>
    <row r="365" spans="1:12" x14ac:dyDescent="0.3">
      <c r="A365" s="12"/>
      <c r="B365" s="12"/>
      <c r="C365" s="12"/>
      <c r="D365" s="12"/>
      <c r="E365" s="12"/>
      <c r="F365" s="12"/>
      <c r="G365" s="12"/>
      <c r="H365" s="12"/>
      <c r="I365" s="12"/>
      <c r="J365" s="12"/>
      <c r="K365" s="12"/>
      <c r="L365" s="14"/>
    </row>
    <row r="366" spans="1:12" x14ac:dyDescent="0.3">
      <c r="A366" s="12"/>
      <c r="B366" s="12"/>
      <c r="C366" s="12"/>
      <c r="D366" s="12"/>
      <c r="E366" s="12"/>
      <c r="F366" s="12"/>
      <c r="G366" s="12"/>
      <c r="H366" s="12"/>
      <c r="I366" s="12"/>
      <c r="J366" s="12"/>
      <c r="K366" s="12"/>
      <c r="L366" s="14"/>
    </row>
    <row r="367" spans="1:12" x14ac:dyDescent="0.3">
      <c r="A367" s="12"/>
      <c r="B367" s="12"/>
      <c r="C367" s="12"/>
      <c r="D367" s="12"/>
      <c r="E367" s="12"/>
      <c r="F367" s="12"/>
      <c r="G367" s="12"/>
      <c r="H367" s="12"/>
      <c r="I367" s="12"/>
      <c r="J367" s="12"/>
      <c r="K367" s="12"/>
      <c r="L367" s="14"/>
    </row>
    <row r="368" spans="1:12" x14ac:dyDescent="0.3">
      <c r="A368" s="12"/>
      <c r="B368" s="12"/>
      <c r="C368" s="12"/>
      <c r="D368" s="12"/>
      <c r="E368" s="12"/>
      <c r="F368" s="12"/>
      <c r="G368" s="12"/>
      <c r="H368" s="12"/>
      <c r="I368" s="12"/>
      <c r="J368" s="12"/>
      <c r="K368" s="12"/>
      <c r="L368" s="14"/>
    </row>
    <row r="369" spans="1:12" x14ac:dyDescent="0.3">
      <c r="A369" s="12"/>
      <c r="B369" s="12"/>
      <c r="C369" s="12"/>
      <c r="D369" s="12"/>
      <c r="E369" s="12"/>
      <c r="F369" s="12"/>
      <c r="G369" s="12"/>
      <c r="H369" s="12"/>
      <c r="I369" s="12"/>
      <c r="J369" s="12"/>
      <c r="K369" s="12"/>
      <c r="L369" s="14"/>
    </row>
    <row r="370" spans="1:12" x14ac:dyDescent="0.3">
      <c r="A370" s="12"/>
      <c r="B370" s="12"/>
      <c r="C370" s="12"/>
      <c r="D370" s="12"/>
      <c r="E370" s="12"/>
      <c r="F370" s="12"/>
      <c r="G370" s="12"/>
      <c r="H370" s="12"/>
      <c r="I370" s="12"/>
      <c r="J370" s="12"/>
      <c r="K370" s="12"/>
      <c r="L370" s="14"/>
    </row>
    <row r="371" spans="1:12" x14ac:dyDescent="0.3">
      <c r="A371" s="12"/>
      <c r="B371" s="12"/>
      <c r="C371" s="12"/>
      <c r="D371" s="12"/>
      <c r="E371" s="12"/>
      <c r="F371" s="12"/>
      <c r="G371" s="12"/>
      <c r="H371" s="12"/>
      <c r="I371" s="12"/>
      <c r="J371" s="12"/>
      <c r="K371" s="12"/>
      <c r="L371" s="14"/>
    </row>
    <row r="372" spans="1:12" x14ac:dyDescent="0.3">
      <c r="A372" s="12"/>
      <c r="B372" s="12"/>
      <c r="C372" s="12"/>
      <c r="D372" s="12"/>
      <c r="E372" s="12"/>
      <c r="F372" s="12"/>
      <c r="G372" s="12"/>
      <c r="H372" s="12"/>
      <c r="I372" s="12"/>
      <c r="J372" s="12"/>
      <c r="K372" s="12"/>
      <c r="L372" s="14"/>
    </row>
    <row r="373" spans="1:12" x14ac:dyDescent="0.3">
      <c r="A373" s="12"/>
      <c r="B373" s="12"/>
      <c r="C373" s="12"/>
      <c r="D373" s="12"/>
      <c r="E373" s="12"/>
      <c r="F373" s="12"/>
      <c r="G373" s="12"/>
      <c r="H373" s="12"/>
      <c r="I373" s="12"/>
      <c r="J373" s="12"/>
      <c r="K373" s="12"/>
      <c r="L373" s="14"/>
    </row>
    <row r="374" spans="1:12" x14ac:dyDescent="0.3">
      <c r="A374" s="12"/>
      <c r="B374" s="12"/>
      <c r="C374" s="12"/>
      <c r="D374" s="12"/>
      <c r="E374" s="12"/>
      <c r="F374" s="12"/>
      <c r="G374" s="12"/>
      <c r="H374" s="12"/>
      <c r="I374" s="12"/>
      <c r="J374" s="12"/>
      <c r="K374" s="12"/>
      <c r="L374" s="14"/>
    </row>
    <row r="375" spans="1:12" x14ac:dyDescent="0.3">
      <c r="A375" s="12"/>
      <c r="B375" s="12"/>
      <c r="C375" s="12"/>
      <c r="D375" s="12"/>
      <c r="E375" s="12"/>
      <c r="F375" s="12"/>
      <c r="G375" s="12"/>
      <c r="H375" s="12"/>
      <c r="I375" s="12"/>
      <c r="J375" s="12"/>
      <c r="K375" s="12"/>
      <c r="L375" s="14"/>
    </row>
    <row r="376" spans="1:12" x14ac:dyDescent="0.3">
      <c r="A376" s="12"/>
      <c r="B376" s="12"/>
      <c r="C376" s="12"/>
      <c r="D376" s="12"/>
      <c r="E376" s="12"/>
      <c r="F376" s="12"/>
      <c r="G376" s="12"/>
      <c r="H376" s="12"/>
      <c r="I376" s="12"/>
      <c r="J376" s="12"/>
      <c r="K376" s="12"/>
      <c r="L376" s="14"/>
    </row>
    <row r="377" spans="1:12" x14ac:dyDescent="0.3">
      <c r="A377" s="12"/>
      <c r="B377" s="12"/>
      <c r="C377" s="12"/>
      <c r="D377" s="12"/>
      <c r="E377" s="12"/>
      <c r="F377" s="12"/>
      <c r="G377" s="12"/>
      <c r="H377" s="12"/>
      <c r="I377" s="12"/>
      <c r="J377" s="12"/>
      <c r="K377" s="12"/>
      <c r="L377" s="14"/>
    </row>
    <row r="378" spans="1:12" x14ac:dyDescent="0.3">
      <c r="A378" s="12"/>
      <c r="B378" s="12"/>
      <c r="C378" s="12"/>
      <c r="D378" s="12"/>
      <c r="E378" s="12"/>
      <c r="F378" s="12"/>
      <c r="G378" s="12"/>
      <c r="H378" s="12"/>
      <c r="I378" s="12"/>
      <c r="J378" s="12"/>
      <c r="K378" s="12"/>
      <c r="L378" s="14"/>
    </row>
    <row r="379" spans="1:12" x14ac:dyDescent="0.3">
      <c r="A379" s="12"/>
      <c r="B379" s="12"/>
      <c r="C379" s="12"/>
      <c r="D379" s="12"/>
      <c r="E379" s="12"/>
      <c r="F379" s="12"/>
      <c r="G379" s="12"/>
      <c r="H379" s="12"/>
      <c r="I379" s="12"/>
      <c r="J379" s="12"/>
      <c r="K379" s="12"/>
      <c r="L379" s="14"/>
    </row>
    <row r="380" spans="1:12" x14ac:dyDescent="0.3">
      <c r="A380" s="12"/>
      <c r="B380" s="12"/>
      <c r="C380" s="12"/>
      <c r="D380" s="12"/>
      <c r="E380" s="12"/>
      <c r="F380" s="12"/>
      <c r="G380" s="12"/>
      <c r="H380" s="12"/>
      <c r="I380" s="12"/>
      <c r="J380" s="12"/>
      <c r="K380" s="12"/>
      <c r="L380" s="14"/>
    </row>
    <row r="381" spans="1:12" x14ac:dyDescent="0.3">
      <c r="A381" s="12"/>
      <c r="B381" s="12"/>
      <c r="C381" s="12"/>
      <c r="D381" s="12"/>
      <c r="E381" s="12"/>
      <c r="F381" s="12"/>
      <c r="G381" s="12"/>
      <c r="H381" s="12"/>
      <c r="I381" s="12"/>
      <c r="J381" s="12"/>
      <c r="K381" s="12"/>
      <c r="L381" s="14"/>
    </row>
    <row r="382" spans="1:12" x14ac:dyDescent="0.3">
      <c r="A382" s="12"/>
      <c r="B382" s="12"/>
      <c r="C382" s="12"/>
      <c r="D382" s="12"/>
      <c r="E382" s="12"/>
      <c r="F382" s="12"/>
      <c r="G382" s="12"/>
      <c r="H382" s="12"/>
      <c r="I382" s="12"/>
      <c r="J382" s="12"/>
      <c r="K382" s="12"/>
      <c r="L382" s="14"/>
    </row>
    <row r="383" spans="1:12" x14ac:dyDescent="0.3">
      <c r="A383" s="12"/>
      <c r="B383" s="12"/>
      <c r="C383" s="12"/>
      <c r="D383" s="12"/>
      <c r="E383" s="12"/>
      <c r="F383" s="12"/>
      <c r="G383" s="12"/>
      <c r="H383" s="12"/>
      <c r="I383" s="12"/>
      <c r="J383" s="12"/>
      <c r="K383" s="12"/>
      <c r="L383" s="14"/>
    </row>
    <row r="384" spans="1:12" x14ac:dyDescent="0.3">
      <c r="A384" s="12"/>
      <c r="B384" s="12"/>
      <c r="C384" s="12"/>
      <c r="D384" s="12"/>
      <c r="E384" s="12"/>
      <c r="F384" s="12"/>
      <c r="G384" s="12"/>
      <c r="H384" s="12"/>
      <c r="I384" s="12"/>
      <c r="J384" s="12"/>
      <c r="K384" s="12"/>
      <c r="L384" s="14"/>
    </row>
    <row r="385" spans="1:12" x14ac:dyDescent="0.3">
      <c r="A385" s="12"/>
      <c r="B385" s="12"/>
      <c r="C385" s="12"/>
      <c r="D385" s="12"/>
      <c r="E385" s="12"/>
      <c r="F385" s="12"/>
      <c r="G385" s="12"/>
      <c r="H385" s="12"/>
      <c r="I385" s="12"/>
      <c r="J385" s="12"/>
      <c r="K385" s="12"/>
      <c r="L385" s="14"/>
    </row>
    <row r="386" spans="1:12" x14ac:dyDescent="0.3">
      <c r="A386" s="12"/>
      <c r="B386" s="12"/>
      <c r="C386" s="12"/>
      <c r="D386" s="12"/>
      <c r="E386" s="12"/>
      <c r="F386" s="12"/>
      <c r="G386" s="12"/>
      <c r="H386" s="12"/>
      <c r="I386" s="12"/>
      <c r="J386" s="12"/>
      <c r="K386" s="12"/>
      <c r="L386" s="14"/>
    </row>
    <row r="387" spans="1:12" x14ac:dyDescent="0.3">
      <c r="A387" s="12"/>
      <c r="B387" s="12"/>
      <c r="C387" s="12"/>
      <c r="D387" s="12"/>
      <c r="E387" s="12"/>
      <c r="F387" s="12"/>
      <c r="G387" s="12"/>
      <c r="H387" s="12"/>
      <c r="I387" s="12"/>
      <c r="J387" s="12"/>
      <c r="K387" s="12"/>
      <c r="L387" s="14"/>
    </row>
    <row r="388" spans="1:12" x14ac:dyDescent="0.3">
      <c r="A388" s="12"/>
      <c r="B388" s="12"/>
      <c r="C388" s="12"/>
      <c r="D388" s="12"/>
      <c r="E388" s="12"/>
      <c r="F388" s="12"/>
      <c r="G388" s="12"/>
      <c r="H388" s="12"/>
      <c r="I388" s="12"/>
      <c r="J388" s="12"/>
      <c r="K388" s="12"/>
      <c r="L388" s="14"/>
    </row>
    <row r="389" spans="1:12" x14ac:dyDescent="0.3">
      <c r="A389" s="12"/>
      <c r="B389" s="12"/>
      <c r="C389" s="12"/>
      <c r="D389" s="12"/>
      <c r="E389" s="12"/>
      <c r="F389" s="12"/>
      <c r="G389" s="12"/>
      <c r="H389" s="12"/>
      <c r="I389" s="12"/>
      <c r="J389" s="12"/>
      <c r="K389" s="12"/>
      <c r="L389" s="14"/>
    </row>
    <row r="390" spans="1:12" x14ac:dyDescent="0.3">
      <c r="A390" s="12"/>
      <c r="B390" s="12"/>
      <c r="C390" s="12"/>
      <c r="D390" s="12"/>
      <c r="E390" s="12"/>
      <c r="F390" s="12"/>
      <c r="G390" s="12"/>
      <c r="H390" s="12"/>
      <c r="I390" s="12"/>
      <c r="J390" s="12"/>
      <c r="K390" s="12"/>
      <c r="L390" s="14"/>
    </row>
    <row r="391" spans="1:12" x14ac:dyDescent="0.3">
      <c r="A391" s="12"/>
      <c r="B391" s="12"/>
      <c r="C391" s="12"/>
      <c r="D391" s="12"/>
      <c r="E391" s="12"/>
      <c r="F391" s="12"/>
      <c r="G391" s="12"/>
      <c r="H391" s="12"/>
      <c r="I391" s="12"/>
      <c r="J391" s="12"/>
      <c r="K391" s="12"/>
      <c r="L391" s="14"/>
    </row>
    <row r="392" spans="1:12" x14ac:dyDescent="0.3">
      <c r="A392" s="12"/>
      <c r="B392" s="12"/>
      <c r="C392" s="12"/>
      <c r="D392" s="12"/>
      <c r="E392" s="12"/>
      <c r="F392" s="12"/>
      <c r="G392" s="12"/>
      <c r="H392" s="12"/>
      <c r="I392" s="12"/>
      <c r="J392" s="12"/>
      <c r="K392" s="12"/>
      <c r="L392" s="14"/>
    </row>
    <row r="393" spans="1:12" x14ac:dyDescent="0.3">
      <c r="A393" s="12"/>
      <c r="B393" s="12"/>
      <c r="C393" s="12"/>
      <c r="D393" s="12"/>
      <c r="E393" s="12"/>
      <c r="F393" s="12"/>
      <c r="G393" s="12"/>
      <c r="H393" s="12"/>
      <c r="I393" s="12"/>
      <c r="J393" s="12"/>
      <c r="K393" s="12"/>
      <c r="L393" s="14"/>
    </row>
    <row r="394" spans="1:12" x14ac:dyDescent="0.3">
      <c r="A394" s="12"/>
      <c r="B394" s="12"/>
      <c r="C394" s="12"/>
      <c r="D394" s="12"/>
      <c r="E394" s="12"/>
      <c r="F394" s="12"/>
      <c r="G394" s="12"/>
      <c r="H394" s="12"/>
      <c r="I394" s="12"/>
      <c r="J394" s="12"/>
      <c r="K394" s="12"/>
      <c r="L394" s="14"/>
    </row>
    <row r="395" spans="1:12" x14ac:dyDescent="0.3">
      <c r="A395" s="12"/>
      <c r="B395" s="12"/>
      <c r="C395" s="12"/>
      <c r="D395" s="12"/>
      <c r="E395" s="12"/>
      <c r="F395" s="12"/>
      <c r="G395" s="12"/>
      <c r="H395" s="12"/>
      <c r="I395" s="12"/>
      <c r="J395" s="12"/>
      <c r="K395" s="12"/>
      <c r="L395" s="14"/>
    </row>
    <row r="396" spans="1:12" x14ac:dyDescent="0.3">
      <c r="A396" s="12"/>
      <c r="B396" s="12"/>
      <c r="C396" s="12"/>
      <c r="D396" s="12"/>
      <c r="E396" s="12"/>
      <c r="F396" s="12"/>
      <c r="G396" s="12"/>
      <c r="H396" s="12"/>
      <c r="I396" s="12"/>
      <c r="J396" s="12"/>
      <c r="K396" s="12"/>
      <c r="L396" s="14"/>
    </row>
    <row r="397" spans="1:12" x14ac:dyDescent="0.3">
      <c r="A397" s="12"/>
      <c r="B397" s="12"/>
      <c r="C397" s="12"/>
      <c r="D397" s="12"/>
      <c r="E397" s="12"/>
      <c r="F397" s="12"/>
      <c r="G397" s="12"/>
      <c r="H397" s="12"/>
      <c r="I397" s="12"/>
      <c r="J397" s="12"/>
      <c r="K397" s="12"/>
      <c r="L397" s="14"/>
    </row>
    <row r="398" spans="1:12" x14ac:dyDescent="0.3">
      <c r="A398" s="12"/>
      <c r="B398" s="12"/>
      <c r="C398" s="12"/>
      <c r="D398" s="12"/>
      <c r="E398" s="12"/>
      <c r="F398" s="12"/>
      <c r="G398" s="12"/>
      <c r="H398" s="12"/>
      <c r="I398" s="12"/>
      <c r="J398" s="12"/>
      <c r="K398" s="12"/>
      <c r="L398" s="14"/>
    </row>
    <row r="399" spans="1:12" x14ac:dyDescent="0.3">
      <c r="A399" s="12"/>
      <c r="B399" s="12"/>
      <c r="C399" s="12"/>
      <c r="D399" s="12"/>
      <c r="E399" s="12"/>
      <c r="F399" s="12"/>
      <c r="G399" s="12"/>
      <c r="H399" s="12"/>
      <c r="I399" s="12"/>
      <c r="J399" s="12"/>
      <c r="K399" s="12"/>
      <c r="L399" s="14"/>
    </row>
    <row r="400" spans="1:12" x14ac:dyDescent="0.3">
      <c r="A400" s="12"/>
      <c r="B400" s="12"/>
      <c r="C400" s="12"/>
      <c r="D400" s="12"/>
      <c r="E400" s="12"/>
      <c r="F400" s="12"/>
      <c r="G400" s="12"/>
      <c r="H400" s="12"/>
      <c r="I400" s="12"/>
      <c r="J400" s="12"/>
      <c r="K400" s="12"/>
      <c r="L400" s="14"/>
    </row>
    <row r="401" spans="1:12" x14ac:dyDescent="0.3">
      <c r="A401" s="12"/>
      <c r="B401" s="12"/>
      <c r="C401" s="12"/>
      <c r="D401" s="12"/>
      <c r="E401" s="12"/>
      <c r="F401" s="12"/>
      <c r="G401" s="12"/>
      <c r="H401" s="12"/>
      <c r="I401" s="12"/>
      <c r="J401" s="12"/>
      <c r="K401" s="12"/>
      <c r="L401" s="14"/>
    </row>
    <row r="402" spans="1:12" x14ac:dyDescent="0.3">
      <c r="A402" s="12"/>
      <c r="B402" s="12"/>
      <c r="C402" s="12"/>
      <c r="D402" s="12"/>
      <c r="E402" s="12"/>
      <c r="F402" s="12"/>
      <c r="G402" s="12"/>
      <c r="H402" s="12"/>
      <c r="I402" s="12"/>
      <c r="J402" s="12"/>
      <c r="K402" s="12"/>
      <c r="L402" s="14"/>
    </row>
    <row r="403" spans="1:12" x14ac:dyDescent="0.3">
      <c r="A403" s="12"/>
      <c r="B403" s="12"/>
      <c r="C403" s="12"/>
      <c r="D403" s="12"/>
      <c r="E403" s="12"/>
      <c r="F403" s="12"/>
      <c r="G403" s="12"/>
      <c r="H403" s="12"/>
      <c r="I403" s="12"/>
      <c r="J403" s="12"/>
      <c r="K403" s="12"/>
      <c r="L403" s="14"/>
    </row>
    <row r="404" spans="1:12" x14ac:dyDescent="0.3">
      <c r="A404" s="12"/>
      <c r="B404" s="12"/>
      <c r="C404" s="12"/>
      <c r="D404" s="12"/>
      <c r="E404" s="12"/>
      <c r="F404" s="12"/>
      <c r="G404" s="12"/>
      <c r="H404" s="12"/>
      <c r="I404" s="12"/>
      <c r="J404" s="12"/>
      <c r="K404" s="12"/>
      <c r="L404" s="14"/>
    </row>
    <row r="405" spans="1:12" x14ac:dyDescent="0.3">
      <c r="A405" s="12"/>
      <c r="B405" s="12"/>
      <c r="C405" s="12"/>
      <c r="D405" s="12"/>
      <c r="E405" s="12"/>
      <c r="F405" s="12"/>
      <c r="G405" s="12"/>
      <c r="H405" s="12"/>
      <c r="I405" s="12"/>
      <c r="J405" s="12"/>
      <c r="K405" s="12"/>
      <c r="L405" s="14"/>
    </row>
    <row r="406" spans="1:12" x14ac:dyDescent="0.3">
      <c r="A406" s="12"/>
      <c r="B406" s="12"/>
      <c r="C406" s="12"/>
      <c r="D406" s="12"/>
      <c r="E406" s="12"/>
      <c r="F406" s="12"/>
      <c r="G406" s="12"/>
      <c r="H406" s="12"/>
      <c r="I406" s="12"/>
      <c r="J406" s="12"/>
      <c r="K406" s="12"/>
      <c r="L406" s="14"/>
    </row>
    <row r="407" spans="1:12" x14ac:dyDescent="0.3">
      <c r="A407" s="12"/>
      <c r="B407" s="12"/>
      <c r="C407" s="12"/>
      <c r="D407" s="12"/>
      <c r="E407" s="12"/>
      <c r="F407" s="12"/>
      <c r="G407" s="12"/>
      <c r="H407" s="12"/>
      <c r="I407" s="12"/>
      <c r="J407" s="12"/>
      <c r="K407" s="12"/>
      <c r="L407" s="14"/>
    </row>
    <row r="408" spans="1:12" x14ac:dyDescent="0.3">
      <c r="A408" s="12"/>
      <c r="B408" s="12"/>
      <c r="C408" s="12"/>
      <c r="D408" s="12"/>
      <c r="E408" s="12"/>
      <c r="F408" s="12"/>
      <c r="G408" s="12"/>
      <c r="H408" s="12"/>
      <c r="I408" s="12"/>
      <c r="J408" s="12"/>
      <c r="K408" s="12"/>
      <c r="L408" s="14"/>
    </row>
    <row r="409" spans="1:12" x14ac:dyDescent="0.3">
      <c r="A409" s="12"/>
      <c r="B409" s="12"/>
      <c r="C409" s="12"/>
      <c r="D409" s="12"/>
      <c r="E409" s="12"/>
      <c r="F409" s="12"/>
      <c r="G409" s="12"/>
      <c r="H409" s="12"/>
      <c r="I409" s="12"/>
      <c r="J409" s="12"/>
      <c r="K409" s="12"/>
      <c r="L409" s="14"/>
    </row>
    <row r="410" spans="1:12" x14ac:dyDescent="0.3">
      <c r="A410" s="12"/>
      <c r="B410" s="12"/>
      <c r="C410" s="12"/>
      <c r="D410" s="12"/>
      <c r="E410" s="12"/>
      <c r="F410" s="12"/>
      <c r="G410" s="12"/>
      <c r="H410" s="12"/>
      <c r="I410" s="12"/>
      <c r="J410" s="12"/>
      <c r="K410" s="12"/>
      <c r="L410" s="14"/>
    </row>
    <row r="411" spans="1:12" x14ac:dyDescent="0.3">
      <c r="A411" s="12"/>
      <c r="B411" s="12"/>
      <c r="C411" s="12"/>
      <c r="D411" s="12"/>
      <c r="E411" s="12"/>
      <c r="F411" s="12"/>
      <c r="G411" s="12"/>
      <c r="H411" s="12"/>
      <c r="I411" s="12"/>
      <c r="J411" s="12"/>
      <c r="K411" s="12"/>
      <c r="L411" s="14"/>
    </row>
    <row r="412" spans="1:12" x14ac:dyDescent="0.3">
      <c r="A412" s="12"/>
      <c r="B412" s="12"/>
      <c r="C412" s="12"/>
      <c r="D412" s="12"/>
      <c r="E412" s="12"/>
      <c r="F412" s="12"/>
      <c r="G412" s="12"/>
      <c r="H412" s="12"/>
      <c r="I412" s="12"/>
      <c r="J412" s="12"/>
      <c r="K412" s="12"/>
      <c r="L412" s="14"/>
    </row>
    <row r="413" spans="1:12" x14ac:dyDescent="0.3">
      <c r="A413" s="12"/>
      <c r="B413" s="12"/>
      <c r="C413" s="12"/>
      <c r="D413" s="12"/>
      <c r="E413" s="12"/>
      <c r="F413" s="12"/>
      <c r="G413" s="12"/>
      <c r="H413" s="12"/>
      <c r="I413" s="12"/>
      <c r="J413" s="12"/>
      <c r="K413" s="12"/>
      <c r="L413" s="14"/>
    </row>
    <row r="414" spans="1:12" x14ac:dyDescent="0.3">
      <c r="A414" s="12"/>
      <c r="B414" s="12"/>
      <c r="C414" s="12"/>
      <c r="D414" s="12"/>
      <c r="E414" s="12"/>
      <c r="F414" s="12"/>
      <c r="G414" s="12"/>
      <c r="H414" s="12"/>
      <c r="I414" s="12"/>
      <c r="J414" s="12"/>
      <c r="K414" s="12"/>
      <c r="L414" s="14"/>
    </row>
    <row r="415" spans="1:12" x14ac:dyDescent="0.3">
      <c r="A415" s="12"/>
      <c r="B415" s="12"/>
      <c r="C415" s="12"/>
      <c r="D415" s="12"/>
      <c r="E415" s="12"/>
      <c r="F415" s="12"/>
      <c r="G415" s="12"/>
      <c r="H415" s="12"/>
      <c r="I415" s="12"/>
      <c r="J415" s="12"/>
      <c r="K415" s="12"/>
      <c r="L415" s="14"/>
    </row>
    <row r="416" spans="1:12" x14ac:dyDescent="0.3">
      <c r="A416" s="12"/>
      <c r="B416" s="12"/>
      <c r="C416" s="12"/>
      <c r="D416" s="12"/>
      <c r="E416" s="12"/>
      <c r="F416" s="12"/>
      <c r="G416" s="12"/>
      <c r="H416" s="12"/>
      <c r="I416" s="12"/>
      <c r="J416" s="12"/>
      <c r="K416" s="12"/>
      <c r="L416" s="14"/>
    </row>
    <row r="417" spans="1:12" x14ac:dyDescent="0.3">
      <c r="A417" s="12"/>
      <c r="B417" s="12"/>
      <c r="C417" s="12"/>
      <c r="D417" s="12"/>
      <c r="E417" s="12"/>
      <c r="F417" s="12"/>
      <c r="G417" s="12"/>
      <c r="H417" s="12"/>
      <c r="I417" s="12"/>
      <c r="J417" s="12"/>
      <c r="K417" s="12"/>
      <c r="L417" s="14"/>
    </row>
    <row r="418" spans="1:12" x14ac:dyDescent="0.3">
      <c r="A418" s="12"/>
      <c r="B418" s="12"/>
      <c r="C418" s="12"/>
      <c r="D418" s="12"/>
      <c r="E418" s="12"/>
      <c r="F418" s="12"/>
      <c r="G418" s="12"/>
      <c r="H418" s="12"/>
      <c r="I418" s="12"/>
      <c r="J418" s="12"/>
      <c r="K418" s="12"/>
      <c r="L418" s="14"/>
    </row>
    <row r="419" spans="1:12" x14ac:dyDescent="0.3">
      <c r="A419" s="12"/>
      <c r="B419" s="12"/>
      <c r="C419" s="12"/>
      <c r="D419" s="12"/>
      <c r="E419" s="12"/>
      <c r="F419" s="12"/>
      <c r="G419" s="12"/>
      <c r="H419" s="12"/>
      <c r="I419" s="12"/>
      <c r="J419" s="12"/>
      <c r="K419" s="12"/>
      <c r="L419" s="14"/>
    </row>
    <row r="420" spans="1:12" x14ac:dyDescent="0.3">
      <c r="A420" s="12"/>
      <c r="B420" s="12"/>
      <c r="C420" s="12"/>
      <c r="D420" s="12"/>
      <c r="E420" s="12"/>
      <c r="F420" s="12"/>
      <c r="G420" s="12"/>
      <c r="H420" s="12"/>
      <c r="I420" s="12"/>
      <c r="J420" s="12"/>
      <c r="K420" s="12"/>
      <c r="L420" s="14"/>
    </row>
    <row r="421" spans="1:12" x14ac:dyDescent="0.3">
      <c r="A421" s="12"/>
      <c r="B421" s="12"/>
      <c r="C421" s="12"/>
      <c r="D421" s="12"/>
      <c r="E421" s="12"/>
      <c r="F421" s="12"/>
      <c r="G421" s="12"/>
      <c r="H421" s="12"/>
      <c r="I421" s="12"/>
      <c r="J421" s="12"/>
      <c r="K421" s="12"/>
      <c r="L421" s="14"/>
    </row>
    <row r="422" spans="1:12" x14ac:dyDescent="0.3">
      <c r="A422" s="12"/>
      <c r="B422" s="12"/>
      <c r="C422" s="12"/>
      <c r="D422" s="12"/>
      <c r="E422" s="12"/>
      <c r="F422" s="12"/>
      <c r="G422" s="12"/>
      <c r="H422" s="12"/>
      <c r="I422" s="12"/>
      <c r="J422" s="12"/>
      <c r="K422" s="12"/>
      <c r="L422" s="14"/>
    </row>
    <row r="423" spans="1:12" x14ac:dyDescent="0.3">
      <c r="A423" s="12"/>
      <c r="B423" s="12"/>
      <c r="C423" s="12"/>
      <c r="D423" s="12"/>
      <c r="E423" s="12"/>
      <c r="F423" s="12"/>
      <c r="G423" s="12"/>
      <c r="H423" s="12"/>
      <c r="I423" s="12"/>
      <c r="J423" s="12"/>
      <c r="K423" s="12"/>
      <c r="L423" s="14"/>
    </row>
    <row r="424" spans="1:12" x14ac:dyDescent="0.3">
      <c r="A424" s="12"/>
      <c r="B424" s="12"/>
      <c r="C424" s="12"/>
      <c r="D424" s="12"/>
      <c r="E424" s="12"/>
      <c r="F424" s="12"/>
      <c r="G424" s="12"/>
      <c r="H424" s="12"/>
      <c r="I424" s="12"/>
      <c r="J424" s="12"/>
      <c r="K424" s="12"/>
      <c r="L424" s="14"/>
    </row>
    <row r="425" spans="1:12" x14ac:dyDescent="0.3">
      <c r="A425" s="12"/>
      <c r="B425" s="12"/>
      <c r="C425" s="12"/>
      <c r="D425" s="12"/>
      <c r="E425" s="12"/>
      <c r="F425" s="12"/>
      <c r="G425" s="12"/>
      <c r="H425" s="12"/>
      <c r="I425" s="12"/>
      <c r="J425" s="12"/>
      <c r="K425" s="12"/>
      <c r="L425" s="14"/>
    </row>
    <row r="426" spans="1:12" x14ac:dyDescent="0.3">
      <c r="A426" s="12"/>
      <c r="B426" s="12"/>
      <c r="C426" s="12"/>
      <c r="D426" s="12"/>
      <c r="E426" s="12"/>
      <c r="F426" s="12"/>
      <c r="G426" s="12"/>
      <c r="H426" s="12"/>
      <c r="I426" s="12"/>
      <c r="J426" s="12"/>
      <c r="K426" s="12"/>
      <c r="L426" s="14"/>
    </row>
    <row r="427" spans="1:12" x14ac:dyDescent="0.3">
      <c r="A427" s="12"/>
      <c r="B427" s="12"/>
      <c r="C427" s="12"/>
      <c r="D427" s="12"/>
      <c r="E427" s="12"/>
      <c r="F427" s="12"/>
      <c r="G427" s="12"/>
      <c r="H427" s="12"/>
      <c r="I427" s="12"/>
      <c r="J427" s="12"/>
      <c r="K427" s="12"/>
      <c r="L427" s="14"/>
    </row>
    <row r="428" spans="1:12" x14ac:dyDescent="0.3">
      <c r="A428" s="12"/>
      <c r="B428" s="12"/>
      <c r="C428" s="12"/>
      <c r="D428" s="12"/>
      <c r="E428" s="12"/>
      <c r="F428" s="12"/>
      <c r="G428" s="12"/>
      <c r="H428" s="12"/>
      <c r="I428" s="12"/>
      <c r="J428" s="12"/>
      <c r="K428" s="12"/>
      <c r="L428" s="14"/>
    </row>
    <row r="429" spans="1:12" x14ac:dyDescent="0.3">
      <c r="A429" s="12"/>
      <c r="B429" s="12"/>
      <c r="C429" s="12"/>
      <c r="D429" s="12"/>
      <c r="E429" s="12"/>
      <c r="F429" s="12"/>
      <c r="G429" s="12"/>
      <c r="H429" s="12"/>
      <c r="I429" s="12"/>
      <c r="J429" s="12"/>
      <c r="K429" s="12"/>
      <c r="L429" s="14"/>
    </row>
    <row r="430" spans="1:12" x14ac:dyDescent="0.3">
      <c r="A430" s="12"/>
      <c r="B430" s="12"/>
      <c r="C430" s="12"/>
      <c r="D430" s="12"/>
      <c r="E430" s="12"/>
      <c r="F430" s="12"/>
      <c r="G430" s="12"/>
      <c r="H430" s="12"/>
      <c r="I430" s="12"/>
      <c r="J430" s="12"/>
      <c r="K430" s="12"/>
      <c r="L430" s="14"/>
    </row>
    <row r="431" spans="1:12" x14ac:dyDescent="0.3">
      <c r="A431" s="12"/>
      <c r="B431" s="12"/>
      <c r="C431" s="12"/>
      <c r="D431" s="12"/>
      <c r="E431" s="12"/>
      <c r="F431" s="12"/>
      <c r="G431" s="12"/>
      <c r="H431" s="12"/>
      <c r="I431" s="12"/>
      <c r="J431" s="12"/>
      <c r="K431" s="12"/>
      <c r="L431" s="14"/>
    </row>
    <row r="432" spans="1:12" x14ac:dyDescent="0.3">
      <c r="A432" s="12"/>
      <c r="B432" s="12"/>
      <c r="C432" s="12"/>
      <c r="D432" s="12"/>
      <c r="E432" s="12"/>
      <c r="F432" s="12"/>
      <c r="G432" s="12"/>
      <c r="H432" s="12"/>
      <c r="I432" s="12"/>
      <c r="J432" s="12"/>
      <c r="K432" s="12"/>
      <c r="L432" s="14"/>
    </row>
    <row r="433" spans="1:12" x14ac:dyDescent="0.3">
      <c r="A433" s="12"/>
      <c r="B433" s="12"/>
      <c r="C433" s="12"/>
      <c r="D433" s="12"/>
      <c r="E433" s="12"/>
      <c r="F433" s="12"/>
      <c r="G433" s="12"/>
      <c r="H433" s="12"/>
      <c r="I433" s="12"/>
      <c r="J433" s="12"/>
      <c r="K433" s="12"/>
      <c r="L433" s="14"/>
    </row>
    <row r="434" spans="1:12" x14ac:dyDescent="0.3">
      <c r="A434" s="12"/>
      <c r="B434" s="12"/>
      <c r="C434" s="12"/>
      <c r="D434" s="12"/>
      <c r="E434" s="12"/>
      <c r="F434" s="12"/>
      <c r="G434" s="12"/>
      <c r="H434" s="12"/>
      <c r="I434" s="12"/>
      <c r="J434" s="12"/>
      <c r="K434" s="12"/>
      <c r="L434" s="14"/>
    </row>
    <row r="435" spans="1:12" x14ac:dyDescent="0.3">
      <c r="A435" s="12"/>
      <c r="B435" s="12"/>
      <c r="C435" s="12"/>
      <c r="D435" s="12"/>
      <c r="E435" s="12"/>
      <c r="F435" s="12"/>
      <c r="G435" s="12"/>
      <c r="H435" s="12"/>
      <c r="I435" s="12"/>
      <c r="J435" s="12"/>
      <c r="K435" s="12"/>
      <c r="L435" s="14"/>
    </row>
    <row r="436" spans="1:12" x14ac:dyDescent="0.3">
      <c r="A436" s="12"/>
      <c r="B436" s="12"/>
      <c r="C436" s="12"/>
      <c r="D436" s="12"/>
      <c r="E436" s="12"/>
      <c r="F436" s="12"/>
      <c r="G436" s="12"/>
      <c r="H436" s="12"/>
      <c r="I436" s="12"/>
      <c r="J436" s="12"/>
      <c r="K436" s="12"/>
      <c r="L436" s="14"/>
    </row>
    <row r="437" spans="1:12" x14ac:dyDescent="0.3">
      <c r="A437" s="12"/>
      <c r="B437" s="12"/>
      <c r="C437" s="12"/>
      <c r="D437" s="12"/>
      <c r="E437" s="12"/>
      <c r="F437" s="12"/>
      <c r="G437" s="12"/>
      <c r="H437" s="12"/>
      <c r="I437" s="12"/>
      <c r="J437" s="12"/>
      <c r="K437" s="12"/>
      <c r="L437" s="14"/>
    </row>
    <row r="438" spans="1:12" x14ac:dyDescent="0.3">
      <c r="A438" s="12"/>
      <c r="B438" s="12"/>
      <c r="C438" s="12"/>
      <c r="D438" s="12"/>
      <c r="E438" s="12"/>
      <c r="F438" s="12"/>
      <c r="G438" s="12"/>
      <c r="H438" s="12"/>
      <c r="I438" s="12"/>
      <c r="J438" s="12"/>
      <c r="K438" s="12"/>
      <c r="L438" s="14"/>
    </row>
    <row r="439" spans="1:12" x14ac:dyDescent="0.3">
      <c r="A439" s="12"/>
      <c r="B439" s="12"/>
      <c r="C439" s="12"/>
      <c r="D439" s="12"/>
      <c r="E439" s="12"/>
      <c r="F439" s="12"/>
      <c r="G439" s="12"/>
      <c r="H439" s="12"/>
      <c r="I439" s="12"/>
      <c r="J439" s="12"/>
      <c r="K439" s="12"/>
      <c r="L439" s="14"/>
    </row>
    <row r="440" spans="1:12" x14ac:dyDescent="0.3">
      <c r="A440" s="12"/>
      <c r="B440" s="12"/>
      <c r="C440" s="12"/>
      <c r="D440" s="12"/>
      <c r="E440" s="12"/>
      <c r="F440" s="12"/>
      <c r="G440" s="12"/>
      <c r="H440" s="12"/>
      <c r="I440" s="12"/>
      <c r="J440" s="12"/>
      <c r="K440" s="12"/>
      <c r="L440" s="14"/>
    </row>
    <row r="441" spans="1:12" x14ac:dyDescent="0.3">
      <c r="A441" s="12"/>
      <c r="B441" s="12"/>
      <c r="C441" s="12"/>
      <c r="D441" s="12"/>
      <c r="E441" s="12"/>
      <c r="F441" s="12"/>
      <c r="G441" s="12"/>
      <c r="H441" s="12"/>
      <c r="I441" s="12"/>
      <c r="J441" s="12"/>
      <c r="K441" s="12"/>
      <c r="L441" s="14"/>
    </row>
    <row r="442" spans="1:12" x14ac:dyDescent="0.3">
      <c r="A442" s="12"/>
      <c r="B442" s="12"/>
      <c r="C442" s="12"/>
      <c r="D442" s="12"/>
      <c r="E442" s="12"/>
      <c r="F442" s="12"/>
      <c r="G442" s="12"/>
      <c r="H442" s="12"/>
      <c r="I442" s="12"/>
      <c r="J442" s="12"/>
      <c r="K442" s="12"/>
      <c r="L442" s="14"/>
    </row>
    <row r="443" spans="1:12" x14ac:dyDescent="0.3">
      <c r="A443" s="12"/>
      <c r="B443" s="12"/>
      <c r="C443" s="12"/>
      <c r="D443" s="12"/>
      <c r="E443" s="12"/>
      <c r="F443" s="12"/>
      <c r="G443" s="12"/>
      <c r="H443" s="12"/>
      <c r="I443" s="12"/>
      <c r="J443" s="12"/>
      <c r="K443" s="12"/>
      <c r="L443" s="14"/>
    </row>
    <row r="444" spans="1:12" x14ac:dyDescent="0.3">
      <c r="A444" s="12"/>
      <c r="B444" s="12"/>
      <c r="C444" s="12"/>
      <c r="D444" s="12"/>
      <c r="E444" s="12"/>
      <c r="F444" s="12"/>
      <c r="G444" s="12"/>
      <c r="H444" s="12"/>
      <c r="I444" s="12"/>
      <c r="J444" s="12"/>
      <c r="K444" s="12"/>
      <c r="L444" s="14"/>
    </row>
    <row r="445" spans="1:12" x14ac:dyDescent="0.3">
      <c r="A445" s="12"/>
      <c r="B445" s="12"/>
      <c r="C445" s="12"/>
      <c r="D445" s="12"/>
      <c r="E445" s="12"/>
      <c r="F445" s="12"/>
      <c r="G445" s="12"/>
      <c r="H445" s="12"/>
      <c r="I445" s="12"/>
      <c r="J445" s="12"/>
      <c r="K445" s="12"/>
      <c r="L445" s="14"/>
    </row>
    <row r="446" spans="1:12" x14ac:dyDescent="0.3">
      <c r="A446" s="12"/>
      <c r="B446" s="12"/>
      <c r="C446" s="12"/>
      <c r="D446" s="12"/>
      <c r="E446" s="12"/>
      <c r="F446" s="12"/>
      <c r="G446" s="12"/>
      <c r="H446" s="12"/>
      <c r="I446" s="12"/>
      <c r="J446" s="12"/>
      <c r="K446" s="12"/>
      <c r="L446" s="14"/>
    </row>
    <row r="447" spans="1:12" x14ac:dyDescent="0.3">
      <c r="A447" s="12"/>
      <c r="B447" s="12"/>
      <c r="C447" s="12"/>
      <c r="D447" s="12"/>
      <c r="E447" s="12"/>
      <c r="F447" s="12"/>
      <c r="G447" s="12"/>
      <c r="H447" s="12"/>
      <c r="I447" s="12"/>
      <c r="J447" s="12"/>
      <c r="K447" s="12"/>
      <c r="L447" s="14"/>
    </row>
    <row r="448" spans="1:12" x14ac:dyDescent="0.3">
      <c r="A448" s="12"/>
      <c r="B448" s="12"/>
      <c r="C448" s="12"/>
      <c r="D448" s="12"/>
      <c r="E448" s="12"/>
      <c r="F448" s="12"/>
      <c r="G448" s="12"/>
      <c r="H448" s="12"/>
      <c r="I448" s="12"/>
      <c r="J448" s="12"/>
      <c r="K448" s="12"/>
      <c r="L448" s="14"/>
    </row>
    <row r="449" spans="1:12" x14ac:dyDescent="0.3">
      <c r="A449" s="12"/>
      <c r="B449" s="12"/>
      <c r="C449" s="12"/>
      <c r="D449" s="12"/>
      <c r="E449" s="12"/>
      <c r="F449" s="12"/>
      <c r="G449" s="12"/>
      <c r="H449" s="12"/>
      <c r="I449" s="12"/>
      <c r="J449" s="12"/>
      <c r="K449" s="12"/>
      <c r="L449" s="14"/>
    </row>
    <row r="450" spans="1:12" x14ac:dyDescent="0.3">
      <c r="A450" s="12"/>
      <c r="B450" s="12"/>
      <c r="C450" s="12"/>
      <c r="D450" s="12"/>
      <c r="E450" s="12"/>
      <c r="F450" s="12"/>
      <c r="G450" s="12"/>
      <c r="H450" s="12"/>
      <c r="I450" s="12"/>
      <c r="J450" s="12"/>
      <c r="K450" s="12"/>
      <c r="L450" s="14"/>
    </row>
    <row r="451" spans="1:12" x14ac:dyDescent="0.3">
      <c r="A451" s="12"/>
      <c r="B451" s="12"/>
      <c r="C451" s="12"/>
      <c r="D451" s="12"/>
      <c r="E451" s="12"/>
      <c r="F451" s="12"/>
      <c r="G451" s="12"/>
      <c r="H451" s="12"/>
      <c r="I451" s="12"/>
      <c r="J451" s="12"/>
      <c r="K451" s="12"/>
      <c r="L451" s="14"/>
    </row>
    <row r="452" spans="1:12" x14ac:dyDescent="0.3">
      <c r="A452" s="12"/>
      <c r="B452" s="12"/>
      <c r="C452" s="12"/>
      <c r="D452" s="12"/>
      <c r="E452" s="12"/>
      <c r="F452" s="12"/>
      <c r="G452" s="12"/>
      <c r="H452" s="12"/>
      <c r="I452" s="12"/>
      <c r="J452" s="12"/>
      <c r="K452" s="12"/>
      <c r="L452" s="14"/>
    </row>
    <row r="453" spans="1:12" x14ac:dyDescent="0.3">
      <c r="A453" s="12"/>
      <c r="B453" s="12"/>
      <c r="C453" s="12"/>
      <c r="D453" s="12"/>
      <c r="E453" s="12"/>
      <c r="F453" s="12"/>
      <c r="G453" s="12"/>
      <c r="H453" s="12"/>
      <c r="I453" s="12"/>
      <c r="J453" s="12"/>
      <c r="K453" s="12"/>
      <c r="L453" s="14"/>
    </row>
    <row r="454" spans="1:12" x14ac:dyDescent="0.3">
      <c r="A454" s="12"/>
      <c r="B454" s="12"/>
      <c r="C454" s="12"/>
      <c r="D454" s="12"/>
      <c r="E454" s="12"/>
      <c r="F454" s="12"/>
      <c r="G454" s="12"/>
      <c r="H454" s="12"/>
      <c r="I454" s="12"/>
      <c r="J454" s="12"/>
      <c r="K454" s="12"/>
      <c r="L454" s="14"/>
    </row>
    <row r="455" spans="1:12" x14ac:dyDescent="0.3">
      <c r="A455" s="12"/>
      <c r="B455" s="12"/>
      <c r="C455" s="12"/>
      <c r="D455" s="12"/>
      <c r="E455" s="12"/>
      <c r="F455" s="12"/>
      <c r="G455" s="12"/>
      <c r="H455" s="12"/>
      <c r="I455" s="12"/>
      <c r="J455" s="12"/>
      <c r="K455" s="12"/>
      <c r="L455" s="14"/>
    </row>
    <row r="456" spans="1:12" x14ac:dyDescent="0.3">
      <c r="A456" s="12"/>
      <c r="B456" s="12"/>
      <c r="C456" s="12"/>
      <c r="D456" s="12"/>
      <c r="E456" s="12"/>
      <c r="F456" s="12"/>
      <c r="G456" s="12"/>
      <c r="H456" s="12"/>
      <c r="I456" s="12"/>
      <c r="J456" s="12"/>
      <c r="K456" s="12"/>
      <c r="L456" s="14"/>
    </row>
    <row r="457" spans="1:12" x14ac:dyDescent="0.3">
      <c r="A457" s="12"/>
      <c r="B457" s="12"/>
      <c r="C457" s="12"/>
      <c r="D457" s="12"/>
      <c r="E457" s="12"/>
      <c r="F457" s="12"/>
      <c r="G457" s="12"/>
      <c r="H457" s="12"/>
      <c r="I457" s="12"/>
      <c r="J457" s="12"/>
      <c r="K457" s="12"/>
      <c r="L457" s="14"/>
    </row>
    <row r="458" spans="1:12" x14ac:dyDescent="0.3">
      <c r="A458" s="12"/>
      <c r="B458" s="12"/>
      <c r="C458" s="12"/>
      <c r="D458" s="12"/>
      <c r="E458" s="12"/>
      <c r="F458" s="12"/>
      <c r="G458" s="12"/>
      <c r="H458" s="12"/>
      <c r="I458" s="12"/>
      <c r="J458" s="12"/>
      <c r="K458" s="12"/>
      <c r="L458" s="14"/>
    </row>
    <row r="459" spans="1:12" x14ac:dyDescent="0.3">
      <c r="A459" s="12"/>
      <c r="B459" s="12"/>
      <c r="C459" s="12"/>
      <c r="D459" s="12"/>
      <c r="E459" s="12"/>
      <c r="F459" s="12"/>
      <c r="G459" s="12"/>
      <c r="H459" s="12"/>
      <c r="I459" s="12"/>
      <c r="J459" s="12"/>
      <c r="K459" s="12"/>
      <c r="L459" s="14"/>
    </row>
    <row r="460" spans="1:12" x14ac:dyDescent="0.3">
      <c r="A460" s="12"/>
      <c r="B460" s="12"/>
      <c r="C460" s="12"/>
      <c r="D460" s="12"/>
      <c r="E460" s="12"/>
      <c r="F460" s="12"/>
      <c r="G460" s="12"/>
      <c r="H460" s="12"/>
      <c r="I460" s="12"/>
      <c r="J460" s="12"/>
      <c r="K460" s="12"/>
      <c r="L460" s="14"/>
    </row>
    <row r="461" spans="1:12" x14ac:dyDescent="0.3">
      <c r="A461" s="12"/>
      <c r="B461" s="12"/>
      <c r="C461" s="12"/>
      <c r="D461" s="12"/>
      <c r="E461" s="12"/>
      <c r="F461" s="12"/>
      <c r="G461" s="12"/>
      <c r="H461" s="12"/>
      <c r="I461" s="12"/>
      <c r="J461" s="12"/>
      <c r="K461" s="12"/>
      <c r="L461" s="14"/>
    </row>
    <row r="462" spans="1:12" x14ac:dyDescent="0.3">
      <c r="A462" s="12"/>
      <c r="B462" s="12"/>
      <c r="C462" s="12"/>
      <c r="D462" s="12"/>
      <c r="E462" s="12"/>
      <c r="F462" s="12"/>
      <c r="G462" s="12"/>
      <c r="H462" s="12"/>
      <c r="I462" s="12"/>
      <c r="J462" s="12"/>
      <c r="K462" s="12"/>
      <c r="L462" s="14"/>
    </row>
    <row r="463" spans="1:12" x14ac:dyDescent="0.3">
      <c r="A463" s="12"/>
      <c r="B463" s="12"/>
      <c r="C463" s="12"/>
      <c r="D463" s="12"/>
      <c r="E463" s="12"/>
      <c r="F463" s="12"/>
      <c r="G463" s="12"/>
      <c r="H463" s="12"/>
      <c r="I463" s="12"/>
      <c r="J463" s="12"/>
      <c r="K463" s="12"/>
      <c r="L463" s="14"/>
    </row>
    <row r="464" spans="1:12" x14ac:dyDescent="0.3">
      <c r="A464" s="12"/>
      <c r="B464" s="12"/>
      <c r="C464" s="12"/>
      <c r="D464" s="12"/>
      <c r="E464" s="12"/>
      <c r="F464" s="12"/>
      <c r="G464" s="12"/>
      <c r="H464" s="12"/>
      <c r="I464" s="12"/>
      <c r="J464" s="12"/>
      <c r="K464" s="12"/>
      <c r="L464" s="14"/>
    </row>
    <row r="465" spans="1:12" x14ac:dyDescent="0.3">
      <c r="A465" s="12"/>
      <c r="B465" s="12"/>
      <c r="C465" s="12"/>
      <c r="D465" s="12"/>
      <c r="E465" s="12"/>
      <c r="F465" s="12"/>
      <c r="G465" s="12"/>
      <c r="H465" s="12"/>
      <c r="I465" s="12"/>
      <c r="J465" s="12"/>
      <c r="K465" s="12"/>
      <c r="L465" s="14"/>
    </row>
    <row r="466" spans="1:12" x14ac:dyDescent="0.3">
      <c r="A466" s="12"/>
      <c r="B466" s="12"/>
      <c r="C466" s="12"/>
      <c r="D466" s="12"/>
      <c r="E466" s="12"/>
      <c r="F466" s="12"/>
      <c r="G466" s="12"/>
      <c r="H466" s="12"/>
      <c r="I466" s="12"/>
      <c r="J466" s="12"/>
      <c r="K466" s="12"/>
      <c r="L466" s="14"/>
    </row>
    <row r="467" spans="1:12" x14ac:dyDescent="0.3">
      <c r="A467" s="12"/>
      <c r="B467" s="12"/>
      <c r="C467" s="12"/>
      <c r="D467" s="12"/>
      <c r="E467" s="12"/>
      <c r="F467" s="12"/>
      <c r="G467" s="12"/>
      <c r="H467" s="12"/>
      <c r="I467" s="12"/>
      <c r="J467" s="12"/>
      <c r="K467" s="12"/>
      <c r="L467" s="14"/>
    </row>
    <row r="468" spans="1:12" x14ac:dyDescent="0.3">
      <c r="A468" s="12"/>
      <c r="B468" s="12"/>
      <c r="C468" s="12"/>
      <c r="D468" s="12"/>
      <c r="E468" s="12"/>
      <c r="F468" s="12"/>
      <c r="G468" s="12"/>
      <c r="H468" s="12"/>
      <c r="I468" s="12"/>
      <c r="J468" s="12"/>
      <c r="K468" s="12"/>
      <c r="L468" s="14"/>
    </row>
    <row r="469" spans="1:12" x14ac:dyDescent="0.3">
      <c r="A469" s="12"/>
      <c r="B469" s="12"/>
      <c r="C469" s="12"/>
      <c r="D469" s="12"/>
      <c r="E469" s="12"/>
      <c r="F469" s="12"/>
      <c r="G469" s="12"/>
      <c r="H469" s="12"/>
      <c r="I469" s="12"/>
      <c r="J469" s="12"/>
      <c r="K469" s="12"/>
      <c r="L469" s="14"/>
    </row>
    <row r="470" spans="1:12" x14ac:dyDescent="0.3">
      <c r="A470" s="12"/>
      <c r="B470" s="12"/>
      <c r="C470" s="12"/>
      <c r="D470" s="12"/>
      <c r="E470" s="12"/>
      <c r="F470" s="12"/>
      <c r="G470" s="12"/>
      <c r="H470" s="12"/>
      <c r="I470" s="12"/>
      <c r="J470" s="12"/>
      <c r="K470" s="12"/>
      <c r="L470" s="14"/>
    </row>
    <row r="471" spans="1:12" x14ac:dyDescent="0.3">
      <c r="A471" s="12"/>
      <c r="B471" s="12"/>
      <c r="C471" s="12"/>
      <c r="D471" s="12"/>
      <c r="E471" s="12"/>
      <c r="F471" s="12"/>
      <c r="G471" s="12"/>
      <c r="H471" s="12"/>
      <c r="I471" s="12"/>
      <c r="J471" s="12"/>
      <c r="K471" s="12"/>
      <c r="L471" s="14"/>
    </row>
    <row r="472" spans="1:12" x14ac:dyDescent="0.3">
      <c r="A472" s="12"/>
      <c r="B472" s="12"/>
      <c r="C472" s="12"/>
      <c r="D472" s="12"/>
      <c r="E472" s="12"/>
      <c r="F472" s="12"/>
      <c r="G472" s="12"/>
      <c r="H472" s="12"/>
      <c r="I472" s="12"/>
      <c r="J472" s="12"/>
      <c r="K472" s="12"/>
      <c r="L472" s="14"/>
    </row>
    <row r="473" spans="1:12" x14ac:dyDescent="0.3">
      <c r="A473" s="12"/>
      <c r="B473" s="12"/>
      <c r="C473" s="12"/>
      <c r="D473" s="12"/>
      <c r="E473" s="12"/>
      <c r="F473" s="12"/>
      <c r="G473" s="12"/>
      <c r="H473" s="12"/>
      <c r="I473" s="12"/>
      <c r="J473" s="12"/>
      <c r="K473" s="12"/>
      <c r="L473" s="14"/>
    </row>
    <row r="474" spans="1:12" x14ac:dyDescent="0.3">
      <c r="A474" s="12"/>
      <c r="B474" s="12"/>
      <c r="C474" s="12"/>
      <c r="D474" s="12"/>
      <c r="E474" s="12"/>
      <c r="F474" s="12"/>
      <c r="G474" s="12"/>
      <c r="H474" s="12"/>
      <c r="I474" s="12"/>
      <c r="J474" s="12"/>
      <c r="K474" s="12"/>
      <c r="L474" s="14"/>
    </row>
    <row r="475" spans="1:12" x14ac:dyDescent="0.3">
      <c r="A475" s="12"/>
      <c r="B475" s="12"/>
      <c r="C475" s="12"/>
      <c r="D475" s="12"/>
      <c r="E475" s="12"/>
      <c r="F475" s="12"/>
      <c r="G475" s="12"/>
      <c r="H475" s="12"/>
      <c r="I475" s="12"/>
      <c r="J475" s="12"/>
      <c r="K475" s="12"/>
      <c r="L475" s="14"/>
    </row>
    <row r="476" spans="1:12" x14ac:dyDescent="0.3">
      <c r="A476" s="12"/>
      <c r="B476" s="12"/>
      <c r="C476" s="12"/>
      <c r="D476" s="12"/>
      <c r="E476" s="12"/>
      <c r="F476" s="12"/>
      <c r="G476" s="12"/>
      <c r="H476" s="12"/>
      <c r="I476" s="12"/>
      <c r="J476" s="12"/>
      <c r="K476" s="12"/>
      <c r="L476" s="14"/>
    </row>
    <row r="477" spans="1:12" x14ac:dyDescent="0.3">
      <c r="A477" s="12"/>
      <c r="B477" s="12"/>
      <c r="C477" s="12"/>
      <c r="D477" s="12"/>
      <c r="E477" s="12"/>
      <c r="F477" s="12"/>
      <c r="G477" s="12"/>
      <c r="H477" s="12"/>
      <c r="I477" s="12"/>
      <c r="J477" s="12"/>
      <c r="K477" s="12"/>
      <c r="L477" s="14"/>
    </row>
    <row r="478" spans="1:12" x14ac:dyDescent="0.3">
      <c r="A478" s="12"/>
      <c r="B478" s="12"/>
      <c r="C478" s="12"/>
      <c r="D478" s="12"/>
      <c r="E478" s="12"/>
      <c r="F478" s="12"/>
      <c r="G478" s="12"/>
      <c r="H478" s="12"/>
      <c r="I478" s="12"/>
      <c r="J478" s="12"/>
      <c r="K478" s="12"/>
      <c r="L478" s="14"/>
    </row>
    <row r="479" spans="1:12" x14ac:dyDescent="0.3">
      <c r="A479" s="12"/>
      <c r="B479" s="12"/>
      <c r="C479" s="12"/>
      <c r="D479" s="12"/>
      <c r="E479" s="12"/>
      <c r="F479" s="12"/>
      <c r="G479" s="12"/>
      <c r="H479" s="12"/>
      <c r="I479" s="12"/>
      <c r="J479" s="12"/>
      <c r="K479" s="12"/>
      <c r="L479" s="14"/>
    </row>
    <row r="480" spans="1:12" x14ac:dyDescent="0.3">
      <c r="A480" s="12"/>
      <c r="B480" s="12"/>
      <c r="C480" s="12"/>
      <c r="D480" s="12"/>
      <c r="E480" s="12"/>
      <c r="F480" s="12"/>
      <c r="G480" s="12"/>
      <c r="H480" s="12"/>
      <c r="I480" s="12"/>
      <c r="J480" s="12"/>
      <c r="K480" s="12"/>
      <c r="L480" s="14"/>
    </row>
    <row r="481" spans="1:12" x14ac:dyDescent="0.3">
      <c r="A481" s="12"/>
      <c r="B481" s="12"/>
      <c r="C481" s="12"/>
      <c r="D481" s="12"/>
      <c r="E481" s="12"/>
      <c r="F481" s="12"/>
      <c r="G481" s="12"/>
      <c r="H481" s="12"/>
      <c r="I481" s="12"/>
      <c r="J481" s="12"/>
      <c r="K481" s="12"/>
      <c r="L481" s="14"/>
    </row>
    <row r="482" spans="1:12" x14ac:dyDescent="0.3">
      <c r="A482" s="12"/>
      <c r="B482" s="12"/>
      <c r="C482" s="12"/>
      <c r="D482" s="12"/>
      <c r="E482" s="12"/>
      <c r="F482" s="12"/>
      <c r="G482" s="12"/>
      <c r="H482" s="12"/>
      <c r="I482" s="12"/>
      <c r="J482" s="12"/>
      <c r="K482" s="12"/>
      <c r="L482" s="14"/>
    </row>
    <row r="483" spans="1:12" x14ac:dyDescent="0.3">
      <c r="A483" s="12"/>
      <c r="B483" s="12"/>
      <c r="C483" s="12"/>
      <c r="D483" s="12"/>
      <c r="E483" s="12"/>
      <c r="F483" s="12"/>
      <c r="G483" s="12"/>
      <c r="H483" s="12"/>
      <c r="I483" s="12"/>
      <c r="J483" s="12"/>
      <c r="K483" s="12"/>
      <c r="L483" s="14"/>
    </row>
    <row r="484" spans="1:12" x14ac:dyDescent="0.3">
      <c r="A484" s="12"/>
      <c r="B484" s="12"/>
      <c r="C484" s="12"/>
      <c r="D484" s="12"/>
      <c r="E484" s="12"/>
      <c r="F484" s="12"/>
      <c r="G484" s="12"/>
      <c r="H484" s="12"/>
      <c r="I484" s="12"/>
      <c r="J484" s="12"/>
      <c r="K484" s="12"/>
      <c r="L484" s="14"/>
    </row>
    <row r="485" spans="1:12" x14ac:dyDescent="0.3">
      <c r="A485" s="12"/>
      <c r="B485" s="12"/>
      <c r="C485" s="12"/>
      <c r="D485" s="12"/>
      <c r="E485" s="12"/>
      <c r="F485" s="12"/>
      <c r="G485" s="12"/>
      <c r="H485" s="12"/>
      <c r="I485" s="12"/>
      <c r="J485" s="12"/>
      <c r="K485" s="12"/>
      <c r="L485" s="14"/>
    </row>
    <row r="486" spans="1:12" x14ac:dyDescent="0.3">
      <c r="A486" s="12"/>
      <c r="B486" s="12"/>
      <c r="C486" s="12"/>
      <c r="D486" s="12"/>
      <c r="E486" s="12"/>
      <c r="F486" s="12"/>
      <c r="G486" s="12"/>
      <c r="H486" s="12"/>
      <c r="I486" s="12"/>
      <c r="J486" s="12"/>
      <c r="K486" s="12"/>
      <c r="L486" s="14"/>
    </row>
    <row r="487" spans="1:12" x14ac:dyDescent="0.3">
      <c r="A487" s="12"/>
      <c r="B487" s="12"/>
      <c r="C487" s="12"/>
      <c r="D487" s="12"/>
      <c r="E487" s="12"/>
      <c r="F487" s="12"/>
      <c r="G487" s="12"/>
      <c r="H487" s="12"/>
      <c r="I487" s="12"/>
      <c r="J487" s="12"/>
      <c r="K487" s="12"/>
      <c r="L487" s="14"/>
    </row>
    <row r="488" spans="1:12" x14ac:dyDescent="0.3">
      <c r="A488" s="12"/>
      <c r="B488" s="12"/>
      <c r="C488" s="12"/>
      <c r="D488" s="12"/>
      <c r="E488" s="12"/>
      <c r="F488" s="12"/>
      <c r="G488" s="12"/>
      <c r="H488" s="12"/>
      <c r="I488" s="12"/>
      <c r="J488" s="12"/>
      <c r="K488" s="12"/>
      <c r="L488" s="14"/>
    </row>
    <row r="489" spans="1:12" x14ac:dyDescent="0.3">
      <c r="A489" s="12"/>
      <c r="B489" s="12"/>
      <c r="C489" s="12"/>
      <c r="D489" s="12"/>
      <c r="E489" s="12"/>
      <c r="F489" s="12"/>
      <c r="G489" s="12"/>
      <c r="H489" s="12"/>
      <c r="I489" s="12"/>
      <c r="J489" s="12"/>
      <c r="K489" s="12"/>
      <c r="L489" s="14"/>
    </row>
    <row r="490" spans="1:12" x14ac:dyDescent="0.3">
      <c r="A490" s="12"/>
      <c r="B490" s="12"/>
      <c r="C490" s="12"/>
      <c r="D490" s="12"/>
      <c r="E490" s="12"/>
      <c r="F490" s="12"/>
      <c r="G490" s="12"/>
      <c r="H490" s="12"/>
      <c r="I490" s="12"/>
      <c r="J490" s="12"/>
      <c r="K490" s="12"/>
      <c r="L490" s="14"/>
    </row>
    <row r="491" spans="1:12" x14ac:dyDescent="0.3">
      <c r="A491" s="12"/>
      <c r="B491" s="12"/>
      <c r="C491" s="12"/>
      <c r="D491" s="12"/>
      <c r="E491" s="12"/>
      <c r="F491" s="12"/>
      <c r="G491" s="12"/>
      <c r="H491" s="12"/>
      <c r="I491" s="12"/>
      <c r="J491" s="12"/>
      <c r="K491" s="12"/>
      <c r="L491" s="14"/>
    </row>
    <row r="492" spans="1:12" x14ac:dyDescent="0.3">
      <c r="A492" s="12"/>
      <c r="B492" s="12"/>
      <c r="C492" s="12"/>
      <c r="D492" s="12"/>
      <c r="E492" s="12"/>
      <c r="F492" s="12"/>
      <c r="G492" s="12"/>
      <c r="H492" s="12"/>
      <c r="I492" s="12"/>
      <c r="J492" s="12"/>
      <c r="K492" s="12"/>
      <c r="L492" s="14"/>
    </row>
    <row r="493" spans="1:12" x14ac:dyDescent="0.3">
      <c r="A493" s="12"/>
      <c r="B493" s="12"/>
      <c r="C493" s="12"/>
      <c r="D493" s="12"/>
      <c r="E493" s="12"/>
      <c r="F493" s="12"/>
      <c r="G493" s="12"/>
      <c r="H493" s="12"/>
      <c r="I493" s="12"/>
      <c r="J493" s="12"/>
      <c r="K493" s="12"/>
      <c r="L493" s="14"/>
    </row>
    <row r="494" spans="1:12" x14ac:dyDescent="0.3">
      <c r="A494" s="12"/>
      <c r="B494" s="12"/>
      <c r="C494" s="12"/>
      <c r="D494" s="12"/>
      <c r="E494" s="12"/>
      <c r="F494" s="12"/>
      <c r="G494" s="12"/>
      <c r="H494" s="12"/>
      <c r="I494" s="12"/>
      <c r="J494" s="12"/>
      <c r="K494" s="12"/>
      <c r="L494" s="14"/>
    </row>
    <row r="495" spans="1:12" x14ac:dyDescent="0.3">
      <c r="A495" s="12"/>
      <c r="B495" s="12"/>
      <c r="C495" s="12"/>
      <c r="D495" s="12"/>
      <c r="E495" s="12"/>
      <c r="F495" s="12"/>
      <c r="G495" s="12"/>
      <c r="H495" s="12"/>
      <c r="I495" s="12"/>
      <c r="J495" s="12"/>
      <c r="K495" s="12"/>
      <c r="L495" s="14"/>
    </row>
    <row r="496" spans="1:12" x14ac:dyDescent="0.3">
      <c r="A496" s="12"/>
      <c r="B496" s="12"/>
      <c r="C496" s="12"/>
      <c r="D496" s="12"/>
      <c r="E496" s="12"/>
      <c r="F496" s="12"/>
      <c r="G496" s="12"/>
      <c r="H496" s="12"/>
      <c r="I496" s="12"/>
      <c r="J496" s="12"/>
      <c r="K496" s="12"/>
      <c r="L496" s="14"/>
    </row>
    <row r="497" spans="1:12" x14ac:dyDescent="0.3">
      <c r="A497" s="12"/>
      <c r="B497" s="12"/>
      <c r="C497" s="12"/>
      <c r="D497" s="12"/>
      <c r="E497" s="12"/>
      <c r="F497" s="12"/>
      <c r="G497" s="12"/>
      <c r="H497" s="12"/>
      <c r="I497" s="12"/>
      <c r="J497" s="12"/>
      <c r="K497" s="12"/>
      <c r="L497" s="14"/>
    </row>
    <row r="498" spans="1:12" x14ac:dyDescent="0.3">
      <c r="A498" s="12"/>
      <c r="B498" s="12"/>
      <c r="C498" s="12"/>
      <c r="D498" s="12"/>
      <c r="E498" s="12"/>
      <c r="F498" s="12"/>
      <c r="G498" s="12"/>
      <c r="H498" s="12"/>
      <c r="I498" s="12"/>
      <c r="J498" s="12"/>
      <c r="K498" s="12"/>
      <c r="L498" s="14"/>
    </row>
    <row r="499" spans="1:12" x14ac:dyDescent="0.3">
      <c r="A499" s="12"/>
      <c r="B499" s="12"/>
      <c r="C499" s="12"/>
      <c r="D499" s="12"/>
      <c r="E499" s="12"/>
      <c r="F499" s="12"/>
      <c r="G499" s="12"/>
      <c r="H499" s="12"/>
      <c r="I499" s="12"/>
      <c r="J499" s="12"/>
      <c r="K499" s="12"/>
      <c r="L499" s="14"/>
    </row>
    <row r="500" spans="1:12" x14ac:dyDescent="0.3">
      <c r="A500" s="12"/>
      <c r="B500" s="12"/>
      <c r="C500" s="12"/>
      <c r="D500" s="12"/>
      <c r="E500" s="12"/>
      <c r="F500" s="12"/>
      <c r="G500" s="12"/>
      <c r="H500" s="12"/>
      <c r="I500" s="12"/>
      <c r="J500" s="12"/>
      <c r="K500" s="12"/>
      <c r="L500" s="14"/>
    </row>
    <row r="501" spans="1:12" x14ac:dyDescent="0.3">
      <c r="A501" s="12"/>
      <c r="B501" s="12"/>
      <c r="C501" s="12"/>
      <c r="D501" s="12"/>
      <c r="E501" s="12"/>
      <c r="F501" s="12"/>
      <c r="G501" s="12"/>
      <c r="H501" s="12"/>
      <c r="I501" s="12"/>
      <c r="J501" s="12"/>
      <c r="K501" s="12"/>
      <c r="L501" s="14"/>
    </row>
    <row r="502" spans="1:12" x14ac:dyDescent="0.3">
      <c r="A502" s="12"/>
      <c r="B502" s="12"/>
      <c r="C502" s="12"/>
      <c r="D502" s="12"/>
      <c r="E502" s="12"/>
      <c r="F502" s="12"/>
      <c r="G502" s="12"/>
      <c r="H502" s="12"/>
      <c r="I502" s="12"/>
      <c r="J502" s="12"/>
      <c r="K502" s="12"/>
      <c r="L502" s="14"/>
    </row>
    <row r="503" spans="1:12" x14ac:dyDescent="0.3">
      <c r="A503" s="12"/>
      <c r="B503" s="12"/>
      <c r="C503" s="12"/>
      <c r="D503" s="12"/>
      <c r="E503" s="12"/>
      <c r="F503" s="12"/>
      <c r="G503" s="12"/>
      <c r="H503" s="12"/>
      <c r="I503" s="12"/>
      <c r="J503" s="12"/>
      <c r="K503" s="12"/>
      <c r="L503" s="14"/>
    </row>
    <row r="504" spans="1:12" x14ac:dyDescent="0.3">
      <c r="A504" s="12"/>
      <c r="B504" s="12"/>
      <c r="C504" s="12"/>
      <c r="D504" s="12"/>
      <c r="E504" s="12"/>
      <c r="F504" s="12"/>
      <c r="G504" s="12"/>
      <c r="H504" s="12"/>
      <c r="I504" s="12"/>
      <c r="J504" s="12"/>
      <c r="K504" s="12"/>
      <c r="L504" s="14"/>
    </row>
    <row r="505" spans="1:12" x14ac:dyDescent="0.3">
      <c r="A505" s="12"/>
      <c r="B505" s="12"/>
      <c r="C505" s="12"/>
      <c r="D505" s="12"/>
      <c r="E505" s="12"/>
      <c r="F505" s="12"/>
      <c r="G505" s="12"/>
      <c r="H505" s="12"/>
      <c r="I505" s="12"/>
      <c r="J505" s="12"/>
      <c r="K505" s="12"/>
      <c r="L505" s="14"/>
    </row>
    <row r="506" spans="1:12" x14ac:dyDescent="0.3">
      <c r="A506" s="12"/>
      <c r="B506" s="12"/>
      <c r="C506" s="12"/>
      <c r="D506" s="12"/>
      <c r="E506" s="12"/>
      <c r="F506" s="12"/>
      <c r="G506" s="12"/>
      <c r="H506" s="12"/>
      <c r="I506" s="12"/>
      <c r="J506" s="12"/>
      <c r="K506" s="12"/>
      <c r="L506" s="14"/>
    </row>
    <row r="507" spans="1:12" x14ac:dyDescent="0.3">
      <c r="A507" s="12"/>
      <c r="B507" s="12"/>
      <c r="C507" s="12"/>
      <c r="D507" s="12"/>
      <c r="E507" s="12"/>
      <c r="F507" s="12"/>
      <c r="G507" s="12"/>
      <c r="H507" s="12"/>
      <c r="I507" s="12"/>
      <c r="J507" s="12"/>
      <c r="K507" s="12"/>
      <c r="L507" s="14"/>
    </row>
    <row r="508" spans="1:12" x14ac:dyDescent="0.3">
      <c r="A508" s="12"/>
      <c r="B508" s="12"/>
      <c r="C508" s="12"/>
      <c r="D508" s="12"/>
      <c r="E508" s="12"/>
      <c r="F508" s="12"/>
      <c r="G508" s="12"/>
      <c r="H508" s="12"/>
      <c r="I508" s="12"/>
      <c r="J508" s="12"/>
      <c r="K508" s="12"/>
      <c r="L508" s="14"/>
    </row>
    <row r="509" spans="1:12" x14ac:dyDescent="0.3">
      <c r="A509" s="12"/>
      <c r="B509" s="12"/>
      <c r="C509" s="12"/>
      <c r="D509" s="12"/>
      <c r="E509" s="12"/>
      <c r="F509" s="12"/>
      <c r="G509" s="12"/>
      <c r="H509" s="12"/>
      <c r="I509" s="12"/>
      <c r="J509" s="12"/>
      <c r="K509" s="12"/>
      <c r="L509" s="14"/>
    </row>
    <row r="510" spans="1:12" x14ac:dyDescent="0.3">
      <c r="A510" s="12"/>
      <c r="B510" s="12"/>
      <c r="C510" s="12"/>
      <c r="D510" s="12"/>
      <c r="E510" s="12"/>
      <c r="F510" s="12"/>
      <c r="G510" s="12"/>
      <c r="H510" s="12"/>
      <c r="I510" s="12"/>
      <c r="J510" s="12"/>
      <c r="K510" s="12"/>
      <c r="L510" s="14"/>
    </row>
    <row r="511" spans="1:12" x14ac:dyDescent="0.3">
      <c r="A511" s="12"/>
      <c r="B511" s="12"/>
      <c r="C511" s="12"/>
      <c r="D511" s="12"/>
      <c r="E511" s="12"/>
      <c r="F511" s="12"/>
      <c r="G511" s="12"/>
      <c r="H511" s="12"/>
      <c r="I511" s="12"/>
      <c r="J511" s="12"/>
      <c r="K511" s="12"/>
      <c r="L511" s="14"/>
    </row>
    <row r="512" spans="1:12" x14ac:dyDescent="0.3">
      <c r="A512" s="12"/>
      <c r="B512" s="12"/>
      <c r="C512" s="12"/>
      <c r="D512" s="12"/>
      <c r="E512" s="12"/>
      <c r="F512" s="12"/>
      <c r="G512" s="12"/>
      <c r="H512" s="12"/>
      <c r="I512" s="12"/>
      <c r="J512" s="12"/>
      <c r="K512" s="12"/>
      <c r="L512" s="14"/>
    </row>
    <row r="513" spans="1:12" x14ac:dyDescent="0.3">
      <c r="A513" s="12"/>
      <c r="B513" s="12"/>
      <c r="C513" s="12"/>
      <c r="D513" s="12"/>
      <c r="E513" s="12"/>
      <c r="F513" s="12"/>
      <c r="G513" s="12"/>
      <c r="H513" s="12"/>
      <c r="I513" s="12"/>
      <c r="J513" s="12"/>
      <c r="K513" s="12"/>
      <c r="L513" s="14"/>
    </row>
    <row r="514" spans="1:12" x14ac:dyDescent="0.3">
      <c r="A514" s="12"/>
      <c r="B514" s="12"/>
      <c r="C514" s="12"/>
      <c r="D514" s="12"/>
      <c r="E514" s="12"/>
      <c r="F514" s="12"/>
      <c r="G514" s="12"/>
      <c r="H514" s="12"/>
      <c r="I514" s="12"/>
      <c r="J514" s="12"/>
      <c r="K514" s="12"/>
      <c r="L514" s="14"/>
    </row>
    <row r="515" spans="1:12" x14ac:dyDescent="0.3">
      <c r="A515" s="12"/>
      <c r="B515" s="12"/>
      <c r="C515" s="12"/>
      <c r="D515" s="12"/>
      <c r="E515" s="12"/>
      <c r="F515" s="12"/>
      <c r="G515" s="12"/>
      <c r="H515" s="12"/>
      <c r="I515" s="12"/>
      <c r="J515" s="12"/>
      <c r="K515" s="12"/>
      <c r="L515" s="14"/>
    </row>
    <row r="516" spans="1:12" x14ac:dyDescent="0.3">
      <c r="A516" s="12"/>
      <c r="B516" s="12"/>
      <c r="C516" s="12"/>
      <c r="D516" s="12"/>
      <c r="E516" s="12"/>
      <c r="F516" s="12"/>
      <c r="G516" s="12"/>
      <c r="H516" s="12"/>
      <c r="I516" s="12"/>
      <c r="J516" s="12"/>
      <c r="K516" s="12"/>
      <c r="L516" s="14"/>
    </row>
    <row r="517" spans="1:12" x14ac:dyDescent="0.3">
      <c r="A517" s="12"/>
      <c r="B517" s="12"/>
      <c r="C517" s="12"/>
      <c r="D517" s="12"/>
      <c r="E517" s="12"/>
      <c r="F517" s="12"/>
      <c r="G517" s="12"/>
      <c r="H517" s="12"/>
      <c r="I517" s="12"/>
      <c r="J517" s="12"/>
      <c r="K517" s="12"/>
      <c r="L517" s="14"/>
    </row>
    <row r="518" spans="1:12" x14ac:dyDescent="0.3">
      <c r="A518" s="12"/>
      <c r="B518" s="12"/>
      <c r="C518" s="12"/>
      <c r="D518" s="12"/>
      <c r="E518" s="12"/>
      <c r="F518" s="12"/>
      <c r="G518" s="12"/>
      <c r="H518" s="12"/>
      <c r="I518" s="12"/>
      <c r="J518" s="12"/>
      <c r="K518" s="12"/>
      <c r="L518" s="14"/>
    </row>
    <row r="519" spans="1:12" x14ac:dyDescent="0.3">
      <c r="A519" s="12"/>
      <c r="B519" s="12"/>
      <c r="C519" s="12"/>
      <c r="D519" s="12"/>
      <c r="E519" s="12"/>
      <c r="F519" s="12"/>
      <c r="G519" s="12"/>
      <c r="H519" s="12"/>
      <c r="I519" s="12"/>
      <c r="J519" s="12"/>
      <c r="K519" s="12"/>
      <c r="L519" s="14"/>
    </row>
    <row r="520" spans="1:12" x14ac:dyDescent="0.3">
      <c r="A520" s="12"/>
      <c r="B520" s="12"/>
      <c r="C520" s="12"/>
      <c r="D520" s="12"/>
      <c r="E520" s="12"/>
      <c r="F520" s="12"/>
      <c r="G520" s="12"/>
      <c r="H520" s="12"/>
      <c r="I520" s="12"/>
      <c r="J520" s="12"/>
      <c r="K520" s="12"/>
      <c r="L520" s="14"/>
    </row>
    <row r="521" spans="1:12" x14ac:dyDescent="0.3">
      <c r="A521" s="12"/>
      <c r="B521" s="12"/>
      <c r="C521" s="12"/>
      <c r="D521" s="12"/>
      <c r="E521" s="12"/>
      <c r="F521" s="12"/>
      <c r="G521" s="12"/>
      <c r="H521" s="12"/>
      <c r="I521" s="12"/>
      <c r="J521" s="12"/>
      <c r="K521" s="12"/>
      <c r="L521" s="14"/>
    </row>
    <row r="522" spans="1:12" x14ac:dyDescent="0.3">
      <c r="A522" s="12"/>
      <c r="B522" s="12"/>
      <c r="C522" s="12"/>
      <c r="D522" s="12"/>
      <c r="E522" s="12"/>
      <c r="F522" s="12"/>
      <c r="G522" s="12"/>
      <c r="H522" s="12"/>
      <c r="I522" s="12"/>
      <c r="J522" s="12"/>
      <c r="K522" s="12"/>
      <c r="L522" s="14"/>
    </row>
    <row r="523" spans="1:12" x14ac:dyDescent="0.3">
      <c r="A523" s="12"/>
      <c r="B523" s="12"/>
      <c r="C523" s="12"/>
      <c r="D523" s="12"/>
      <c r="E523" s="12"/>
      <c r="F523" s="12"/>
      <c r="G523" s="12"/>
      <c r="H523" s="12"/>
      <c r="I523" s="12"/>
      <c r="J523" s="12"/>
      <c r="K523" s="12"/>
      <c r="L523" s="14"/>
    </row>
    <row r="524" spans="1:12" x14ac:dyDescent="0.3">
      <c r="A524" s="12"/>
      <c r="B524" s="12"/>
      <c r="C524" s="12"/>
      <c r="D524" s="12"/>
      <c r="E524" s="12"/>
      <c r="F524" s="12"/>
      <c r="G524" s="12"/>
      <c r="H524" s="12"/>
      <c r="I524" s="12"/>
      <c r="J524" s="12"/>
      <c r="K524" s="12"/>
      <c r="L524" s="14"/>
    </row>
    <row r="525" spans="1:12" x14ac:dyDescent="0.3">
      <c r="A525" s="12"/>
      <c r="B525" s="12"/>
      <c r="C525" s="12"/>
      <c r="D525" s="12"/>
      <c r="E525" s="12"/>
      <c r="F525" s="12"/>
      <c r="G525" s="12"/>
      <c r="H525" s="12"/>
      <c r="I525" s="12"/>
      <c r="J525" s="12"/>
      <c r="K525" s="12"/>
      <c r="L525" s="14"/>
    </row>
    <row r="526" spans="1:12" x14ac:dyDescent="0.3">
      <c r="A526" s="12"/>
      <c r="B526" s="12"/>
      <c r="C526" s="12"/>
      <c r="D526" s="12"/>
      <c r="E526" s="12"/>
      <c r="F526" s="12"/>
      <c r="G526" s="12"/>
      <c r="H526" s="12"/>
      <c r="I526" s="12"/>
      <c r="J526" s="12"/>
      <c r="K526" s="12"/>
      <c r="L526" s="14"/>
    </row>
    <row r="527" spans="1:12" x14ac:dyDescent="0.3">
      <c r="A527" s="12"/>
      <c r="B527" s="12"/>
      <c r="C527" s="12"/>
      <c r="D527" s="12"/>
      <c r="E527" s="12"/>
      <c r="F527" s="12"/>
      <c r="G527" s="12"/>
      <c r="H527" s="12"/>
      <c r="I527" s="12"/>
      <c r="J527" s="12"/>
      <c r="K527" s="12"/>
      <c r="L527" s="14"/>
    </row>
    <row r="528" spans="1:12" x14ac:dyDescent="0.3">
      <c r="A528" s="12"/>
      <c r="B528" s="12"/>
      <c r="C528" s="12"/>
      <c r="D528" s="12"/>
      <c r="E528" s="12"/>
      <c r="F528" s="12"/>
      <c r="G528" s="12"/>
      <c r="H528" s="12"/>
      <c r="I528" s="12"/>
      <c r="J528" s="12"/>
      <c r="K528" s="12"/>
      <c r="L528" s="14"/>
    </row>
    <row r="529" spans="1:12" x14ac:dyDescent="0.3">
      <c r="A529" s="12"/>
      <c r="B529" s="12"/>
      <c r="C529" s="12"/>
      <c r="D529" s="12"/>
      <c r="E529" s="12"/>
      <c r="F529" s="12"/>
      <c r="G529" s="12"/>
      <c r="H529" s="12"/>
      <c r="I529" s="12"/>
      <c r="J529" s="12"/>
      <c r="K529" s="12"/>
      <c r="L529" s="14"/>
    </row>
    <row r="530" spans="1:12" x14ac:dyDescent="0.3">
      <c r="A530" s="12"/>
      <c r="B530" s="12"/>
      <c r="C530" s="12"/>
      <c r="D530" s="12"/>
      <c r="E530" s="12"/>
      <c r="F530" s="12"/>
      <c r="G530" s="12"/>
      <c r="H530" s="12"/>
      <c r="I530" s="12"/>
      <c r="J530" s="12"/>
      <c r="K530" s="12"/>
      <c r="L530" s="14"/>
    </row>
    <row r="531" spans="1:12" x14ac:dyDescent="0.3">
      <c r="A531" s="12"/>
      <c r="B531" s="12"/>
      <c r="C531" s="12"/>
      <c r="D531" s="12"/>
      <c r="E531" s="12"/>
      <c r="F531" s="12"/>
      <c r="G531" s="12"/>
      <c r="H531" s="12"/>
      <c r="I531" s="12"/>
      <c r="J531" s="12"/>
      <c r="K531" s="12"/>
      <c r="L531" s="14"/>
    </row>
    <row r="532" spans="1:12" x14ac:dyDescent="0.3">
      <c r="A532" s="12"/>
      <c r="B532" s="12"/>
      <c r="C532" s="12"/>
      <c r="D532" s="12"/>
      <c r="E532" s="12"/>
      <c r="F532" s="12"/>
      <c r="G532" s="12"/>
      <c r="H532" s="12"/>
      <c r="I532" s="12"/>
      <c r="J532" s="12"/>
      <c r="K532" s="12"/>
      <c r="L532" s="14"/>
    </row>
    <row r="533" spans="1:12" x14ac:dyDescent="0.3">
      <c r="A533" s="12"/>
      <c r="B533" s="12"/>
      <c r="C533" s="12"/>
      <c r="D533" s="12"/>
      <c r="E533" s="12"/>
      <c r="F533" s="12"/>
      <c r="G533" s="12"/>
      <c r="H533" s="12"/>
      <c r="I533" s="12"/>
      <c r="J533" s="12"/>
      <c r="K533" s="12"/>
      <c r="L533" s="14"/>
    </row>
    <row r="534" spans="1:12" x14ac:dyDescent="0.3">
      <c r="A534" s="12"/>
      <c r="B534" s="12"/>
      <c r="C534" s="12"/>
      <c r="D534" s="12"/>
      <c r="E534" s="12"/>
      <c r="F534" s="12"/>
      <c r="G534" s="12"/>
      <c r="H534" s="12"/>
      <c r="I534" s="12"/>
      <c r="J534" s="12"/>
      <c r="K534" s="12"/>
      <c r="L534" s="14"/>
    </row>
    <row r="535" spans="1:12" x14ac:dyDescent="0.3">
      <c r="A535" s="12"/>
      <c r="B535" s="12"/>
      <c r="C535" s="12"/>
      <c r="D535" s="12"/>
      <c r="E535" s="12"/>
      <c r="F535" s="12"/>
      <c r="G535" s="12"/>
      <c r="H535" s="12"/>
      <c r="I535" s="12"/>
      <c r="J535" s="12"/>
      <c r="K535" s="12"/>
      <c r="L535" s="14"/>
    </row>
    <row r="536" spans="1:12" x14ac:dyDescent="0.3">
      <c r="A536" s="12"/>
      <c r="B536" s="12"/>
      <c r="C536" s="12"/>
      <c r="D536" s="12"/>
      <c r="E536" s="12"/>
      <c r="F536" s="12"/>
      <c r="G536" s="12"/>
      <c r="H536" s="12"/>
      <c r="I536" s="12"/>
      <c r="J536" s="12"/>
      <c r="K536" s="12"/>
      <c r="L536" s="14"/>
    </row>
    <row r="537" spans="1:12" x14ac:dyDescent="0.3">
      <c r="A537" s="12"/>
      <c r="B537" s="12"/>
      <c r="C537" s="12"/>
      <c r="D537" s="12"/>
      <c r="E537" s="12"/>
      <c r="F537" s="12"/>
      <c r="G537" s="12"/>
      <c r="H537" s="12"/>
      <c r="I537" s="12"/>
      <c r="J537" s="12"/>
      <c r="K537" s="12"/>
      <c r="L537" s="14"/>
    </row>
    <row r="538" spans="1:12" x14ac:dyDescent="0.3">
      <c r="A538" s="12"/>
      <c r="B538" s="12"/>
      <c r="C538" s="12"/>
      <c r="D538" s="12"/>
      <c r="E538" s="12"/>
      <c r="F538" s="12"/>
      <c r="G538" s="12"/>
      <c r="H538" s="12"/>
      <c r="I538" s="12"/>
      <c r="J538" s="12"/>
      <c r="K538" s="12"/>
      <c r="L538" s="14"/>
    </row>
    <row r="539" spans="1:12" x14ac:dyDescent="0.3">
      <c r="A539" s="12"/>
      <c r="B539" s="12"/>
      <c r="C539" s="12"/>
      <c r="D539" s="12"/>
      <c r="E539" s="12"/>
      <c r="F539" s="12"/>
      <c r="G539" s="12"/>
      <c r="H539" s="12"/>
      <c r="I539" s="12"/>
      <c r="J539" s="12"/>
      <c r="K539" s="12"/>
      <c r="L539" s="14"/>
    </row>
    <row r="540" spans="1:12" x14ac:dyDescent="0.3">
      <c r="A540" s="12"/>
      <c r="B540" s="12"/>
      <c r="C540" s="12"/>
      <c r="D540" s="12"/>
      <c r="E540" s="12"/>
      <c r="F540" s="12"/>
      <c r="G540" s="12"/>
      <c r="H540" s="12"/>
      <c r="I540" s="12"/>
      <c r="J540" s="12"/>
      <c r="K540" s="12"/>
      <c r="L540" s="14"/>
    </row>
    <row r="541" spans="1:12" x14ac:dyDescent="0.3">
      <c r="A541" s="12"/>
      <c r="B541" s="12"/>
      <c r="C541" s="12"/>
      <c r="D541" s="12"/>
      <c r="E541" s="12"/>
      <c r="F541" s="12"/>
      <c r="G541" s="12"/>
      <c r="H541" s="12"/>
      <c r="I541" s="12"/>
      <c r="J541" s="12"/>
      <c r="K541" s="12"/>
      <c r="L541" s="14"/>
    </row>
    <row r="542" spans="1:12" x14ac:dyDescent="0.3">
      <c r="A542" s="12"/>
      <c r="B542" s="12"/>
      <c r="C542" s="12"/>
      <c r="D542" s="12"/>
      <c r="E542" s="12"/>
      <c r="F542" s="12"/>
      <c r="G542" s="12"/>
      <c r="H542" s="12"/>
      <c r="I542" s="12"/>
      <c r="J542" s="12"/>
      <c r="K542" s="12"/>
      <c r="L542" s="14"/>
    </row>
    <row r="543" spans="1:12" x14ac:dyDescent="0.3">
      <c r="A543" s="12"/>
      <c r="B543" s="12"/>
      <c r="C543" s="12"/>
      <c r="D543" s="12"/>
      <c r="E543" s="12"/>
      <c r="F543" s="12"/>
      <c r="G543" s="12"/>
      <c r="H543" s="12"/>
      <c r="I543" s="12"/>
      <c r="J543" s="12"/>
      <c r="K543" s="12"/>
      <c r="L543" s="14"/>
    </row>
    <row r="544" spans="1:12" x14ac:dyDescent="0.3">
      <c r="A544" s="12"/>
      <c r="B544" s="12"/>
      <c r="C544" s="12"/>
      <c r="D544" s="12"/>
      <c r="E544" s="12"/>
      <c r="F544" s="12"/>
      <c r="G544" s="12"/>
      <c r="H544" s="12"/>
      <c r="I544" s="12"/>
      <c r="J544" s="12"/>
      <c r="K544" s="12"/>
      <c r="L544" s="14"/>
    </row>
    <row r="545" spans="1:12" x14ac:dyDescent="0.3">
      <c r="A545" s="12"/>
      <c r="B545" s="12"/>
      <c r="C545" s="12"/>
      <c r="D545" s="12"/>
      <c r="E545" s="12"/>
      <c r="F545" s="12"/>
      <c r="G545" s="12"/>
      <c r="H545" s="12"/>
      <c r="I545" s="12"/>
      <c r="J545" s="12"/>
      <c r="K545" s="12"/>
      <c r="L545" s="14"/>
    </row>
    <row r="546" spans="1:12" x14ac:dyDescent="0.3">
      <c r="A546" s="12"/>
      <c r="B546" s="12"/>
      <c r="C546" s="12"/>
      <c r="D546" s="12"/>
      <c r="E546" s="12"/>
      <c r="F546" s="12"/>
      <c r="G546" s="12"/>
      <c r="H546" s="12"/>
      <c r="I546" s="12"/>
      <c r="J546" s="12"/>
      <c r="K546" s="12"/>
      <c r="L546" s="14"/>
    </row>
    <row r="547" spans="1:12" x14ac:dyDescent="0.3">
      <c r="A547" s="12"/>
      <c r="B547" s="12"/>
      <c r="C547" s="12"/>
      <c r="D547" s="12"/>
      <c r="E547" s="12"/>
      <c r="F547" s="12"/>
      <c r="G547" s="12"/>
      <c r="H547" s="12"/>
      <c r="I547" s="12"/>
      <c r="J547" s="12"/>
      <c r="K547" s="12"/>
      <c r="L547" s="14"/>
    </row>
    <row r="548" spans="1:12" x14ac:dyDescent="0.3">
      <c r="A548" s="12"/>
      <c r="B548" s="12"/>
      <c r="C548" s="12"/>
      <c r="D548" s="12"/>
      <c r="E548" s="12"/>
      <c r="F548" s="12"/>
      <c r="G548" s="12"/>
      <c r="H548" s="12"/>
      <c r="I548" s="12"/>
      <c r="J548" s="12"/>
      <c r="K548" s="12"/>
      <c r="L548" s="14"/>
    </row>
    <row r="549" spans="1:12" x14ac:dyDescent="0.3">
      <c r="A549" s="12"/>
      <c r="B549" s="12"/>
      <c r="C549" s="12"/>
      <c r="D549" s="12"/>
      <c r="E549" s="12"/>
      <c r="F549" s="12"/>
      <c r="G549" s="12"/>
      <c r="H549" s="12"/>
      <c r="I549" s="12"/>
      <c r="J549" s="12"/>
      <c r="K549" s="12"/>
      <c r="L549" s="14"/>
    </row>
    <row r="550" spans="1:12" x14ac:dyDescent="0.3">
      <c r="A550" s="12"/>
      <c r="B550" s="12"/>
      <c r="C550" s="12"/>
      <c r="D550" s="12"/>
      <c r="E550" s="12"/>
      <c r="F550" s="12"/>
      <c r="G550" s="12"/>
      <c r="H550" s="12"/>
      <c r="I550" s="12"/>
      <c r="J550" s="12"/>
      <c r="K550" s="12"/>
      <c r="L550" s="14"/>
    </row>
    <row r="551" spans="1:12" x14ac:dyDescent="0.3">
      <c r="A551" s="12"/>
      <c r="B551" s="12"/>
      <c r="C551" s="12"/>
      <c r="D551" s="12"/>
      <c r="E551" s="12"/>
      <c r="F551" s="12"/>
      <c r="G551" s="12"/>
      <c r="H551" s="12"/>
      <c r="I551" s="12"/>
      <c r="J551" s="12"/>
      <c r="K551" s="12"/>
      <c r="L551" s="14"/>
    </row>
    <row r="552" spans="1:12" x14ac:dyDescent="0.3">
      <c r="A552" s="12"/>
      <c r="B552" s="12"/>
      <c r="C552" s="12"/>
      <c r="D552" s="12"/>
      <c r="E552" s="12"/>
      <c r="F552" s="12"/>
      <c r="G552" s="12"/>
      <c r="H552" s="12"/>
      <c r="I552" s="12"/>
      <c r="J552" s="12"/>
      <c r="K552" s="12"/>
      <c r="L552" s="14"/>
    </row>
    <row r="553" spans="1:12" x14ac:dyDescent="0.3">
      <c r="A553" s="12"/>
      <c r="B553" s="12"/>
      <c r="C553" s="12"/>
      <c r="D553" s="12"/>
      <c r="E553" s="12"/>
      <c r="F553" s="12"/>
      <c r="G553" s="12"/>
      <c r="H553" s="12"/>
      <c r="I553" s="12"/>
      <c r="J553" s="12"/>
      <c r="K553" s="12"/>
      <c r="L553" s="14"/>
    </row>
    <row r="554" spans="1:12" x14ac:dyDescent="0.3">
      <c r="A554" s="12"/>
      <c r="B554" s="12"/>
      <c r="C554" s="12"/>
      <c r="D554" s="12"/>
      <c r="E554" s="12"/>
      <c r="F554" s="12"/>
      <c r="G554" s="12"/>
      <c r="H554" s="12"/>
      <c r="I554" s="12"/>
      <c r="J554" s="12"/>
      <c r="K554" s="12"/>
      <c r="L554" s="14"/>
    </row>
    <row r="555" spans="1:12" x14ac:dyDescent="0.3">
      <c r="A555" s="12"/>
      <c r="B555" s="12"/>
      <c r="C555" s="12"/>
      <c r="D555" s="12"/>
      <c r="E555" s="12"/>
      <c r="F555" s="12"/>
      <c r="G555" s="12"/>
      <c r="H555" s="12"/>
      <c r="I555" s="12"/>
      <c r="J555" s="12"/>
      <c r="K555" s="12"/>
      <c r="L555" s="14"/>
    </row>
    <row r="556" spans="1:12" x14ac:dyDescent="0.3">
      <c r="A556" s="12"/>
      <c r="B556" s="12"/>
      <c r="C556" s="12"/>
      <c r="D556" s="12"/>
      <c r="E556" s="12"/>
      <c r="F556" s="12"/>
      <c r="G556" s="12"/>
      <c r="H556" s="12"/>
      <c r="I556" s="12"/>
      <c r="J556" s="12"/>
      <c r="K556" s="12"/>
      <c r="L556" s="14"/>
    </row>
    <row r="557" spans="1:12" x14ac:dyDescent="0.3">
      <c r="A557" s="12"/>
      <c r="B557" s="12"/>
      <c r="C557" s="12"/>
      <c r="D557" s="12"/>
      <c r="E557" s="12"/>
      <c r="F557" s="12"/>
      <c r="G557" s="12"/>
      <c r="H557" s="12"/>
      <c r="I557" s="12"/>
      <c r="J557" s="12"/>
      <c r="K557" s="12"/>
      <c r="L557" s="14"/>
    </row>
    <row r="558" spans="1:12" x14ac:dyDescent="0.3">
      <c r="A558" s="12"/>
      <c r="B558" s="12"/>
      <c r="C558" s="12"/>
      <c r="D558" s="12"/>
      <c r="E558" s="12"/>
      <c r="F558" s="12"/>
      <c r="G558" s="12"/>
      <c r="H558" s="12"/>
      <c r="I558" s="12"/>
      <c r="J558" s="12"/>
      <c r="K558" s="12"/>
      <c r="L558" s="14"/>
    </row>
    <row r="559" spans="1:12" x14ac:dyDescent="0.3">
      <c r="A559" s="12"/>
      <c r="B559" s="12"/>
      <c r="C559" s="12"/>
      <c r="D559" s="12"/>
      <c r="E559" s="12"/>
      <c r="F559" s="12"/>
      <c r="G559" s="12"/>
      <c r="H559" s="12"/>
      <c r="I559" s="12"/>
      <c r="J559" s="12"/>
      <c r="K559" s="12"/>
      <c r="L559" s="14"/>
    </row>
    <row r="560" spans="1:12" x14ac:dyDescent="0.3">
      <c r="A560" s="12"/>
      <c r="B560" s="12"/>
      <c r="C560" s="12"/>
      <c r="D560" s="12"/>
      <c r="E560" s="12"/>
      <c r="F560" s="12"/>
      <c r="G560" s="12"/>
      <c r="H560" s="12"/>
      <c r="I560" s="12"/>
      <c r="J560" s="12"/>
      <c r="K560" s="12"/>
      <c r="L560" s="14"/>
    </row>
    <row r="561" spans="1:12" x14ac:dyDescent="0.3">
      <c r="A561" s="12"/>
      <c r="B561" s="12"/>
      <c r="C561" s="12"/>
      <c r="D561" s="12"/>
      <c r="E561" s="12"/>
      <c r="F561" s="12"/>
      <c r="G561" s="12"/>
      <c r="H561" s="12"/>
      <c r="I561" s="12"/>
      <c r="J561" s="12"/>
      <c r="K561" s="12"/>
      <c r="L561" s="14"/>
    </row>
    <row r="562" spans="1:12" x14ac:dyDescent="0.3">
      <c r="A562" s="12"/>
      <c r="B562" s="12"/>
      <c r="C562" s="12"/>
      <c r="D562" s="12"/>
      <c r="E562" s="12"/>
      <c r="F562" s="12"/>
      <c r="G562" s="12"/>
      <c r="H562" s="12"/>
      <c r="I562" s="12"/>
      <c r="J562" s="12"/>
      <c r="K562" s="12"/>
      <c r="L562" s="14"/>
    </row>
    <row r="563" spans="1:12" x14ac:dyDescent="0.3">
      <c r="A563" s="12"/>
      <c r="B563" s="12"/>
      <c r="C563" s="12"/>
      <c r="D563" s="12"/>
      <c r="E563" s="12"/>
      <c r="F563" s="12"/>
      <c r="G563" s="12"/>
      <c r="H563" s="12"/>
      <c r="I563" s="12"/>
      <c r="J563" s="12"/>
      <c r="K563" s="12"/>
      <c r="L563" s="14"/>
    </row>
    <row r="564" spans="1:12" x14ac:dyDescent="0.3">
      <c r="A564" s="12"/>
      <c r="B564" s="12"/>
      <c r="C564" s="12"/>
      <c r="D564" s="12"/>
      <c r="E564" s="12"/>
      <c r="F564" s="12"/>
      <c r="G564" s="12"/>
      <c r="H564" s="12"/>
      <c r="I564" s="12"/>
      <c r="J564" s="12"/>
      <c r="K564" s="12"/>
      <c r="L564" s="14"/>
    </row>
    <row r="565" spans="1:12" x14ac:dyDescent="0.3">
      <c r="A565" s="12"/>
      <c r="B565" s="12"/>
      <c r="C565" s="12"/>
      <c r="D565" s="12"/>
      <c r="E565" s="12"/>
      <c r="F565" s="12"/>
      <c r="G565" s="12"/>
      <c r="H565" s="12"/>
      <c r="I565" s="12"/>
      <c r="J565" s="12"/>
      <c r="K565" s="12"/>
      <c r="L565" s="14"/>
    </row>
    <row r="566" spans="1:12" x14ac:dyDescent="0.3">
      <c r="A566" s="12"/>
      <c r="B566" s="12"/>
      <c r="C566" s="12"/>
      <c r="D566" s="12"/>
      <c r="E566" s="12"/>
      <c r="F566" s="12"/>
      <c r="G566" s="12"/>
      <c r="H566" s="12"/>
      <c r="I566" s="12"/>
      <c r="J566" s="12"/>
      <c r="K566" s="12"/>
      <c r="L566" s="14"/>
    </row>
    <row r="567" spans="1:12" x14ac:dyDescent="0.3">
      <c r="A567" s="12"/>
      <c r="B567" s="12"/>
      <c r="C567" s="12"/>
      <c r="D567" s="12"/>
      <c r="E567" s="12"/>
      <c r="F567" s="12"/>
      <c r="G567" s="12"/>
      <c r="H567" s="12"/>
      <c r="I567" s="12"/>
      <c r="J567" s="12"/>
      <c r="K567" s="12"/>
      <c r="L567" s="14"/>
    </row>
    <row r="568" spans="1:12" x14ac:dyDescent="0.3">
      <c r="A568" s="12"/>
      <c r="B568" s="12"/>
      <c r="C568" s="12"/>
      <c r="D568" s="12"/>
      <c r="E568" s="12"/>
      <c r="F568" s="12"/>
      <c r="G568" s="12"/>
      <c r="H568" s="12"/>
      <c r="I568" s="12"/>
      <c r="J568" s="12"/>
      <c r="K568" s="12"/>
      <c r="L568" s="14"/>
    </row>
    <row r="569" spans="1:12" x14ac:dyDescent="0.3">
      <c r="A569" s="12"/>
      <c r="B569" s="12"/>
      <c r="C569" s="12"/>
      <c r="D569" s="12"/>
      <c r="E569" s="12"/>
      <c r="F569" s="12"/>
      <c r="G569" s="12"/>
      <c r="H569" s="12"/>
      <c r="I569" s="12"/>
      <c r="J569" s="12"/>
      <c r="K569" s="12"/>
      <c r="L569" s="14"/>
    </row>
    <row r="570" spans="1:12" x14ac:dyDescent="0.3">
      <c r="A570" s="12"/>
      <c r="B570" s="12"/>
      <c r="C570" s="12"/>
      <c r="D570" s="12"/>
      <c r="E570" s="12"/>
      <c r="F570" s="12"/>
      <c r="G570" s="12"/>
      <c r="H570" s="12"/>
      <c r="I570" s="12"/>
      <c r="J570" s="12"/>
      <c r="K570" s="12"/>
      <c r="L570" s="14"/>
    </row>
    <row r="571" spans="1:12" x14ac:dyDescent="0.3">
      <c r="A571" s="12"/>
      <c r="B571" s="12"/>
      <c r="C571" s="12"/>
      <c r="D571" s="12"/>
      <c r="E571" s="12"/>
      <c r="F571" s="12"/>
      <c r="G571" s="12"/>
      <c r="H571" s="12"/>
      <c r="I571" s="12"/>
      <c r="J571" s="12"/>
      <c r="K571" s="12"/>
      <c r="L571" s="14"/>
    </row>
    <row r="572" spans="1:12" x14ac:dyDescent="0.3">
      <c r="A572" s="12"/>
      <c r="B572" s="12"/>
      <c r="C572" s="12"/>
      <c r="D572" s="12"/>
      <c r="E572" s="12"/>
      <c r="F572" s="12"/>
      <c r="G572" s="12"/>
      <c r="H572" s="12"/>
      <c r="I572" s="12"/>
      <c r="J572" s="12"/>
      <c r="K572" s="12"/>
      <c r="L572" s="14"/>
    </row>
    <row r="573" spans="1:12" x14ac:dyDescent="0.3">
      <c r="A573" s="12"/>
      <c r="B573" s="12"/>
      <c r="C573" s="12"/>
      <c r="D573" s="12"/>
      <c r="E573" s="12"/>
      <c r="F573" s="12"/>
      <c r="G573" s="12"/>
      <c r="H573" s="12"/>
      <c r="I573" s="12"/>
      <c r="J573" s="12"/>
      <c r="K573" s="12"/>
      <c r="L573" s="14"/>
    </row>
    <row r="574" spans="1:12" x14ac:dyDescent="0.3">
      <c r="A574" s="12"/>
      <c r="B574" s="12"/>
      <c r="C574" s="12"/>
      <c r="D574" s="12"/>
      <c r="E574" s="12"/>
      <c r="F574" s="12"/>
      <c r="G574" s="12"/>
      <c r="H574" s="12"/>
      <c r="I574" s="12"/>
      <c r="J574" s="12"/>
      <c r="K574" s="12"/>
      <c r="L574" s="14"/>
    </row>
    <row r="575" spans="1:12" x14ac:dyDescent="0.3">
      <c r="A575" s="12"/>
      <c r="B575" s="12"/>
      <c r="C575" s="12"/>
      <c r="D575" s="12"/>
      <c r="E575" s="12"/>
      <c r="F575" s="12"/>
      <c r="G575" s="12"/>
      <c r="H575" s="12"/>
      <c r="I575" s="12"/>
      <c r="J575" s="12"/>
      <c r="K575" s="12"/>
      <c r="L575" s="14"/>
    </row>
    <row r="576" spans="1:12" x14ac:dyDescent="0.3">
      <c r="A576" s="12"/>
      <c r="B576" s="12"/>
      <c r="C576" s="12"/>
      <c r="D576" s="12"/>
      <c r="E576" s="12"/>
      <c r="F576" s="12"/>
      <c r="G576" s="12"/>
      <c r="H576" s="12"/>
      <c r="I576" s="12"/>
      <c r="J576" s="12"/>
      <c r="K576" s="12"/>
      <c r="L576" s="14"/>
    </row>
    <row r="577" spans="1:12" x14ac:dyDescent="0.3">
      <c r="A577" s="12"/>
      <c r="B577" s="12"/>
      <c r="C577" s="12"/>
      <c r="D577" s="12"/>
      <c r="E577" s="12"/>
      <c r="F577" s="12"/>
      <c r="G577" s="12"/>
      <c r="H577" s="12"/>
      <c r="I577" s="12"/>
      <c r="J577" s="12"/>
      <c r="K577" s="12"/>
      <c r="L577" s="14"/>
    </row>
    <row r="578" spans="1:12" x14ac:dyDescent="0.3">
      <c r="A578" s="12"/>
      <c r="B578" s="12"/>
      <c r="C578" s="12"/>
      <c r="D578" s="12"/>
      <c r="E578" s="12"/>
      <c r="F578" s="12"/>
      <c r="G578" s="12"/>
      <c r="H578" s="12"/>
      <c r="I578" s="12"/>
      <c r="J578" s="12"/>
      <c r="K578" s="12"/>
      <c r="L578" s="14"/>
    </row>
    <row r="579" spans="1:12" x14ac:dyDescent="0.3">
      <c r="A579" s="12"/>
      <c r="B579" s="12"/>
      <c r="C579" s="12"/>
      <c r="D579" s="12"/>
      <c r="E579" s="12"/>
      <c r="F579" s="12"/>
      <c r="G579" s="12"/>
      <c r="H579" s="12"/>
      <c r="I579" s="12"/>
      <c r="J579" s="12"/>
      <c r="K579" s="12"/>
      <c r="L579" s="14"/>
    </row>
    <row r="580" spans="1:12" x14ac:dyDescent="0.3">
      <c r="A580" s="12"/>
      <c r="B580" s="12"/>
      <c r="C580" s="12"/>
      <c r="D580" s="12"/>
      <c r="E580" s="12"/>
      <c r="F580" s="12"/>
      <c r="G580" s="12"/>
      <c r="H580" s="12"/>
      <c r="I580" s="12"/>
      <c r="J580" s="12"/>
      <c r="K580" s="12"/>
      <c r="L580" s="14"/>
    </row>
    <row r="581" spans="1:12" x14ac:dyDescent="0.3">
      <c r="A581" s="12"/>
      <c r="B581" s="12"/>
      <c r="C581" s="12"/>
      <c r="D581" s="12"/>
      <c r="E581" s="12"/>
      <c r="F581" s="12"/>
      <c r="G581" s="12"/>
      <c r="H581" s="12"/>
      <c r="I581" s="12"/>
      <c r="J581" s="12"/>
      <c r="K581" s="12"/>
      <c r="L581" s="14"/>
    </row>
    <row r="582" spans="1:12" x14ac:dyDescent="0.3">
      <c r="A582" s="12"/>
      <c r="B582" s="12"/>
      <c r="C582" s="12"/>
      <c r="D582" s="12"/>
      <c r="E582" s="12"/>
      <c r="F582" s="12"/>
      <c r="G582" s="12"/>
      <c r="H582" s="12"/>
      <c r="I582" s="12"/>
      <c r="J582" s="12"/>
      <c r="K582" s="12"/>
      <c r="L582" s="14"/>
    </row>
    <row r="583" spans="1:12" x14ac:dyDescent="0.3">
      <c r="A583" s="12"/>
      <c r="B583" s="12"/>
      <c r="C583" s="12"/>
      <c r="D583" s="12"/>
      <c r="E583" s="12"/>
      <c r="F583" s="12"/>
      <c r="G583" s="12"/>
      <c r="H583" s="12"/>
      <c r="I583" s="12"/>
      <c r="J583" s="12"/>
      <c r="K583" s="12"/>
      <c r="L583" s="14"/>
    </row>
    <row r="584" spans="1:12" x14ac:dyDescent="0.3">
      <c r="A584" s="12"/>
      <c r="B584" s="12"/>
      <c r="C584" s="12"/>
      <c r="D584" s="12"/>
      <c r="E584" s="12"/>
      <c r="F584" s="12"/>
      <c r="G584" s="12"/>
      <c r="H584" s="12"/>
      <c r="I584" s="12"/>
      <c r="J584" s="12"/>
      <c r="K584" s="12"/>
      <c r="L584" s="14"/>
    </row>
    <row r="585" spans="1:12" x14ac:dyDescent="0.3">
      <c r="A585" s="12"/>
      <c r="B585" s="12"/>
      <c r="C585" s="12"/>
      <c r="D585" s="12"/>
      <c r="E585" s="12"/>
      <c r="F585" s="12"/>
      <c r="G585" s="12"/>
      <c r="H585" s="12"/>
      <c r="I585" s="12"/>
      <c r="J585" s="12"/>
      <c r="K585" s="12"/>
      <c r="L585" s="14"/>
    </row>
    <row r="586" spans="1:12" x14ac:dyDescent="0.3">
      <c r="A586" s="12"/>
      <c r="B586" s="12"/>
      <c r="C586" s="12"/>
      <c r="D586" s="12"/>
      <c r="E586" s="12"/>
      <c r="F586" s="12"/>
      <c r="G586" s="12"/>
      <c r="H586" s="12"/>
      <c r="I586" s="12"/>
      <c r="J586" s="12"/>
      <c r="K586" s="12"/>
      <c r="L586" s="14"/>
    </row>
    <row r="587" spans="1:12" x14ac:dyDescent="0.3">
      <c r="A587" s="12"/>
      <c r="B587" s="12"/>
      <c r="C587" s="12"/>
      <c r="D587" s="12"/>
      <c r="E587" s="12"/>
      <c r="F587" s="12"/>
      <c r="G587" s="12"/>
      <c r="H587" s="12"/>
      <c r="I587" s="12"/>
      <c r="J587" s="12"/>
      <c r="K587" s="12"/>
      <c r="L587" s="14"/>
    </row>
    <row r="588" spans="1:12" x14ac:dyDescent="0.3">
      <c r="A588" s="12"/>
      <c r="B588" s="12"/>
      <c r="C588" s="12"/>
      <c r="D588" s="12"/>
      <c r="E588" s="12"/>
      <c r="F588" s="12"/>
      <c r="G588" s="12"/>
      <c r="H588" s="12"/>
      <c r="I588" s="12"/>
      <c r="J588" s="12"/>
      <c r="K588" s="12"/>
      <c r="L588" s="14"/>
    </row>
    <row r="589" spans="1:12" x14ac:dyDescent="0.3">
      <c r="A589" s="12"/>
      <c r="B589" s="12"/>
      <c r="C589" s="12"/>
      <c r="D589" s="12"/>
      <c r="E589" s="12"/>
      <c r="F589" s="12"/>
      <c r="G589" s="12"/>
      <c r="H589" s="12"/>
      <c r="I589" s="12"/>
      <c r="J589" s="12"/>
      <c r="K589" s="12"/>
      <c r="L589" s="14"/>
    </row>
    <row r="590" spans="1:12" x14ac:dyDescent="0.3">
      <c r="A590" s="12"/>
      <c r="B590" s="12"/>
      <c r="C590" s="12"/>
      <c r="D590" s="12"/>
      <c r="E590" s="12"/>
      <c r="F590" s="12"/>
      <c r="G590" s="12"/>
      <c r="H590" s="12"/>
      <c r="I590" s="12"/>
      <c r="J590" s="12"/>
      <c r="K590" s="12"/>
      <c r="L590" s="14"/>
    </row>
    <row r="591" spans="1:12" x14ac:dyDescent="0.3">
      <c r="A591" s="12"/>
      <c r="B591" s="12"/>
      <c r="C591" s="12"/>
      <c r="D591" s="12"/>
      <c r="E591" s="12"/>
      <c r="F591" s="12"/>
      <c r="G591" s="12"/>
      <c r="H591" s="12"/>
      <c r="I591" s="12"/>
      <c r="J591" s="12"/>
      <c r="K591" s="12"/>
      <c r="L591" s="14"/>
    </row>
    <row r="592" spans="1:12" x14ac:dyDescent="0.3">
      <c r="A592" s="12"/>
      <c r="B592" s="12"/>
      <c r="C592" s="12"/>
      <c r="D592" s="12"/>
      <c r="E592" s="12"/>
      <c r="F592" s="12"/>
      <c r="G592" s="12"/>
      <c r="H592" s="12"/>
      <c r="I592" s="12"/>
      <c r="J592" s="12"/>
      <c r="K592" s="12"/>
      <c r="L592" s="14"/>
    </row>
    <row r="593" spans="1:12" x14ac:dyDescent="0.3">
      <c r="A593" s="12"/>
      <c r="B593" s="12"/>
      <c r="C593" s="12"/>
      <c r="D593" s="12"/>
      <c r="E593" s="12"/>
      <c r="F593" s="12"/>
      <c r="G593" s="12"/>
      <c r="H593" s="12"/>
      <c r="I593" s="12"/>
      <c r="J593" s="12"/>
      <c r="K593" s="12"/>
      <c r="L593" s="14"/>
    </row>
    <row r="594" spans="1:12" x14ac:dyDescent="0.3">
      <c r="A594" s="12"/>
      <c r="B594" s="12"/>
      <c r="C594" s="12"/>
      <c r="D594" s="12"/>
      <c r="E594" s="12"/>
      <c r="F594" s="12"/>
      <c r="G594" s="12"/>
      <c r="H594" s="12"/>
      <c r="I594" s="12"/>
      <c r="J594" s="12"/>
      <c r="K594" s="12"/>
      <c r="L594" s="14"/>
    </row>
    <row r="595" spans="1:12" x14ac:dyDescent="0.3">
      <c r="A595" s="12"/>
      <c r="B595" s="12"/>
      <c r="C595" s="12"/>
      <c r="D595" s="12"/>
      <c r="E595" s="12"/>
      <c r="F595" s="12"/>
      <c r="G595" s="12"/>
      <c r="H595" s="12"/>
      <c r="I595" s="12"/>
      <c r="J595" s="12"/>
      <c r="K595" s="12"/>
      <c r="L595" s="14"/>
    </row>
    <row r="596" spans="1:12" x14ac:dyDescent="0.3">
      <c r="A596" s="12"/>
      <c r="B596" s="12"/>
      <c r="C596" s="12"/>
      <c r="D596" s="12"/>
      <c r="E596" s="12"/>
      <c r="F596" s="12"/>
      <c r="G596" s="12"/>
      <c r="H596" s="12"/>
      <c r="I596" s="12"/>
      <c r="J596" s="12"/>
      <c r="K596" s="12"/>
      <c r="L596" s="14"/>
    </row>
    <row r="597" spans="1:12" x14ac:dyDescent="0.3">
      <c r="A597" s="12"/>
      <c r="B597" s="12"/>
      <c r="C597" s="12"/>
      <c r="D597" s="12"/>
      <c r="E597" s="12"/>
      <c r="F597" s="12"/>
      <c r="G597" s="12"/>
      <c r="H597" s="12"/>
      <c r="I597" s="12"/>
      <c r="J597" s="12"/>
      <c r="K597" s="12"/>
      <c r="L597" s="14"/>
    </row>
    <row r="598" spans="1:12" x14ac:dyDescent="0.3">
      <c r="A598" s="12"/>
      <c r="B598" s="12"/>
      <c r="C598" s="12"/>
      <c r="D598" s="12"/>
      <c r="E598" s="12"/>
      <c r="F598" s="12"/>
      <c r="G598" s="12"/>
      <c r="H598" s="12"/>
      <c r="I598" s="12"/>
      <c r="J598" s="12"/>
      <c r="K598" s="12"/>
      <c r="L598" s="14"/>
    </row>
    <row r="599" spans="1:12" x14ac:dyDescent="0.3">
      <c r="A599" s="12"/>
      <c r="B599" s="12"/>
      <c r="C599" s="12"/>
      <c r="D599" s="12"/>
      <c r="E599" s="12"/>
      <c r="F599" s="12"/>
      <c r="G599" s="12"/>
      <c r="H599" s="12"/>
      <c r="I599" s="12"/>
      <c r="J599" s="12"/>
      <c r="K599" s="12"/>
      <c r="L599" s="14"/>
    </row>
    <row r="600" spans="1:12" x14ac:dyDescent="0.3">
      <c r="A600" s="12"/>
      <c r="B600" s="12"/>
      <c r="C600" s="12"/>
      <c r="D600" s="12"/>
      <c r="E600" s="12"/>
      <c r="F600" s="12"/>
      <c r="G600" s="12"/>
      <c r="H600" s="12"/>
      <c r="I600" s="12"/>
      <c r="J600" s="12"/>
      <c r="K600" s="12"/>
      <c r="L600" s="14"/>
    </row>
    <row r="601" spans="1:12" x14ac:dyDescent="0.3">
      <c r="A601" s="12"/>
      <c r="B601" s="12"/>
      <c r="C601" s="12"/>
      <c r="D601" s="12"/>
      <c r="E601" s="12"/>
      <c r="F601" s="12"/>
      <c r="G601" s="12"/>
      <c r="H601" s="12"/>
      <c r="I601" s="12"/>
      <c r="J601" s="12"/>
      <c r="K601" s="12"/>
      <c r="L601" s="14"/>
    </row>
    <row r="602" spans="1:12" x14ac:dyDescent="0.3">
      <c r="A602" s="12"/>
      <c r="B602" s="12"/>
      <c r="C602" s="12"/>
      <c r="D602" s="12"/>
      <c r="E602" s="12"/>
      <c r="F602" s="12"/>
      <c r="G602" s="12"/>
      <c r="H602" s="12"/>
      <c r="I602" s="12"/>
      <c r="J602" s="12"/>
      <c r="K602" s="12"/>
      <c r="L602" s="14"/>
    </row>
    <row r="603" spans="1:12" x14ac:dyDescent="0.3">
      <c r="A603" s="12"/>
      <c r="B603" s="12"/>
      <c r="C603" s="12"/>
      <c r="D603" s="12"/>
      <c r="E603" s="12"/>
      <c r="F603" s="12"/>
      <c r="G603" s="12"/>
      <c r="H603" s="12"/>
      <c r="I603" s="12"/>
      <c r="J603" s="12"/>
      <c r="K603" s="12"/>
      <c r="L603" s="14"/>
    </row>
    <row r="604" spans="1:12" x14ac:dyDescent="0.3">
      <c r="A604" s="12"/>
      <c r="B604" s="12"/>
      <c r="C604" s="12"/>
      <c r="D604" s="12"/>
      <c r="E604" s="12"/>
      <c r="F604" s="12"/>
      <c r="G604" s="12"/>
      <c r="H604" s="12"/>
      <c r="I604" s="12"/>
      <c r="J604" s="12"/>
      <c r="K604" s="12"/>
      <c r="L604" s="14"/>
    </row>
    <row r="605" spans="1:12" x14ac:dyDescent="0.3">
      <c r="A605" s="12"/>
      <c r="B605" s="12"/>
      <c r="C605" s="12"/>
      <c r="D605" s="12"/>
      <c r="E605" s="12"/>
      <c r="F605" s="12"/>
      <c r="G605" s="12"/>
      <c r="H605" s="12"/>
      <c r="I605" s="12"/>
      <c r="J605" s="12"/>
      <c r="K605" s="12"/>
      <c r="L605" s="14"/>
    </row>
    <row r="606" spans="1:12" x14ac:dyDescent="0.3">
      <c r="A606" s="12"/>
      <c r="B606" s="12"/>
      <c r="C606" s="12"/>
      <c r="D606" s="12"/>
      <c r="E606" s="12"/>
      <c r="F606" s="12"/>
      <c r="G606" s="12"/>
      <c r="H606" s="12"/>
      <c r="I606" s="12"/>
      <c r="J606" s="12"/>
      <c r="K606" s="12"/>
      <c r="L606" s="14"/>
    </row>
    <row r="607" spans="1:12" x14ac:dyDescent="0.3">
      <c r="A607" s="12"/>
      <c r="B607" s="12"/>
      <c r="C607" s="12"/>
      <c r="D607" s="12"/>
      <c r="E607" s="12"/>
      <c r="F607" s="12"/>
      <c r="G607" s="12"/>
      <c r="H607" s="12"/>
      <c r="I607" s="12"/>
      <c r="J607" s="12"/>
      <c r="K607" s="12"/>
      <c r="L607" s="14"/>
    </row>
    <row r="608" spans="1:12" x14ac:dyDescent="0.3">
      <c r="A608" s="12"/>
      <c r="B608" s="12"/>
      <c r="C608" s="12"/>
      <c r="D608" s="12"/>
      <c r="E608" s="12"/>
      <c r="F608" s="12"/>
      <c r="G608" s="12"/>
      <c r="H608" s="12"/>
      <c r="I608" s="12"/>
      <c r="J608" s="12"/>
      <c r="K608" s="12"/>
      <c r="L608" s="14"/>
    </row>
    <row r="609" spans="1:12" x14ac:dyDescent="0.3">
      <c r="A609" s="12"/>
      <c r="B609" s="12"/>
      <c r="C609" s="12"/>
      <c r="D609" s="12"/>
      <c r="E609" s="12"/>
      <c r="F609" s="12"/>
      <c r="G609" s="12"/>
      <c r="H609" s="12"/>
      <c r="I609" s="12"/>
      <c r="J609" s="12"/>
      <c r="K609" s="12"/>
      <c r="L609" s="14"/>
    </row>
    <row r="610" spans="1:12" x14ac:dyDescent="0.3">
      <c r="A610" s="12"/>
      <c r="B610" s="12"/>
      <c r="C610" s="12"/>
      <c r="D610" s="12"/>
      <c r="E610" s="12"/>
      <c r="F610" s="12"/>
      <c r="G610" s="12"/>
      <c r="H610" s="12"/>
      <c r="I610" s="12"/>
      <c r="J610" s="12"/>
      <c r="K610" s="12"/>
      <c r="L610" s="14"/>
    </row>
    <row r="611" spans="1:12" x14ac:dyDescent="0.3">
      <c r="A611" s="12"/>
      <c r="B611" s="12"/>
      <c r="C611" s="12"/>
      <c r="D611" s="12"/>
      <c r="E611" s="12"/>
      <c r="F611" s="12"/>
      <c r="G611" s="12"/>
      <c r="H611" s="12"/>
      <c r="I611" s="12"/>
      <c r="J611" s="12"/>
      <c r="K611" s="12"/>
      <c r="L611" s="14"/>
    </row>
    <row r="612" spans="1:12" x14ac:dyDescent="0.3">
      <c r="A612" s="12"/>
      <c r="B612" s="12"/>
      <c r="C612" s="12"/>
      <c r="D612" s="12"/>
      <c r="E612" s="12"/>
      <c r="F612" s="12"/>
      <c r="G612" s="12"/>
      <c r="H612" s="12"/>
      <c r="I612" s="12"/>
      <c r="J612" s="12"/>
      <c r="K612" s="12"/>
      <c r="L612" s="14"/>
    </row>
    <row r="613" spans="1:12" x14ac:dyDescent="0.3">
      <c r="A613" s="12"/>
      <c r="B613" s="12"/>
      <c r="C613" s="12"/>
      <c r="D613" s="12"/>
      <c r="E613" s="12"/>
      <c r="F613" s="12"/>
      <c r="G613" s="12"/>
      <c r="H613" s="12"/>
      <c r="I613" s="12"/>
      <c r="J613" s="12"/>
      <c r="K613" s="12"/>
      <c r="L613" s="14"/>
    </row>
    <row r="614" spans="1:12" x14ac:dyDescent="0.3">
      <c r="A614" s="12"/>
      <c r="B614" s="12"/>
      <c r="C614" s="12"/>
      <c r="D614" s="12"/>
      <c r="E614" s="12"/>
      <c r="F614" s="12"/>
      <c r="G614" s="12"/>
      <c r="H614" s="12"/>
      <c r="I614" s="12"/>
      <c r="J614" s="12"/>
      <c r="K614" s="12"/>
      <c r="L614" s="14"/>
    </row>
    <row r="615" spans="1:12" x14ac:dyDescent="0.3">
      <c r="A615" s="12"/>
      <c r="B615" s="12"/>
      <c r="C615" s="12"/>
      <c r="D615" s="12"/>
      <c r="E615" s="12"/>
      <c r="F615" s="12"/>
      <c r="G615" s="12"/>
      <c r="H615" s="12"/>
      <c r="I615" s="12"/>
      <c r="J615" s="12"/>
      <c r="K615" s="12"/>
      <c r="L615" s="14"/>
    </row>
    <row r="616" spans="1:12" x14ac:dyDescent="0.3">
      <c r="A616" s="12"/>
      <c r="B616" s="12"/>
      <c r="C616" s="12"/>
      <c r="D616" s="12"/>
      <c r="E616" s="12"/>
      <c r="F616" s="12"/>
      <c r="G616" s="12"/>
      <c r="H616" s="12"/>
      <c r="I616" s="12"/>
      <c r="J616" s="12"/>
      <c r="K616" s="12"/>
      <c r="L616" s="14"/>
    </row>
    <row r="617" spans="1:12" x14ac:dyDescent="0.3">
      <c r="A617" s="12"/>
      <c r="B617" s="12"/>
      <c r="C617" s="12"/>
      <c r="D617" s="12"/>
      <c r="E617" s="12"/>
      <c r="F617" s="12"/>
      <c r="G617" s="12"/>
      <c r="H617" s="12"/>
      <c r="I617" s="12"/>
      <c r="J617" s="12"/>
      <c r="K617" s="12"/>
      <c r="L617" s="14"/>
    </row>
    <row r="618" spans="1:12" x14ac:dyDescent="0.3">
      <c r="A618" s="12"/>
      <c r="B618" s="12"/>
      <c r="C618" s="12"/>
      <c r="D618" s="12"/>
      <c r="E618" s="12"/>
      <c r="F618" s="12"/>
      <c r="G618" s="12"/>
      <c r="H618" s="12"/>
      <c r="I618" s="12"/>
      <c r="J618" s="12"/>
      <c r="K618" s="12"/>
      <c r="L618" s="14"/>
    </row>
    <row r="619" spans="1:12" x14ac:dyDescent="0.3">
      <c r="A619" s="12"/>
      <c r="B619" s="12"/>
      <c r="C619" s="12"/>
      <c r="D619" s="12"/>
      <c r="E619" s="12"/>
      <c r="F619" s="12"/>
      <c r="G619" s="12"/>
      <c r="H619" s="12"/>
      <c r="I619" s="12"/>
      <c r="J619" s="12"/>
      <c r="K619" s="12"/>
      <c r="L619" s="14"/>
    </row>
    <row r="620" spans="1:12" x14ac:dyDescent="0.3">
      <c r="A620" s="12"/>
      <c r="B620" s="12"/>
      <c r="C620" s="12"/>
      <c r="D620" s="12"/>
      <c r="E620" s="12"/>
      <c r="F620" s="12"/>
      <c r="G620" s="12"/>
      <c r="H620" s="12"/>
      <c r="I620" s="12"/>
      <c r="J620" s="12"/>
      <c r="K620" s="12"/>
      <c r="L620" s="14"/>
    </row>
    <row r="621" spans="1:12" x14ac:dyDescent="0.3">
      <c r="A621" s="12"/>
      <c r="B621" s="12"/>
      <c r="C621" s="12"/>
      <c r="D621" s="12"/>
      <c r="E621" s="12"/>
      <c r="F621" s="12"/>
      <c r="G621" s="12"/>
      <c r="H621" s="12"/>
      <c r="I621" s="12"/>
      <c r="J621" s="12"/>
      <c r="K621" s="12"/>
      <c r="L621" s="14"/>
    </row>
    <row r="622" spans="1:12" x14ac:dyDescent="0.3">
      <c r="A622" s="12"/>
      <c r="B622" s="12"/>
      <c r="C622" s="12"/>
      <c r="D622" s="12"/>
      <c r="E622" s="12"/>
      <c r="F622" s="12"/>
      <c r="G622" s="12"/>
      <c r="H622" s="12"/>
      <c r="I622" s="12"/>
      <c r="J622" s="12"/>
      <c r="K622" s="12"/>
      <c r="L622" s="14"/>
    </row>
    <row r="623" spans="1:12" x14ac:dyDescent="0.3">
      <c r="A623" s="12"/>
      <c r="B623" s="12"/>
      <c r="C623" s="12"/>
      <c r="D623" s="12"/>
      <c r="E623" s="12"/>
      <c r="F623" s="12"/>
      <c r="G623" s="12"/>
      <c r="H623" s="12"/>
      <c r="I623" s="12"/>
      <c r="J623" s="12"/>
      <c r="K623" s="12"/>
      <c r="L623" s="14"/>
    </row>
    <row r="624" spans="1:12" x14ac:dyDescent="0.3">
      <c r="A624" s="12"/>
      <c r="B624" s="12"/>
      <c r="C624" s="12"/>
      <c r="D624" s="12"/>
      <c r="E624" s="12"/>
      <c r="F624" s="12"/>
      <c r="G624" s="12"/>
      <c r="H624" s="12"/>
      <c r="I624" s="12"/>
      <c r="J624" s="12"/>
      <c r="K624" s="12"/>
      <c r="L624" s="14"/>
    </row>
    <row r="625" spans="1:12" x14ac:dyDescent="0.3">
      <c r="A625" s="12"/>
      <c r="B625" s="12"/>
      <c r="C625" s="12"/>
      <c r="D625" s="12"/>
      <c r="E625" s="12"/>
      <c r="F625" s="12"/>
      <c r="G625" s="12"/>
      <c r="H625" s="12"/>
      <c r="I625" s="12"/>
      <c r="J625" s="12"/>
      <c r="K625" s="12"/>
      <c r="L625" s="14"/>
    </row>
    <row r="626" spans="1:12" x14ac:dyDescent="0.3">
      <c r="A626" s="12"/>
      <c r="B626" s="12"/>
      <c r="C626" s="12"/>
      <c r="D626" s="12"/>
      <c r="E626" s="12"/>
      <c r="F626" s="12"/>
      <c r="G626" s="12"/>
      <c r="H626" s="12"/>
      <c r="I626" s="12"/>
      <c r="J626" s="12"/>
      <c r="K626" s="12"/>
      <c r="L626" s="14"/>
    </row>
    <row r="627" spans="1:12" x14ac:dyDescent="0.3">
      <c r="A627" s="12"/>
      <c r="B627" s="12"/>
      <c r="C627" s="12"/>
      <c r="D627" s="12"/>
      <c r="E627" s="12"/>
      <c r="F627" s="12"/>
      <c r="G627" s="12"/>
      <c r="H627" s="12"/>
      <c r="I627" s="12"/>
      <c r="J627" s="12"/>
      <c r="K627" s="12"/>
      <c r="L627" s="14"/>
    </row>
    <row r="628" spans="1:12" x14ac:dyDescent="0.3">
      <c r="A628" s="12"/>
      <c r="B628" s="12"/>
      <c r="C628" s="12"/>
      <c r="D628" s="12"/>
      <c r="E628" s="12"/>
      <c r="F628" s="12"/>
      <c r="G628" s="12"/>
      <c r="H628" s="12"/>
      <c r="I628" s="12"/>
      <c r="J628" s="12"/>
      <c r="K628" s="12"/>
      <c r="L628" s="14"/>
    </row>
    <row r="629" spans="1:12" x14ac:dyDescent="0.3">
      <c r="A629" s="12"/>
      <c r="B629" s="12"/>
      <c r="C629" s="12"/>
      <c r="D629" s="12"/>
      <c r="E629" s="12"/>
      <c r="F629" s="12"/>
      <c r="G629" s="12"/>
      <c r="H629" s="12"/>
      <c r="I629" s="12"/>
      <c r="J629" s="12"/>
      <c r="K629" s="12"/>
      <c r="L629" s="14"/>
    </row>
    <row r="630" spans="1:12" x14ac:dyDescent="0.3">
      <c r="A630" s="12"/>
      <c r="B630" s="12"/>
      <c r="C630" s="12"/>
      <c r="D630" s="12"/>
      <c r="E630" s="12"/>
      <c r="F630" s="12"/>
      <c r="G630" s="12"/>
      <c r="H630" s="12"/>
      <c r="I630" s="12"/>
      <c r="J630" s="12"/>
      <c r="K630" s="12"/>
      <c r="L630" s="14"/>
    </row>
    <row r="631" spans="1:12" x14ac:dyDescent="0.3">
      <c r="A631" s="12"/>
      <c r="B631" s="12"/>
      <c r="C631" s="12"/>
      <c r="D631" s="12"/>
      <c r="E631" s="12"/>
      <c r="F631" s="12"/>
      <c r="G631" s="12"/>
      <c r="H631" s="12"/>
      <c r="I631" s="12"/>
      <c r="J631" s="12"/>
      <c r="K631" s="12"/>
      <c r="L631" s="14"/>
    </row>
    <row r="632" spans="1:12" x14ac:dyDescent="0.3">
      <c r="A632" s="12"/>
      <c r="B632" s="12"/>
      <c r="C632" s="12"/>
      <c r="D632" s="12"/>
      <c r="E632" s="12"/>
      <c r="F632" s="12"/>
      <c r="G632" s="12"/>
      <c r="H632" s="12"/>
      <c r="I632" s="12"/>
      <c r="J632" s="12"/>
      <c r="K632" s="12"/>
      <c r="L632" s="14"/>
    </row>
    <row r="633" spans="1:12" x14ac:dyDescent="0.3">
      <c r="A633" s="12"/>
      <c r="B633" s="12"/>
      <c r="C633" s="12"/>
      <c r="D633" s="12"/>
      <c r="E633" s="12"/>
      <c r="F633" s="12"/>
      <c r="G633" s="12"/>
      <c r="H633" s="12"/>
      <c r="I633" s="12"/>
      <c r="J633" s="12"/>
      <c r="K633" s="12"/>
      <c r="L633" s="14"/>
    </row>
    <row r="634" spans="1:12" x14ac:dyDescent="0.3">
      <c r="A634" s="12"/>
      <c r="B634" s="12"/>
      <c r="C634" s="12"/>
      <c r="D634" s="12"/>
      <c r="E634" s="12"/>
      <c r="F634" s="12"/>
      <c r="G634" s="12"/>
      <c r="H634" s="12"/>
      <c r="I634" s="12"/>
      <c r="J634" s="12"/>
      <c r="K634" s="12"/>
      <c r="L634" s="14"/>
    </row>
    <row r="635" spans="1:12" x14ac:dyDescent="0.3">
      <c r="A635" s="12"/>
      <c r="B635" s="12"/>
      <c r="C635" s="12"/>
      <c r="D635" s="12"/>
      <c r="E635" s="12"/>
      <c r="F635" s="12"/>
      <c r="G635" s="12"/>
      <c r="H635" s="12"/>
      <c r="I635" s="12"/>
      <c r="J635" s="12"/>
      <c r="K635" s="12"/>
      <c r="L635" s="14"/>
    </row>
    <row r="636" spans="1:12" x14ac:dyDescent="0.3">
      <c r="A636" s="12"/>
      <c r="B636" s="12"/>
      <c r="C636" s="12"/>
      <c r="D636" s="12"/>
      <c r="E636" s="12"/>
      <c r="F636" s="12"/>
      <c r="G636" s="12"/>
      <c r="H636" s="12"/>
      <c r="I636" s="12"/>
      <c r="J636" s="12"/>
      <c r="K636" s="12"/>
      <c r="L636" s="14"/>
    </row>
    <row r="637" spans="1:12" x14ac:dyDescent="0.3">
      <c r="A637" s="12"/>
      <c r="B637" s="12"/>
      <c r="C637" s="12"/>
      <c r="D637" s="12"/>
      <c r="E637" s="12"/>
      <c r="F637" s="12"/>
      <c r="G637" s="12"/>
      <c r="H637" s="12"/>
      <c r="I637" s="12"/>
      <c r="J637" s="12"/>
      <c r="K637" s="12"/>
      <c r="L637" s="14"/>
    </row>
    <row r="638" spans="1:12" x14ac:dyDescent="0.3">
      <c r="A638" s="12"/>
      <c r="B638" s="12"/>
      <c r="C638" s="12"/>
      <c r="D638" s="12"/>
      <c r="E638" s="12"/>
      <c r="F638" s="12"/>
      <c r="G638" s="12"/>
      <c r="H638" s="12"/>
      <c r="I638" s="12"/>
      <c r="J638" s="12"/>
      <c r="K638" s="12"/>
      <c r="L638" s="14"/>
    </row>
    <row r="639" spans="1:12" x14ac:dyDescent="0.3">
      <c r="A639" s="12"/>
      <c r="B639" s="12"/>
      <c r="C639" s="12"/>
      <c r="D639" s="12"/>
      <c r="E639" s="12"/>
      <c r="F639" s="12"/>
      <c r="G639" s="12"/>
      <c r="H639" s="12"/>
      <c r="I639" s="12"/>
      <c r="J639" s="12"/>
      <c r="K639" s="12"/>
      <c r="L639" s="14"/>
    </row>
    <row r="640" spans="1:12" x14ac:dyDescent="0.3">
      <c r="A640" s="12"/>
      <c r="B640" s="12"/>
      <c r="C640" s="12"/>
      <c r="D640" s="12"/>
      <c r="E640" s="12"/>
      <c r="F640" s="12"/>
      <c r="G640" s="12"/>
      <c r="H640" s="12"/>
      <c r="I640" s="12"/>
      <c r="J640" s="12"/>
      <c r="K640" s="12"/>
      <c r="L640" s="14"/>
    </row>
    <row r="641" spans="1:12" x14ac:dyDescent="0.3">
      <c r="A641" s="12"/>
      <c r="B641" s="12"/>
      <c r="C641" s="12"/>
      <c r="D641" s="12"/>
      <c r="E641" s="12"/>
      <c r="F641" s="12"/>
      <c r="G641" s="12"/>
      <c r="H641" s="12"/>
      <c r="I641" s="12"/>
      <c r="J641" s="12"/>
      <c r="K641" s="12"/>
      <c r="L641" s="14"/>
    </row>
    <row r="642" spans="1:12" x14ac:dyDescent="0.3">
      <c r="A642" s="12"/>
      <c r="B642" s="12"/>
      <c r="C642" s="12"/>
      <c r="D642" s="12"/>
      <c r="E642" s="12"/>
      <c r="F642" s="12"/>
      <c r="G642" s="12"/>
      <c r="H642" s="12"/>
      <c r="I642" s="12"/>
      <c r="J642" s="12"/>
      <c r="K642" s="12"/>
      <c r="L642" s="14"/>
    </row>
    <row r="643" spans="1:12" x14ac:dyDescent="0.3">
      <c r="A643" s="12"/>
      <c r="B643" s="12"/>
      <c r="C643" s="12"/>
      <c r="D643" s="12"/>
      <c r="E643" s="12"/>
      <c r="F643" s="12"/>
      <c r="G643" s="12"/>
      <c r="H643" s="12"/>
      <c r="I643" s="12"/>
      <c r="J643" s="12"/>
      <c r="K643" s="12"/>
      <c r="L643" s="14"/>
    </row>
    <row r="644" spans="1:12" x14ac:dyDescent="0.3">
      <c r="A644" s="12"/>
      <c r="B644" s="12"/>
      <c r="C644" s="12"/>
      <c r="D644" s="12"/>
      <c r="E644" s="12"/>
      <c r="F644" s="12"/>
      <c r="G644" s="12"/>
      <c r="H644" s="12"/>
      <c r="I644" s="12"/>
      <c r="J644" s="12"/>
      <c r="K644" s="12"/>
      <c r="L644" s="14"/>
    </row>
    <row r="645" spans="1:12" x14ac:dyDescent="0.3">
      <c r="A645" s="12"/>
      <c r="B645" s="12"/>
      <c r="C645" s="12"/>
      <c r="D645" s="12"/>
      <c r="E645" s="12"/>
      <c r="F645" s="12"/>
      <c r="G645" s="12"/>
      <c r="H645" s="12"/>
      <c r="I645" s="12"/>
      <c r="J645" s="12"/>
      <c r="K645" s="12"/>
      <c r="L645" s="14"/>
    </row>
    <row r="646" spans="1:12" x14ac:dyDescent="0.3">
      <c r="A646" s="12"/>
      <c r="B646" s="12"/>
      <c r="C646" s="12"/>
      <c r="D646" s="12"/>
      <c r="E646" s="12"/>
      <c r="F646" s="12"/>
      <c r="G646" s="12"/>
      <c r="H646" s="12"/>
      <c r="I646" s="12"/>
      <c r="J646" s="12"/>
      <c r="K646" s="12"/>
      <c r="L646" s="14"/>
    </row>
    <row r="647" spans="1:12" x14ac:dyDescent="0.3">
      <c r="A647" s="12"/>
      <c r="B647" s="12"/>
      <c r="C647" s="12"/>
      <c r="D647" s="12"/>
      <c r="E647" s="12"/>
      <c r="F647" s="12"/>
      <c r="G647" s="12"/>
      <c r="H647" s="12"/>
      <c r="I647" s="12"/>
      <c r="J647" s="12"/>
      <c r="K647" s="12"/>
      <c r="L647" s="14"/>
    </row>
    <row r="648" spans="1:12" x14ac:dyDescent="0.3">
      <c r="A648" s="12"/>
      <c r="B648" s="12"/>
      <c r="C648" s="12"/>
      <c r="D648" s="12"/>
      <c r="E648" s="12"/>
      <c r="F648" s="12"/>
      <c r="G648" s="12"/>
      <c r="H648" s="12"/>
      <c r="I648" s="12"/>
      <c r="J648" s="12"/>
      <c r="K648" s="12"/>
      <c r="L648" s="14"/>
    </row>
    <row r="649" spans="1:12" x14ac:dyDescent="0.3">
      <c r="A649" s="12"/>
      <c r="B649" s="12"/>
      <c r="C649" s="12"/>
      <c r="D649" s="12"/>
      <c r="E649" s="12"/>
      <c r="F649" s="12"/>
      <c r="G649" s="12"/>
      <c r="H649" s="12"/>
      <c r="I649" s="12"/>
      <c r="J649" s="12"/>
      <c r="K649" s="12"/>
      <c r="L649" s="14"/>
    </row>
    <row r="650" spans="1:12" x14ac:dyDescent="0.3">
      <c r="A650" s="12"/>
      <c r="B650" s="12"/>
      <c r="C650" s="12"/>
      <c r="D650" s="12"/>
      <c r="E650" s="12"/>
      <c r="F650" s="12"/>
      <c r="G650" s="12"/>
      <c r="H650" s="12"/>
      <c r="I650" s="12"/>
      <c r="J650" s="12"/>
      <c r="K650" s="12"/>
      <c r="L650" s="14"/>
    </row>
    <row r="651" spans="1:12" x14ac:dyDescent="0.3">
      <c r="A651" s="12"/>
      <c r="B651" s="12"/>
      <c r="C651" s="12"/>
      <c r="D651" s="12"/>
      <c r="E651" s="12"/>
      <c r="F651" s="12"/>
      <c r="G651" s="12"/>
      <c r="H651" s="12"/>
      <c r="I651" s="12"/>
      <c r="J651" s="12"/>
      <c r="K651" s="12"/>
      <c r="L651" s="14"/>
    </row>
    <row r="652" spans="1:12" x14ac:dyDescent="0.3">
      <c r="A652" s="12"/>
      <c r="B652" s="12"/>
      <c r="C652" s="12"/>
      <c r="D652" s="12"/>
      <c r="E652" s="12"/>
      <c r="F652" s="12"/>
      <c r="G652" s="12"/>
      <c r="H652" s="12"/>
      <c r="I652" s="12"/>
      <c r="J652" s="12"/>
      <c r="K652" s="12"/>
      <c r="L652" s="14"/>
    </row>
    <row r="653" spans="1:12" x14ac:dyDescent="0.3">
      <c r="A653" s="12"/>
      <c r="B653" s="12"/>
      <c r="C653" s="12"/>
      <c r="D653" s="12"/>
      <c r="E653" s="12"/>
      <c r="F653" s="12"/>
      <c r="G653" s="12"/>
      <c r="H653" s="12"/>
      <c r="I653" s="12"/>
      <c r="J653" s="12"/>
      <c r="K653" s="12"/>
      <c r="L653" s="14"/>
    </row>
    <row r="654" spans="1:12" x14ac:dyDescent="0.3">
      <c r="A654" s="12"/>
      <c r="B654" s="12"/>
      <c r="C654" s="12"/>
      <c r="D654" s="12"/>
      <c r="E654" s="12"/>
      <c r="F654" s="12"/>
      <c r="G654" s="12"/>
      <c r="H654" s="12"/>
      <c r="I654" s="12"/>
      <c r="J654" s="12"/>
      <c r="K654" s="12"/>
      <c r="L654" s="14"/>
    </row>
    <row r="655" spans="1:12" x14ac:dyDescent="0.3">
      <c r="A655" s="12"/>
      <c r="B655" s="12"/>
      <c r="C655" s="12"/>
      <c r="D655" s="12"/>
      <c r="E655" s="12"/>
      <c r="F655" s="12"/>
      <c r="G655" s="12"/>
      <c r="H655" s="12"/>
      <c r="I655" s="12"/>
      <c r="J655" s="12"/>
      <c r="K655" s="12"/>
      <c r="L655" s="14"/>
    </row>
    <row r="656" spans="1:12" x14ac:dyDescent="0.3">
      <c r="A656" s="12"/>
      <c r="B656" s="12"/>
      <c r="C656" s="12"/>
      <c r="D656" s="12"/>
      <c r="E656" s="12"/>
      <c r="F656" s="12"/>
      <c r="G656" s="12"/>
      <c r="H656" s="12"/>
      <c r="I656" s="12"/>
      <c r="J656" s="12"/>
      <c r="K656" s="12"/>
      <c r="L656" s="14"/>
    </row>
    <row r="657" spans="1:12" x14ac:dyDescent="0.3">
      <c r="A657" s="12"/>
      <c r="B657" s="12"/>
      <c r="C657" s="12"/>
      <c r="D657" s="12"/>
      <c r="E657" s="12"/>
      <c r="F657" s="12"/>
      <c r="G657" s="12"/>
      <c r="H657" s="12"/>
      <c r="I657" s="12"/>
      <c r="J657" s="12"/>
      <c r="K657" s="12"/>
      <c r="L657" s="14"/>
    </row>
    <row r="658" spans="1:12" x14ac:dyDescent="0.3">
      <c r="A658" s="12"/>
      <c r="B658" s="12"/>
      <c r="C658" s="12"/>
      <c r="D658" s="12"/>
      <c r="E658" s="12"/>
      <c r="F658" s="12"/>
      <c r="G658" s="12"/>
      <c r="H658" s="12"/>
      <c r="I658" s="12"/>
      <c r="J658" s="12"/>
      <c r="K658" s="12"/>
      <c r="L658" s="14"/>
    </row>
    <row r="659" spans="1:12" x14ac:dyDescent="0.3">
      <c r="A659" s="12"/>
      <c r="B659" s="12"/>
      <c r="C659" s="12"/>
      <c r="D659" s="12"/>
      <c r="E659" s="12"/>
      <c r="F659" s="12"/>
      <c r="G659" s="12"/>
      <c r="H659" s="12"/>
      <c r="I659" s="12"/>
      <c r="J659" s="12"/>
      <c r="K659" s="12"/>
      <c r="L659" s="14"/>
    </row>
    <row r="660" spans="1:12" x14ac:dyDescent="0.3">
      <c r="A660" s="12"/>
      <c r="B660" s="12"/>
      <c r="C660" s="12"/>
      <c r="D660" s="12"/>
      <c r="E660" s="12"/>
      <c r="F660" s="12"/>
      <c r="G660" s="12"/>
      <c r="H660" s="12"/>
      <c r="I660" s="12"/>
      <c r="J660" s="12"/>
      <c r="K660" s="12"/>
      <c r="L660" s="14"/>
    </row>
    <row r="661" spans="1:12" x14ac:dyDescent="0.3">
      <c r="A661" s="12"/>
      <c r="B661" s="12"/>
      <c r="C661" s="12"/>
      <c r="D661" s="12"/>
      <c r="E661" s="12"/>
      <c r="F661" s="12"/>
      <c r="G661" s="12"/>
      <c r="H661" s="12"/>
      <c r="I661" s="12"/>
      <c r="J661" s="12"/>
      <c r="K661" s="12"/>
      <c r="L661" s="14"/>
    </row>
    <row r="662" spans="1:12" x14ac:dyDescent="0.3">
      <c r="A662" s="12"/>
      <c r="B662" s="12"/>
      <c r="C662" s="12"/>
      <c r="D662" s="12"/>
      <c r="E662" s="12"/>
      <c r="F662" s="12"/>
      <c r="G662" s="12"/>
      <c r="H662" s="12"/>
      <c r="I662" s="12"/>
      <c r="J662" s="12"/>
      <c r="K662" s="12"/>
      <c r="L662" s="14"/>
    </row>
    <row r="663" spans="1:12" x14ac:dyDescent="0.3">
      <c r="A663" s="12"/>
      <c r="B663" s="12"/>
      <c r="C663" s="12"/>
      <c r="D663" s="12"/>
      <c r="E663" s="12"/>
      <c r="F663" s="12"/>
      <c r="G663" s="12"/>
      <c r="H663" s="12"/>
      <c r="I663" s="12"/>
      <c r="J663" s="12"/>
      <c r="K663" s="12"/>
      <c r="L663" s="14"/>
    </row>
    <row r="664" spans="1:12" x14ac:dyDescent="0.3">
      <c r="A664" s="12"/>
      <c r="B664" s="12"/>
      <c r="C664" s="12"/>
      <c r="D664" s="12"/>
      <c r="E664" s="12"/>
      <c r="F664" s="12"/>
      <c r="G664" s="12"/>
      <c r="H664" s="12"/>
      <c r="I664" s="12"/>
      <c r="J664" s="12"/>
      <c r="K664" s="12"/>
      <c r="L664" s="14"/>
    </row>
    <row r="665" spans="1:12" x14ac:dyDescent="0.3">
      <c r="A665" s="12"/>
      <c r="B665" s="12"/>
      <c r="C665" s="12"/>
      <c r="D665" s="12"/>
      <c r="E665" s="12"/>
      <c r="F665" s="12"/>
      <c r="G665" s="12"/>
      <c r="H665" s="12"/>
      <c r="I665" s="12"/>
      <c r="J665" s="12"/>
      <c r="K665" s="12"/>
      <c r="L665" s="14"/>
    </row>
    <row r="666" spans="1:12" x14ac:dyDescent="0.3">
      <c r="A666" s="12"/>
      <c r="B666" s="12"/>
      <c r="C666" s="12"/>
      <c r="D666" s="12"/>
      <c r="E666" s="12"/>
      <c r="F666" s="12"/>
      <c r="G666" s="12"/>
      <c r="H666" s="12"/>
      <c r="I666" s="12"/>
      <c r="J666" s="12"/>
      <c r="K666" s="12"/>
      <c r="L666" s="14"/>
    </row>
    <row r="667" spans="1:12" x14ac:dyDescent="0.3">
      <c r="A667" s="12"/>
      <c r="B667" s="12"/>
      <c r="C667" s="12"/>
      <c r="D667" s="12"/>
      <c r="E667" s="12"/>
      <c r="F667" s="12"/>
      <c r="G667" s="12"/>
      <c r="H667" s="12"/>
      <c r="I667" s="12"/>
      <c r="J667" s="12"/>
      <c r="K667" s="12"/>
      <c r="L667" s="14"/>
    </row>
    <row r="668" spans="1:12" x14ac:dyDescent="0.3">
      <c r="A668" s="12"/>
      <c r="B668" s="12"/>
      <c r="C668" s="12"/>
      <c r="D668" s="12"/>
      <c r="E668" s="12"/>
      <c r="F668" s="12"/>
      <c r="G668" s="12"/>
      <c r="H668" s="12"/>
      <c r="I668" s="12"/>
      <c r="J668" s="12"/>
      <c r="K668" s="12"/>
      <c r="L668" s="14"/>
    </row>
    <row r="669" spans="1:12" x14ac:dyDescent="0.3">
      <c r="A669" s="12"/>
      <c r="B669" s="12"/>
      <c r="C669" s="12"/>
      <c r="D669" s="12"/>
      <c r="E669" s="12"/>
      <c r="F669" s="12"/>
      <c r="G669" s="12"/>
      <c r="H669" s="12"/>
      <c r="I669" s="12"/>
      <c r="J669" s="12"/>
      <c r="K669" s="12"/>
      <c r="L669" s="14"/>
    </row>
    <row r="670" spans="1:12" x14ac:dyDescent="0.3">
      <c r="A670" s="12"/>
      <c r="B670" s="12"/>
      <c r="C670" s="12"/>
      <c r="D670" s="12"/>
      <c r="E670" s="12"/>
      <c r="F670" s="12"/>
      <c r="G670" s="12"/>
      <c r="H670" s="12"/>
      <c r="I670" s="12"/>
      <c r="J670" s="12"/>
      <c r="K670" s="12"/>
      <c r="L670" s="14"/>
    </row>
    <row r="671" spans="1:12" x14ac:dyDescent="0.3">
      <c r="A671" s="12"/>
      <c r="B671" s="12"/>
      <c r="C671" s="12"/>
      <c r="D671" s="12"/>
      <c r="E671" s="12"/>
      <c r="F671" s="12"/>
      <c r="G671" s="12"/>
      <c r="H671" s="12"/>
      <c r="I671" s="12"/>
      <c r="J671" s="12"/>
      <c r="K671" s="12"/>
      <c r="L671" s="14"/>
    </row>
    <row r="672" spans="1:12" x14ac:dyDescent="0.3">
      <c r="A672" s="12"/>
      <c r="B672" s="12"/>
      <c r="C672" s="12"/>
      <c r="D672" s="12"/>
      <c r="E672" s="12"/>
      <c r="F672" s="12"/>
      <c r="G672" s="12"/>
      <c r="H672" s="12"/>
      <c r="I672" s="12"/>
      <c r="J672" s="12"/>
      <c r="K672" s="12"/>
      <c r="L672" s="14"/>
    </row>
    <row r="673" spans="1:12" x14ac:dyDescent="0.3">
      <c r="A673" s="12"/>
      <c r="B673" s="12"/>
      <c r="C673" s="12"/>
      <c r="D673" s="12"/>
      <c r="E673" s="12"/>
      <c r="F673" s="12"/>
      <c r="G673" s="12"/>
      <c r="H673" s="12"/>
      <c r="I673" s="12"/>
      <c r="J673" s="12"/>
      <c r="K673" s="12"/>
      <c r="L673" s="14"/>
    </row>
    <row r="674" spans="1:12" x14ac:dyDescent="0.3">
      <c r="A674" s="12"/>
      <c r="B674" s="12"/>
      <c r="C674" s="12"/>
      <c r="D674" s="12"/>
      <c r="E674" s="12"/>
      <c r="F674" s="12"/>
      <c r="G674" s="12"/>
      <c r="H674" s="12"/>
      <c r="I674" s="12"/>
      <c r="J674" s="12"/>
      <c r="K674" s="12"/>
      <c r="L674" s="14"/>
    </row>
    <row r="675" spans="1:12" x14ac:dyDescent="0.3">
      <c r="A675" s="12"/>
      <c r="B675" s="12"/>
      <c r="C675" s="12"/>
      <c r="D675" s="12"/>
      <c r="E675" s="12"/>
      <c r="F675" s="12"/>
      <c r="G675" s="12"/>
      <c r="H675" s="12"/>
      <c r="I675" s="12"/>
      <c r="J675" s="12"/>
      <c r="K675" s="12"/>
      <c r="L675" s="14"/>
    </row>
    <row r="676" spans="1:12" x14ac:dyDescent="0.3">
      <c r="A676" s="12"/>
      <c r="B676" s="12"/>
      <c r="C676" s="12"/>
      <c r="D676" s="12"/>
      <c r="E676" s="12"/>
      <c r="F676" s="12"/>
      <c r="G676" s="12"/>
      <c r="H676" s="12"/>
      <c r="I676" s="12"/>
      <c r="J676" s="12"/>
      <c r="K676" s="12"/>
      <c r="L676" s="14"/>
    </row>
    <row r="677" spans="1:12" x14ac:dyDescent="0.3">
      <c r="A677" s="12"/>
      <c r="B677" s="12"/>
      <c r="C677" s="12"/>
      <c r="D677" s="12"/>
      <c r="E677" s="12"/>
      <c r="F677" s="12"/>
      <c r="G677" s="12"/>
      <c r="H677" s="12"/>
      <c r="I677" s="12"/>
      <c r="J677" s="12"/>
      <c r="K677" s="12"/>
      <c r="L677" s="14"/>
    </row>
    <row r="678" spans="1:12" x14ac:dyDescent="0.3">
      <c r="A678" s="12"/>
      <c r="B678" s="12"/>
      <c r="C678" s="12"/>
      <c r="D678" s="12"/>
      <c r="E678" s="12"/>
      <c r="F678" s="12"/>
      <c r="G678" s="12"/>
      <c r="H678" s="12"/>
      <c r="I678" s="12"/>
      <c r="J678" s="12"/>
      <c r="K678" s="12"/>
      <c r="L678" s="14"/>
    </row>
    <row r="679" spans="1:12" x14ac:dyDescent="0.3">
      <c r="A679" s="12"/>
      <c r="B679" s="12"/>
      <c r="C679" s="12"/>
      <c r="D679" s="12"/>
      <c r="E679" s="12"/>
      <c r="F679" s="12"/>
      <c r="G679" s="12"/>
      <c r="H679" s="12"/>
      <c r="I679" s="12"/>
      <c r="J679" s="12"/>
      <c r="K679" s="12"/>
      <c r="L679" s="14"/>
    </row>
    <row r="680" spans="1:12" x14ac:dyDescent="0.3">
      <c r="A680" s="12"/>
      <c r="B680" s="12"/>
      <c r="C680" s="12"/>
      <c r="D680" s="12"/>
      <c r="E680" s="12"/>
      <c r="F680" s="12"/>
      <c r="G680" s="12"/>
      <c r="H680" s="12"/>
      <c r="I680" s="12"/>
      <c r="J680" s="12"/>
      <c r="K680" s="12"/>
      <c r="L680" s="14"/>
    </row>
    <row r="681" spans="1:12" x14ac:dyDescent="0.3">
      <c r="A681" s="12"/>
      <c r="B681" s="12"/>
      <c r="C681" s="12"/>
      <c r="D681" s="12"/>
      <c r="E681" s="12"/>
      <c r="F681" s="12"/>
      <c r="G681" s="12"/>
      <c r="H681" s="12"/>
      <c r="I681" s="12"/>
      <c r="J681" s="12"/>
      <c r="K681" s="12"/>
      <c r="L681" s="14"/>
    </row>
    <row r="682" spans="1:12" x14ac:dyDescent="0.3">
      <c r="A682" s="12"/>
      <c r="B682" s="12"/>
      <c r="C682" s="12"/>
      <c r="D682" s="12"/>
      <c r="E682" s="12"/>
      <c r="F682" s="12"/>
      <c r="G682" s="12"/>
      <c r="H682" s="12"/>
      <c r="I682" s="12"/>
      <c r="J682" s="12"/>
      <c r="K682" s="12"/>
      <c r="L682" s="14"/>
    </row>
    <row r="683" spans="1:12" x14ac:dyDescent="0.3">
      <c r="A683" s="12"/>
      <c r="B683" s="12"/>
      <c r="C683" s="12"/>
      <c r="D683" s="12"/>
      <c r="E683" s="12"/>
      <c r="F683" s="12"/>
      <c r="G683" s="12"/>
      <c r="H683" s="12"/>
      <c r="I683" s="12"/>
      <c r="J683" s="12"/>
      <c r="K683" s="12"/>
      <c r="L683" s="14"/>
    </row>
    <row r="684" spans="1:12" x14ac:dyDescent="0.3">
      <c r="A684" s="12"/>
      <c r="B684" s="12"/>
      <c r="C684" s="12"/>
      <c r="D684" s="12"/>
      <c r="E684" s="12"/>
      <c r="F684" s="12"/>
      <c r="G684" s="12"/>
      <c r="H684" s="12"/>
      <c r="I684" s="12"/>
      <c r="J684" s="12"/>
      <c r="K684" s="12"/>
      <c r="L684" s="14"/>
    </row>
    <row r="685" spans="1:12" x14ac:dyDescent="0.3">
      <c r="A685" s="12"/>
      <c r="B685" s="12"/>
      <c r="C685" s="12"/>
      <c r="D685" s="12"/>
      <c r="E685" s="12"/>
      <c r="F685" s="12"/>
      <c r="G685" s="12"/>
      <c r="H685" s="12"/>
      <c r="I685" s="12"/>
      <c r="J685" s="12"/>
      <c r="K685" s="12"/>
      <c r="L685" s="14"/>
    </row>
    <row r="686" spans="1:12" x14ac:dyDescent="0.3">
      <c r="A686" s="12"/>
      <c r="B686" s="12"/>
      <c r="C686" s="12"/>
      <c r="D686" s="12"/>
      <c r="E686" s="12"/>
      <c r="F686" s="12"/>
      <c r="G686" s="12"/>
      <c r="H686" s="12"/>
      <c r="I686" s="12"/>
      <c r="J686" s="12"/>
      <c r="K686" s="12"/>
      <c r="L686" s="14"/>
    </row>
    <row r="687" spans="1:12" x14ac:dyDescent="0.3">
      <c r="A687" s="12"/>
      <c r="B687" s="12"/>
      <c r="C687" s="12"/>
      <c r="D687" s="12"/>
      <c r="E687" s="12"/>
      <c r="F687" s="12"/>
      <c r="G687" s="12"/>
      <c r="H687" s="12"/>
      <c r="I687" s="12"/>
      <c r="J687" s="12"/>
      <c r="K687" s="12"/>
      <c r="L687" s="14"/>
    </row>
    <row r="688" spans="1:12" x14ac:dyDescent="0.3">
      <c r="A688" s="12"/>
      <c r="B688" s="12"/>
      <c r="C688" s="12"/>
      <c r="D688" s="12"/>
      <c r="E688" s="12"/>
      <c r="F688" s="12"/>
      <c r="G688" s="12"/>
      <c r="H688" s="12"/>
      <c r="I688" s="12"/>
      <c r="J688" s="12"/>
      <c r="K688" s="12"/>
      <c r="L688" s="14"/>
    </row>
    <row r="689" spans="1:12" x14ac:dyDescent="0.3">
      <c r="A689" s="12"/>
      <c r="B689" s="12"/>
      <c r="C689" s="12"/>
      <c r="D689" s="12"/>
      <c r="E689" s="12"/>
      <c r="F689" s="12"/>
      <c r="G689" s="12"/>
      <c r="H689" s="12"/>
      <c r="I689" s="12"/>
      <c r="J689" s="12"/>
      <c r="K689" s="12"/>
      <c r="L689" s="14"/>
    </row>
    <row r="690" spans="1:12" x14ac:dyDescent="0.3">
      <c r="A690" s="12"/>
      <c r="B690" s="12"/>
      <c r="C690" s="12"/>
      <c r="D690" s="12"/>
      <c r="E690" s="12"/>
      <c r="F690" s="12"/>
      <c r="G690" s="12"/>
      <c r="H690" s="12"/>
      <c r="I690" s="12"/>
      <c r="J690" s="12"/>
      <c r="K690" s="12"/>
      <c r="L690" s="14"/>
    </row>
    <row r="691" spans="1:12" x14ac:dyDescent="0.3">
      <c r="A691" s="12"/>
      <c r="B691" s="12"/>
      <c r="C691" s="12"/>
      <c r="D691" s="12"/>
      <c r="E691" s="12"/>
      <c r="F691" s="12"/>
      <c r="G691" s="12"/>
      <c r="H691" s="12"/>
      <c r="I691" s="12"/>
      <c r="J691" s="12"/>
      <c r="K691" s="12"/>
      <c r="L691" s="14"/>
    </row>
    <row r="692" spans="1:12" x14ac:dyDescent="0.3">
      <c r="A692" s="12"/>
      <c r="B692" s="12"/>
      <c r="C692" s="12"/>
      <c r="D692" s="12"/>
      <c r="E692" s="12"/>
      <c r="F692" s="12"/>
      <c r="G692" s="12"/>
      <c r="H692" s="12"/>
      <c r="I692" s="12"/>
      <c r="J692" s="12"/>
      <c r="K692" s="12"/>
      <c r="L692" s="14"/>
    </row>
    <row r="693" spans="1:12" x14ac:dyDescent="0.3">
      <c r="A693" s="12"/>
      <c r="B693" s="12"/>
      <c r="C693" s="12"/>
      <c r="D693" s="12"/>
      <c r="E693" s="12"/>
      <c r="F693" s="12"/>
      <c r="G693" s="12"/>
      <c r="H693" s="12"/>
      <c r="I693" s="12"/>
      <c r="J693" s="12"/>
      <c r="K693" s="12"/>
      <c r="L693" s="14"/>
    </row>
    <row r="694" spans="1:12" x14ac:dyDescent="0.3">
      <c r="A694" s="12"/>
      <c r="B694" s="12"/>
      <c r="C694" s="12"/>
      <c r="D694" s="12"/>
      <c r="E694" s="12"/>
      <c r="F694" s="12"/>
      <c r="G694" s="12"/>
      <c r="H694" s="12"/>
      <c r="I694" s="12"/>
      <c r="J694" s="12"/>
      <c r="K694" s="12"/>
      <c r="L694" s="14"/>
    </row>
    <row r="695" spans="1:12" x14ac:dyDescent="0.3">
      <c r="A695" s="12"/>
      <c r="B695" s="12"/>
      <c r="C695" s="12"/>
      <c r="D695" s="12"/>
      <c r="E695" s="12"/>
      <c r="F695" s="12"/>
      <c r="G695" s="12"/>
      <c r="H695" s="12"/>
      <c r="I695" s="12"/>
      <c r="J695" s="12"/>
      <c r="K695" s="12"/>
      <c r="L695" s="14"/>
    </row>
    <row r="696" spans="1:12" x14ac:dyDescent="0.3">
      <c r="A696" s="12"/>
      <c r="B696" s="12"/>
      <c r="C696" s="12"/>
      <c r="D696" s="12"/>
      <c r="E696" s="12"/>
      <c r="F696" s="12"/>
      <c r="G696" s="12"/>
      <c r="H696" s="12"/>
      <c r="I696" s="12"/>
      <c r="J696" s="12"/>
      <c r="K696" s="12"/>
      <c r="L696" s="14"/>
    </row>
    <row r="697" spans="1:12" x14ac:dyDescent="0.3">
      <c r="A697" s="12"/>
      <c r="B697" s="12"/>
      <c r="C697" s="12"/>
      <c r="D697" s="12"/>
      <c r="E697" s="12"/>
      <c r="F697" s="12"/>
      <c r="G697" s="12"/>
      <c r="H697" s="12"/>
      <c r="I697" s="12"/>
      <c r="J697" s="12"/>
      <c r="K697" s="12"/>
      <c r="L697" s="14"/>
    </row>
    <row r="698" spans="1:12" x14ac:dyDescent="0.3">
      <c r="A698" s="12"/>
      <c r="B698" s="12"/>
      <c r="C698" s="12"/>
      <c r="D698" s="12"/>
      <c r="E698" s="12"/>
      <c r="F698" s="12"/>
      <c r="G698" s="12"/>
      <c r="H698" s="12"/>
      <c r="I698" s="12"/>
      <c r="J698" s="12"/>
      <c r="K698" s="12"/>
      <c r="L698" s="14"/>
    </row>
    <row r="699" spans="1:12" x14ac:dyDescent="0.3">
      <c r="A699" s="12"/>
      <c r="B699" s="12"/>
      <c r="C699" s="12"/>
      <c r="D699" s="12"/>
      <c r="E699" s="12"/>
      <c r="F699" s="12"/>
      <c r="G699" s="12"/>
      <c r="H699" s="12"/>
      <c r="I699" s="12"/>
      <c r="J699" s="12"/>
      <c r="K699" s="12"/>
      <c r="L699" s="14"/>
    </row>
    <row r="700" spans="1:12" x14ac:dyDescent="0.3">
      <c r="A700" s="12"/>
      <c r="B700" s="12"/>
      <c r="C700" s="12"/>
      <c r="D700" s="12"/>
      <c r="E700" s="12"/>
      <c r="F700" s="12"/>
      <c r="G700" s="12"/>
      <c r="H700" s="12"/>
      <c r="I700" s="12"/>
      <c r="J700" s="12"/>
      <c r="K700" s="12"/>
      <c r="L700" s="14"/>
    </row>
    <row r="701" spans="1:12" x14ac:dyDescent="0.3">
      <c r="A701" s="12"/>
      <c r="B701" s="12"/>
      <c r="C701" s="12"/>
      <c r="D701" s="12"/>
      <c r="E701" s="12"/>
      <c r="F701" s="12"/>
      <c r="G701" s="12"/>
      <c r="H701" s="12"/>
      <c r="I701" s="12"/>
      <c r="J701" s="12"/>
      <c r="K701" s="12"/>
      <c r="L701" s="14"/>
    </row>
    <row r="702" spans="1:12" x14ac:dyDescent="0.3">
      <c r="A702" s="12"/>
      <c r="B702" s="12"/>
      <c r="C702" s="12"/>
      <c r="D702" s="12"/>
      <c r="E702" s="12"/>
      <c r="F702" s="12"/>
      <c r="G702" s="12"/>
      <c r="H702" s="12"/>
      <c r="I702" s="12"/>
      <c r="J702" s="12"/>
      <c r="K702" s="12"/>
      <c r="L702" s="14"/>
    </row>
    <row r="703" spans="1:12" x14ac:dyDescent="0.3">
      <c r="A703" s="12"/>
      <c r="B703" s="12"/>
      <c r="C703" s="12"/>
      <c r="D703" s="12"/>
      <c r="E703" s="12"/>
      <c r="F703" s="12"/>
      <c r="G703" s="12"/>
      <c r="H703" s="12"/>
      <c r="I703" s="12"/>
      <c r="J703" s="12"/>
      <c r="K703" s="12"/>
      <c r="L703" s="14"/>
    </row>
    <row r="704" spans="1:12" x14ac:dyDescent="0.3">
      <c r="A704" s="12"/>
      <c r="B704" s="12"/>
      <c r="C704" s="12"/>
      <c r="D704" s="12"/>
      <c r="E704" s="12"/>
      <c r="F704" s="12"/>
      <c r="G704" s="12"/>
      <c r="H704" s="12"/>
      <c r="I704" s="12"/>
      <c r="J704" s="12"/>
      <c r="K704" s="12"/>
      <c r="L704" s="14"/>
    </row>
    <row r="705" spans="1:12" x14ac:dyDescent="0.3">
      <c r="A705" s="12"/>
      <c r="B705" s="12"/>
      <c r="C705" s="12"/>
      <c r="D705" s="12"/>
      <c r="E705" s="12"/>
      <c r="F705" s="12"/>
      <c r="G705" s="12"/>
      <c r="H705" s="12"/>
      <c r="I705" s="12"/>
      <c r="J705" s="12"/>
      <c r="K705" s="12"/>
      <c r="L705" s="14"/>
    </row>
    <row r="706" spans="1:12" x14ac:dyDescent="0.3">
      <c r="A706" s="12"/>
      <c r="B706" s="12"/>
      <c r="C706" s="12"/>
      <c r="D706" s="12"/>
      <c r="E706" s="12"/>
      <c r="F706" s="12"/>
      <c r="G706" s="12"/>
      <c r="H706" s="12"/>
      <c r="I706" s="12"/>
      <c r="J706" s="12"/>
      <c r="K706" s="12"/>
      <c r="L706" s="14"/>
    </row>
    <row r="707" spans="1:12" x14ac:dyDescent="0.3">
      <c r="A707" s="12"/>
      <c r="B707" s="12"/>
      <c r="C707" s="12"/>
      <c r="D707" s="12"/>
      <c r="E707" s="12"/>
      <c r="F707" s="12"/>
      <c r="G707" s="12"/>
      <c r="H707" s="12"/>
      <c r="I707" s="12"/>
      <c r="J707" s="12"/>
      <c r="K707" s="12"/>
      <c r="L707" s="14"/>
    </row>
    <row r="708" spans="1:12" x14ac:dyDescent="0.3">
      <c r="A708" s="12"/>
      <c r="B708" s="12"/>
      <c r="C708" s="12"/>
      <c r="D708" s="12"/>
      <c r="E708" s="12"/>
      <c r="F708" s="12"/>
      <c r="G708" s="12"/>
      <c r="H708" s="12"/>
      <c r="I708" s="12"/>
      <c r="J708" s="12"/>
      <c r="K708" s="12"/>
      <c r="L708" s="14"/>
    </row>
    <row r="709" spans="1:12" x14ac:dyDescent="0.3">
      <c r="A709" s="12"/>
      <c r="B709" s="12"/>
      <c r="C709" s="12"/>
      <c r="D709" s="12"/>
      <c r="E709" s="12"/>
      <c r="F709" s="12"/>
      <c r="G709" s="12"/>
      <c r="H709" s="12"/>
      <c r="I709" s="12"/>
      <c r="J709" s="12"/>
      <c r="K709" s="12"/>
      <c r="L709" s="14"/>
    </row>
    <row r="710" spans="1:12" x14ac:dyDescent="0.3">
      <c r="A710" s="12"/>
      <c r="B710" s="12"/>
      <c r="C710" s="12"/>
      <c r="D710" s="12"/>
      <c r="E710" s="12"/>
      <c r="F710" s="12"/>
      <c r="G710" s="12"/>
      <c r="H710" s="12"/>
      <c r="I710" s="12"/>
      <c r="J710" s="12"/>
      <c r="K710" s="12"/>
      <c r="L710" s="14"/>
    </row>
    <row r="711" spans="1:12" x14ac:dyDescent="0.3">
      <c r="A711" s="12"/>
      <c r="B711" s="12"/>
      <c r="C711" s="12"/>
      <c r="D711" s="12"/>
      <c r="E711" s="12"/>
      <c r="F711" s="12"/>
      <c r="G711" s="12"/>
      <c r="H711" s="12"/>
      <c r="I711" s="12"/>
      <c r="J711" s="12"/>
      <c r="K711" s="12"/>
      <c r="L711" s="14"/>
    </row>
    <row r="712" spans="1:12" x14ac:dyDescent="0.3">
      <c r="A712" s="12"/>
      <c r="B712" s="12"/>
      <c r="C712" s="12"/>
      <c r="D712" s="12"/>
      <c r="E712" s="12"/>
      <c r="F712" s="12"/>
      <c r="G712" s="12"/>
      <c r="H712" s="12"/>
      <c r="I712" s="12"/>
      <c r="J712" s="12"/>
      <c r="K712" s="12"/>
      <c r="L712" s="14"/>
    </row>
    <row r="713" spans="1:12" x14ac:dyDescent="0.3">
      <c r="A713" s="12"/>
      <c r="B713" s="12"/>
      <c r="C713" s="12"/>
      <c r="D713" s="12"/>
      <c r="E713" s="12"/>
      <c r="F713" s="12"/>
      <c r="G713" s="12"/>
      <c r="H713" s="12"/>
      <c r="I713" s="12"/>
      <c r="J713" s="12"/>
      <c r="K713" s="12"/>
      <c r="L713" s="14"/>
    </row>
    <row r="714" spans="1:12" x14ac:dyDescent="0.3">
      <c r="A714" s="12"/>
      <c r="B714" s="12"/>
      <c r="C714" s="12"/>
      <c r="D714" s="12"/>
      <c r="E714" s="12"/>
      <c r="F714" s="12"/>
      <c r="G714" s="12"/>
      <c r="H714" s="12"/>
      <c r="I714" s="12"/>
      <c r="J714" s="12"/>
      <c r="K714" s="12"/>
      <c r="L714" s="14"/>
    </row>
    <row r="715" spans="1:12" x14ac:dyDescent="0.3">
      <c r="A715" s="12"/>
      <c r="B715" s="12"/>
      <c r="C715" s="12"/>
      <c r="D715" s="12"/>
      <c r="E715" s="12"/>
      <c r="F715" s="12"/>
      <c r="G715" s="12"/>
      <c r="H715" s="12"/>
      <c r="I715" s="12"/>
      <c r="J715" s="12"/>
      <c r="K715" s="12"/>
      <c r="L715" s="14"/>
    </row>
    <row r="716" spans="1:12" x14ac:dyDescent="0.3">
      <c r="A716" s="12"/>
      <c r="B716" s="12"/>
      <c r="C716" s="12"/>
      <c r="D716" s="12"/>
      <c r="E716" s="12"/>
      <c r="F716" s="12"/>
      <c r="G716" s="12"/>
      <c r="H716" s="12"/>
      <c r="I716" s="12"/>
      <c r="J716" s="12"/>
      <c r="K716" s="12"/>
      <c r="L716" s="14"/>
    </row>
    <row r="717" spans="1:12" x14ac:dyDescent="0.3">
      <c r="A717" s="12"/>
      <c r="B717" s="12"/>
      <c r="C717" s="12"/>
      <c r="D717" s="12"/>
      <c r="E717" s="12"/>
      <c r="F717" s="12"/>
      <c r="G717" s="12"/>
      <c r="H717" s="12"/>
      <c r="I717" s="12"/>
      <c r="J717" s="12"/>
      <c r="K717" s="12"/>
      <c r="L717" s="14"/>
    </row>
    <row r="718" spans="1:12" x14ac:dyDescent="0.3">
      <c r="A718" s="12"/>
      <c r="B718" s="12"/>
      <c r="C718" s="12"/>
      <c r="D718" s="12"/>
      <c r="E718" s="12"/>
      <c r="F718" s="12"/>
      <c r="G718" s="12"/>
      <c r="H718" s="12"/>
      <c r="I718" s="12"/>
      <c r="J718" s="12"/>
      <c r="K718" s="12"/>
      <c r="L718" s="14"/>
    </row>
    <row r="719" spans="1:12" x14ac:dyDescent="0.3">
      <c r="A719" s="12"/>
      <c r="B719" s="12"/>
      <c r="C719" s="12"/>
      <c r="D719" s="12"/>
      <c r="E719" s="12"/>
      <c r="F719" s="12"/>
      <c r="G719" s="12"/>
      <c r="H719" s="12"/>
      <c r="I719" s="12"/>
      <c r="J719" s="12"/>
      <c r="K719" s="12"/>
      <c r="L719" s="14"/>
    </row>
    <row r="720" spans="1:12" x14ac:dyDescent="0.3">
      <c r="A720" s="12"/>
      <c r="B720" s="12"/>
      <c r="C720" s="12"/>
      <c r="D720" s="12"/>
      <c r="E720" s="12"/>
      <c r="F720" s="12"/>
      <c r="G720" s="12"/>
      <c r="H720" s="12"/>
      <c r="I720" s="12"/>
      <c r="J720" s="12"/>
      <c r="K720" s="12"/>
      <c r="L720" s="14"/>
    </row>
    <row r="721" spans="1:12" x14ac:dyDescent="0.3">
      <c r="A721" s="12"/>
      <c r="B721" s="12"/>
      <c r="C721" s="12"/>
      <c r="D721" s="12"/>
      <c r="E721" s="12"/>
      <c r="F721" s="12"/>
      <c r="G721" s="12"/>
      <c r="H721" s="12"/>
      <c r="I721" s="12"/>
      <c r="J721" s="12"/>
      <c r="K721" s="12"/>
      <c r="L721" s="14"/>
    </row>
    <row r="722" spans="1:12" x14ac:dyDescent="0.3">
      <c r="A722" s="12"/>
      <c r="B722" s="12"/>
      <c r="C722" s="12"/>
      <c r="D722" s="12"/>
      <c r="E722" s="12"/>
      <c r="F722" s="12"/>
      <c r="G722" s="12"/>
      <c r="H722" s="12"/>
      <c r="I722" s="12"/>
      <c r="J722" s="12"/>
      <c r="K722" s="12"/>
      <c r="L722" s="14"/>
    </row>
    <row r="723" spans="1:12" x14ac:dyDescent="0.3">
      <c r="A723" s="12"/>
      <c r="B723" s="12"/>
      <c r="C723" s="12"/>
      <c r="D723" s="12"/>
      <c r="E723" s="12"/>
      <c r="F723" s="12"/>
      <c r="G723" s="12"/>
      <c r="H723" s="12"/>
      <c r="I723" s="12"/>
      <c r="J723" s="12"/>
      <c r="K723" s="12"/>
      <c r="L723" s="14"/>
    </row>
    <row r="724" spans="1:12" x14ac:dyDescent="0.3">
      <c r="A724" s="12"/>
      <c r="B724" s="12"/>
      <c r="C724" s="12"/>
      <c r="D724" s="12"/>
      <c r="E724" s="12"/>
      <c r="F724" s="12"/>
      <c r="G724" s="12"/>
      <c r="H724" s="12"/>
      <c r="I724" s="12"/>
      <c r="J724" s="12"/>
      <c r="K724" s="12"/>
      <c r="L724" s="14"/>
    </row>
    <row r="725" spans="1:12" x14ac:dyDescent="0.3">
      <c r="A725" s="12"/>
      <c r="B725" s="12"/>
      <c r="C725" s="12"/>
      <c r="D725" s="12"/>
      <c r="E725" s="12"/>
      <c r="F725" s="12"/>
      <c r="G725" s="12"/>
      <c r="H725" s="12"/>
      <c r="I725" s="12"/>
      <c r="J725" s="12"/>
      <c r="K725" s="12"/>
      <c r="L725" s="14"/>
    </row>
    <row r="726" spans="1:12" x14ac:dyDescent="0.3">
      <c r="A726" s="12"/>
      <c r="B726" s="12"/>
      <c r="C726" s="12"/>
      <c r="D726" s="12"/>
      <c r="E726" s="12"/>
      <c r="F726" s="12"/>
      <c r="G726" s="12"/>
      <c r="H726" s="12"/>
      <c r="I726" s="12"/>
      <c r="J726" s="12"/>
      <c r="K726" s="12"/>
      <c r="L726" s="14"/>
    </row>
    <row r="727" spans="1:12" x14ac:dyDescent="0.3">
      <c r="A727" s="12"/>
      <c r="B727" s="12"/>
      <c r="C727" s="12"/>
      <c r="D727" s="12"/>
      <c r="E727" s="12"/>
      <c r="F727" s="12"/>
      <c r="G727" s="12"/>
      <c r="H727" s="12"/>
      <c r="I727" s="12"/>
      <c r="J727" s="12"/>
      <c r="K727" s="12"/>
      <c r="L727" s="14"/>
    </row>
    <row r="728" spans="1:12" x14ac:dyDescent="0.3">
      <c r="A728" s="12"/>
      <c r="B728" s="12"/>
      <c r="C728" s="12"/>
      <c r="D728" s="12"/>
      <c r="E728" s="12"/>
      <c r="F728" s="12"/>
      <c r="G728" s="12"/>
      <c r="H728" s="12"/>
      <c r="I728" s="12"/>
      <c r="J728" s="12"/>
      <c r="K728" s="12"/>
      <c r="L728" s="14"/>
    </row>
    <row r="729" spans="1:12" x14ac:dyDescent="0.3">
      <c r="A729" s="12"/>
      <c r="B729" s="12"/>
      <c r="C729" s="12"/>
      <c r="D729" s="12"/>
      <c r="E729" s="12"/>
      <c r="F729" s="12"/>
      <c r="G729" s="12"/>
      <c r="H729" s="12"/>
      <c r="I729" s="12"/>
      <c r="J729" s="12"/>
      <c r="K729" s="12"/>
      <c r="L729" s="14"/>
    </row>
    <row r="730" spans="1:12" x14ac:dyDescent="0.3">
      <c r="A730" s="12"/>
      <c r="B730" s="12"/>
      <c r="C730" s="12"/>
      <c r="D730" s="12"/>
      <c r="E730" s="12"/>
      <c r="F730" s="12"/>
      <c r="G730" s="12"/>
      <c r="H730" s="12"/>
      <c r="I730" s="12"/>
      <c r="J730" s="12"/>
      <c r="K730" s="12"/>
      <c r="L730" s="14"/>
    </row>
    <row r="731" spans="1:12" x14ac:dyDescent="0.3">
      <c r="A731" s="12"/>
      <c r="B731" s="12"/>
      <c r="C731" s="12"/>
      <c r="D731" s="12"/>
      <c r="E731" s="12"/>
      <c r="F731" s="12"/>
      <c r="G731" s="12"/>
      <c r="H731" s="12"/>
      <c r="I731" s="12"/>
      <c r="J731" s="12"/>
      <c r="K731" s="12"/>
      <c r="L731" s="14"/>
    </row>
    <row r="732" spans="1:12" x14ac:dyDescent="0.3">
      <c r="A732" s="12"/>
      <c r="B732" s="12"/>
      <c r="C732" s="12"/>
      <c r="D732" s="12"/>
      <c r="E732" s="12"/>
      <c r="F732" s="12"/>
      <c r="G732" s="12"/>
      <c r="H732" s="12"/>
      <c r="I732" s="12"/>
      <c r="J732" s="12"/>
      <c r="K732" s="12"/>
      <c r="L732" s="14"/>
    </row>
    <row r="733" spans="1:12" x14ac:dyDescent="0.3">
      <c r="A733" s="12"/>
      <c r="B733" s="12"/>
      <c r="C733" s="12"/>
      <c r="D733" s="12"/>
      <c r="E733" s="12"/>
      <c r="F733" s="12"/>
      <c r="G733" s="12"/>
      <c r="H733" s="12"/>
      <c r="I733" s="12"/>
      <c r="J733" s="12"/>
      <c r="K733" s="12"/>
      <c r="L733" s="14"/>
    </row>
    <row r="734" spans="1:12" x14ac:dyDescent="0.3">
      <c r="A734" s="12"/>
      <c r="B734" s="12"/>
      <c r="C734" s="12"/>
      <c r="D734" s="12"/>
      <c r="E734" s="12"/>
      <c r="F734" s="12"/>
      <c r="G734" s="12"/>
      <c r="H734" s="12"/>
      <c r="I734" s="12"/>
      <c r="J734" s="12"/>
      <c r="K734" s="12"/>
      <c r="L734" s="14"/>
    </row>
    <row r="735" spans="1:12" x14ac:dyDescent="0.3">
      <c r="A735" s="12"/>
      <c r="B735" s="12"/>
      <c r="C735" s="12"/>
      <c r="D735" s="12"/>
      <c r="E735" s="12"/>
      <c r="F735" s="12"/>
      <c r="G735" s="12"/>
      <c r="H735" s="12"/>
      <c r="I735" s="12"/>
      <c r="J735" s="12"/>
      <c r="K735" s="12"/>
      <c r="L735" s="14"/>
    </row>
    <row r="736" spans="1:12" x14ac:dyDescent="0.3">
      <c r="A736" s="12"/>
      <c r="B736" s="12"/>
      <c r="C736" s="12"/>
      <c r="D736" s="12"/>
      <c r="E736" s="12"/>
      <c r="F736" s="12"/>
      <c r="G736" s="12"/>
      <c r="H736" s="12"/>
      <c r="I736" s="12"/>
      <c r="J736" s="12"/>
      <c r="K736" s="12"/>
      <c r="L736" s="14"/>
    </row>
    <row r="737" spans="1:12" x14ac:dyDescent="0.3">
      <c r="A737" s="12"/>
      <c r="B737" s="12"/>
      <c r="C737" s="12"/>
      <c r="D737" s="12"/>
      <c r="E737" s="12"/>
      <c r="F737" s="12"/>
      <c r="G737" s="12"/>
      <c r="H737" s="12"/>
      <c r="I737" s="12"/>
      <c r="J737" s="12"/>
      <c r="K737" s="12"/>
      <c r="L737" s="14"/>
    </row>
    <row r="738" spans="1:12" x14ac:dyDescent="0.3">
      <c r="A738" s="12"/>
      <c r="B738" s="12"/>
      <c r="C738" s="12"/>
      <c r="D738" s="12"/>
      <c r="E738" s="12"/>
      <c r="F738" s="12"/>
      <c r="G738" s="12"/>
      <c r="H738" s="12"/>
      <c r="I738" s="12"/>
      <c r="J738" s="12"/>
      <c r="K738" s="12"/>
      <c r="L738" s="14"/>
    </row>
    <row r="739" spans="1:12" x14ac:dyDescent="0.3">
      <c r="A739" s="12"/>
      <c r="B739" s="12"/>
      <c r="C739" s="12"/>
      <c r="D739" s="12"/>
      <c r="E739" s="12"/>
      <c r="F739" s="12"/>
      <c r="G739" s="12"/>
      <c r="H739" s="12"/>
      <c r="I739" s="12"/>
      <c r="J739" s="12"/>
      <c r="K739" s="12"/>
      <c r="L739" s="14"/>
    </row>
    <row r="740" spans="1:12" x14ac:dyDescent="0.3">
      <c r="A740" s="12"/>
      <c r="B740" s="12"/>
      <c r="C740" s="12"/>
      <c r="D740" s="12"/>
      <c r="E740" s="12"/>
      <c r="F740" s="12"/>
      <c r="G740" s="12"/>
      <c r="H740" s="12"/>
      <c r="I740" s="12"/>
      <c r="J740" s="12"/>
      <c r="K740" s="12"/>
      <c r="L740" s="14"/>
    </row>
    <row r="741" spans="1:12" x14ac:dyDescent="0.3">
      <c r="A741" s="12"/>
      <c r="B741" s="12"/>
      <c r="C741" s="12"/>
      <c r="D741" s="12"/>
      <c r="E741" s="12"/>
      <c r="F741" s="12"/>
      <c r="G741" s="12"/>
      <c r="H741" s="12"/>
      <c r="I741" s="12"/>
      <c r="J741" s="12"/>
      <c r="K741" s="12"/>
      <c r="L741" s="14"/>
    </row>
    <row r="742" spans="1:12" x14ac:dyDescent="0.3">
      <c r="A742" s="12"/>
      <c r="B742" s="12"/>
      <c r="C742" s="12"/>
      <c r="D742" s="12"/>
      <c r="E742" s="12"/>
      <c r="F742" s="12"/>
      <c r="G742" s="12"/>
      <c r="H742" s="12"/>
      <c r="I742" s="12"/>
      <c r="J742" s="12"/>
      <c r="K742" s="12"/>
      <c r="L742" s="14"/>
    </row>
    <row r="743" spans="1:12" x14ac:dyDescent="0.3">
      <c r="A743" s="12"/>
      <c r="B743" s="12"/>
      <c r="C743" s="12"/>
      <c r="D743" s="12"/>
      <c r="E743" s="12"/>
      <c r="F743" s="12"/>
      <c r="G743" s="12"/>
      <c r="H743" s="12"/>
      <c r="I743" s="12"/>
      <c r="J743" s="12"/>
      <c r="K743" s="12"/>
      <c r="L743" s="14"/>
    </row>
    <row r="744" spans="1:12" x14ac:dyDescent="0.3">
      <c r="A744" s="12"/>
      <c r="B744" s="12"/>
      <c r="C744" s="12"/>
      <c r="D744" s="12"/>
      <c r="E744" s="12"/>
      <c r="F744" s="12"/>
      <c r="G744" s="12"/>
      <c r="H744" s="12"/>
      <c r="I744" s="12"/>
      <c r="J744" s="12"/>
      <c r="K744" s="12"/>
      <c r="L744" s="14"/>
    </row>
    <row r="745" spans="1:12" x14ac:dyDescent="0.3">
      <c r="A745" s="12"/>
      <c r="B745" s="12"/>
      <c r="C745" s="12"/>
      <c r="D745" s="12"/>
      <c r="E745" s="12"/>
      <c r="F745" s="12"/>
      <c r="G745" s="12"/>
      <c r="H745" s="12"/>
      <c r="I745" s="12"/>
      <c r="J745" s="12"/>
      <c r="K745" s="12"/>
      <c r="L745" s="14"/>
    </row>
    <row r="746" spans="1:12" x14ac:dyDescent="0.3">
      <c r="A746" s="12"/>
      <c r="B746" s="12"/>
      <c r="C746" s="12"/>
      <c r="D746" s="12"/>
      <c r="E746" s="12"/>
      <c r="F746" s="12"/>
      <c r="G746" s="12"/>
      <c r="H746" s="12"/>
      <c r="I746" s="12"/>
      <c r="J746" s="12"/>
      <c r="K746" s="12"/>
      <c r="L746" s="14"/>
    </row>
    <row r="747" spans="1:12" x14ac:dyDescent="0.3">
      <c r="A747" s="12"/>
      <c r="B747" s="12"/>
      <c r="C747" s="12"/>
      <c r="D747" s="12"/>
      <c r="E747" s="12"/>
      <c r="F747" s="12"/>
      <c r="G747" s="12"/>
      <c r="H747" s="12"/>
      <c r="I747" s="12"/>
      <c r="J747" s="12"/>
      <c r="K747" s="12"/>
      <c r="L747" s="14"/>
    </row>
    <row r="748" spans="1:12" x14ac:dyDescent="0.3">
      <c r="A748" s="12"/>
      <c r="B748" s="12"/>
      <c r="C748" s="12"/>
      <c r="D748" s="12"/>
      <c r="E748" s="12"/>
      <c r="F748" s="12"/>
      <c r="G748" s="12"/>
      <c r="H748" s="12"/>
      <c r="I748" s="12"/>
      <c r="J748" s="12"/>
      <c r="K748" s="12"/>
      <c r="L748" s="14"/>
    </row>
    <row r="749" spans="1:12" x14ac:dyDescent="0.3">
      <c r="A749" s="12"/>
      <c r="B749" s="12"/>
      <c r="C749" s="12"/>
      <c r="D749" s="12"/>
      <c r="E749" s="12"/>
      <c r="F749" s="12"/>
      <c r="G749" s="12"/>
      <c r="H749" s="12"/>
      <c r="I749" s="12"/>
      <c r="J749" s="12"/>
      <c r="K749" s="12"/>
      <c r="L749" s="14"/>
    </row>
    <row r="750" spans="1:12" x14ac:dyDescent="0.3">
      <c r="A750" s="12"/>
      <c r="B750" s="12"/>
      <c r="C750" s="12"/>
      <c r="D750" s="12"/>
      <c r="E750" s="12"/>
      <c r="F750" s="12"/>
      <c r="G750" s="12"/>
      <c r="H750" s="12"/>
      <c r="I750" s="12"/>
      <c r="J750" s="12"/>
      <c r="K750" s="12"/>
      <c r="L750" s="14"/>
    </row>
    <row r="751" spans="1:12" x14ac:dyDescent="0.3">
      <c r="A751" s="12"/>
      <c r="B751" s="12"/>
      <c r="C751" s="12"/>
      <c r="D751" s="12"/>
      <c r="E751" s="12"/>
      <c r="F751" s="12"/>
      <c r="G751" s="12"/>
      <c r="H751" s="12"/>
      <c r="I751" s="12"/>
      <c r="J751" s="12"/>
      <c r="K751" s="12"/>
      <c r="L751" s="14"/>
    </row>
    <row r="752" spans="1:12" x14ac:dyDescent="0.3">
      <c r="A752" s="12"/>
      <c r="B752" s="12"/>
      <c r="C752" s="12"/>
      <c r="D752" s="12"/>
      <c r="E752" s="12"/>
      <c r="F752" s="12"/>
      <c r="G752" s="12"/>
      <c r="H752" s="12"/>
      <c r="I752" s="12"/>
      <c r="J752" s="12"/>
      <c r="K752" s="12"/>
      <c r="L752" s="14"/>
    </row>
    <row r="753" spans="1:12" x14ac:dyDescent="0.3">
      <c r="A753" s="12"/>
      <c r="B753" s="12"/>
      <c r="C753" s="12"/>
      <c r="D753" s="12"/>
      <c r="E753" s="12"/>
      <c r="F753" s="12"/>
      <c r="G753" s="12"/>
      <c r="H753" s="12"/>
      <c r="I753" s="12"/>
      <c r="J753" s="12"/>
      <c r="K753" s="12"/>
      <c r="L753" s="14"/>
    </row>
    <row r="754" spans="1:12" x14ac:dyDescent="0.3">
      <c r="A754" s="12"/>
      <c r="B754" s="12"/>
      <c r="C754" s="12"/>
      <c r="D754" s="12"/>
      <c r="E754" s="12"/>
      <c r="F754" s="12"/>
      <c r="G754" s="12"/>
      <c r="H754" s="12"/>
      <c r="I754" s="12"/>
      <c r="J754" s="12"/>
      <c r="K754" s="12"/>
      <c r="L754" s="14"/>
    </row>
    <row r="755" spans="1:12" x14ac:dyDescent="0.3">
      <c r="A755" s="12"/>
      <c r="B755" s="12"/>
      <c r="C755" s="12"/>
      <c r="D755" s="12"/>
      <c r="E755" s="12"/>
      <c r="F755" s="12"/>
      <c r="G755" s="12"/>
      <c r="H755" s="12"/>
      <c r="I755" s="12"/>
      <c r="J755" s="12"/>
      <c r="K755" s="12"/>
      <c r="L755" s="14"/>
    </row>
    <row r="756" spans="1:12" x14ac:dyDescent="0.3">
      <c r="A756" s="12"/>
      <c r="B756" s="12"/>
      <c r="C756" s="12"/>
      <c r="D756" s="12"/>
      <c r="E756" s="12"/>
      <c r="F756" s="12"/>
      <c r="G756" s="12"/>
      <c r="H756" s="12"/>
      <c r="I756" s="12"/>
      <c r="J756" s="12"/>
      <c r="K756" s="12"/>
      <c r="L756" s="14"/>
    </row>
    <row r="757" spans="1:12" x14ac:dyDescent="0.3">
      <c r="A757" s="12"/>
      <c r="B757" s="12"/>
      <c r="C757" s="12"/>
      <c r="D757" s="12"/>
      <c r="E757" s="12"/>
      <c r="F757" s="12"/>
      <c r="G757" s="12"/>
      <c r="H757" s="12"/>
      <c r="I757" s="12"/>
      <c r="J757" s="12"/>
      <c r="K757" s="12"/>
      <c r="L757" s="14"/>
    </row>
    <row r="758" spans="1:12" x14ac:dyDescent="0.3">
      <c r="A758" s="12"/>
      <c r="B758" s="12"/>
      <c r="C758" s="12"/>
      <c r="D758" s="12"/>
      <c r="E758" s="12"/>
      <c r="F758" s="12"/>
      <c r="G758" s="12"/>
      <c r="H758" s="12"/>
      <c r="I758" s="12"/>
      <c r="J758" s="12"/>
      <c r="K758" s="12"/>
      <c r="L758" s="14"/>
    </row>
    <row r="759" spans="1:12" x14ac:dyDescent="0.3">
      <c r="A759" s="12"/>
      <c r="B759" s="12"/>
      <c r="C759" s="12"/>
      <c r="D759" s="12"/>
      <c r="E759" s="12"/>
      <c r="F759" s="12"/>
      <c r="G759" s="12"/>
      <c r="H759" s="12"/>
      <c r="I759" s="12"/>
      <c r="J759" s="12"/>
      <c r="K759" s="12"/>
      <c r="L759" s="14"/>
    </row>
    <row r="760" spans="1:12" x14ac:dyDescent="0.3">
      <c r="A760" s="12"/>
      <c r="B760" s="12"/>
      <c r="C760" s="12"/>
      <c r="D760" s="12"/>
      <c r="E760" s="12"/>
      <c r="F760" s="12"/>
      <c r="G760" s="12"/>
      <c r="H760" s="12"/>
      <c r="I760" s="12"/>
      <c r="J760" s="12"/>
      <c r="K760" s="12"/>
      <c r="L760" s="14"/>
    </row>
    <row r="761" spans="1:12" x14ac:dyDescent="0.3">
      <c r="A761" s="12"/>
      <c r="B761" s="12"/>
      <c r="C761" s="12"/>
      <c r="D761" s="12"/>
      <c r="E761" s="12"/>
      <c r="F761" s="12"/>
      <c r="G761" s="12"/>
      <c r="H761" s="12"/>
      <c r="I761" s="12"/>
      <c r="J761" s="12"/>
      <c r="K761" s="12"/>
      <c r="L761" s="14"/>
    </row>
    <row r="762" spans="1:12" x14ac:dyDescent="0.3">
      <c r="A762" s="12"/>
      <c r="B762" s="12"/>
      <c r="C762" s="12"/>
      <c r="D762" s="12"/>
      <c r="E762" s="12"/>
      <c r="F762" s="12"/>
      <c r="G762" s="12"/>
      <c r="H762" s="12"/>
      <c r="I762" s="12"/>
      <c r="J762" s="12"/>
      <c r="K762" s="12"/>
      <c r="L762" s="14"/>
    </row>
    <row r="763" spans="1:12" x14ac:dyDescent="0.3">
      <c r="A763" s="12"/>
      <c r="B763" s="12"/>
      <c r="C763" s="12"/>
      <c r="D763" s="12"/>
      <c r="E763" s="12"/>
      <c r="F763" s="12"/>
      <c r="G763" s="12"/>
      <c r="H763" s="12"/>
      <c r="I763" s="12"/>
      <c r="J763" s="12"/>
      <c r="K763" s="12"/>
      <c r="L763" s="14"/>
    </row>
    <row r="764" spans="1:12" x14ac:dyDescent="0.3">
      <c r="A764" s="12"/>
      <c r="B764" s="12"/>
      <c r="C764" s="12"/>
      <c r="D764" s="12"/>
      <c r="E764" s="12"/>
      <c r="F764" s="12"/>
      <c r="G764" s="12"/>
      <c r="H764" s="12"/>
      <c r="I764" s="12"/>
      <c r="J764" s="12"/>
      <c r="K764" s="12"/>
      <c r="L764" s="14"/>
    </row>
    <row r="765" spans="1:12" x14ac:dyDescent="0.3">
      <c r="A765" s="12"/>
      <c r="B765" s="12"/>
      <c r="C765" s="12"/>
      <c r="D765" s="12"/>
      <c r="E765" s="12"/>
      <c r="F765" s="12"/>
      <c r="G765" s="12"/>
      <c r="H765" s="12"/>
      <c r="I765" s="12"/>
      <c r="J765" s="12"/>
      <c r="K765" s="12"/>
      <c r="L765" s="14"/>
    </row>
    <row r="766" spans="1:12" x14ac:dyDescent="0.3">
      <c r="A766" s="12"/>
      <c r="B766" s="12"/>
      <c r="C766" s="12"/>
      <c r="D766" s="12"/>
      <c r="E766" s="12"/>
      <c r="F766" s="12"/>
      <c r="G766" s="12"/>
      <c r="H766" s="12"/>
      <c r="I766" s="12"/>
      <c r="J766" s="12"/>
      <c r="K766" s="12"/>
      <c r="L766" s="14"/>
    </row>
    <row r="767" spans="1:12" x14ac:dyDescent="0.3">
      <c r="A767" s="12"/>
      <c r="B767" s="12"/>
      <c r="C767" s="12"/>
      <c r="D767" s="12"/>
      <c r="E767" s="12"/>
      <c r="F767" s="12"/>
      <c r="G767" s="12"/>
      <c r="H767" s="12"/>
      <c r="I767" s="12"/>
      <c r="J767" s="12"/>
      <c r="K767" s="12"/>
      <c r="L767" s="14"/>
    </row>
    <row r="768" spans="1:12" x14ac:dyDescent="0.3">
      <c r="A768" s="12"/>
      <c r="B768" s="12"/>
      <c r="C768" s="12"/>
      <c r="D768" s="12"/>
      <c r="E768" s="12"/>
      <c r="F768" s="12"/>
      <c r="G768" s="12"/>
      <c r="H768" s="12"/>
      <c r="I768" s="12"/>
      <c r="J768" s="12"/>
      <c r="K768" s="12"/>
      <c r="L768" s="14"/>
    </row>
    <row r="769" spans="1:12" x14ac:dyDescent="0.3">
      <c r="A769" s="12"/>
      <c r="B769" s="12"/>
      <c r="C769" s="12"/>
      <c r="D769" s="12"/>
      <c r="E769" s="12"/>
      <c r="F769" s="12"/>
      <c r="G769" s="12"/>
      <c r="H769" s="12"/>
      <c r="I769" s="12"/>
      <c r="J769" s="12"/>
      <c r="K769" s="12"/>
      <c r="L769" s="14"/>
    </row>
    <row r="770" spans="1:12" x14ac:dyDescent="0.3">
      <c r="A770" s="12"/>
      <c r="B770" s="12"/>
      <c r="C770" s="12"/>
      <c r="D770" s="12"/>
      <c r="E770" s="12"/>
      <c r="F770" s="12"/>
      <c r="G770" s="12"/>
      <c r="H770" s="12"/>
      <c r="I770" s="12"/>
      <c r="J770" s="12"/>
      <c r="K770" s="12"/>
      <c r="L770" s="14"/>
    </row>
    <row r="771" spans="1:12" x14ac:dyDescent="0.3">
      <c r="A771" s="12"/>
      <c r="B771" s="12"/>
      <c r="C771" s="12"/>
      <c r="D771" s="12"/>
      <c r="E771" s="12"/>
      <c r="F771" s="12"/>
      <c r="G771" s="12"/>
      <c r="H771" s="12"/>
      <c r="I771" s="12"/>
      <c r="J771" s="12"/>
      <c r="K771" s="12"/>
      <c r="L771" s="14"/>
    </row>
    <row r="772" spans="1:12" x14ac:dyDescent="0.3">
      <c r="A772" s="12"/>
      <c r="B772" s="12"/>
      <c r="C772" s="12"/>
      <c r="D772" s="12"/>
      <c r="E772" s="12"/>
      <c r="F772" s="12"/>
      <c r="G772" s="12"/>
      <c r="H772" s="12"/>
      <c r="I772" s="12"/>
      <c r="J772" s="12"/>
      <c r="K772" s="12"/>
      <c r="L772" s="14"/>
    </row>
    <row r="773" spans="1:12" x14ac:dyDescent="0.3">
      <c r="A773" s="12"/>
      <c r="B773" s="12"/>
      <c r="C773" s="12"/>
      <c r="D773" s="12"/>
      <c r="E773" s="12"/>
      <c r="F773" s="12"/>
      <c r="G773" s="12"/>
      <c r="H773" s="12"/>
      <c r="I773" s="12"/>
      <c r="J773" s="12"/>
      <c r="K773" s="12"/>
      <c r="L773" s="14"/>
    </row>
    <row r="774" spans="1:12" x14ac:dyDescent="0.3">
      <c r="A774" s="12"/>
      <c r="B774" s="12"/>
      <c r="C774" s="12"/>
      <c r="D774" s="12"/>
      <c r="E774" s="12"/>
      <c r="F774" s="12"/>
      <c r="G774" s="12"/>
      <c r="H774" s="12"/>
      <c r="I774" s="12"/>
      <c r="J774" s="12"/>
      <c r="K774" s="12"/>
      <c r="L774" s="14"/>
    </row>
    <row r="775" spans="1:12" x14ac:dyDescent="0.3">
      <c r="A775" s="12"/>
      <c r="B775" s="12"/>
      <c r="C775" s="12"/>
      <c r="D775" s="12"/>
      <c r="E775" s="12"/>
      <c r="F775" s="12"/>
      <c r="G775" s="12"/>
      <c r="H775" s="12"/>
      <c r="I775" s="12"/>
      <c r="J775" s="12"/>
      <c r="K775" s="12"/>
      <c r="L775" s="14"/>
    </row>
    <row r="776" spans="1:12" x14ac:dyDescent="0.3">
      <c r="A776" s="12"/>
      <c r="B776" s="12"/>
      <c r="C776" s="12"/>
      <c r="D776" s="12"/>
      <c r="E776" s="12"/>
      <c r="F776" s="12"/>
      <c r="G776" s="12"/>
      <c r="H776" s="12"/>
      <c r="I776" s="12"/>
      <c r="J776" s="12"/>
      <c r="K776" s="12"/>
      <c r="L776" s="14"/>
    </row>
    <row r="777" spans="1:12" x14ac:dyDescent="0.3">
      <c r="A777" s="12"/>
      <c r="B777" s="12"/>
      <c r="C777" s="12"/>
      <c r="D777" s="12"/>
      <c r="E777" s="12"/>
      <c r="F777" s="12"/>
      <c r="G777" s="12"/>
      <c r="H777" s="12"/>
      <c r="I777" s="12"/>
      <c r="J777" s="12"/>
      <c r="K777" s="12"/>
      <c r="L777" s="14"/>
    </row>
    <row r="778" spans="1:12" x14ac:dyDescent="0.3">
      <c r="A778" s="12"/>
      <c r="B778" s="12"/>
      <c r="C778" s="12"/>
      <c r="D778" s="12"/>
      <c r="E778" s="12"/>
      <c r="F778" s="12"/>
      <c r="G778" s="12"/>
      <c r="H778" s="12"/>
      <c r="I778" s="12"/>
      <c r="J778" s="12"/>
      <c r="K778" s="12"/>
      <c r="L778" s="14"/>
    </row>
    <row r="779" spans="1:12" x14ac:dyDescent="0.3">
      <c r="A779" s="12"/>
      <c r="B779" s="12"/>
      <c r="C779" s="12"/>
      <c r="D779" s="12"/>
      <c r="E779" s="12"/>
      <c r="F779" s="12"/>
      <c r="G779" s="12"/>
      <c r="H779" s="12"/>
      <c r="I779" s="12"/>
      <c r="J779" s="12"/>
      <c r="K779" s="12"/>
      <c r="L779" s="14"/>
    </row>
    <row r="780" spans="1:12" x14ac:dyDescent="0.3">
      <c r="A780" s="12"/>
      <c r="B780" s="12"/>
      <c r="C780" s="12"/>
      <c r="D780" s="12"/>
      <c r="E780" s="12"/>
      <c r="F780" s="12"/>
      <c r="G780" s="12"/>
      <c r="H780" s="12"/>
      <c r="I780" s="12"/>
      <c r="J780" s="12"/>
      <c r="K780" s="12"/>
      <c r="L780" s="14"/>
    </row>
    <row r="781" spans="1:12" x14ac:dyDescent="0.3">
      <c r="A781" s="12"/>
      <c r="B781" s="12"/>
      <c r="C781" s="12"/>
      <c r="D781" s="12"/>
      <c r="E781" s="12"/>
      <c r="F781" s="12"/>
      <c r="G781" s="12"/>
      <c r="H781" s="12"/>
      <c r="I781" s="12"/>
      <c r="J781" s="12"/>
      <c r="K781" s="12"/>
      <c r="L781" s="14"/>
    </row>
    <row r="782" spans="1:12" x14ac:dyDescent="0.3">
      <c r="A782" s="12"/>
      <c r="B782" s="12"/>
      <c r="C782" s="12"/>
      <c r="D782" s="12"/>
      <c r="E782" s="12"/>
      <c r="F782" s="12"/>
      <c r="G782" s="12"/>
      <c r="H782" s="12"/>
      <c r="I782" s="12"/>
      <c r="J782" s="12"/>
      <c r="K782" s="12"/>
      <c r="L782" s="14"/>
    </row>
    <row r="783" spans="1:12" x14ac:dyDescent="0.3">
      <c r="A783" s="12"/>
      <c r="B783" s="12"/>
      <c r="C783" s="12"/>
      <c r="D783" s="12"/>
      <c r="E783" s="12"/>
      <c r="F783" s="12"/>
      <c r="G783" s="12"/>
      <c r="H783" s="12"/>
      <c r="I783" s="12"/>
      <c r="J783" s="12"/>
      <c r="K783" s="12"/>
      <c r="L783" s="14"/>
    </row>
    <row r="784" spans="1:12" x14ac:dyDescent="0.3">
      <c r="A784" s="12"/>
      <c r="B784" s="12"/>
      <c r="C784" s="12"/>
      <c r="D784" s="12"/>
      <c r="E784" s="12"/>
      <c r="F784" s="12"/>
      <c r="G784" s="12"/>
      <c r="H784" s="12"/>
      <c r="I784" s="12"/>
      <c r="J784" s="12"/>
      <c r="K784" s="12"/>
      <c r="L784" s="14"/>
    </row>
    <row r="785" spans="1:12" x14ac:dyDescent="0.3">
      <c r="A785" s="12"/>
      <c r="B785" s="12"/>
      <c r="C785" s="12"/>
      <c r="D785" s="12"/>
      <c r="E785" s="12"/>
      <c r="F785" s="12"/>
      <c r="G785" s="12"/>
      <c r="H785" s="12"/>
      <c r="I785" s="12"/>
      <c r="J785" s="12"/>
      <c r="K785" s="12"/>
      <c r="L785" s="14"/>
    </row>
    <row r="786" spans="1:12" x14ac:dyDescent="0.3">
      <c r="A786" s="12"/>
      <c r="B786" s="12"/>
      <c r="C786" s="12"/>
      <c r="D786" s="12"/>
      <c r="E786" s="12"/>
      <c r="F786" s="12"/>
      <c r="G786" s="12"/>
      <c r="H786" s="12"/>
      <c r="I786" s="12"/>
      <c r="J786" s="12"/>
      <c r="K786" s="12"/>
      <c r="L786" s="14"/>
    </row>
    <row r="787" spans="1:12" x14ac:dyDescent="0.3">
      <c r="A787" s="12"/>
      <c r="B787" s="12"/>
      <c r="C787" s="12"/>
      <c r="D787" s="12"/>
      <c r="E787" s="12"/>
      <c r="F787" s="12"/>
      <c r="G787" s="12"/>
      <c r="H787" s="12"/>
      <c r="I787" s="12"/>
      <c r="J787" s="12"/>
      <c r="K787" s="12"/>
      <c r="L787" s="14"/>
    </row>
    <row r="788" spans="1:12" x14ac:dyDescent="0.3">
      <c r="A788" s="12"/>
      <c r="B788" s="12"/>
      <c r="C788" s="12"/>
      <c r="D788" s="12"/>
      <c r="E788" s="12"/>
      <c r="F788" s="12"/>
      <c r="G788" s="12"/>
      <c r="H788" s="12"/>
      <c r="I788" s="12"/>
      <c r="J788" s="12"/>
      <c r="K788" s="12"/>
      <c r="L788" s="14"/>
    </row>
    <row r="789" spans="1:12" x14ac:dyDescent="0.3">
      <c r="A789" s="12"/>
      <c r="B789" s="12"/>
      <c r="C789" s="12"/>
      <c r="D789" s="12"/>
      <c r="E789" s="12"/>
      <c r="F789" s="12"/>
      <c r="G789" s="12"/>
      <c r="H789" s="12"/>
      <c r="I789" s="12"/>
      <c r="J789" s="12"/>
      <c r="K789" s="12"/>
      <c r="L789" s="14"/>
    </row>
    <row r="790" spans="1:12" x14ac:dyDescent="0.3">
      <c r="A790" s="12"/>
      <c r="B790" s="12"/>
      <c r="C790" s="12"/>
      <c r="D790" s="12"/>
      <c r="E790" s="12"/>
      <c r="F790" s="12"/>
      <c r="G790" s="12"/>
      <c r="H790" s="12"/>
      <c r="I790" s="12"/>
      <c r="J790" s="12"/>
      <c r="K790" s="12"/>
      <c r="L790" s="14"/>
    </row>
    <row r="791" spans="1:12" x14ac:dyDescent="0.3">
      <c r="A791" s="12"/>
      <c r="B791" s="12"/>
      <c r="C791" s="12"/>
      <c r="D791" s="12"/>
      <c r="E791" s="12"/>
      <c r="F791" s="12"/>
      <c r="G791" s="12"/>
      <c r="H791" s="12"/>
      <c r="I791" s="12"/>
      <c r="J791" s="12"/>
      <c r="K791" s="12"/>
      <c r="L791" s="14"/>
    </row>
    <row r="792" spans="1:12" x14ac:dyDescent="0.3">
      <c r="A792" s="12"/>
      <c r="B792" s="12"/>
      <c r="C792" s="12"/>
      <c r="D792" s="12"/>
      <c r="E792" s="12"/>
      <c r="F792" s="12"/>
      <c r="G792" s="12"/>
      <c r="H792" s="12"/>
      <c r="I792" s="12"/>
      <c r="J792" s="12"/>
      <c r="K792" s="12"/>
      <c r="L792" s="14"/>
    </row>
    <row r="793" spans="1:12" x14ac:dyDescent="0.3">
      <c r="A793" s="12"/>
      <c r="B793" s="12"/>
      <c r="C793" s="12"/>
      <c r="D793" s="12"/>
      <c r="E793" s="12"/>
      <c r="F793" s="12"/>
      <c r="G793" s="12"/>
      <c r="H793" s="12"/>
      <c r="I793" s="12"/>
      <c r="J793" s="12"/>
      <c r="K793" s="12"/>
      <c r="L793" s="14"/>
    </row>
    <row r="794" spans="1:12" x14ac:dyDescent="0.3">
      <c r="A794" s="12"/>
      <c r="B794" s="12"/>
      <c r="C794" s="12"/>
      <c r="D794" s="12"/>
      <c r="E794" s="12"/>
      <c r="F794" s="12"/>
      <c r="G794" s="12"/>
      <c r="H794" s="12"/>
      <c r="I794" s="12"/>
      <c r="J794" s="12"/>
      <c r="K794" s="12"/>
      <c r="L794" s="14"/>
    </row>
    <row r="795" spans="1:12" x14ac:dyDescent="0.3">
      <c r="A795" s="12"/>
      <c r="B795" s="12"/>
      <c r="C795" s="12"/>
      <c r="D795" s="12"/>
      <c r="E795" s="12"/>
      <c r="F795" s="12"/>
      <c r="G795" s="12"/>
      <c r="H795" s="12"/>
      <c r="I795" s="12"/>
      <c r="J795" s="12"/>
      <c r="K795" s="12"/>
      <c r="L795" s="14"/>
    </row>
    <row r="796" spans="1:12" x14ac:dyDescent="0.3">
      <c r="A796" s="12"/>
      <c r="B796" s="12"/>
      <c r="C796" s="12"/>
      <c r="D796" s="12"/>
      <c r="E796" s="12"/>
      <c r="F796" s="12"/>
      <c r="G796" s="12"/>
      <c r="H796" s="12"/>
      <c r="I796" s="12"/>
      <c r="J796" s="12"/>
      <c r="K796" s="12"/>
      <c r="L796" s="14"/>
    </row>
    <row r="797" spans="1:12" x14ac:dyDescent="0.3">
      <c r="A797" s="12"/>
      <c r="B797" s="12"/>
      <c r="C797" s="12"/>
      <c r="D797" s="12"/>
      <c r="E797" s="12"/>
      <c r="F797" s="12"/>
      <c r="G797" s="12"/>
      <c r="H797" s="12"/>
      <c r="I797" s="12"/>
      <c r="J797" s="12"/>
      <c r="K797" s="12"/>
      <c r="L797" s="14"/>
    </row>
    <row r="798" spans="1:12" x14ac:dyDescent="0.3">
      <c r="A798" s="12"/>
      <c r="B798" s="12"/>
      <c r="C798" s="12"/>
      <c r="D798" s="12"/>
      <c r="E798" s="12"/>
      <c r="F798" s="12"/>
      <c r="G798" s="12"/>
      <c r="H798" s="12"/>
      <c r="I798" s="12"/>
      <c r="J798" s="12"/>
      <c r="K798" s="12"/>
      <c r="L798" s="14"/>
    </row>
    <row r="799" spans="1:12" x14ac:dyDescent="0.3">
      <c r="A799" s="12"/>
      <c r="B799" s="12"/>
      <c r="C799" s="12"/>
      <c r="D799" s="12"/>
      <c r="E799" s="12"/>
      <c r="F799" s="12"/>
      <c r="G799" s="12"/>
      <c r="H799" s="12"/>
      <c r="I799" s="12"/>
      <c r="J799" s="12"/>
      <c r="K799" s="12"/>
      <c r="L799" s="14"/>
    </row>
    <row r="800" spans="1:12" x14ac:dyDescent="0.3">
      <c r="A800" s="12"/>
      <c r="B800" s="12"/>
      <c r="C800" s="12"/>
      <c r="D800" s="12"/>
      <c r="E800" s="12"/>
      <c r="F800" s="12"/>
      <c r="G800" s="12"/>
      <c r="H800" s="12"/>
      <c r="I800" s="12"/>
      <c r="J800" s="12"/>
      <c r="K800" s="12"/>
      <c r="L800" s="14"/>
    </row>
    <row r="801" spans="1:12" x14ac:dyDescent="0.3">
      <c r="A801" s="12"/>
      <c r="B801" s="12"/>
      <c r="C801" s="12"/>
      <c r="D801" s="12"/>
      <c r="E801" s="12"/>
      <c r="F801" s="12"/>
      <c r="G801" s="12"/>
      <c r="H801" s="12"/>
      <c r="I801" s="12"/>
      <c r="J801" s="12"/>
      <c r="K801" s="12"/>
      <c r="L801" s="14"/>
    </row>
    <row r="802" spans="1:12" x14ac:dyDescent="0.3">
      <c r="A802" s="12"/>
      <c r="B802" s="12"/>
      <c r="C802" s="12"/>
      <c r="D802" s="12"/>
      <c r="E802" s="12"/>
      <c r="F802" s="12"/>
      <c r="G802" s="12"/>
      <c r="H802" s="12"/>
      <c r="I802" s="12"/>
      <c r="J802" s="12"/>
      <c r="K802" s="12"/>
      <c r="L802" s="14"/>
    </row>
    <row r="803" spans="1:12" x14ac:dyDescent="0.3">
      <c r="A803" s="12"/>
      <c r="B803" s="12"/>
      <c r="C803" s="12"/>
      <c r="D803" s="12"/>
      <c r="E803" s="12"/>
      <c r="F803" s="12"/>
      <c r="G803" s="12"/>
      <c r="H803" s="12"/>
      <c r="I803" s="12"/>
      <c r="J803" s="12"/>
      <c r="K803" s="12"/>
      <c r="L803" s="14"/>
    </row>
    <row r="804" spans="1:12" x14ac:dyDescent="0.3">
      <c r="A804" s="12"/>
      <c r="B804" s="12"/>
      <c r="C804" s="12"/>
      <c r="D804" s="12"/>
      <c r="E804" s="12"/>
      <c r="F804" s="12"/>
      <c r="G804" s="12"/>
      <c r="H804" s="12"/>
      <c r="I804" s="12"/>
      <c r="J804" s="12"/>
      <c r="K804" s="12"/>
      <c r="L804" s="14"/>
    </row>
    <row r="805" spans="1:12" x14ac:dyDescent="0.3">
      <c r="A805" s="12"/>
      <c r="B805" s="12"/>
      <c r="C805" s="12"/>
      <c r="D805" s="12"/>
      <c r="E805" s="12"/>
      <c r="F805" s="12"/>
      <c r="G805" s="12"/>
      <c r="H805" s="12"/>
      <c r="I805" s="12"/>
      <c r="J805" s="12"/>
      <c r="K805" s="12"/>
      <c r="L805" s="14"/>
    </row>
    <row r="806" spans="1:12" x14ac:dyDescent="0.3">
      <c r="A806" s="12"/>
      <c r="B806" s="12"/>
      <c r="C806" s="12"/>
      <c r="D806" s="12"/>
      <c r="E806" s="12"/>
      <c r="F806" s="12"/>
      <c r="G806" s="12"/>
      <c r="H806" s="12"/>
      <c r="I806" s="12"/>
      <c r="J806" s="12"/>
      <c r="K806" s="12"/>
      <c r="L806" s="14"/>
    </row>
    <row r="807" spans="1:12" x14ac:dyDescent="0.3">
      <c r="A807" s="12"/>
      <c r="B807" s="12"/>
      <c r="C807" s="12"/>
      <c r="D807" s="12"/>
      <c r="E807" s="12"/>
      <c r="F807" s="12"/>
      <c r="G807" s="12"/>
      <c r="H807" s="12"/>
      <c r="I807" s="12"/>
      <c r="J807" s="12"/>
      <c r="K807" s="12"/>
      <c r="L807" s="14"/>
    </row>
    <row r="808" spans="1:12" x14ac:dyDescent="0.3">
      <c r="A808" s="12"/>
      <c r="B808" s="12"/>
      <c r="C808" s="12"/>
      <c r="D808" s="12"/>
      <c r="E808" s="12"/>
      <c r="F808" s="12"/>
      <c r="G808" s="12"/>
      <c r="H808" s="12"/>
      <c r="I808" s="12"/>
      <c r="J808" s="12"/>
      <c r="K808" s="12"/>
      <c r="L808" s="14"/>
    </row>
    <row r="809" spans="1:12" x14ac:dyDescent="0.3">
      <c r="A809" s="12"/>
      <c r="B809" s="12"/>
      <c r="C809" s="12"/>
      <c r="D809" s="12"/>
      <c r="E809" s="12"/>
      <c r="F809" s="12"/>
      <c r="G809" s="12"/>
      <c r="H809" s="12"/>
      <c r="I809" s="12"/>
      <c r="J809" s="12"/>
      <c r="K809" s="12"/>
      <c r="L809" s="14"/>
    </row>
    <row r="810" spans="1:12" x14ac:dyDescent="0.3">
      <c r="A810" s="12"/>
      <c r="B810" s="12"/>
      <c r="C810" s="12"/>
      <c r="D810" s="12"/>
      <c r="E810" s="12"/>
      <c r="F810" s="12"/>
      <c r="G810" s="12"/>
      <c r="H810" s="12"/>
      <c r="I810" s="12"/>
      <c r="J810" s="12"/>
      <c r="K810" s="12"/>
      <c r="L810" s="14"/>
    </row>
    <row r="811" spans="1:12" x14ac:dyDescent="0.3">
      <c r="A811" s="12"/>
      <c r="B811" s="12"/>
      <c r="C811" s="12"/>
      <c r="D811" s="12"/>
      <c r="E811" s="12"/>
      <c r="F811" s="12"/>
      <c r="G811" s="12"/>
      <c r="H811" s="12"/>
      <c r="I811" s="12"/>
      <c r="J811" s="12"/>
      <c r="K811" s="12"/>
      <c r="L811" s="14"/>
    </row>
    <row r="812" spans="1:12" x14ac:dyDescent="0.3">
      <c r="A812" s="12"/>
      <c r="B812" s="12"/>
      <c r="C812" s="12"/>
      <c r="D812" s="12"/>
      <c r="E812" s="12"/>
      <c r="F812" s="12"/>
      <c r="G812" s="12"/>
      <c r="H812" s="12"/>
      <c r="I812" s="12"/>
      <c r="J812" s="12"/>
      <c r="K812" s="12"/>
      <c r="L812" s="14"/>
    </row>
    <row r="813" spans="1:12" x14ac:dyDescent="0.3">
      <c r="A813" s="12"/>
      <c r="B813" s="12"/>
      <c r="C813" s="12"/>
      <c r="D813" s="12"/>
      <c r="E813" s="12"/>
      <c r="F813" s="12"/>
      <c r="G813" s="12"/>
      <c r="H813" s="12"/>
      <c r="I813" s="12"/>
      <c r="J813" s="12"/>
      <c r="K813" s="12"/>
      <c r="L813" s="14"/>
    </row>
    <row r="814" spans="1:12" x14ac:dyDescent="0.3">
      <c r="A814" s="12"/>
      <c r="B814" s="12"/>
      <c r="C814" s="12"/>
      <c r="D814" s="12"/>
      <c r="E814" s="12"/>
      <c r="F814" s="12"/>
      <c r="G814" s="12"/>
      <c r="H814" s="12"/>
      <c r="I814" s="12"/>
      <c r="J814" s="12"/>
      <c r="K814" s="12"/>
      <c r="L814" s="14"/>
    </row>
    <row r="815" spans="1:12" x14ac:dyDescent="0.3">
      <c r="A815" s="12"/>
      <c r="B815" s="12"/>
      <c r="C815" s="12"/>
      <c r="D815" s="12"/>
      <c r="E815" s="12"/>
      <c r="F815" s="12"/>
      <c r="G815" s="12"/>
      <c r="H815" s="12"/>
      <c r="I815" s="12"/>
      <c r="J815" s="12"/>
      <c r="K815" s="12"/>
      <c r="L815" s="14"/>
    </row>
    <row r="816" spans="1:12" x14ac:dyDescent="0.3">
      <c r="A816" s="12"/>
      <c r="B816" s="12"/>
      <c r="C816" s="12"/>
      <c r="D816" s="12"/>
      <c r="E816" s="12"/>
      <c r="F816" s="12"/>
      <c r="G816" s="12"/>
      <c r="H816" s="12"/>
      <c r="I816" s="12"/>
      <c r="J816" s="12"/>
      <c r="K816" s="12"/>
      <c r="L816" s="14"/>
    </row>
    <row r="817" spans="1:12" x14ac:dyDescent="0.3">
      <c r="A817" s="12"/>
      <c r="B817" s="12"/>
      <c r="C817" s="12"/>
      <c r="D817" s="12"/>
      <c r="E817" s="12"/>
      <c r="F817" s="12"/>
      <c r="G817" s="12"/>
      <c r="H817" s="12"/>
      <c r="I817" s="12"/>
      <c r="J817" s="12"/>
      <c r="K817" s="12"/>
      <c r="L817" s="14"/>
    </row>
    <row r="818" spans="1:12" x14ac:dyDescent="0.3">
      <c r="A818" s="12"/>
      <c r="B818" s="12"/>
      <c r="C818" s="12"/>
      <c r="D818" s="12"/>
      <c r="E818" s="12"/>
      <c r="F818" s="12"/>
      <c r="G818" s="12"/>
      <c r="H818" s="12"/>
      <c r="I818" s="12"/>
      <c r="J818" s="12"/>
      <c r="K818" s="12"/>
      <c r="L818" s="14"/>
    </row>
    <row r="819" spans="1:12" x14ac:dyDescent="0.3">
      <c r="A819" s="12"/>
      <c r="B819" s="12"/>
      <c r="C819" s="12"/>
      <c r="D819" s="12"/>
      <c r="E819" s="12"/>
      <c r="F819" s="12"/>
      <c r="G819" s="12"/>
      <c r="H819" s="12"/>
      <c r="I819" s="12"/>
      <c r="J819" s="12"/>
      <c r="K819" s="12"/>
      <c r="L819" s="14"/>
    </row>
    <row r="820" spans="1:12" x14ac:dyDescent="0.3">
      <c r="A820" s="12"/>
      <c r="B820" s="12"/>
      <c r="C820" s="12"/>
      <c r="D820" s="12"/>
      <c r="E820" s="12"/>
      <c r="F820" s="12"/>
      <c r="G820" s="12"/>
      <c r="H820" s="12"/>
      <c r="I820" s="12"/>
      <c r="J820" s="12"/>
      <c r="K820" s="12"/>
      <c r="L820" s="14"/>
    </row>
    <row r="821" spans="1:12" x14ac:dyDescent="0.3">
      <c r="A821" s="12"/>
      <c r="B821" s="12"/>
      <c r="C821" s="12"/>
      <c r="D821" s="12"/>
      <c r="E821" s="12"/>
      <c r="F821" s="12"/>
      <c r="G821" s="12"/>
      <c r="H821" s="12"/>
      <c r="I821" s="12"/>
      <c r="J821" s="12"/>
      <c r="K821" s="12"/>
      <c r="L821" s="14"/>
    </row>
    <row r="822" spans="1:12" x14ac:dyDescent="0.3">
      <c r="A822" s="12"/>
      <c r="B822" s="12"/>
      <c r="C822" s="12"/>
      <c r="D822" s="12"/>
      <c r="E822" s="12"/>
      <c r="F822" s="12"/>
      <c r="G822" s="12"/>
      <c r="H822" s="12"/>
      <c r="I822" s="12"/>
      <c r="J822" s="12"/>
      <c r="K822" s="12"/>
      <c r="L822" s="14"/>
    </row>
    <row r="823" spans="1:12" x14ac:dyDescent="0.3">
      <c r="A823" s="12"/>
      <c r="B823" s="12"/>
      <c r="C823" s="12"/>
      <c r="D823" s="12"/>
      <c r="E823" s="12"/>
      <c r="F823" s="12"/>
      <c r="G823" s="12"/>
      <c r="H823" s="12"/>
      <c r="I823" s="12"/>
      <c r="J823" s="12"/>
      <c r="K823" s="12"/>
      <c r="L823" s="14"/>
    </row>
    <row r="824" spans="1:12" x14ac:dyDescent="0.3">
      <c r="A824" s="12"/>
      <c r="B824" s="12"/>
      <c r="C824" s="12"/>
      <c r="D824" s="12"/>
      <c r="E824" s="12"/>
      <c r="F824" s="12"/>
      <c r="G824" s="12"/>
      <c r="H824" s="12"/>
      <c r="I824" s="12"/>
      <c r="J824" s="12"/>
      <c r="K824" s="12"/>
      <c r="L824" s="14"/>
    </row>
    <row r="825" spans="1:12" x14ac:dyDescent="0.3">
      <c r="A825" s="12"/>
      <c r="B825" s="12"/>
      <c r="C825" s="12"/>
      <c r="D825" s="12"/>
      <c r="E825" s="12"/>
      <c r="F825" s="12"/>
      <c r="G825" s="12"/>
      <c r="H825" s="12"/>
      <c r="I825" s="12"/>
      <c r="J825" s="12"/>
      <c r="K825" s="12"/>
      <c r="L825" s="14"/>
    </row>
    <row r="826" spans="1:12" x14ac:dyDescent="0.3">
      <c r="A826" s="12"/>
      <c r="B826" s="12"/>
      <c r="C826" s="12"/>
      <c r="D826" s="12"/>
      <c r="E826" s="12"/>
      <c r="F826" s="12"/>
      <c r="G826" s="12"/>
      <c r="H826" s="12"/>
      <c r="I826" s="12"/>
      <c r="J826" s="12"/>
      <c r="K826" s="12"/>
      <c r="L826" s="14"/>
    </row>
    <row r="827" spans="1:12" x14ac:dyDescent="0.3">
      <c r="A827" s="12"/>
      <c r="B827" s="12"/>
      <c r="C827" s="12"/>
      <c r="D827" s="12"/>
      <c r="E827" s="12"/>
      <c r="F827" s="12"/>
      <c r="G827" s="12"/>
      <c r="H827" s="12"/>
      <c r="I827" s="12"/>
      <c r="J827" s="12"/>
      <c r="K827" s="12"/>
      <c r="L827" s="14"/>
    </row>
    <row r="828" spans="1:12" x14ac:dyDescent="0.3">
      <c r="A828" s="12"/>
      <c r="B828" s="12"/>
      <c r="C828" s="12"/>
      <c r="D828" s="12"/>
      <c r="E828" s="12"/>
      <c r="F828" s="12"/>
      <c r="G828" s="12"/>
      <c r="H828" s="12"/>
      <c r="I828" s="12"/>
      <c r="J828" s="12"/>
      <c r="K828" s="12"/>
      <c r="L828" s="14"/>
    </row>
    <row r="829" spans="1:12" x14ac:dyDescent="0.3">
      <c r="A829" s="12"/>
      <c r="B829" s="12"/>
      <c r="C829" s="12"/>
      <c r="D829" s="12"/>
      <c r="E829" s="12"/>
      <c r="F829" s="12"/>
      <c r="G829" s="12"/>
      <c r="H829" s="12"/>
      <c r="I829" s="12"/>
      <c r="J829" s="12"/>
      <c r="K829" s="12"/>
      <c r="L829" s="14"/>
    </row>
    <row r="830" spans="1:12" x14ac:dyDescent="0.3">
      <c r="A830" s="12"/>
      <c r="B830" s="12"/>
      <c r="C830" s="12"/>
      <c r="D830" s="12"/>
      <c r="E830" s="12"/>
      <c r="F830" s="12"/>
      <c r="G830" s="12"/>
      <c r="H830" s="12"/>
      <c r="I830" s="12"/>
      <c r="J830" s="12"/>
      <c r="K830" s="12"/>
      <c r="L830" s="14"/>
    </row>
    <row r="831" spans="1:12" x14ac:dyDescent="0.3">
      <c r="A831" s="12"/>
      <c r="B831" s="12"/>
      <c r="C831" s="12"/>
      <c r="D831" s="12"/>
      <c r="E831" s="12"/>
      <c r="F831" s="12"/>
      <c r="G831" s="12"/>
      <c r="H831" s="12"/>
      <c r="I831" s="12"/>
      <c r="J831" s="12"/>
      <c r="K831" s="12"/>
      <c r="L831" s="14"/>
    </row>
    <row r="832" spans="1:12" x14ac:dyDescent="0.3">
      <c r="A832" s="12"/>
      <c r="B832" s="12"/>
      <c r="C832" s="12"/>
      <c r="D832" s="12"/>
      <c r="E832" s="12"/>
      <c r="F832" s="12"/>
      <c r="G832" s="12"/>
      <c r="H832" s="12"/>
      <c r="I832" s="12"/>
      <c r="J832" s="12"/>
      <c r="K832" s="12"/>
      <c r="L832" s="14"/>
    </row>
    <row r="833" spans="1:12" x14ac:dyDescent="0.3">
      <c r="A833" s="12"/>
      <c r="B833" s="12"/>
      <c r="C833" s="12"/>
      <c r="D833" s="12"/>
      <c r="E833" s="12"/>
      <c r="F833" s="12"/>
      <c r="G833" s="12"/>
      <c r="H833" s="12"/>
      <c r="I833" s="12"/>
      <c r="J833" s="12"/>
      <c r="K833" s="12"/>
      <c r="L833" s="14"/>
    </row>
    <row r="834" spans="1:12" x14ac:dyDescent="0.3">
      <c r="A834" s="12"/>
      <c r="B834" s="12"/>
      <c r="C834" s="12"/>
      <c r="D834" s="12"/>
      <c r="E834" s="12"/>
      <c r="F834" s="12"/>
      <c r="G834" s="12"/>
      <c r="H834" s="12"/>
      <c r="I834" s="12"/>
      <c r="J834" s="12"/>
      <c r="K834" s="12"/>
      <c r="L834" s="14"/>
    </row>
    <row r="835" spans="1:12" x14ac:dyDescent="0.3">
      <c r="A835" s="12"/>
      <c r="B835" s="12"/>
      <c r="C835" s="12"/>
      <c r="D835" s="12"/>
      <c r="E835" s="12"/>
      <c r="F835" s="12"/>
      <c r="G835" s="12"/>
      <c r="H835" s="12"/>
      <c r="I835" s="12"/>
      <c r="J835" s="12"/>
      <c r="K835" s="12"/>
      <c r="L835" s="14"/>
    </row>
    <row r="836" spans="1:12" x14ac:dyDescent="0.3">
      <c r="A836" s="12"/>
      <c r="B836" s="12"/>
      <c r="C836" s="12"/>
      <c r="D836" s="12"/>
      <c r="E836" s="12"/>
      <c r="F836" s="12"/>
      <c r="G836" s="12"/>
      <c r="H836" s="12"/>
      <c r="I836" s="12"/>
      <c r="J836" s="12"/>
      <c r="K836" s="12"/>
      <c r="L836" s="14"/>
    </row>
    <row r="837" spans="1:12" x14ac:dyDescent="0.3">
      <c r="A837" s="12"/>
      <c r="B837" s="12"/>
      <c r="C837" s="12"/>
      <c r="D837" s="12"/>
      <c r="E837" s="12"/>
      <c r="F837" s="12"/>
      <c r="G837" s="12"/>
      <c r="H837" s="12"/>
      <c r="I837" s="12"/>
      <c r="J837" s="12"/>
      <c r="K837" s="12"/>
      <c r="L837" s="14"/>
    </row>
    <row r="838" spans="1:12" x14ac:dyDescent="0.3">
      <c r="A838" s="12"/>
      <c r="B838" s="12"/>
      <c r="C838" s="12"/>
      <c r="D838" s="12"/>
      <c r="E838" s="12"/>
      <c r="F838" s="12"/>
      <c r="G838" s="12"/>
      <c r="H838" s="12"/>
      <c r="I838" s="12"/>
      <c r="J838" s="12"/>
      <c r="K838" s="12"/>
      <c r="L838" s="14"/>
    </row>
    <row r="839" spans="1:12" x14ac:dyDescent="0.3">
      <c r="A839" s="12"/>
      <c r="B839" s="12"/>
      <c r="C839" s="12"/>
      <c r="D839" s="12"/>
      <c r="E839" s="12"/>
      <c r="F839" s="12"/>
      <c r="G839" s="12"/>
      <c r="H839" s="12"/>
      <c r="I839" s="12"/>
      <c r="J839" s="12"/>
      <c r="K839" s="12"/>
      <c r="L839" s="14"/>
    </row>
    <row r="840" spans="1:12" x14ac:dyDescent="0.3">
      <c r="A840" s="12"/>
      <c r="B840" s="12"/>
      <c r="C840" s="12"/>
      <c r="D840" s="12"/>
      <c r="E840" s="12"/>
      <c r="F840" s="12"/>
      <c r="G840" s="12"/>
      <c r="H840" s="12"/>
      <c r="I840" s="12"/>
      <c r="J840" s="12"/>
      <c r="K840" s="12"/>
      <c r="L840" s="14"/>
    </row>
    <row r="841" spans="1:12" x14ac:dyDescent="0.3">
      <c r="A841" s="12"/>
      <c r="B841" s="12"/>
      <c r="C841" s="12"/>
      <c r="D841" s="12"/>
      <c r="E841" s="12"/>
      <c r="F841" s="12"/>
      <c r="G841" s="12"/>
      <c r="H841" s="12"/>
      <c r="I841" s="12"/>
      <c r="J841" s="12"/>
      <c r="K841" s="12"/>
      <c r="L841" s="14"/>
    </row>
    <row r="842" spans="1:12" x14ac:dyDescent="0.3">
      <c r="A842" s="12"/>
      <c r="B842" s="12"/>
      <c r="C842" s="12"/>
      <c r="D842" s="12"/>
      <c r="E842" s="12"/>
      <c r="F842" s="12"/>
      <c r="G842" s="12"/>
      <c r="H842" s="12"/>
      <c r="I842" s="12"/>
      <c r="J842" s="12"/>
      <c r="K842" s="12"/>
      <c r="L842" s="14"/>
    </row>
    <row r="843" spans="1:12" x14ac:dyDescent="0.3">
      <c r="A843" s="12"/>
      <c r="B843" s="12"/>
      <c r="C843" s="12"/>
      <c r="D843" s="12"/>
      <c r="E843" s="12"/>
      <c r="F843" s="12"/>
      <c r="G843" s="12"/>
      <c r="H843" s="12"/>
      <c r="I843" s="12"/>
      <c r="J843" s="12"/>
      <c r="K843" s="12"/>
      <c r="L843" s="14"/>
    </row>
    <row r="844" spans="1:12" x14ac:dyDescent="0.3">
      <c r="A844" s="12"/>
      <c r="B844" s="12"/>
      <c r="C844" s="12"/>
      <c r="D844" s="12"/>
      <c r="E844" s="12"/>
      <c r="F844" s="12"/>
      <c r="G844" s="12"/>
      <c r="H844" s="12"/>
      <c r="I844" s="12"/>
      <c r="J844" s="12"/>
      <c r="K844" s="12"/>
      <c r="L844" s="14"/>
    </row>
    <row r="845" spans="1:12" x14ac:dyDescent="0.3">
      <c r="A845" s="12"/>
      <c r="B845" s="12"/>
      <c r="C845" s="12"/>
      <c r="D845" s="12"/>
      <c r="E845" s="12"/>
      <c r="F845" s="12"/>
      <c r="G845" s="12"/>
      <c r="H845" s="12"/>
      <c r="I845" s="12"/>
      <c r="J845" s="12"/>
      <c r="K845" s="12"/>
      <c r="L845" s="14"/>
    </row>
    <row r="846" spans="1:12" x14ac:dyDescent="0.3">
      <c r="A846" s="12"/>
      <c r="B846" s="12"/>
      <c r="C846" s="12"/>
      <c r="D846" s="12"/>
      <c r="E846" s="12"/>
      <c r="F846" s="12"/>
      <c r="G846" s="12"/>
      <c r="H846" s="12"/>
      <c r="I846" s="12"/>
      <c r="J846" s="12"/>
      <c r="K846" s="12"/>
      <c r="L846" s="14"/>
    </row>
    <row r="847" spans="1:12" x14ac:dyDescent="0.3">
      <c r="A847" s="12"/>
      <c r="B847" s="12"/>
      <c r="C847" s="12"/>
      <c r="D847" s="12"/>
      <c r="E847" s="12"/>
      <c r="F847" s="12"/>
      <c r="G847" s="12"/>
      <c r="H847" s="12"/>
      <c r="I847" s="12"/>
      <c r="J847" s="12"/>
      <c r="K847" s="12"/>
      <c r="L847" s="14"/>
    </row>
    <row r="848" spans="1:12" x14ac:dyDescent="0.3">
      <c r="A848" s="12"/>
      <c r="B848" s="12"/>
      <c r="C848" s="12"/>
      <c r="D848" s="12"/>
      <c r="E848" s="12"/>
      <c r="F848" s="12"/>
      <c r="G848" s="12"/>
      <c r="H848" s="12"/>
      <c r="I848" s="12"/>
      <c r="J848" s="12"/>
      <c r="K848" s="12"/>
      <c r="L848" s="14"/>
    </row>
    <row r="849" spans="1:12" x14ac:dyDescent="0.3">
      <c r="A849" s="12"/>
      <c r="B849" s="12"/>
      <c r="C849" s="12"/>
      <c r="D849" s="12"/>
      <c r="E849" s="12"/>
      <c r="F849" s="12"/>
      <c r="G849" s="12"/>
      <c r="H849" s="12"/>
      <c r="I849" s="12"/>
      <c r="J849" s="12"/>
      <c r="K849" s="12"/>
      <c r="L849" s="14"/>
    </row>
    <row r="850" spans="1:12" x14ac:dyDescent="0.3">
      <c r="A850" s="12"/>
      <c r="B850" s="12"/>
      <c r="C850" s="12"/>
      <c r="D850" s="12"/>
      <c r="E850" s="12"/>
      <c r="F850" s="12"/>
      <c r="G850" s="12"/>
      <c r="H850" s="12"/>
      <c r="I850" s="12"/>
      <c r="J850" s="12"/>
      <c r="K850" s="12"/>
      <c r="L850" s="14"/>
    </row>
    <row r="851" spans="1:12" x14ac:dyDescent="0.3">
      <c r="A851" s="12"/>
      <c r="B851" s="12"/>
      <c r="C851" s="12"/>
      <c r="D851" s="12"/>
      <c r="E851" s="12"/>
      <c r="F851" s="12"/>
      <c r="G851" s="12"/>
      <c r="H851" s="12"/>
      <c r="I851" s="12"/>
      <c r="J851" s="12"/>
      <c r="K851" s="12"/>
      <c r="L851" s="14"/>
    </row>
    <row r="852" spans="1:12" x14ac:dyDescent="0.3">
      <c r="A852" s="12"/>
      <c r="B852" s="12"/>
      <c r="C852" s="12"/>
      <c r="D852" s="12"/>
      <c r="E852" s="12"/>
      <c r="F852" s="12"/>
      <c r="G852" s="12"/>
      <c r="H852" s="12"/>
      <c r="I852" s="12"/>
      <c r="J852" s="12"/>
      <c r="K852" s="12"/>
      <c r="L852" s="14"/>
    </row>
    <row r="853" spans="1:12" x14ac:dyDescent="0.3">
      <c r="A853" s="12"/>
      <c r="B853" s="12"/>
      <c r="C853" s="12"/>
      <c r="D853" s="12"/>
      <c r="E853" s="12"/>
      <c r="F853" s="12"/>
      <c r="G853" s="12"/>
      <c r="H853" s="12"/>
      <c r="I853" s="12"/>
      <c r="J853" s="12"/>
      <c r="K853" s="12"/>
      <c r="L853" s="14"/>
    </row>
    <row r="854" spans="1:12" x14ac:dyDescent="0.3">
      <c r="A854" s="12"/>
      <c r="B854" s="12"/>
      <c r="C854" s="12"/>
      <c r="D854" s="12"/>
      <c r="E854" s="12"/>
      <c r="F854" s="12"/>
      <c r="G854" s="12"/>
      <c r="H854" s="12"/>
      <c r="I854" s="12"/>
      <c r="J854" s="12"/>
      <c r="K854" s="12"/>
      <c r="L854" s="14"/>
    </row>
    <row r="855" spans="1:12" x14ac:dyDescent="0.3">
      <c r="A855" s="12"/>
      <c r="B855" s="12"/>
      <c r="C855" s="12"/>
      <c r="D855" s="12"/>
      <c r="E855" s="12"/>
      <c r="F855" s="12"/>
      <c r="G855" s="12"/>
      <c r="H855" s="12"/>
      <c r="I855" s="12"/>
      <c r="J855" s="12"/>
      <c r="K855" s="12"/>
      <c r="L855" s="14"/>
    </row>
    <row r="856" spans="1:12" x14ac:dyDescent="0.3">
      <c r="A856" s="12"/>
      <c r="B856" s="12"/>
      <c r="C856" s="12"/>
      <c r="D856" s="12"/>
      <c r="E856" s="12"/>
      <c r="F856" s="12"/>
      <c r="G856" s="12"/>
      <c r="H856" s="12"/>
      <c r="I856" s="12"/>
      <c r="J856" s="12"/>
      <c r="K856" s="12"/>
      <c r="L856" s="14"/>
    </row>
    <row r="857" spans="1:12" x14ac:dyDescent="0.3">
      <c r="A857" s="12"/>
      <c r="B857" s="12"/>
      <c r="C857" s="12"/>
      <c r="D857" s="12"/>
      <c r="E857" s="12"/>
      <c r="F857" s="12"/>
      <c r="G857" s="12"/>
      <c r="H857" s="12"/>
      <c r="I857" s="12"/>
      <c r="J857" s="12"/>
      <c r="K857" s="12"/>
      <c r="L857" s="14"/>
    </row>
    <row r="858" spans="1:12" x14ac:dyDescent="0.3">
      <c r="A858" s="12"/>
      <c r="B858" s="12"/>
      <c r="C858" s="12"/>
      <c r="D858" s="12"/>
      <c r="E858" s="12"/>
      <c r="F858" s="12"/>
      <c r="G858" s="12"/>
      <c r="H858" s="12"/>
      <c r="I858" s="12"/>
      <c r="J858" s="12"/>
      <c r="K858" s="12"/>
      <c r="L858" s="14"/>
    </row>
    <row r="859" spans="1:12" x14ac:dyDescent="0.3">
      <c r="A859" s="12"/>
      <c r="B859" s="12"/>
      <c r="C859" s="12"/>
      <c r="D859" s="12"/>
      <c r="E859" s="12"/>
      <c r="F859" s="12"/>
      <c r="G859" s="12"/>
      <c r="H859" s="12"/>
      <c r="I859" s="12"/>
      <c r="J859" s="12"/>
      <c r="K859" s="12"/>
      <c r="L859" s="14"/>
    </row>
    <row r="860" spans="1:12" x14ac:dyDescent="0.3">
      <c r="A860" s="12"/>
      <c r="B860" s="12"/>
      <c r="C860" s="12"/>
      <c r="D860" s="12"/>
      <c r="E860" s="12"/>
      <c r="F860" s="12"/>
      <c r="G860" s="12"/>
      <c r="H860" s="12"/>
      <c r="I860" s="12"/>
      <c r="J860" s="12"/>
      <c r="K860" s="12"/>
      <c r="L860" s="14"/>
    </row>
    <row r="861" spans="1:12" x14ac:dyDescent="0.3">
      <c r="A861" s="12"/>
      <c r="B861" s="12"/>
      <c r="C861" s="12"/>
      <c r="D861" s="12"/>
      <c r="E861" s="12"/>
      <c r="F861" s="12"/>
      <c r="G861" s="12"/>
      <c r="H861" s="12"/>
      <c r="I861" s="12"/>
      <c r="J861" s="12"/>
      <c r="K861" s="12"/>
      <c r="L861" s="14"/>
    </row>
    <row r="862" spans="1:12" x14ac:dyDescent="0.3">
      <c r="A862" s="12"/>
      <c r="B862" s="12"/>
      <c r="C862" s="12"/>
      <c r="D862" s="12"/>
      <c r="E862" s="12"/>
      <c r="F862" s="12"/>
      <c r="G862" s="12"/>
      <c r="H862" s="12"/>
      <c r="I862" s="12"/>
      <c r="J862" s="12"/>
      <c r="K862" s="12"/>
      <c r="L862" s="14"/>
    </row>
    <row r="863" spans="1:12" x14ac:dyDescent="0.3">
      <c r="A863" s="12"/>
      <c r="B863" s="12"/>
      <c r="C863" s="12"/>
      <c r="D863" s="12"/>
      <c r="E863" s="12"/>
      <c r="F863" s="12"/>
      <c r="G863" s="12"/>
      <c r="H863" s="12"/>
      <c r="I863" s="12"/>
      <c r="J863" s="12"/>
      <c r="K863" s="12"/>
      <c r="L863" s="14"/>
    </row>
    <row r="864" spans="1:12" x14ac:dyDescent="0.3">
      <c r="A864" s="12"/>
      <c r="B864" s="12"/>
      <c r="C864" s="12"/>
      <c r="D864" s="12"/>
      <c r="E864" s="12"/>
      <c r="F864" s="12"/>
      <c r="G864" s="12"/>
      <c r="H864" s="12"/>
      <c r="I864" s="12"/>
      <c r="J864" s="12"/>
      <c r="K864" s="12"/>
      <c r="L864" s="14"/>
    </row>
    <row r="865" spans="1:12" x14ac:dyDescent="0.3">
      <c r="A865" s="12"/>
      <c r="B865" s="12"/>
      <c r="C865" s="12"/>
      <c r="D865" s="12"/>
      <c r="E865" s="12"/>
      <c r="F865" s="12"/>
      <c r="G865" s="12"/>
      <c r="H865" s="12"/>
      <c r="I865" s="12"/>
      <c r="J865" s="12"/>
      <c r="K865" s="12"/>
      <c r="L865" s="14"/>
    </row>
    <row r="866" spans="1:12" x14ac:dyDescent="0.3">
      <c r="A866" s="12"/>
      <c r="B866" s="12"/>
      <c r="C866" s="12"/>
      <c r="D866" s="12"/>
      <c r="E866" s="12"/>
      <c r="F866" s="12"/>
      <c r="G866" s="12"/>
      <c r="H866" s="12"/>
      <c r="I866" s="12"/>
      <c r="J866" s="12"/>
      <c r="K866" s="12"/>
      <c r="L866" s="14"/>
    </row>
    <row r="867" spans="1:12" x14ac:dyDescent="0.3">
      <c r="A867" s="12"/>
      <c r="B867" s="12"/>
      <c r="C867" s="12"/>
      <c r="D867" s="12"/>
      <c r="E867" s="12"/>
      <c r="F867" s="12"/>
      <c r="G867" s="12"/>
      <c r="H867" s="12"/>
      <c r="I867" s="12"/>
      <c r="J867" s="12"/>
      <c r="K867" s="12"/>
      <c r="L867" s="14"/>
    </row>
    <row r="868" spans="1:12" x14ac:dyDescent="0.3">
      <c r="A868" s="12"/>
      <c r="B868" s="12"/>
      <c r="C868" s="12"/>
      <c r="D868" s="12"/>
      <c r="E868" s="12"/>
      <c r="F868" s="12"/>
      <c r="G868" s="12"/>
      <c r="H868" s="12"/>
      <c r="I868" s="12"/>
      <c r="J868" s="12"/>
      <c r="K868" s="12"/>
      <c r="L868" s="14"/>
    </row>
    <row r="869" spans="1:12" x14ac:dyDescent="0.3">
      <c r="A869" s="12"/>
      <c r="B869" s="12"/>
      <c r="C869" s="12"/>
      <c r="D869" s="12"/>
      <c r="E869" s="12"/>
      <c r="F869" s="12"/>
      <c r="G869" s="12"/>
      <c r="H869" s="12"/>
      <c r="I869" s="12"/>
      <c r="J869" s="12"/>
      <c r="K869" s="12"/>
      <c r="L869" s="14"/>
    </row>
    <row r="870" spans="1:12" x14ac:dyDescent="0.3">
      <c r="A870" s="12"/>
      <c r="B870" s="12"/>
      <c r="C870" s="12"/>
      <c r="D870" s="12"/>
      <c r="E870" s="12"/>
      <c r="F870" s="12"/>
      <c r="G870" s="12"/>
      <c r="H870" s="12"/>
      <c r="I870" s="12"/>
      <c r="J870" s="12"/>
      <c r="K870" s="12"/>
      <c r="L870" s="14"/>
    </row>
    <row r="871" spans="1:12" x14ac:dyDescent="0.3">
      <c r="A871" s="12"/>
      <c r="B871" s="12"/>
      <c r="C871" s="12"/>
      <c r="D871" s="12"/>
      <c r="E871" s="12"/>
      <c r="F871" s="12"/>
      <c r="G871" s="12"/>
      <c r="H871" s="12"/>
      <c r="I871" s="12"/>
      <c r="J871" s="12"/>
      <c r="K871" s="12"/>
      <c r="L871" s="14"/>
    </row>
    <row r="872" spans="1:12" x14ac:dyDescent="0.3">
      <c r="A872" s="12"/>
      <c r="B872" s="12"/>
      <c r="C872" s="12"/>
      <c r="D872" s="12"/>
      <c r="E872" s="12"/>
      <c r="F872" s="12"/>
      <c r="G872" s="12"/>
      <c r="H872" s="12"/>
      <c r="I872" s="12"/>
      <c r="J872" s="12"/>
      <c r="K872" s="12"/>
      <c r="L872" s="14"/>
    </row>
    <row r="873" spans="1:12" x14ac:dyDescent="0.3">
      <c r="A873" s="12"/>
      <c r="B873" s="12"/>
      <c r="C873" s="12"/>
      <c r="D873" s="12"/>
      <c r="E873" s="12"/>
      <c r="F873" s="12"/>
      <c r="G873" s="12"/>
      <c r="H873" s="12"/>
      <c r="I873" s="12"/>
      <c r="J873" s="12"/>
      <c r="K873" s="12"/>
      <c r="L873" s="14"/>
    </row>
    <row r="874" spans="1:12" x14ac:dyDescent="0.3">
      <c r="A874" s="12"/>
      <c r="B874" s="12"/>
      <c r="C874" s="12"/>
      <c r="D874" s="12"/>
      <c r="E874" s="12"/>
      <c r="F874" s="12"/>
      <c r="G874" s="12"/>
      <c r="H874" s="12"/>
      <c r="I874" s="12"/>
      <c r="J874" s="12"/>
      <c r="K874" s="12"/>
      <c r="L874" s="14"/>
    </row>
    <row r="875" spans="1:12" x14ac:dyDescent="0.3">
      <c r="A875" s="12"/>
      <c r="B875" s="12"/>
      <c r="C875" s="12"/>
      <c r="D875" s="12"/>
      <c r="E875" s="12"/>
      <c r="F875" s="12"/>
      <c r="G875" s="12"/>
      <c r="H875" s="12"/>
      <c r="I875" s="12"/>
      <c r="J875" s="12"/>
      <c r="K875" s="12"/>
      <c r="L875" s="14"/>
    </row>
    <row r="876" spans="1:12" x14ac:dyDescent="0.3">
      <c r="A876" s="12"/>
      <c r="B876" s="12"/>
      <c r="C876" s="12"/>
      <c r="D876" s="12"/>
      <c r="E876" s="12"/>
      <c r="F876" s="12"/>
      <c r="G876" s="12"/>
      <c r="H876" s="12"/>
      <c r="I876" s="12"/>
      <c r="J876" s="12"/>
      <c r="K876" s="12"/>
      <c r="L876" s="14"/>
    </row>
    <row r="877" spans="1:12" x14ac:dyDescent="0.3">
      <c r="A877" s="12"/>
      <c r="B877" s="12"/>
      <c r="C877" s="12"/>
      <c r="D877" s="12"/>
      <c r="E877" s="12"/>
      <c r="F877" s="12"/>
      <c r="G877" s="12"/>
      <c r="H877" s="12"/>
      <c r="I877" s="12"/>
      <c r="J877" s="12"/>
      <c r="K877" s="12"/>
      <c r="L877" s="14"/>
    </row>
    <row r="878" spans="1:12" x14ac:dyDescent="0.3">
      <c r="A878" s="12"/>
      <c r="B878" s="12"/>
      <c r="C878" s="12"/>
      <c r="D878" s="12"/>
      <c r="E878" s="12"/>
      <c r="F878" s="12"/>
      <c r="G878" s="12"/>
      <c r="H878" s="12"/>
      <c r="I878" s="12"/>
      <c r="J878" s="12"/>
      <c r="K878" s="12"/>
      <c r="L878" s="14"/>
    </row>
    <row r="879" spans="1:12" x14ac:dyDescent="0.3">
      <c r="A879" s="12"/>
      <c r="B879" s="12"/>
      <c r="C879" s="12"/>
      <c r="D879" s="12"/>
      <c r="E879" s="12"/>
      <c r="F879" s="12"/>
      <c r="G879" s="12"/>
      <c r="H879" s="12"/>
      <c r="I879" s="12"/>
      <c r="J879" s="12"/>
      <c r="K879" s="12"/>
      <c r="L879" s="14"/>
    </row>
    <row r="880" spans="1:12" x14ac:dyDescent="0.3">
      <c r="A880" s="12"/>
      <c r="B880" s="12"/>
      <c r="C880" s="12"/>
      <c r="D880" s="12"/>
      <c r="E880" s="12"/>
      <c r="F880" s="12"/>
      <c r="G880" s="12"/>
      <c r="H880" s="12"/>
      <c r="I880" s="12"/>
      <c r="J880" s="12"/>
      <c r="K880" s="12"/>
      <c r="L880" s="14"/>
    </row>
    <row r="881" spans="1:12" x14ac:dyDescent="0.3">
      <c r="A881" s="12"/>
      <c r="B881" s="12"/>
      <c r="C881" s="12"/>
      <c r="D881" s="12"/>
      <c r="E881" s="12"/>
      <c r="F881" s="12"/>
      <c r="G881" s="12"/>
      <c r="H881" s="12"/>
      <c r="I881" s="12"/>
      <c r="J881" s="12"/>
      <c r="K881" s="12"/>
      <c r="L881" s="14"/>
    </row>
    <row r="882" spans="1:12" x14ac:dyDescent="0.3">
      <c r="A882" s="12"/>
      <c r="B882" s="12"/>
      <c r="C882" s="12"/>
      <c r="D882" s="12"/>
      <c r="E882" s="12"/>
      <c r="F882" s="12"/>
      <c r="G882" s="12"/>
      <c r="H882" s="12"/>
      <c r="I882" s="12"/>
      <c r="J882" s="12"/>
      <c r="K882" s="12"/>
      <c r="L882" s="14"/>
    </row>
    <row r="883" spans="1:12" x14ac:dyDescent="0.3">
      <c r="A883" s="12"/>
      <c r="B883" s="12"/>
      <c r="C883" s="12"/>
      <c r="D883" s="12"/>
      <c r="E883" s="12"/>
      <c r="F883" s="12"/>
      <c r="G883" s="12"/>
      <c r="H883" s="12"/>
      <c r="I883" s="12"/>
      <c r="J883" s="12"/>
      <c r="K883" s="12"/>
      <c r="L883" s="14"/>
    </row>
    <row r="884" spans="1:12" x14ac:dyDescent="0.3">
      <c r="A884" s="12"/>
      <c r="B884" s="12"/>
      <c r="C884" s="12"/>
      <c r="D884" s="12"/>
      <c r="E884" s="12"/>
      <c r="F884" s="12"/>
      <c r="G884" s="12"/>
      <c r="H884" s="12"/>
      <c r="I884" s="12"/>
      <c r="J884" s="12"/>
      <c r="K884" s="12"/>
      <c r="L884" s="14"/>
    </row>
    <row r="885" spans="1:12" x14ac:dyDescent="0.3">
      <c r="A885" s="12"/>
      <c r="B885" s="12"/>
      <c r="C885" s="12"/>
      <c r="D885" s="12"/>
      <c r="E885" s="12"/>
      <c r="F885" s="12"/>
      <c r="G885" s="12"/>
      <c r="H885" s="12"/>
      <c r="I885" s="12"/>
      <c r="J885" s="12"/>
      <c r="K885" s="12"/>
      <c r="L885" s="14"/>
    </row>
    <row r="886" spans="1:12" x14ac:dyDescent="0.3">
      <c r="A886" s="12"/>
      <c r="B886" s="12"/>
      <c r="C886" s="12"/>
      <c r="D886" s="12"/>
      <c r="E886" s="12"/>
      <c r="F886" s="12"/>
      <c r="G886" s="12"/>
      <c r="H886" s="12"/>
      <c r="I886" s="12"/>
      <c r="J886" s="12"/>
      <c r="K886" s="12"/>
      <c r="L886" s="14"/>
    </row>
    <row r="887" spans="1:12" x14ac:dyDescent="0.3">
      <c r="A887" s="12"/>
      <c r="B887" s="12"/>
      <c r="C887" s="12"/>
      <c r="D887" s="12"/>
      <c r="E887" s="12"/>
      <c r="F887" s="12"/>
      <c r="G887" s="12"/>
      <c r="H887" s="12"/>
      <c r="I887" s="12"/>
      <c r="J887" s="12"/>
      <c r="K887" s="12"/>
      <c r="L887" s="14"/>
    </row>
    <row r="888" spans="1:12" x14ac:dyDescent="0.3">
      <c r="A888" s="12"/>
      <c r="B888" s="12"/>
      <c r="C888" s="12"/>
      <c r="D888" s="12"/>
      <c r="E888" s="12"/>
      <c r="F888" s="12"/>
      <c r="G888" s="12"/>
      <c r="H888" s="12"/>
      <c r="I888" s="12"/>
      <c r="J888" s="12"/>
      <c r="K888" s="12"/>
      <c r="L888" s="14"/>
    </row>
    <row r="889" spans="1:12" x14ac:dyDescent="0.3">
      <c r="A889" s="12"/>
      <c r="B889" s="12"/>
      <c r="C889" s="12"/>
      <c r="D889" s="12"/>
      <c r="E889" s="12"/>
      <c r="F889" s="12"/>
      <c r="G889" s="12"/>
      <c r="H889" s="12"/>
      <c r="I889" s="12"/>
      <c r="J889" s="12"/>
      <c r="K889" s="12"/>
      <c r="L889" s="14"/>
    </row>
    <row r="890" spans="1:12" x14ac:dyDescent="0.3">
      <c r="A890" s="12"/>
      <c r="B890" s="12"/>
      <c r="C890" s="12"/>
      <c r="D890" s="12"/>
      <c r="E890" s="12"/>
      <c r="F890" s="12"/>
      <c r="G890" s="12"/>
      <c r="H890" s="12"/>
      <c r="I890" s="12"/>
      <c r="J890" s="12"/>
      <c r="K890" s="12"/>
      <c r="L890" s="14"/>
    </row>
    <row r="891" spans="1:12" x14ac:dyDescent="0.3">
      <c r="A891" s="12"/>
      <c r="B891" s="12"/>
      <c r="C891" s="12"/>
      <c r="D891" s="12"/>
      <c r="E891" s="12"/>
      <c r="F891" s="12"/>
      <c r="G891" s="12"/>
      <c r="H891" s="12"/>
      <c r="I891" s="12"/>
      <c r="J891" s="12"/>
      <c r="K891" s="12"/>
      <c r="L891" s="14"/>
    </row>
    <row r="892" spans="1:12" x14ac:dyDescent="0.3">
      <c r="A892" s="12"/>
      <c r="B892" s="12"/>
      <c r="C892" s="12"/>
      <c r="D892" s="12"/>
      <c r="E892" s="12"/>
      <c r="F892" s="12"/>
      <c r="G892" s="12"/>
      <c r="H892" s="12"/>
      <c r="I892" s="12"/>
      <c r="J892" s="12"/>
      <c r="K892" s="12"/>
      <c r="L892" s="14"/>
    </row>
    <row r="893" spans="1:12" x14ac:dyDescent="0.3">
      <c r="A893" s="12"/>
      <c r="B893" s="12"/>
      <c r="C893" s="12"/>
      <c r="D893" s="12"/>
      <c r="E893" s="12"/>
      <c r="F893" s="12"/>
      <c r="G893" s="12"/>
      <c r="H893" s="12"/>
      <c r="I893" s="12"/>
      <c r="J893" s="12"/>
      <c r="K893" s="12"/>
      <c r="L893" s="14"/>
    </row>
    <row r="894" spans="1:12" x14ac:dyDescent="0.3">
      <c r="A894" s="12"/>
      <c r="B894" s="12"/>
      <c r="C894" s="12"/>
      <c r="D894" s="12"/>
      <c r="E894" s="12"/>
      <c r="F894" s="12"/>
      <c r="G894" s="12"/>
      <c r="H894" s="12"/>
      <c r="I894" s="12"/>
      <c r="J894" s="12"/>
      <c r="K894" s="12"/>
      <c r="L894" s="14"/>
    </row>
    <row r="895" spans="1:12" x14ac:dyDescent="0.3">
      <c r="A895" s="12"/>
      <c r="B895" s="12"/>
      <c r="C895" s="12"/>
      <c r="D895" s="12"/>
      <c r="E895" s="12"/>
      <c r="F895" s="12"/>
      <c r="G895" s="12"/>
      <c r="H895" s="12"/>
      <c r="I895" s="12"/>
      <c r="J895" s="12"/>
      <c r="K895" s="12"/>
      <c r="L895" s="14"/>
    </row>
    <row r="896" spans="1:12" x14ac:dyDescent="0.3">
      <c r="A896" s="12"/>
      <c r="B896" s="12"/>
      <c r="C896" s="12"/>
      <c r="D896" s="12"/>
      <c r="E896" s="12"/>
      <c r="F896" s="12"/>
      <c r="G896" s="12"/>
      <c r="H896" s="12"/>
      <c r="I896" s="12"/>
      <c r="J896" s="12"/>
      <c r="K896" s="12"/>
      <c r="L896" s="14"/>
    </row>
    <row r="897" spans="1:12" x14ac:dyDescent="0.3">
      <c r="A897" s="12"/>
      <c r="B897" s="12"/>
      <c r="C897" s="12"/>
      <c r="D897" s="12"/>
      <c r="E897" s="12"/>
      <c r="F897" s="12"/>
      <c r="G897" s="12"/>
      <c r="H897" s="12"/>
      <c r="I897" s="12"/>
      <c r="J897" s="12"/>
      <c r="K897" s="12"/>
      <c r="L897" s="14"/>
    </row>
    <row r="898" spans="1:12" x14ac:dyDescent="0.3">
      <c r="A898" s="12"/>
      <c r="B898" s="12"/>
      <c r="C898" s="12"/>
      <c r="D898" s="12"/>
      <c r="E898" s="12"/>
      <c r="F898" s="12"/>
      <c r="G898" s="12"/>
      <c r="H898" s="12"/>
      <c r="I898" s="12"/>
      <c r="J898" s="12"/>
      <c r="K898" s="12"/>
      <c r="L898" s="14"/>
    </row>
    <row r="899" spans="1:12" x14ac:dyDescent="0.3">
      <c r="A899" s="12"/>
      <c r="B899" s="12"/>
      <c r="C899" s="12"/>
      <c r="D899" s="12"/>
      <c r="E899" s="12"/>
      <c r="F899" s="12"/>
      <c r="G899" s="12"/>
      <c r="H899" s="12"/>
      <c r="I899" s="12"/>
      <c r="J899" s="12"/>
      <c r="K899" s="12"/>
      <c r="L899" s="14"/>
    </row>
    <row r="900" spans="1:12" x14ac:dyDescent="0.3">
      <c r="A900" s="12"/>
      <c r="B900" s="12"/>
      <c r="C900" s="12"/>
      <c r="D900" s="12"/>
      <c r="E900" s="12"/>
      <c r="F900" s="12"/>
      <c r="G900" s="12"/>
      <c r="H900" s="12"/>
      <c r="I900" s="12"/>
      <c r="J900" s="12"/>
      <c r="K900" s="12"/>
      <c r="L900" s="14"/>
    </row>
    <row r="901" spans="1:12" x14ac:dyDescent="0.3">
      <c r="A901" s="12"/>
      <c r="B901" s="12"/>
      <c r="C901" s="12"/>
      <c r="D901" s="12"/>
      <c r="E901" s="12"/>
      <c r="F901" s="12"/>
      <c r="G901" s="12"/>
      <c r="H901" s="12"/>
      <c r="I901" s="12"/>
      <c r="J901" s="12"/>
      <c r="K901" s="12"/>
      <c r="L901" s="14"/>
    </row>
    <row r="902" spans="1:12" x14ac:dyDescent="0.3">
      <c r="A902" s="12"/>
      <c r="B902" s="12"/>
      <c r="C902" s="12"/>
      <c r="D902" s="12"/>
      <c r="E902" s="12"/>
      <c r="F902" s="12"/>
      <c r="G902" s="12"/>
      <c r="H902" s="12"/>
      <c r="I902" s="12"/>
      <c r="J902" s="12"/>
      <c r="K902" s="12"/>
      <c r="L902" s="14"/>
    </row>
    <row r="903" spans="1:12" x14ac:dyDescent="0.3">
      <c r="A903" s="12"/>
      <c r="B903" s="12"/>
      <c r="C903" s="12"/>
      <c r="D903" s="12"/>
      <c r="E903" s="12"/>
      <c r="F903" s="12"/>
      <c r="G903" s="12"/>
      <c r="H903" s="12"/>
      <c r="I903" s="12"/>
      <c r="J903" s="12"/>
      <c r="K903" s="12"/>
      <c r="L903" s="14"/>
    </row>
    <row r="904" spans="1:12" x14ac:dyDescent="0.3">
      <c r="A904" s="12"/>
      <c r="B904" s="12"/>
      <c r="C904" s="12"/>
      <c r="D904" s="12"/>
      <c r="E904" s="12"/>
      <c r="F904" s="12"/>
      <c r="G904" s="12"/>
      <c r="H904" s="12"/>
      <c r="I904" s="12"/>
      <c r="J904" s="12"/>
      <c r="K904" s="12"/>
      <c r="L904" s="14"/>
    </row>
    <row r="905" spans="1:12" x14ac:dyDescent="0.3">
      <c r="A905" s="12"/>
      <c r="B905" s="12"/>
      <c r="C905" s="12"/>
      <c r="D905" s="12"/>
      <c r="E905" s="12"/>
      <c r="F905" s="12"/>
      <c r="G905" s="12"/>
      <c r="H905" s="12"/>
      <c r="I905" s="12"/>
      <c r="J905" s="12"/>
      <c r="K905" s="12"/>
      <c r="L905" s="14"/>
    </row>
    <row r="906" spans="1:12" x14ac:dyDescent="0.3">
      <c r="A906" s="12"/>
      <c r="B906" s="12"/>
      <c r="C906" s="12"/>
      <c r="D906" s="12"/>
      <c r="E906" s="12"/>
      <c r="F906" s="12"/>
      <c r="G906" s="12"/>
      <c r="H906" s="12"/>
      <c r="I906" s="12"/>
      <c r="J906" s="12"/>
      <c r="K906" s="12"/>
      <c r="L906" s="14"/>
    </row>
    <row r="907" spans="1:12" x14ac:dyDescent="0.3">
      <c r="A907" s="12"/>
      <c r="B907" s="12"/>
      <c r="C907" s="12"/>
      <c r="D907" s="12"/>
      <c r="E907" s="12"/>
      <c r="F907" s="12"/>
      <c r="G907" s="12"/>
      <c r="H907" s="12"/>
      <c r="I907" s="12"/>
      <c r="J907" s="12"/>
      <c r="K907" s="12"/>
      <c r="L907" s="14"/>
    </row>
    <row r="908" spans="1:12" x14ac:dyDescent="0.3">
      <c r="A908" s="12"/>
      <c r="B908" s="12"/>
      <c r="C908" s="12"/>
      <c r="D908" s="12"/>
      <c r="E908" s="12"/>
      <c r="F908" s="12"/>
      <c r="G908" s="12"/>
      <c r="H908" s="12"/>
      <c r="I908" s="12"/>
      <c r="J908" s="12"/>
      <c r="K908" s="12"/>
      <c r="L908" s="14"/>
    </row>
    <row r="909" spans="1:12" x14ac:dyDescent="0.3">
      <c r="A909" s="12"/>
      <c r="B909" s="12"/>
      <c r="C909" s="12"/>
      <c r="D909" s="12"/>
      <c r="E909" s="12"/>
      <c r="F909" s="12"/>
      <c r="G909" s="12"/>
      <c r="H909" s="12"/>
      <c r="I909" s="12"/>
      <c r="J909" s="12"/>
      <c r="K909" s="12"/>
      <c r="L909" s="14"/>
    </row>
    <row r="910" spans="1:12" x14ac:dyDescent="0.3">
      <c r="A910" s="12"/>
      <c r="B910" s="12"/>
      <c r="C910" s="12"/>
      <c r="D910" s="12"/>
      <c r="E910" s="12"/>
      <c r="F910" s="12"/>
      <c r="G910" s="12"/>
      <c r="H910" s="12"/>
      <c r="I910" s="12"/>
      <c r="J910" s="12"/>
      <c r="K910" s="12"/>
      <c r="L910" s="14"/>
    </row>
    <row r="911" spans="1:12" x14ac:dyDescent="0.3">
      <c r="A911" s="12"/>
      <c r="B911" s="12"/>
      <c r="C911" s="12"/>
      <c r="D911" s="12"/>
      <c r="E911" s="12"/>
      <c r="F911" s="12"/>
      <c r="G911" s="12"/>
      <c r="H911" s="12"/>
      <c r="I911" s="12"/>
      <c r="J911" s="12"/>
      <c r="K911" s="12"/>
      <c r="L911" s="14"/>
    </row>
    <row r="912" spans="1:12" x14ac:dyDescent="0.3">
      <c r="A912" s="12"/>
      <c r="B912" s="12"/>
      <c r="C912" s="12"/>
      <c r="D912" s="12"/>
      <c r="E912" s="12"/>
      <c r="F912" s="12"/>
      <c r="G912" s="12"/>
      <c r="H912" s="12"/>
      <c r="I912" s="12"/>
      <c r="J912" s="12"/>
      <c r="K912" s="12"/>
      <c r="L912" s="14"/>
    </row>
    <row r="913" spans="1:12" x14ac:dyDescent="0.3">
      <c r="A913" s="12"/>
      <c r="B913" s="12"/>
      <c r="C913" s="12"/>
      <c r="D913" s="12"/>
      <c r="E913" s="12"/>
      <c r="F913" s="12"/>
      <c r="G913" s="12"/>
      <c r="H913" s="12"/>
      <c r="I913" s="12"/>
      <c r="J913" s="12"/>
      <c r="K913" s="12"/>
      <c r="L913" s="14"/>
    </row>
    <row r="914" spans="1:12" x14ac:dyDescent="0.3">
      <c r="A914" s="12"/>
      <c r="B914" s="12"/>
      <c r="C914" s="12"/>
      <c r="D914" s="12"/>
      <c r="E914" s="12"/>
      <c r="F914" s="12"/>
      <c r="G914" s="12"/>
      <c r="H914" s="12"/>
      <c r="I914" s="12"/>
      <c r="J914" s="12"/>
      <c r="K914" s="12"/>
      <c r="L914" s="14"/>
    </row>
    <row r="915" spans="1:12" x14ac:dyDescent="0.3">
      <c r="A915" s="12"/>
      <c r="B915" s="12"/>
      <c r="C915" s="12"/>
      <c r="D915" s="12"/>
      <c r="E915" s="12"/>
      <c r="F915" s="12"/>
      <c r="G915" s="12"/>
      <c r="H915" s="12"/>
      <c r="I915" s="12"/>
      <c r="J915" s="12"/>
      <c r="K915" s="12"/>
      <c r="L915" s="14"/>
    </row>
    <row r="916" spans="1:12" x14ac:dyDescent="0.3">
      <c r="A916" s="12"/>
      <c r="B916" s="12"/>
      <c r="C916" s="12"/>
      <c r="D916" s="12"/>
      <c r="E916" s="12"/>
      <c r="F916" s="12"/>
      <c r="G916" s="12"/>
      <c r="H916" s="12"/>
      <c r="I916" s="12"/>
      <c r="J916" s="12"/>
      <c r="K916" s="12"/>
      <c r="L916" s="14"/>
    </row>
    <row r="917" spans="1:12" x14ac:dyDescent="0.3">
      <c r="A917" s="12"/>
      <c r="B917" s="12"/>
      <c r="C917" s="12"/>
      <c r="D917" s="12"/>
      <c r="E917" s="12"/>
      <c r="F917" s="12"/>
      <c r="G917" s="12"/>
      <c r="H917" s="12"/>
      <c r="I917" s="12"/>
      <c r="J917" s="12"/>
      <c r="K917" s="12"/>
      <c r="L917" s="14"/>
    </row>
    <row r="918" spans="1:12" x14ac:dyDescent="0.3">
      <c r="A918" s="12"/>
      <c r="B918" s="12"/>
      <c r="C918" s="12"/>
      <c r="D918" s="12"/>
      <c r="E918" s="12"/>
      <c r="F918" s="12"/>
      <c r="G918" s="12"/>
      <c r="H918" s="12"/>
      <c r="I918" s="12"/>
      <c r="J918" s="12"/>
      <c r="K918" s="12"/>
      <c r="L918" s="14"/>
    </row>
    <row r="919" spans="1:12" x14ac:dyDescent="0.3">
      <c r="A919" s="12"/>
      <c r="B919" s="12"/>
      <c r="C919" s="12"/>
      <c r="D919" s="12"/>
      <c r="E919" s="12"/>
      <c r="F919" s="12"/>
      <c r="G919" s="12"/>
      <c r="H919" s="12"/>
      <c r="I919" s="12"/>
      <c r="J919" s="12"/>
      <c r="K919" s="12"/>
      <c r="L919" s="14"/>
    </row>
    <row r="920" spans="1:12" x14ac:dyDescent="0.3">
      <c r="A920" s="12"/>
      <c r="B920" s="12"/>
      <c r="C920" s="12"/>
      <c r="D920" s="12"/>
      <c r="E920" s="12"/>
      <c r="F920" s="12"/>
      <c r="G920" s="12"/>
      <c r="H920" s="12"/>
      <c r="I920" s="12"/>
      <c r="J920" s="12"/>
      <c r="K920" s="12"/>
      <c r="L920" s="14"/>
    </row>
    <row r="921" spans="1:12" x14ac:dyDescent="0.3">
      <c r="A921" s="12"/>
      <c r="B921" s="12"/>
      <c r="C921" s="12"/>
      <c r="D921" s="12"/>
      <c r="E921" s="12"/>
      <c r="F921" s="12"/>
      <c r="G921" s="12"/>
      <c r="H921" s="12"/>
      <c r="I921" s="12"/>
      <c r="J921" s="12"/>
      <c r="K921" s="12"/>
      <c r="L921" s="14"/>
    </row>
    <row r="922" spans="1:12" x14ac:dyDescent="0.3">
      <c r="A922" s="12"/>
      <c r="B922" s="12"/>
      <c r="C922" s="12"/>
      <c r="D922" s="12"/>
      <c r="E922" s="12"/>
      <c r="F922" s="12"/>
      <c r="G922" s="12"/>
      <c r="H922" s="12"/>
      <c r="I922" s="12"/>
      <c r="J922" s="12"/>
      <c r="K922" s="12"/>
      <c r="L922" s="14"/>
    </row>
    <row r="923" spans="1:12" x14ac:dyDescent="0.3">
      <c r="A923" s="12"/>
      <c r="B923" s="12"/>
      <c r="C923" s="12"/>
      <c r="D923" s="12"/>
      <c r="E923" s="12"/>
      <c r="F923" s="12"/>
      <c r="G923" s="12"/>
      <c r="H923" s="12"/>
      <c r="I923" s="12"/>
      <c r="J923" s="12"/>
      <c r="K923" s="12"/>
      <c r="L923" s="14"/>
    </row>
    <row r="924" spans="1:12" x14ac:dyDescent="0.3">
      <c r="A924" s="12"/>
      <c r="B924" s="12"/>
      <c r="C924" s="12"/>
      <c r="D924" s="12"/>
      <c r="E924" s="12"/>
      <c r="F924" s="12"/>
      <c r="G924" s="12"/>
      <c r="H924" s="12"/>
      <c r="I924" s="12"/>
      <c r="J924" s="12"/>
      <c r="K924" s="12"/>
      <c r="L924" s="14"/>
    </row>
    <row r="925" spans="1:12" x14ac:dyDescent="0.3">
      <c r="A925" s="12"/>
      <c r="B925" s="12"/>
      <c r="C925" s="12"/>
      <c r="D925" s="12"/>
      <c r="E925" s="12"/>
      <c r="F925" s="12"/>
      <c r="G925" s="12"/>
      <c r="H925" s="12"/>
      <c r="I925" s="12"/>
      <c r="J925" s="12"/>
      <c r="K925" s="12"/>
      <c r="L925" s="14"/>
    </row>
    <row r="926" spans="1:12" x14ac:dyDescent="0.3">
      <c r="A926" s="12"/>
      <c r="B926" s="12"/>
      <c r="C926" s="12"/>
      <c r="D926" s="12"/>
      <c r="E926" s="12"/>
      <c r="F926" s="12"/>
      <c r="G926" s="12"/>
      <c r="H926" s="12"/>
      <c r="I926" s="12"/>
      <c r="J926" s="12"/>
      <c r="K926" s="12"/>
      <c r="L926" s="14"/>
    </row>
    <row r="927" spans="1:12" x14ac:dyDescent="0.3">
      <c r="A927" s="12"/>
      <c r="B927" s="12"/>
      <c r="C927" s="12"/>
      <c r="D927" s="12"/>
      <c r="E927" s="12"/>
      <c r="F927" s="12"/>
      <c r="G927" s="12"/>
      <c r="H927" s="12"/>
      <c r="I927" s="12"/>
      <c r="J927" s="12"/>
      <c r="K927" s="12"/>
      <c r="L927" s="14"/>
    </row>
    <row r="928" spans="1:12" x14ac:dyDescent="0.3">
      <c r="A928" s="12"/>
      <c r="B928" s="12"/>
      <c r="C928" s="12"/>
      <c r="D928" s="12"/>
      <c r="E928" s="12"/>
      <c r="F928" s="12"/>
      <c r="G928" s="12"/>
      <c r="H928" s="12"/>
      <c r="I928" s="12"/>
      <c r="J928" s="12"/>
      <c r="K928" s="12"/>
      <c r="L928" s="14"/>
    </row>
    <row r="929" spans="1:12" x14ac:dyDescent="0.3">
      <c r="A929" s="12"/>
      <c r="B929" s="12"/>
      <c r="C929" s="12"/>
      <c r="D929" s="12"/>
      <c r="E929" s="12"/>
      <c r="F929" s="12"/>
      <c r="G929" s="12"/>
      <c r="H929" s="12"/>
      <c r="I929" s="12"/>
      <c r="J929" s="12"/>
      <c r="K929" s="12"/>
      <c r="L929" s="14"/>
    </row>
    <row r="930" spans="1:12" x14ac:dyDescent="0.3">
      <c r="A930" s="12"/>
      <c r="B930" s="12"/>
      <c r="C930" s="12"/>
      <c r="D930" s="12"/>
      <c r="E930" s="12"/>
      <c r="F930" s="12"/>
      <c r="G930" s="12"/>
      <c r="H930" s="12"/>
      <c r="I930" s="12"/>
      <c r="J930" s="12"/>
      <c r="K930" s="12"/>
      <c r="L930" s="14"/>
    </row>
    <row r="931" spans="1:12" x14ac:dyDescent="0.3">
      <c r="A931" s="12"/>
      <c r="B931" s="12"/>
      <c r="C931" s="12"/>
      <c r="D931" s="12"/>
      <c r="E931" s="12"/>
      <c r="F931" s="12"/>
      <c r="G931" s="12"/>
      <c r="H931" s="12"/>
      <c r="I931" s="12"/>
      <c r="J931" s="12"/>
      <c r="K931" s="12"/>
      <c r="L931" s="14"/>
    </row>
    <row r="932" spans="1:12" x14ac:dyDescent="0.3">
      <c r="A932" s="12"/>
      <c r="B932" s="12"/>
      <c r="C932" s="12"/>
      <c r="D932" s="12"/>
      <c r="E932" s="12"/>
      <c r="F932" s="12"/>
      <c r="G932" s="12"/>
      <c r="H932" s="12"/>
      <c r="I932" s="12"/>
      <c r="J932" s="12"/>
      <c r="K932" s="12"/>
      <c r="L932" s="14"/>
    </row>
    <row r="933" spans="1:12" x14ac:dyDescent="0.3">
      <c r="A933" s="12"/>
      <c r="B933" s="12"/>
      <c r="C933" s="12"/>
      <c r="D933" s="12"/>
      <c r="E933" s="12"/>
      <c r="F933" s="12"/>
      <c r="G933" s="12"/>
      <c r="H933" s="12"/>
      <c r="I933" s="12"/>
      <c r="J933" s="12"/>
      <c r="K933" s="12"/>
      <c r="L933" s="14"/>
    </row>
    <row r="934" spans="1:12" x14ac:dyDescent="0.3">
      <c r="A934" s="12"/>
      <c r="B934" s="12"/>
      <c r="C934" s="12"/>
      <c r="D934" s="12"/>
      <c r="E934" s="12"/>
      <c r="F934" s="12"/>
      <c r="G934" s="12"/>
      <c r="H934" s="12"/>
      <c r="I934" s="12"/>
      <c r="J934" s="12"/>
      <c r="K934" s="12"/>
      <c r="L934" s="14"/>
    </row>
    <row r="935" spans="1:12" x14ac:dyDescent="0.3">
      <c r="A935" s="12"/>
      <c r="B935" s="12"/>
      <c r="C935" s="12"/>
      <c r="D935" s="12"/>
      <c r="E935" s="12"/>
      <c r="F935" s="12"/>
      <c r="G935" s="12"/>
      <c r="H935" s="12"/>
      <c r="I935" s="12"/>
      <c r="J935" s="12"/>
      <c r="K935" s="12"/>
      <c r="L935" s="14"/>
    </row>
    <row r="936" spans="1:12" x14ac:dyDescent="0.3">
      <c r="A936" s="12"/>
      <c r="B936" s="12"/>
      <c r="C936" s="12"/>
      <c r="D936" s="12"/>
      <c r="E936" s="12"/>
      <c r="F936" s="12"/>
      <c r="G936" s="12"/>
      <c r="H936" s="12"/>
      <c r="I936" s="12"/>
      <c r="J936" s="12"/>
      <c r="K936" s="12"/>
      <c r="L936" s="14"/>
    </row>
    <row r="937" spans="1:12" x14ac:dyDescent="0.3">
      <c r="A937" s="12"/>
      <c r="B937" s="12"/>
      <c r="C937" s="12"/>
      <c r="D937" s="12"/>
      <c r="E937" s="12"/>
      <c r="F937" s="12"/>
      <c r="G937" s="12"/>
      <c r="H937" s="12"/>
      <c r="I937" s="12"/>
      <c r="J937" s="12"/>
      <c r="K937" s="12"/>
      <c r="L937" s="14"/>
    </row>
    <row r="938" spans="1:12" x14ac:dyDescent="0.3">
      <c r="A938" s="12"/>
      <c r="B938" s="12"/>
      <c r="C938" s="12"/>
      <c r="D938" s="12"/>
      <c r="E938" s="12"/>
      <c r="F938" s="12"/>
      <c r="G938" s="12"/>
      <c r="H938" s="12"/>
      <c r="I938" s="12"/>
      <c r="J938" s="12"/>
      <c r="K938" s="12"/>
      <c r="L938" s="14"/>
    </row>
    <row r="939" spans="1:12" x14ac:dyDescent="0.3">
      <c r="A939" s="12"/>
      <c r="B939" s="12"/>
      <c r="C939" s="12"/>
      <c r="D939" s="12"/>
      <c r="E939" s="12"/>
      <c r="F939" s="12"/>
      <c r="G939" s="12"/>
      <c r="H939" s="12"/>
      <c r="I939" s="12"/>
      <c r="J939" s="12"/>
      <c r="K939" s="12"/>
      <c r="L939" s="14"/>
    </row>
    <row r="940" spans="1:12" x14ac:dyDescent="0.3">
      <c r="A940" s="12"/>
      <c r="B940" s="12"/>
      <c r="C940" s="12"/>
      <c r="D940" s="12"/>
      <c r="E940" s="12"/>
      <c r="F940" s="12"/>
      <c r="G940" s="12"/>
      <c r="H940" s="12"/>
      <c r="I940" s="12"/>
      <c r="J940" s="12"/>
      <c r="K940" s="12"/>
      <c r="L940" s="14"/>
    </row>
    <row r="941" spans="1:12" x14ac:dyDescent="0.3">
      <c r="A941" s="12"/>
      <c r="B941" s="12"/>
      <c r="C941" s="12"/>
      <c r="D941" s="12"/>
      <c r="E941" s="12"/>
      <c r="F941" s="12"/>
      <c r="G941" s="12"/>
      <c r="H941" s="12"/>
      <c r="I941" s="12"/>
      <c r="J941" s="12"/>
      <c r="K941" s="12"/>
      <c r="L941" s="14"/>
    </row>
    <row r="942" spans="1:12" x14ac:dyDescent="0.3">
      <c r="A942" s="12"/>
      <c r="B942" s="12"/>
      <c r="C942" s="12"/>
      <c r="D942" s="12"/>
      <c r="E942" s="12"/>
      <c r="F942" s="12"/>
      <c r="G942" s="12"/>
      <c r="H942" s="12"/>
      <c r="I942" s="12"/>
      <c r="J942" s="12"/>
      <c r="K942" s="12"/>
      <c r="L942" s="14"/>
    </row>
    <row r="943" spans="1:12" x14ac:dyDescent="0.3">
      <c r="A943" s="12"/>
      <c r="B943" s="12"/>
      <c r="C943" s="12"/>
      <c r="D943" s="12"/>
      <c r="E943" s="12"/>
      <c r="F943" s="12"/>
      <c r="G943" s="12"/>
      <c r="H943" s="12"/>
      <c r="I943" s="12"/>
      <c r="J943" s="12"/>
      <c r="K943" s="12"/>
      <c r="L943" s="14"/>
    </row>
    <row r="944" spans="1:12" x14ac:dyDescent="0.3">
      <c r="A944" s="12"/>
      <c r="B944" s="12"/>
      <c r="C944" s="12"/>
      <c r="D944" s="12"/>
      <c r="E944" s="12"/>
      <c r="F944" s="12"/>
      <c r="G944" s="12"/>
      <c r="H944" s="12"/>
      <c r="I944" s="12"/>
      <c r="J944" s="12"/>
      <c r="K944" s="12"/>
      <c r="L944" s="14"/>
    </row>
    <row r="945" spans="1:12" x14ac:dyDescent="0.3">
      <c r="A945" s="12"/>
      <c r="B945" s="12"/>
      <c r="C945" s="12"/>
      <c r="D945" s="12"/>
      <c r="E945" s="12"/>
      <c r="F945" s="12"/>
      <c r="G945" s="12"/>
      <c r="H945" s="12"/>
      <c r="I945" s="12"/>
      <c r="J945" s="12"/>
      <c r="K945" s="12"/>
      <c r="L945" s="14"/>
    </row>
    <row r="946" spans="1:12" x14ac:dyDescent="0.3">
      <c r="A946" s="12"/>
      <c r="B946" s="12"/>
      <c r="C946" s="12"/>
      <c r="D946" s="12"/>
      <c r="E946" s="12"/>
      <c r="F946" s="12"/>
      <c r="G946" s="12"/>
      <c r="H946" s="12"/>
      <c r="I946" s="12"/>
      <c r="J946" s="12"/>
      <c r="K946" s="12"/>
      <c r="L946" s="14"/>
    </row>
    <row r="947" spans="1:12" x14ac:dyDescent="0.3">
      <c r="A947" s="12"/>
      <c r="B947" s="12"/>
      <c r="C947" s="12"/>
      <c r="D947" s="12"/>
      <c r="E947" s="12"/>
      <c r="F947" s="12"/>
      <c r="G947" s="12"/>
      <c r="H947" s="12"/>
      <c r="I947" s="12"/>
      <c r="J947" s="12"/>
      <c r="K947" s="12"/>
      <c r="L947" s="14"/>
    </row>
    <row r="948" spans="1:12" x14ac:dyDescent="0.3">
      <c r="A948" s="12"/>
      <c r="B948" s="12"/>
      <c r="C948" s="12"/>
      <c r="D948" s="12"/>
      <c r="E948" s="12"/>
      <c r="F948" s="12"/>
      <c r="G948" s="12"/>
      <c r="H948" s="12"/>
      <c r="I948" s="12"/>
      <c r="J948" s="12"/>
      <c r="K948" s="12"/>
      <c r="L948" s="14"/>
    </row>
    <row r="949" spans="1:12" x14ac:dyDescent="0.3">
      <c r="A949" s="12"/>
      <c r="B949" s="12"/>
      <c r="C949" s="12"/>
      <c r="D949" s="12"/>
      <c r="E949" s="12"/>
      <c r="F949" s="12"/>
      <c r="G949" s="12"/>
      <c r="H949" s="12"/>
      <c r="I949" s="12"/>
      <c r="J949" s="12"/>
      <c r="K949" s="12"/>
      <c r="L949" s="14"/>
    </row>
    <row r="950" spans="1:12" x14ac:dyDescent="0.3">
      <c r="A950" s="12"/>
      <c r="B950" s="12"/>
      <c r="C950" s="12"/>
      <c r="D950" s="12"/>
      <c r="E950" s="12"/>
      <c r="F950" s="12"/>
      <c r="G950" s="12"/>
      <c r="H950" s="12"/>
      <c r="I950" s="12"/>
      <c r="J950" s="12"/>
      <c r="K950" s="12"/>
      <c r="L950" s="14"/>
    </row>
    <row r="951" spans="1:12" x14ac:dyDescent="0.3">
      <c r="A951" s="12"/>
      <c r="B951" s="12"/>
      <c r="C951" s="12"/>
      <c r="D951" s="12"/>
      <c r="E951" s="12"/>
      <c r="F951" s="12"/>
      <c r="G951" s="12"/>
      <c r="H951" s="12"/>
      <c r="I951" s="12"/>
      <c r="J951" s="12"/>
      <c r="K951" s="12"/>
      <c r="L951" s="14"/>
    </row>
    <row r="952" spans="1:12" x14ac:dyDescent="0.3">
      <c r="A952" s="12"/>
      <c r="B952" s="12"/>
      <c r="C952" s="12"/>
      <c r="D952" s="12"/>
      <c r="E952" s="12"/>
      <c r="F952" s="12"/>
      <c r="G952" s="12"/>
      <c r="H952" s="12"/>
      <c r="I952" s="12"/>
      <c r="J952" s="12"/>
      <c r="K952" s="12"/>
      <c r="L952" s="14"/>
    </row>
    <row r="953" spans="1:12" x14ac:dyDescent="0.3">
      <c r="A953" s="12"/>
      <c r="B953" s="12"/>
      <c r="C953" s="12"/>
      <c r="D953" s="12"/>
      <c r="E953" s="12"/>
      <c r="F953" s="12"/>
      <c r="G953" s="12"/>
      <c r="H953" s="12"/>
      <c r="I953" s="12"/>
      <c r="J953" s="12"/>
      <c r="K953" s="12"/>
      <c r="L953" s="14"/>
    </row>
    <row r="954" spans="1:12" x14ac:dyDescent="0.3">
      <c r="A954" s="12"/>
      <c r="B954" s="12"/>
      <c r="C954" s="12"/>
      <c r="D954" s="12"/>
      <c r="E954" s="12"/>
      <c r="F954" s="12"/>
      <c r="G954" s="12"/>
      <c r="H954" s="12"/>
      <c r="I954" s="12"/>
      <c r="J954" s="12"/>
      <c r="K954" s="12"/>
      <c r="L954" s="14"/>
    </row>
    <row r="955" spans="1:12" x14ac:dyDescent="0.3">
      <c r="A955" s="12"/>
      <c r="B955" s="12"/>
      <c r="C955" s="12"/>
      <c r="D955" s="12"/>
      <c r="E955" s="12"/>
      <c r="F955" s="12"/>
      <c r="G955" s="12"/>
      <c r="H955" s="12"/>
      <c r="I955" s="12"/>
      <c r="J955" s="12"/>
      <c r="K955" s="12"/>
      <c r="L955" s="14"/>
    </row>
    <row r="956" spans="1:12" x14ac:dyDescent="0.3">
      <c r="A956" s="12"/>
      <c r="B956" s="12"/>
      <c r="C956" s="12"/>
      <c r="D956" s="12"/>
      <c r="E956" s="12"/>
      <c r="F956" s="12"/>
      <c r="G956" s="12"/>
      <c r="H956" s="12"/>
      <c r="I956" s="12"/>
      <c r="J956" s="12"/>
      <c r="K956" s="12"/>
      <c r="L956" s="14"/>
    </row>
    <row r="957" spans="1:12" x14ac:dyDescent="0.3">
      <c r="A957" s="12"/>
      <c r="B957" s="12"/>
      <c r="C957" s="12"/>
      <c r="D957" s="12"/>
      <c r="E957" s="12"/>
      <c r="F957" s="12"/>
      <c r="G957" s="12"/>
      <c r="H957" s="12"/>
      <c r="I957" s="12"/>
      <c r="J957" s="12"/>
      <c r="K957" s="12"/>
      <c r="L957" s="14"/>
    </row>
    <row r="958" spans="1:12" x14ac:dyDescent="0.3">
      <c r="A958" s="12"/>
      <c r="B958" s="12"/>
      <c r="C958" s="12"/>
      <c r="D958" s="12"/>
      <c r="E958" s="12"/>
      <c r="F958" s="12"/>
      <c r="G958" s="12"/>
      <c r="H958" s="12"/>
      <c r="I958" s="12"/>
      <c r="J958" s="12"/>
      <c r="K958" s="12"/>
      <c r="L958" s="14"/>
    </row>
    <row r="959" spans="1:12" x14ac:dyDescent="0.3">
      <c r="A959" s="12"/>
      <c r="B959" s="12"/>
      <c r="C959" s="12"/>
      <c r="D959" s="12"/>
      <c r="E959" s="12"/>
      <c r="F959" s="12"/>
      <c r="G959" s="12"/>
      <c r="H959" s="12"/>
      <c r="I959" s="12"/>
      <c r="J959" s="12"/>
      <c r="K959" s="12"/>
      <c r="L959" s="14"/>
    </row>
    <row r="960" spans="1:12" x14ac:dyDescent="0.3">
      <c r="A960" s="12"/>
      <c r="B960" s="12"/>
      <c r="C960" s="12"/>
      <c r="D960" s="12"/>
      <c r="E960" s="12"/>
      <c r="F960" s="12"/>
      <c r="G960" s="12"/>
      <c r="H960" s="12"/>
      <c r="I960" s="12"/>
      <c r="J960" s="12"/>
      <c r="K960" s="12"/>
      <c r="L960" s="14"/>
    </row>
    <row r="961" spans="1:12" x14ac:dyDescent="0.3">
      <c r="A961" s="12"/>
      <c r="B961" s="12"/>
      <c r="C961" s="12"/>
      <c r="D961" s="12"/>
      <c r="E961" s="12"/>
      <c r="F961" s="12"/>
      <c r="G961" s="12"/>
      <c r="H961" s="12"/>
      <c r="I961" s="12"/>
      <c r="J961" s="12"/>
      <c r="K961" s="12"/>
      <c r="L961" s="14"/>
    </row>
    <row r="962" spans="1:12" x14ac:dyDescent="0.3">
      <c r="A962" s="12"/>
      <c r="B962" s="12"/>
      <c r="C962" s="12"/>
      <c r="D962" s="12"/>
      <c r="E962" s="12"/>
      <c r="F962" s="12"/>
      <c r="G962" s="12"/>
      <c r="H962" s="12"/>
      <c r="I962" s="12"/>
      <c r="J962" s="12"/>
      <c r="K962" s="12"/>
      <c r="L962" s="14"/>
    </row>
    <row r="963" spans="1:12" x14ac:dyDescent="0.3">
      <c r="A963" s="12"/>
      <c r="B963" s="12"/>
      <c r="C963" s="12"/>
      <c r="D963" s="12"/>
      <c r="E963" s="12"/>
      <c r="F963" s="12"/>
      <c r="G963" s="12"/>
      <c r="H963" s="12"/>
      <c r="I963" s="12"/>
      <c r="J963" s="12"/>
      <c r="K963" s="12"/>
      <c r="L963" s="14"/>
    </row>
    <row r="964" spans="1:12" x14ac:dyDescent="0.3">
      <c r="A964" s="12"/>
      <c r="B964" s="12"/>
      <c r="C964" s="12"/>
      <c r="D964" s="12"/>
      <c r="E964" s="12"/>
      <c r="F964" s="12"/>
      <c r="G964" s="12"/>
      <c r="H964" s="12"/>
      <c r="I964" s="12"/>
      <c r="J964" s="12"/>
      <c r="K964" s="12"/>
      <c r="L964" s="14"/>
    </row>
    <row r="965" spans="1:12" x14ac:dyDescent="0.3">
      <c r="A965" s="12"/>
      <c r="B965" s="12"/>
      <c r="C965" s="12"/>
      <c r="D965" s="12"/>
      <c r="E965" s="12"/>
      <c r="F965" s="12"/>
      <c r="G965" s="12"/>
      <c r="H965" s="12"/>
      <c r="I965" s="12"/>
      <c r="J965" s="12"/>
      <c r="K965" s="12"/>
      <c r="L965" s="14"/>
    </row>
    <row r="966" spans="1:12" x14ac:dyDescent="0.3">
      <c r="A966" s="12"/>
      <c r="B966" s="12"/>
      <c r="C966" s="12"/>
      <c r="D966" s="12"/>
      <c r="E966" s="12"/>
      <c r="F966" s="12"/>
      <c r="G966" s="12"/>
      <c r="H966" s="12"/>
      <c r="I966" s="12"/>
      <c r="J966" s="12"/>
      <c r="K966" s="12"/>
      <c r="L966" s="14"/>
    </row>
    <row r="967" spans="1:12" x14ac:dyDescent="0.3">
      <c r="A967" s="12"/>
      <c r="B967" s="12"/>
      <c r="C967" s="12"/>
      <c r="D967" s="12"/>
      <c r="E967" s="12"/>
      <c r="F967" s="12"/>
      <c r="G967" s="12"/>
      <c r="H967" s="12"/>
      <c r="I967" s="12"/>
      <c r="J967" s="12"/>
      <c r="K967" s="12"/>
      <c r="L967" s="14"/>
    </row>
    <row r="968" spans="1:12" x14ac:dyDescent="0.3">
      <c r="A968" s="12"/>
      <c r="B968" s="12"/>
      <c r="C968" s="12"/>
      <c r="D968" s="12"/>
      <c r="E968" s="12"/>
      <c r="F968" s="12"/>
      <c r="G968" s="12"/>
      <c r="H968" s="12"/>
      <c r="I968" s="12"/>
      <c r="J968" s="12"/>
      <c r="K968" s="12"/>
      <c r="L968" s="14"/>
    </row>
    <row r="969" spans="1:12" x14ac:dyDescent="0.3">
      <c r="A969" s="12"/>
      <c r="B969" s="12"/>
      <c r="C969" s="12"/>
      <c r="D969" s="12"/>
      <c r="E969" s="12"/>
      <c r="F969" s="12"/>
      <c r="G969" s="12"/>
      <c r="H969" s="12"/>
      <c r="I969" s="12"/>
      <c r="J969" s="12"/>
      <c r="K969" s="12"/>
      <c r="L969" s="14"/>
    </row>
    <row r="970" spans="1:12" x14ac:dyDescent="0.3">
      <c r="A970" s="12"/>
      <c r="B970" s="12"/>
      <c r="C970" s="12"/>
      <c r="D970" s="12"/>
      <c r="E970" s="12"/>
      <c r="F970" s="12"/>
      <c r="G970" s="12"/>
      <c r="H970" s="12"/>
      <c r="I970" s="12"/>
      <c r="J970" s="12"/>
      <c r="K970" s="12"/>
      <c r="L970" s="14"/>
    </row>
    <row r="971" spans="1:12" x14ac:dyDescent="0.3">
      <c r="A971" s="12"/>
      <c r="B971" s="12"/>
      <c r="C971" s="12"/>
      <c r="D971" s="12"/>
      <c r="E971" s="12"/>
      <c r="F971" s="12"/>
      <c r="G971" s="12"/>
      <c r="H971" s="12"/>
      <c r="I971" s="12"/>
      <c r="J971" s="12"/>
      <c r="K971" s="12"/>
      <c r="L971" s="14"/>
    </row>
    <row r="972" spans="1:12" x14ac:dyDescent="0.3">
      <c r="A972" s="12"/>
      <c r="B972" s="12"/>
      <c r="C972" s="12"/>
      <c r="D972" s="12"/>
      <c r="E972" s="12"/>
      <c r="F972" s="12"/>
      <c r="G972" s="12"/>
      <c r="H972" s="12"/>
      <c r="I972" s="12"/>
      <c r="J972" s="12"/>
      <c r="K972" s="12"/>
      <c r="L972" s="14"/>
    </row>
    <row r="973" spans="1:12" x14ac:dyDescent="0.3">
      <c r="A973" s="12"/>
      <c r="B973" s="12"/>
      <c r="C973" s="12"/>
      <c r="D973" s="12"/>
      <c r="E973" s="12"/>
      <c r="F973" s="12"/>
      <c r="G973" s="12"/>
      <c r="H973" s="12"/>
      <c r="I973" s="12"/>
      <c r="J973" s="12"/>
      <c r="K973" s="12"/>
      <c r="L973" s="14"/>
    </row>
    <row r="974" spans="1:12" x14ac:dyDescent="0.3">
      <c r="A974" s="12"/>
      <c r="B974" s="12"/>
      <c r="C974" s="12"/>
      <c r="D974" s="12"/>
      <c r="E974" s="12"/>
      <c r="F974" s="12"/>
      <c r="G974" s="12"/>
      <c r="H974" s="12"/>
      <c r="I974" s="12"/>
      <c r="J974" s="12"/>
      <c r="K974" s="12"/>
      <c r="L974" s="14"/>
    </row>
    <row r="975" spans="1:12" x14ac:dyDescent="0.3">
      <c r="A975" s="12"/>
      <c r="B975" s="12"/>
      <c r="C975" s="12"/>
      <c r="D975" s="12"/>
      <c r="E975" s="12"/>
      <c r="F975" s="12"/>
      <c r="G975" s="12"/>
      <c r="H975" s="12"/>
      <c r="I975" s="12"/>
      <c r="J975" s="12"/>
      <c r="K975" s="12"/>
      <c r="L975" s="14"/>
    </row>
    <row r="976" spans="1:12" x14ac:dyDescent="0.3">
      <c r="A976" s="12"/>
      <c r="B976" s="12"/>
      <c r="C976" s="12"/>
      <c r="D976" s="12"/>
      <c r="E976" s="12"/>
      <c r="F976" s="12"/>
      <c r="G976" s="12"/>
      <c r="H976" s="12"/>
      <c r="I976" s="12"/>
      <c r="J976" s="12"/>
      <c r="K976" s="12"/>
      <c r="L976" s="14"/>
    </row>
    <row r="977" spans="1:12" x14ac:dyDescent="0.3">
      <c r="A977" s="12"/>
      <c r="B977" s="12"/>
      <c r="C977" s="12"/>
      <c r="D977" s="12"/>
      <c r="E977" s="12"/>
      <c r="F977" s="12"/>
      <c r="G977" s="12"/>
      <c r="H977" s="12"/>
      <c r="I977" s="12"/>
      <c r="J977" s="12"/>
      <c r="K977" s="12"/>
      <c r="L977" s="14"/>
    </row>
    <row r="978" spans="1:12" x14ac:dyDescent="0.3">
      <c r="A978" s="12"/>
      <c r="B978" s="12"/>
      <c r="C978" s="12"/>
      <c r="D978" s="12"/>
      <c r="E978" s="12"/>
      <c r="F978" s="12"/>
      <c r="G978" s="12"/>
      <c r="H978" s="12"/>
      <c r="I978" s="12"/>
      <c r="J978" s="12"/>
      <c r="K978" s="12"/>
      <c r="L978" s="14"/>
    </row>
    <row r="979" spans="1:12" x14ac:dyDescent="0.3">
      <c r="A979" s="12"/>
      <c r="B979" s="12"/>
      <c r="C979" s="12"/>
      <c r="D979" s="12"/>
      <c r="E979" s="12"/>
      <c r="F979" s="12"/>
      <c r="G979" s="12"/>
      <c r="H979" s="12"/>
      <c r="I979" s="12"/>
      <c r="J979" s="12"/>
      <c r="K979" s="12"/>
      <c r="L979" s="14"/>
    </row>
    <row r="980" spans="1:12" x14ac:dyDescent="0.3">
      <c r="A980" s="12"/>
      <c r="B980" s="12"/>
      <c r="C980" s="12"/>
      <c r="D980" s="12"/>
      <c r="E980" s="12"/>
      <c r="F980" s="12"/>
      <c r="G980" s="12"/>
      <c r="H980" s="12"/>
      <c r="I980" s="12"/>
      <c r="J980" s="12"/>
      <c r="K980" s="12"/>
      <c r="L980" s="14"/>
    </row>
    <row r="981" spans="1:12" x14ac:dyDescent="0.3">
      <c r="A981" s="12"/>
      <c r="B981" s="12"/>
      <c r="C981" s="12"/>
      <c r="D981" s="12"/>
      <c r="E981" s="12"/>
      <c r="F981" s="12"/>
      <c r="G981" s="12"/>
      <c r="H981" s="12"/>
      <c r="I981" s="12"/>
      <c r="J981" s="12"/>
      <c r="K981" s="12"/>
      <c r="L981" s="14"/>
    </row>
    <row r="982" spans="1:12" x14ac:dyDescent="0.3">
      <c r="A982" s="12"/>
      <c r="B982" s="12"/>
      <c r="C982" s="12"/>
      <c r="D982" s="12"/>
      <c r="E982" s="12"/>
      <c r="F982" s="12"/>
      <c r="G982" s="12"/>
      <c r="H982" s="12"/>
      <c r="I982" s="12"/>
      <c r="J982" s="12"/>
      <c r="K982" s="12"/>
      <c r="L982" s="14"/>
    </row>
    <row r="983" spans="1:12" x14ac:dyDescent="0.3">
      <c r="A983" s="12"/>
      <c r="B983" s="12"/>
      <c r="C983" s="12"/>
      <c r="D983" s="12"/>
      <c r="E983" s="12"/>
      <c r="F983" s="12"/>
      <c r="G983" s="12"/>
      <c r="H983" s="12"/>
      <c r="I983" s="12"/>
      <c r="J983" s="12"/>
      <c r="K983" s="12"/>
      <c r="L983" s="14"/>
    </row>
    <row r="984" spans="1:12" x14ac:dyDescent="0.3">
      <c r="A984" s="12"/>
      <c r="B984" s="12"/>
      <c r="C984" s="12"/>
      <c r="D984" s="12"/>
      <c r="E984" s="12"/>
      <c r="F984" s="12"/>
      <c r="G984" s="12"/>
      <c r="H984" s="12"/>
      <c r="I984" s="12"/>
      <c r="J984" s="12"/>
      <c r="K984" s="12"/>
      <c r="L984" s="14"/>
    </row>
    <row r="985" spans="1:12" x14ac:dyDescent="0.3">
      <c r="A985" s="12"/>
      <c r="B985" s="12"/>
      <c r="C985" s="12"/>
      <c r="D985" s="12"/>
      <c r="E985" s="12"/>
      <c r="F985" s="12"/>
      <c r="G985" s="12"/>
      <c r="H985" s="12"/>
      <c r="I985" s="12"/>
      <c r="J985" s="12"/>
      <c r="K985" s="12"/>
      <c r="L985" s="14"/>
    </row>
    <row r="986" spans="1:12" x14ac:dyDescent="0.3">
      <c r="A986" s="12"/>
      <c r="B986" s="12"/>
      <c r="C986" s="12"/>
      <c r="D986" s="12"/>
      <c r="E986" s="12"/>
      <c r="F986" s="12"/>
      <c r="G986" s="12"/>
      <c r="H986" s="12"/>
      <c r="I986" s="12"/>
      <c r="J986" s="12"/>
      <c r="K986" s="12"/>
      <c r="L986" s="14"/>
    </row>
    <row r="987" spans="1:12" x14ac:dyDescent="0.3">
      <c r="A987" s="12"/>
      <c r="B987" s="12"/>
      <c r="C987" s="12"/>
      <c r="D987" s="12"/>
      <c r="E987" s="12"/>
      <c r="F987" s="12"/>
      <c r="G987" s="12"/>
      <c r="H987" s="12"/>
      <c r="I987" s="12"/>
      <c r="J987" s="12"/>
      <c r="K987" s="12"/>
      <c r="L987" s="14"/>
    </row>
    <row r="988" spans="1:12" x14ac:dyDescent="0.3">
      <c r="A988" s="12"/>
      <c r="B988" s="12"/>
      <c r="C988" s="12"/>
      <c r="D988" s="12"/>
      <c r="E988" s="12"/>
      <c r="F988" s="12"/>
      <c r="G988" s="12"/>
      <c r="H988" s="12"/>
      <c r="I988" s="12"/>
      <c r="J988" s="12"/>
      <c r="K988" s="12"/>
      <c r="L988" s="14"/>
    </row>
    <row r="989" spans="1:12" x14ac:dyDescent="0.3">
      <c r="A989" s="12"/>
      <c r="B989" s="12"/>
      <c r="C989" s="12"/>
      <c r="D989" s="12"/>
      <c r="E989" s="12"/>
      <c r="F989" s="12"/>
      <c r="G989" s="12"/>
      <c r="H989" s="12"/>
      <c r="I989" s="12"/>
      <c r="J989" s="12"/>
      <c r="K989" s="12"/>
      <c r="L989" s="14"/>
    </row>
    <row r="990" spans="1:12" x14ac:dyDescent="0.3">
      <c r="A990" s="12"/>
      <c r="B990" s="12"/>
      <c r="C990" s="12"/>
      <c r="D990" s="12"/>
      <c r="E990" s="12"/>
      <c r="F990" s="12"/>
      <c r="G990" s="12"/>
      <c r="H990" s="12"/>
      <c r="I990" s="12"/>
      <c r="J990" s="12"/>
      <c r="K990" s="12"/>
      <c r="L990" s="14"/>
    </row>
    <row r="991" spans="1:12" x14ac:dyDescent="0.3">
      <c r="A991" s="12"/>
      <c r="B991" s="12"/>
      <c r="C991" s="12"/>
      <c r="D991" s="12"/>
      <c r="E991" s="12"/>
      <c r="F991" s="12"/>
      <c r="G991" s="12"/>
      <c r="H991" s="12"/>
      <c r="I991" s="12"/>
      <c r="J991" s="12"/>
      <c r="K991" s="12"/>
      <c r="L991" s="14"/>
    </row>
    <row r="992" spans="1:12" x14ac:dyDescent="0.3">
      <c r="A992" s="12"/>
      <c r="B992" s="12"/>
      <c r="C992" s="12"/>
      <c r="D992" s="12"/>
      <c r="E992" s="12"/>
      <c r="F992" s="12"/>
      <c r="G992" s="12"/>
      <c r="H992" s="12"/>
      <c r="I992" s="12"/>
      <c r="J992" s="12"/>
      <c r="K992" s="12"/>
      <c r="L992" s="14"/>
    </row>
    <row r="993" spans="1:12" x14ac:dyDescent="0.3">
      <c r="A993" s="12"/>
      <c r="B993" s="12"/>
      <c r="C993" s="12"/>
      <c r="D993" s="12"/>
      <c r="E993" s="12"/>
      <c r="F993" s="12"/>
      <c r="G993" s="12"/>
      <c r="H993" s="12"/>
      <c r="I993" s="12"/>
      <c r="J993" s="12"/>
      <c r="K993" s="12"/>
      <c r="L993" s="14"/>
    </row>
    <row r="994" spans="1:12" x14ac:dyDescent="0.3">
      <c r="A994" s="12"/>
      <c r="B994" s="12"/>
      <c r="C994" s="12"/>
      <c r="D994" s="12"/>
      <c r="E994" s="12"/>
      <c r="F994" s="12"/>
      <c r="G994" s="12"/>
      <c r="H994" s="12"/>
      <c r="I994" s="12"/>
      <c r="J994" s="12"/>
      <c r="K994" s="12"/>
      <c r="L994" s="14"/>
    </row>
    <row r="995" spans="1:12" x14ac:dyDescent="0.3">
      <c r="A995" s="12"/>
      <c r="B995" s="12"/>
      <c r="C995" s="12"/>
      <c r="D995" s="12"/>
      <c r="E995" s="12"/>
      <c r="F995" s="12"/>
      <c r="G995" s="12"/>
      <c r="H995" s="12"/>
      <c r="I995" s="12"/>
      <c r="J995" s="12"/>
      <c r="K995" s="12"/>
      <c r="L995" s="14"/>
    </row>
    <row r="996" spans="1:12" x14ac:dyDescent="0.3">
      <c r="A996" s="12"/>
      <c r="B996" s="12"/>
      <c r="C996" s="12"/>
      <c r="D996" s="12"/>
      <c r="E996" s="12"/>
      <c r="F996" s="12"/>
      <c r="G996" s="12"/>
      <c r="H996" s="12"/>
      <c r="I996" s="12"/>
      <c r="J996" s="12"/>
      <c r="K996" s="12"/>
      <c r="L996" s="14"/>
    </row>
    <row r="997" spans="1:12" x14ac:dyDescent="0.3">
      <c r="A997" s="12"/>
      <c r="B997" s="12"/>
      <c r="C997" s="12"/>
      <c r="D997" s="12"/>
      <c r="E997" s="12"/>
      <c r="F997" s="12"/>
      <c r="G997" s="12"/>
      <c r="H997" s="12"/>
      <c r="I997" s="12"/>
      <c r="J997" s="12"/>
      <c r="K997" s="12"/>
      <c r="L997" s="14"/>
    </row>
    <row r="998" spans="1:12" x14ac:dyDescent="0.3">
      <c r="A998" s="12"/>
      <c r="B998" s="12"/>
      <c r="C998" s="12"/>
      <c r="D998" s="12"/>
      <c r="E998" s="12"/>
      <c r="F998" s="12"/>
      <c r="G998" s="12"/>
      <c r="H998" s="12"/>
      <c r="I998" s="12"/>
      <c r="J998" s="12"/>
      <c r="K998" s="12"/>
      <c r="L998" s="14"/>
    </row>
    <row r="999" spans="1:12" x14ac:dyDescent="0.3">
      <c r="A999" s="12"/>
      <c r="B999" s="12"/>
      <c r="C999" s="12"/>
      <c r="D999" s="12"/>
      <c r="E999" s="12"/>
      <c r="F999" s="12"/>
      <c r="G999" s="12"/>
      <c r="H999" s="12"/>
      <c r="I999" s="12"/>
      <c r="J999" s="12"/>
      <c r="K999" s="12"/>
      <c r="L999" s="14"/>
    </row>
    <row r="1000" spans="1:12" x14ac:dyDescent="0.3">
      <c r="A1000" s="12"/>
      <c r="B1000" s="12"/>
      <c r="C1000" s="12"/>
      <c r="D1000" s="12"/>
      <c r="E1000" s="12"/>
      <c r="F1000" s="12"/>
      <c r="G1000" s="12"/>
      <c r="H1000" s="12"/>
      <c r="I1000" s="12"/>
      <c r="J1000" s="12"/>
      <c r="K1000" s="12"/>
      <c r="L1000" s="14"/>
    </row>
    <row r="1001" spans="1:12" x14ac:dyDescent="0.3">
      <c r="A1001" s="12"/>
      <c r="B1001" s="12"/>
      <c r="C1001" s="12"/>
      <c r="D1001" s="12"/>
      <c r="E1001" s="12"/>
      <c r="F1001" s="12"/>
      <c r="G1001" s="12"/>
      <c r="H1001" s="12"/>
      <c r="I1001" s="12"/>
      <c r="J1001" s="12"/>
      <c r="K1001" s="12"/>
      <c r="L1001" s="14"/>
    </row>
    <row r="1002" spans="1:12" x14ac:dyDescent="0.3">
      <c r="A1002" s="12"/>
      <c r="B1002" s="12"/>
      <c r="C1002" s="12"/>
      <c r="D1002" s="12"/>
      <c r="E1002" s="12"/>
      <c r="F1002" s="12"/>
      <c r="G1002" s="12"/>
      <c r="H1002" s="12"/>
      <c r="I1002" s="12"/>
      <c r="J1002" s="12"/>
      <c r="K1002" s="12"/>
      <c r="L1002" s="14"/>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A2C7A-39AA-428D-830A-705C3E9AFE4C}">
  <dimension ref="A1:L13"/>
  <sheetViews>
    <sheetView workbookViewId="0">
      <selection activeCell="F23" sqref="F23"/>
    </sheetView>
  </sheetViews>
  <sheetFormatPr defaultRowHeight="14.4" x14ac:dyDescent="0.3"/>
  <cols>
    <col min="1" max="1" width="23.21875" bestFit="1" customWidth="1"/>
    <col min="2" max="2" width="15.5546875" bestFit="1" customWidth="1"/>
    <col min="3" max="5" width="11" bestFit="1" customWidth="1"/>
    <col min="8" max="8" width="18.44140625" bestFit="1" customWidth="1"/>
    <col min="9" max="9" width="15.5546875" bestFit="1" customWidth="1"/>
    <col min="10" max="12" width="12" bestFit="1" customWidth="1"/>
    <col min="13" max="1001" width="15.5546875" bestFit="1" customWidth="1"/>
    <col min="1002" max="1002" width="10.77734375" bestFit="1" customWidth="1"/>
  </cols>
  <sheetData>
    <row r="1" spans="1:12" x14ac:dyDescent="0.3">
      <c r="A1" s="24" t="s">
        <v>1271</v>
      </c>
      <c r="H1" s="24" t="s">
        <v>1272</v>
      </c>
    </row>
    <row r="2" spans="1:12" x14ac:dyDescent="0.3">
      <c r="A2" s="2" t="s">
        <v>1270</v>
      </c>
      <c r="B2" s="2" t="s">
        <v>1265</v>
      </c>
      <c r="H2" s="2" t="s">
        <v>1277</v>
      </c>
      <c r="I2" s="2" t="s">
        <v>1265</v>
      </c>
    </row>
    <row r="3" spans="1:12" x14ac:dyDescent="0.3">
      <c r="A3" s="2" t="s">
        <v>1242</v>
      </c>
      <c r="B3" t="s">
        <v>36</v>
      </c>
      <c r="C3" t="s">
        <v>26</v>
      </c>
      <c r="D3" t="s">
        <v>18</v>
      </c>
      <c r="E3" t="s">
        <v>1243</v>
      </c>
      <c r="H3" s="2" t="s">
        <v>1242</v>
      </c>
      <c r="I3" t="s">
        <v>36</v>
      </c>
      <c r="J3" t="s">
        <v>26</v>
      </c>
      <c r="K3" t="s">
        <v>18</v>
      </c>
      <c r="L3" t="s">
        <v>1243</v>
      </c>
    </row>
    <row r="4" spans="1:12" x14ac:dyDescent="0.3">
      <c r="A4" s="18" t="s">
        <v>15</v>
      </c>
      <c r="B4" s="19">
        <v>940765.70000000019</v>
      </c>
      <c r="C4" s="19">
        <v>1219047.3500000001</v>
      </c>
      <c r="D4" s="19">
        <v>799434.14999999991</v>
      </c>
      <c r="E4" s="19">
        <v>2959247.2</v>
      </c>
      <c r="H4" s="18" t="s">
        <v>15</v>
      </c>
      <c r="I4" s="19">
        <v>1005644.1580000001</v>
      </c>
      <c r="J4" s="19">
        <v>1264936.527</v>
      </c>
      <c r="K4" s="19">
        <v>861070.8330000001</v>
      </c>
      <c r="L4" s="19">
        <v>2427349.851999999</v>
      </c>
    </row>
    <row r="5" spans="1:12" x14ac:dyDescent="0.3">
      <c r="A5" s="18" t="s">
        <v>45</v>
      </c>
      <c r="B5" s="19">
        <v>978333.2000000003</v>
      </c>
      <c r="C5" s="19">
        <v>794187.44999999984</v>
      </c>
      <c r="D5" s="19">
        <v>904131.5</v>
      </c>
      <c r="E5" s="19">
        <v>2676652.1500000004</v>
      </c>
      <c r="H5" s="18" t="s">
        <v>45</v>
      </c>
      <c r="I5" s="19">
        <v>1025102.754</v>
      </c>
      <c r="J5" s="19">
        <v>850200.22100000002</v>
      </c>
      <c r="K5" s="19">
        <v>953967.73199999996</v>
      </c>
      <c r="L5" s="19">
        <v>2193244.8599999989</v>
      </c>
    </row>
    <row r="6" spans="1:12" x14ac:dyDescent="0.3">
      <c r="A6" s="18" t="s">
        <v>31</v>
      </c>
      <c r="B6" s="19">
        <v>1151938.5000000002</v>
      </c>
      <c r="C6" s="19">
        <v>1452256.1999999995</v>
      </c>
      <c r="D6" s="19">
        <v>1245370.6500000001</v>
      </c>
      <c r="E6" s="19">
        <v>3849565.3499999996</v>
      </c>
      <c r="H6" s="18" t="s">
        <v>31</v>
      </c>
      <c r="I6" s="19">
        <v>1223030.5449999999</v>
      </c>
      <c r="J6" s="19">
        <v>1500950.8080000002</v>
      </c>
      <c r="K6" s="19">
        <v>1304608.872</v>
      </c>
      <c r="L6" s="19">
        <v>3028318.0689999983</v>
      </c>
    </row>
    <row r="7" spans="1:12" x14ac:dyDescent="0.3">
      <c r="A7" s="18" t="s">
        <v>62</v>
      </c>
      <c r="B7" s="19">
        <v>561469.99999999988</v>
      </c>
      <c r="C7" s="19">
        <v>679308.44999999972</v>
      </c>
      <c r="D7" s="19">
        <v>627874.35000000021</v>
      </c>
      <c r="E7" s="19">
        <v>1868652.7999999998</v>
      </c>
      <c r="H7" s="18" t="s">
        <v>62</v>
      </c>
      <c r="I7" s="19">
        <v>600502.67099999997</v>
      </c>
      <c r="J7" s="19">
        <v>718503.63199999998</v>
      </c>
      <c r="K7" s="19">
        <v>672318.92</v>
      </c>
      <c r="L7" s="19">
        <v>1591106.6819999996</v>
      </c>
    </row>
    <row r="8" spans="1:12" x14ac:dyDescent="0.3">
      <c r="A8" s="18" t="s">
        <v>1243</v>
      </c>
      <c r="B8" s="19">
        <v>3632507.4000000004</v>
      </c>
      <c r="C8" s="19">
        <v>4144799.4499999988</v>
      </c>
      <c r="D8" s="19">
        <v>3576810.65</v>
      </c>
      <c r="E8" s="19">
        <v>11354117.5</v>
      </c>
      <c r="H8" s="18" t="s">
        <v>1243</v>
      </c>
      <c r="I8" s="19">
        <v>2543509.0559999966</v>
      </c>
      <c r="J8" s="19">
        <v>2769341.8499999978</v>
      </c>
      <c r="K8" s="19">
        <v>2614939.7049999982</v>
      </c>
      <c r="L8" s="19">
        <v>-2946964.4600000177</v>
      </c>
    </row>
    <row r="13" spans="1:12" x14ac:dyDescent="0.3">
      <c r="A13" s="24" t="s">
        <v>1287</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BB58-1447-43B6-BCC4-68923048CAA0}">
  <dimension ref="A1"/>
  <sheetViews>
    <sheetView workbookViewId="0">
      <selection activeCell="X11" sqref="X11:X1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A5948-A6C1-4232-83DB-7B5CFAEDBC05}">
  <dimension ref="B2:L17"/>
  <sheetViews>
    <sheetView workbookViewId="0">
      <selection activeCell="J7" sqref="J7"/>
    </sheetView>
  </sheetViews>
  <sheetFormatPr defaultRowHeight="14.4" x14ac:dyDescent="0.3"/>
  <cols>
    <col min="2" max="3" width="23.21875" bestFit="1" customWidth="1"/>
    <col min="5" max="5" width="25.44140625" bestFit="1" customWidth="1"/>
    <col min="6" max="6" width="23.21875" bestFit="1" customWidth="1"/>
    <col min="7" max="7" width="14.77734375" bestFit="1" customWidth="1"/>
    <col min="8" max="8" width="17.44140625" bestFit="1" customWidth="1"/>
    <col min="10" max="10" width="11" bestFit="1" customWidth="1"/>
  </cols>
  <sheetData>
    <row r="2" spans="2:12" x14ac:dyDescent="0.3">
      <c r="B2" s="33" t="s">
        <v>1280</v>
      </c>
      <c r="L2" s="33" t="s">
        <v>1282</v>
      </c>
    </row>
    <row r="3" spans="2:12" x14ac:dyDescent="0.3">
      <c r="B3" s="12" t="s">
        <v>1270</v>
      </c>
      <c r="E3" s="12" t="s">
        <v>1273</v>
      </c>
      <c r="G3" s="32" t="s">
        <v>1242</v>
      </c>
      <c r="H3" s="12" t="s">
        <v>1244</v>
      </c>
    </row>
    <row r="4" spans="2:12" x14ac:dyDescent="0.3">
      <c r="B4" s="31">
        <v>11354117.500000006</v>
      </c>
      <c r="E4" s="37">
        <v>13395.293</v>
      </c>
      <c r="G4" s="12" t="s">
        <v>1284</v>
      </c>
      <c r="H4" s="35">
        <v>0.79700000000000004</v>
      </c>
      <c r="J4" t="s">
        <v>1278</v>
      </c>
    </row>
    <row r="5" spans="2:12" x14ac:dyDescent="0.3">
      <c r="G5" s="12" t="s">
        <v>1285</v>
      </c>
      <c r="H5" s="35">
        <v>0.20300000000000001</v>
      </c>
      <c r="J5">
        <f>GETPIVOTDATA("Total Net Revenue",$B$3)</f>
        <v>11354117.500000006</v>
      </c>
    </row>
    <row r="6" spans="2:12" x14ac:dyDescent="0.3">
      <c r="G6" s="12" t="s">
        <v>1243</v>
      </c>
      <c r="H6" s="35">
        <v>1</v>
      </c>
      <c r="J6" t="s">
        <v>1279</v>
      </c>
    </row>
    <row r="7" spans="2:12" x14ac:dyDescent="0.3">
      <c r="J7" s="38">
        <f>GETPIVOTDATA("PaymentAmount",$E$3)</f>
        <v>13395.293</v>
      </c>
    </row>
    <row r="8" spans="2:12" x14ac:dyDescent="0.3">
      <c r="J8" t="s">
        <v>1286</v>
      </c>
    </row>
    <row r="9" spans="2:12" x14ac:dyDescent="0.3">
      <c r="B9" s="33" t="s">
        <v>1281</v>
      </c>
      <c r="J9" s="36">
        <f>GETPIVOTDATA("StudentID",$G$3,"Performance Status","Target Achieved")</f>
        <v>0.20300000000000001</v>
      </c>
    </row>
    <row r="10" spans="2:12" x14ac:dyDescent="0.3">
      <c r="B10" s="32" t="s">
        <v>1242</v>
      </c>
      <c r="C10" s="12" t="s">
        <v>1270</v>
      </c>
    </row>
    <row r="11" spans="2:12" x14ac:dyDescent="0.3">
      <c r="B11" s="12" t="s">
        <v>15</v>
      </c>
      <c r="C11" s="31">
        <v>2959247.1999999983</v>
      </c>
    </row>
    <row r="12" spans="2:12" x14ac:dyDescent="0.3">
      <c r="B12" s="12" t="s">
        <v>45</v>
      </c>
      <c r="C12" s="31">
        <v>2676652.15</v>
      </c>
      <c r="E12" s="32" t="s">
        <v>1242</v>
      </c>
      <c r="F12" s="12" t="s">
        <v>1270</v>
      </c>
    </row>
    <row r="13" spans="2:12" x14ac:dyDescent="0.3">
      <c r="B13" s="12" t="s">
        <v>31</v>
      </c>
      <c r="C13" s="31">
        <v>3849565.3499999978</v>
      </c>
      <c r="E13" s="12" t="s">
        <v>1274</v>
      </c>
      <c r="F13" s="31">
        <v>5563210.9000000041</v>
      </c>
    </row>
    <row r="14" spans="2:12" x14ac:dyDescent="0.3">
      <c r="B14" s="12" t="s">
        <v>62</v>
      </c>
      <c r="C14" s="31">
        <v>1868652.800000001</v>
      </c>
      <c r="E14" s="12" t="s">
        <v>1275</v>
      </c>
      <c r="F14" s="31">
        <v>5616565.4000000022</v>
      </c>
    </row>
    <row r="15" spans="2:12" x14ac:dyDescent="0.3">
      <c r="B15" s="12" t="s">
        <v>1243</v>
      </c>
      <c r="C15" s="31">
        <v>11354117.499999996</v>
      </c>
      <c r="E15" s="12" t="s">
        <v>1276</v>
      </c>
      <c r="F15" s="31">
        <v>174341.19999999998</v>
      </c>
    </row>
    <row r="16" spans="2:12" x14ac:dyDescent="0.3">
      <c r="E16" s="12" t="s">
        <v>1243</v>
      </c>
      <c r="F16" s="31">
        <v>11354117.500000006</v>
      </c>
    </row>
    <row r="17" spans="2:2" x14ac:dyDescent="0.3">
      <c r="B17" s="34" t="s">
        <v>1283</v>
      </c>
    </row>
  </sheetData>
  <pageMargins left="0.7" right="0.7" top="0.75" bottom="0.75" header="0.3" footer="0.3"/>
  <pageSetup paperSize="9" orientation="portrait" r:id="rId6"/>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edtech_dataset</vt:lpstr>
      <vt:lpstr>Q1_Q2_Q3_Q4_Q7</vt:lpstr>
      <vt:lpstr>Q5_Q6_Q8</vt:lpstr>
      <vt:lpstr>Q9_Q10</vt:lpstr>
      <vt:lpstr>Q11_Q12_Q14</vt:lpstr>
      <vt:lpstr>Q13_Dashboard</vt:lpstr>
      <vt:lpstr>Q13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S</dc:creator>
  <cp:lastModifiedBy>MANAB DUTTA</cp:lastModifiedBy>
  <dcterms:created xsi:type="dcterms:W3CDTF">2026-09-20T04:35:19Z</dcterms:created>
  <dcterms:modified xsi:type="dcterms:W3CDTF">2026-09-25T04:37:20Z</dcterms:modified>
</cp:coreProperties>
</file>